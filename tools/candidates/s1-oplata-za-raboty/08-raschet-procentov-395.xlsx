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Акты" sheetId="2" state="visible" r:id="rId2"/>
    <sheet xmlns:r="http://schemas.openxmlformats.org/officeDocument/2006/relationships" name="Ввод" sheetId="3" state="visible" r:id="rId3"/>
    <sheet xmlns:r="http://schemas.openxmlformats.org/officeDocument/2006/relationships" name="Оплаты" sheetId="4" state="visible" r:id="rId4"/>
    <sheet xmlns:r="http://schemas.openxmlformats.org/officeDocument/2006/relationships" name="Расчёт" sheetId="5" state="visible" r:id="rId5"/>
    <sheet xmlns:r="http://schemas.openxmlformats.org/officeDocument/2006/relationships" name="Проверки" sheetId="6" state="visible" r:id="rId6"/>
    <sheet xmlns:r="http://schemas.openxmlformats.org/officeDocument/2006/relationships" name="Интервалы" sheetId="7" state="visible" r:id="rId7"/>
    <sheet xmlns:r="http://schemas.openxmlformats.org/officeDocument/2006/relationships" name="По дня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DD.MM.YYYY;;"/>
    <numFmt numFmtId="166" formatCode="0.00##;;"/>
    <numFmt numFmtId="167" formatCode="[&lt;2]&quot;&quot;;0"/>
    <numFmt numFmtId="168" formatCode="&quot;да&quot;;;"/>
  </numFmts>
  <fonts count="4">
    <font>
      <name val="Calibri"/>
      <family val="2"/>
      <color theme="1"/>
      <sz val="11"/>
      <scheme val="minor"/>
    </font>
    <font>
      <b val="1"/>
    </font>
    <font>
      <color rgb="001F4E79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" fontId="2" fillId="2" borderId="1" applyAlignment="1" pivotButton="0" quotePrefix="0" xfId="0">
      <alignment vertical="top" wrapText="1"/>
    </xf>
    <xf numFmtId="164" fontId="2" fillId="2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2" fillId="2" borderId="1" pivotButton="0" quotePrefix="0" xfId="0"/>
    <xf numFmtId="0" fontId="1" fillId="0" borderId="0" pivotButton="0" quotePrefix="0" xfId="0"/>
    <xf numFmtId="0" fontId="1" fillId="3" borderId="1" pivotButton="0" quotePrefix="0" xfId="0"/>
    <xf numFmtId="0" fontId="2" fillId="2" borderId="1" pivotButton="0" quotePrefix="0" xfId="0"/>
    <xf numFmtId="4" fontId="0" fillId="0" borderId="0" pivotButton="0" quotePrefix="0" xfId="0"/>
    <xf numFmtId="4" fontId="2" fillId="2" borderId="1" pivotButton="0" quotePrefix="0" xfId="0"/>
    <xf numFmtId="4" fontId="1" fillId="0" borderId="0" pivotButton="0" quotePrefix="0" xfId="0"/>
    <xf numFmtId="164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Расчёт процентов по ст. 395 ГК РФ</t>
        </is>
      </c>
    </row>
    <row r="2">
      <c r="A2" s="2" t="inlineStr">
        <is>
          <t>1. Лист «Акты»: одна строка — один акт (или часть долга) со своей датой начала просрочки. По каждому акту из файла 04, лист «Долг по актам», переносятся: в колонку «Сумма основного долга на первый день просрочки» — колонка H того листа, в колонку «Первый день просрочки» — колонка E, в колонку сверки — колонка J. Сверка нужна, чтобы оплаты не учлись дважды: если в колонку долга попадёт сумма, из которой оплаты уже вычтены, сверка не сойдётся и книга заблокирует расчёт.</t>
        </is>
      </c>
    </row>
    <row r="3">
      <c r="A3" s="2" t="inlineStr">
        <is>
          <t>2. Лист «Ввод»: последний день расчёта.</t>
        </is>
      </c>
    </row>
    <row r="4">
      <c r="A4" s="2" t="inlineStr">
        <is>
          <t>3. Лист «Ввод»: ключевая ставка Банка России (cbr.ru, раздел «Ключевая ставка Банка России»): ставка, действовавшая в первый день просрочки самого раннего акта, и все её изменения до конца расчёта — по возрастанию дат, без пропусков строк. Ставка вводится в процентах годовых: 21 означает 21 %. Долю (0,21) книга не принимает.</t>
        </is>
      </c>
    </row>
    <row r="5">
      <c r="A5" s="2" t="inlineStr">
        <is>
          <t>4. Лист «Ввод»: периоды, за которые проценты не начисляются (например, мораторий), если они применимы к вашему должнику. Применимость проверьте у специалиста.</t>
        </is>
      </c>
    </row>
    <row r="6">
      <c r="A6" s="2" t="inlineStr">
        <is>
          <t>5. Лист «Оплаты»: каждая оплата, поступившая в первый день просрочки по своему акту или позже, — дата, сумма и акт, к которому она отнесена. Оплата, поступившая в день D, уменьшает долг по своему акту со следующего дня. Книга сама делит расчёт каждого акта на периоды по датам его оплат и смене ставки.</t>
        </is>
      </c>
    </row>
    <row r="7">
      <c r="A7" s="2" t="inlineStr">
        <is>
          <t>6. Платёж без указания акта расчёт блокирует. Система не распределяет платежи между актами сама и не назначает очередность зачёта: это правовой вопрос, который решается назначением платежа, договором или соглашением сторон. Распределите платёж документально и укажите акт.</t>
        </is>
      </c>
    </row>
    <row r="8">
      <c r="A8" s="2" t="inlineStr">
        <is>
          <t>7. Лист «Проверки»: все строки должны быть «ок». Любая строка «БЛОК» останавливает итог: книга не выдаёт сумму, которая может быть завышена или занижена.</t>
        </is>
      </c>
    </row>
    <row r="9">
      <c r="A9" s="2" t="inlineStr">
        <is>
          <t>8. Лист «Расчёт»: строки расчёта по каждому акту для приложения к претензии и иску. Строка — отрезок, на котором долг акта не меняется; её проценты — сумма по периодам ставки, каждый округлён до копейки. Проценты по акту — сумма его строк; «Проценты итого» — сумма итогов по актам.</t>
        </is>
      </c>
    </row>
    <row r="10">
      <c r="A10" s="2" t="inlineStr">
        <is>
          <t>Каждый акт считается отдельно: своя дата начала просрочки, свой долг, свои оплаты, свои периоды и своё округление. Акты не объединяются в один долг — ни с одной датой, ни по дням: это занизило бы или завысило проценты. Лист «По дням» — общий календарь (одна строка на день): из него берутся ставка, число дней в году и исключения.</t>
        </is>
      </c>
    </row>
    <row r="11">
      <c r="A11" s="2" t="inlineStr">
        <is>
          <t>Ограничения: до 12 актов в одном расчёте, до 500 оплат, 60 изменений ставки, 20 исключаемых периодов, 3999 дней от первого дня просрочки самого раннего акта до последнего дня расчёта и 150 периодов ставки. Данные за пределами таблиц не отбрасываются молча, а блокируют итог.</t>
        </is>
      </c>
    </row>
    <row r="12">
      <c r="A12" s="2" t="inlineStr">
        <is>
          <t>Оплаты уменьшают основной долг. Если договор устанавливает неустойку за просрочку оплаты, проценты по ст. 395 ГК РФ по общему правилу не взыскиваются (п. 4 ст. 395 ГК РФ) — выбор к специалисту.</t>
        </is>
      </c>
    </row>
    <row r="13">
      <c r="A13" s="2" t="inlineStr">
        <is>
          <t>Число дней в году — фактическое (365 или 366) для каждого дня. Проценты за период округляются до копейки; итог по акту — сумма его периодов, общий итог — сумма итогов по актам.</t>
        </is>
      </c>
    </row>
    <row r="14">
      <c r="A14" s="2" t="inlineStr">
        <is>
          <t>Редакция-кандидат. Правовые ссылки этой редакции не прошли юридическую приёмку; перед применением сверьте их с действующей редакцией закона.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24" customWidth="1" min="4" max="4"/>
    <col width="16" customWidth="1" min="5" max="5"/>
    <col width="22" customWidth="1" min="6" max="6"/>
    <col width="20" customWidth="1" min="7" max="7"/>
    <col width="74" customWidth="1" min="8" max="8"/>
  </cols>
  <sheetData>
    <row r="1">
      <c r="A1" s="3" t="inlineStr">
        <is>
          <t>Акты и суммы долга на первый день просрочки</t>
        </is>
      </c>
    </row>
    <row r="2">
      <c r="A2" s="2" t="inlineStr">
        <is>
          <t>Одна строка — один акт (или часть долга) со своей датой начала просрочки. Акт входит в долг со своего первого дня просрочки; до этой даты проценты по нему не начисляются. Колонки D, E и F заполняются из файла 04, лист «Долг по актам»: D — «Долг на первый день просрочки» (колонка H), E — «Первый день просрочки» (колонка E), F — сверочная сумма (колонка J). По F книга проверяет, что оплаты не учтены дважды: если в D попала сумма, из которой оплаты уже вычтены, сверка не сойдётся и расчёт будет заблокирован.</t>
        </is>
      </c>
    </row>
    <row r="4">
      <c r="A4" s="4" t="inlineStr">
        <is>
          <t>№</t>
        </is>
      </c>
      <c r="B4" s="4" t="inlineStr">
        <is>
          <t>Акт (идентификатор, как в файле 04)</t>
        </is>
      </c>
      <c r="C4" s="4" t="inlineStr">
        <is>
          <t>Документ (КС-2 / акт: №, дата)</t>
        </is>
      </c>
      <c r="D4" s="4" t="inlineStr">
        <is>
          <t>Сумма основного долга на первый день просрочки, руб.</t>
        </is>
      </c>
      <c r="E4" s="4" t="inlineStr">
        <is>
          <t>Первый день просрочки</t>
        </is>
      </c>
      <c r="F4" s="4" t="inlineStr">
        <is>
          <t>Сверка: остаток по акту из файла 04 (колонка J), руб.</t>
        </is>
      </c>
      <c r="G4" s="4" t="inlineStr">
        <is>
          <t>Остаток по расчёту на последний день, руб.</t>
        </is>
      </c>
      <c r="H4" s="4" t="inlineStr">
        <is>
          <t>Проверка</t>
        </is>
      </c>
    </row>
    <row r="5">
      <c r="A5" s="5" t="n">
        <v>1</v>
      </c>
      <c r="B5" s="6" t="n"/>
      <c r="C5" s="6" t="n"/>
      <c r="D5" s="7" t="n"/>
      <c r="E5" s="8" t="n"/>
      <c r="F5" s="7" t="n"/>
      <c r="G5" s="9">
        <f>IF(OR(B5="",NOT(ISNUMBER(D5))),"",D5-SUMIF(Оплаты!$D$6:$D$505,B5,Оплаты!$B$6:$B$505))</f>
        <v/>
      </c>
      <c r="H5" s="5">
        <f>IF(AND(B5="",C5="",D5="",E5="",F5=""),"",IF(B5="","БЛОК: нужен идентификатор акта — по нему распределяются оплаты",IF(COUNTIF($B$5:$B$16,B5)&gt;1,"БЛОК: идентификатор акта повторяется — оплату нельзя отнести однозначно",IF(OR(NOT(ISNUMBER(D5)),D5&lt;=0),"БЛОК: нужна сумма основного долга на первый день просрочки, больше нуля (файл 04, лист «Долг по актам», колонка H)",IF(NOT(ISNUMBER(E5)),"БЛОК: нужен первый день просрочки по этому акту",IF(NOT(ISNUMBER(Ввод!$B$4)),"БЛОК: на листе «Ввод» не введён последний день расчёта",IF(E5&gt;Ввод!$B$4,"БЛОК: первый день просрочки позже последнего дня расчёта",IF(Ввод!$B$4-E5+1&gt;3999,"БЛОК: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ставка",IF(MIN(Ввод!$D$12:$D$71)&gt;E5,"БЛОК: нет ставки, действовавшей в первый день просрочки по этому акту",IF(N(G5)&lt;0,"БЛОК: оплаты по этому акту больше долга на первый день просрочки",IF(NOT(ISNUMBER(F5)),"БЛОК: нужна сверочная сумма по этому акту из файла 04 (лист «Долг по актам», колонка J)",IF(ROUND(N(G5)-F5,2)&lt;&gt;0,"БЛОК: сверка не сходится. Долг на первый день просрочки минус оплаты по этому акту = "&amp;FIXED(N(G5),2)&amp;" руб., а по файлу 04 = "&amp;FIXED(F5,2)&amp;"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04, колонка H)","ок")))))))))))))</f>
        <v/>
      </c>
    </row>
    <row r="6">
      <c r="A6" s="5" t="n">
        <v>2</v>
      </c>
      <c r="B6" s="6" t="n"/>
      <c r="C6" s="6" t="n"/>
      <c r="D6" s="7" t="n"/>
      <c r="E6" s="8" t="n"/>
      <c r="F6" s="7" t="n"/>
      <c r="G6" s="9">
        <f>IF(OR(B6="",NOT(ISNUMBER(D6))),"",D6-SUMIF(Оплаты!$D$6:$D$505,B6,Оплаты!$B$6:$B$505))</f>
        <v/>
      </c>
      <c r="H6" s="5">
        <f>IF(AND(B6="",C6="",D6="",E6="",F6=""),"",IF(B6="","БЛОК: нужен идентификатор акта — по нему распределяются оплаты",IF(COUNTIF($B$5:$B$16,B6)&gt;1,"БЛОК: идентификатор акта повторяется — оплату нельзя отнести однозначно",IF(OR(NOT(ISNUMBER(D6)),D6&lt;=0),"БЛОК: нужна сумма основного долга на первый день просрочки, больше нуля (файл 04, лист «Долг по актам», колонка H)",IF(NOT(ISNUMBER(E6)),"БЛОК: нужен первый день просрочки по этому акту",IF(NOT(ISNUMBER(Ввод!$B$4)),"БЛОК: на листе «Ввод» не введён последний день расчёта",IF(E6&gt;Ввод!$B$4,"БЛОК: первый день просрочки позже последнего дня расчёта",IF(Ввод!$B$4-E6+1&gt;3999,"БЛОК: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ставка",IF(MIN(Ввод!$D$12:$D$71)&gt;E6,"БЛОК: нет ставки, действовавшей в первый день просрочки по этому акту",IF(N(G6)&lt;0,"БЛОК: оплаты по этому акту больше долга на первый день просрочки",IF(NOT(ISNUMBER(F6)),"БЛОК: нужна сверочная сумма по этому акту из файла 04 (лист «Долг по актам», колонка J)",IF(ROUND(N(G6)-F6,2)&lt;&gt;0,"БЛОК: сверка не сходится. Долг на первый день просрочки минус оплаты по этому акту = "&amp;FIXED(N(G6),2)&amp;" руб., а по файлу 04 = "&amp;FIXED(F6,2)&amp;"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04, колонка H)","ок")))))))))))))</f>
        <v/>
      </c>
    </row>
    <row r="7">
      <c r="A7" s="5" t="n">
        <v>3</v>
      </c>
      <c r="B7" s="6" t="n"/>
      <c r="C7" s="6" t="n"/>
      <c r="D7" s="7" t="n"/>
      <c r="E7" s="8" t="n"/>
      <c r="F7" s="7" t="n"/>
      <c r="G7" s="9">
        <f>IF(OR(B7="",NOT(ISNUMBER(D7))),"",D7-SUMIF(Оплаты!$D$6:$D$505,B7,Оплаты!$B$6:$B$505))</f>
        <v/>
      </c>
      <c r="H7" s="5">
        <f>IF(AND(B7="",C7="",D7="",E7="",F7=""),"",IF(B7="","БЛОК: нужен идентификатор акта — по нему распределяются оплаты",IF(COUNTIF($B$5:$B$16,B7)&gt;1,"БЛОК: идентификатор акта повторяется — оплату нельзя отнести однозначно",IF(OR(NOT(ISNUMBER(D7)),D7&lt;=0),"БЛОК: нужна сумма основного долга на первый день просрочки, больше нуля (файл 04, лист «Долг по актам», колонка H)",IF(NOT(ISNUMBER(E7)),"БЛОК: нужен первый день просрочки по этому акту",IF(NOT(ISNUMBER(Ввод!$B$4)),"БЛОК: на листе «Ввод» не введён последний день расчёта",IF(E7&gt;Ввод!$B$4,"БЛОК: первый день просрочки позже последнего дня расчёта",IF(Ввод!$B$4-E7+1&gt;3999,"БЛОК: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ставка",IF(MIN(Ввод!$D$12:$D$71)&gt;E7,"БЛОК: нет ставки, действовавшей в первый день просрочки по этому акту",IF(N(G7)&lt;0,"БЛОК: оплаты по этому акту больше долга на первый день просрочки",IF(NOT(ISNUMBER(F7)),"БЛОК: нужна сверочная сумма по этому акту из файла 04 (лист «Долг по актам», колонка J)",IF(ROUND(N(G7)-F7,2)&lt;&gt;0,"БЛОК: сверка не сходится. Долг на первый день просрочки минус оплаты по этому акту = "&amp;FIXED(N(G7),2)&amp;" руб., а по файлу 04 = "&amp;FIXED(F7,2)&amp;"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04, колонка H)","ок")))))))))))))</f>
        <v/>
      </c>
    </row>
    <row r="8">
      <c r="A8" s="5" t="n">
        <v>4</v>
      </c>
      <c r="B8" s="6" t="n"/>
      <c r="C8" s="6" t="n"/>
      <c r="D8" s="7" t="n"/>
      <c r="E8" s="8" t="n"/>
      <c r="F8" s="7" t="n"/>
      <c r="G8" s="9">
        <f>IF(OR(B8="",NOT(ISNUMBER(D8))),"",D8-SUMIF(Оплаты!$D$6:$D$505,B8,Оплаты!$B$6:$B$505))</f>
        <v/>
      </c>
      <c r="H8" s="5">
        <f>IF(AND(B8="",C8="",D8="",E8="",F8=""),"",IF(B8="","БЛОК: нужен идентификатор акта — по нему распределяются оплаты",IF(COUNTIF($B$5:$B$16,B8)&gt;1,"БЛОК: идентификатор акта повторяется — оплату нельзя отнести однозначно",IF(OR(NOT(ISNUMBER(D8)),D8&lt;=0),"БЛОК: нужна сумма основного долга на первый день просрочки, больше нуля (файл 04, лист «Долг по актам», колонка H)",IF(NOT(ISNUMBER(E8)),"БЛОК: нужен первый день просрочки по этому акту",IF(NOT(ISNUMBER(Ввод!$B$4)),"БЛОК: на листе «Ввод» не введён последний день расчёта",IF(E8&gt;Ввод!$B$4,"БЛОК: первый день просрочки позже последнего дня расчёта",IF(Ввод!$B$4-E8+1&gt;3999,"БЛОК: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ставка",IF(MIN(Ввод!$D$12:$D$71)&gt;E8,"БЛОК: нет ставки, действовавшей в первый день просрочки по этому акту",IF(N(G8)&lt;0,"БЛОК: оплаты по этому акту больше долга на первый день просрочки",IF(NOT(ISNUMBER(F8)),"БЛОК: нужна сверочная сумма по этому акту из файла 04 (лист «Долг по актам», колонка J)",IF(ROUND(N(G8)-F8,2)&lt;&gt;0,"БЛОК: сверка не сходится. Долг на первый день просрочки минус оплаты по этому акту = "&amp;FIXED(N(G8),2)&amp;" руб., а по файлу 04 = "&amp;FIXED(F8,2)&amp;"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04, колонка H)","ок")))))))))))))</f>
        <v/>
      </c>
    </row>
    <row r="9">
      <c r="A9" s="5" t="n">
        <v>5</v>
      </c>
      <c r="B9" s="6" t="n"/>
      <c r="C9" s="6" t="n"/>
      <c r="D9" s="7" t="n"/>
      <c r="E9" s="8" t="n"/>
      <c r="F9" s="7" t="n"/>
      <c r="G9" s="9">
        <f>IF(OR(B9="",NOT(ISNUMBER(D9))),"",D9-SUMIF(Оплаты!$D$6:$D$505,B9,Оплаты!$B$6:$B$505))</f>
        <v/>
      </c>
      <c r="H9" s="5">
        <f>IF(AND(B9="",C9="",D9="",E9="",F9=""),"",IF(B9="","БЛОК: нужен идентификатор акта — по нему распределяются оплаты",IF(COUNTIF($B$5:$B$16,B9)&gt;1,"БЛОК: идентификатор акта повторяется — оплату нельзя отнести однозначно",IF(OR(NOT(ISNUMBER(D9)),D9&lt;=0),"БЛОК: нужна сумма основного долга на первый день просрочки, больше нуля (файл 04, лист «Долг по актам», колонка H)",IF(NOT(ISNUMBER(E9)),"БЛОК: нужен первый день просрочки по этому акту",IF(NOT(ISNUMBER(Ввод!$B$4)),"БЛОК: на листе «Ввод» не введён последний день расчёта",IF(E9&gt;Ввод!$B$4,"БЛОК: первый день просрочки позже последнего дня расчёта",IF(Ввод!$B$4-E9+1&gt;3999,"БЛОК: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ставка",IF(MIN(Ввод!$D$12:$D$71)&gt;E9,"БЛОК: нет ставки, действовавшей в первый день просрочки по этому акту",IF(N(G9)&lt;0,"БЛОК: оплаты по этому акту больше долга на первый день просрочки",IF(NOT(ISNUMBER(F9)),"БЛОК: нужна сверочная сумма по этому акту из файла 04 (лист «Долг по актам», колонка J)",IF(ROUND(N(G9)-F9,2)&lt;&gt;0,"БЛОК: сверка не сходится. Долг на первый день просрочки минус оплаты по этому акту = "&amp;FIXED(N(G9),2)&amp;" руб., а по файлу 04 = "&amp;FIXED(F9,2)&amp;"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04, колонка H)","ок")))))))))))))</f>
        <v/>
      </c>
    </row>
    <row r="10">
      <c r="A10" s="5" t="n">
        <v>6</v>
      </c>
      <c r="B10" s="6" t="n"/>
      <c r="C10" s="6" t="n"/>
      <c r="D10" s="7" t="n"/>
      <c r="E10" s="8" t="n"/>
      <c r="F10" s="7" t="n"/>
      <c r="G10" s="9">
        <f>IF(OR(B10="",NOT(ISNUMBER(D10))),"",D10-SUMIF(Оплаты!$D$6:$D$505,B10,Оплаты!$B$6:$B$505))</f>
        <v/>
      </c>
      <c r="H10" s="5">
        <f>IF(AND(B10="",C10="",D10="",E10="",F10=""),"",IF(B10="","БЛОК: нужен идентификатор акта — по нему распределяются оплаты",IF(COUNTIF($B$5:$B$16,B10)&gt;1,"БЛОК: идентификатор акта повторяется — оплату нельзя отнести однозначно",IF(OR(NOT(ISNUMBER(D10)),D10&lt;=0),"БЛОК: нужна сумма основного долга на первый день просрочки, больше нуля (файл 04, лист «Долг по актам», колонка H)",IF(NOT(ISNUMBER(E10)),"БЛОК: нужен первый день просрочки по этому акту",IF(NOT(ISNUMBER(Ввод!$B$4)),"БЛОК: на листе «Ввод» не введён последний день расчёта",IF(E10&gt;Ввод!$B$4,"БЛОК: первый день просрочки позже последнего дня расчёта",IF(Ввод!$B$4-E10+1&gt;3999,"БЛОК: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ставка",IF(MIN(Ввод!$D$12:$D$71)&gt;E10,"БЛОК: нет ставки, действовавшей в первый день просрочки по этому акту",IF(N(G10)&lt;0,"БЛОК: оплаты по этому акту больше долга на первый день просрочки",IF(NOT(ISNUMBER(F10)),"БЛОК: нужна сверочная сумма по этому акту из файла 04 (лист «Долг по актам», колонка J)",IF(ROUND(N(G10)-F10,2)&lt;&gt;0,"БЛОК: сверка не сходится. Долг на первый день просрочки минус оплаты по этому акту = "&amp;FIXED(N(G10),2)&amp;" руб., а по файлу 04 = "&amp;FIXED(F10,2)&amp;"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04, колонка H)","ок")))))))))))))</f>
        <v/>
      </c>
    </row>
    <row r="11">
      <c r="A11" s="5" t="n">
        <v>7</v>
      </c>
      <c r="B11" s="6" t="n"/>
      <c r="C11" s="6" t="n"/>
      <c r="D11" s="7" t="n"/>
      <c r="E11" s="8" t="n"/>
      <c r="F11" s="7" t="n"/>
      <c r="G11" s="9">
        <f>IF(OR(B11="",NOT(ISNUMBER(D11))),"",D11-SUMIF(Оплаты!$D$6:$D$505,B11,Оплаты!$B$6:$B$505))</f>
        <v/>
      </c>
      <c r="H11" s="5">
        <f>IF(AND(B11="",C11="",D11="",E11="",F11=""),"",IF(B11="","БЛОК: нужен идентификатор акта — по нему распределяются оплаты",IF(COUNTIF($B$5:$B$16,B11)&gt;1,"БЛОК: идентификатор акта повторяется — оплату нельзя отнести однозначно",IF(OR(NOT(ISNUMBER(D11)),D11&lt;=0),"БЛОК: нужна сумма основного долга на первый день просрочки, больше нуля (файл 04, лист «Долг по актам», колонка H)",IF(NOT(ISNUMBER(E11)),"БЛОК: нужен первый день просрочки по этому акту",IF(NOT(ISNUMBER(Ввод!$B$4)),"БЛОК: на листе «Ввод» не введён последний день расчёта",IF(E11&gt;Ввод!$B$4,"БЛОК: первый день просрочки позже последнего дня расчёта",IF(Ввод!$B$4-E11+1&gt;3999,"БЛОК: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ставка",IF(MIN(Ввод!$D$12:$D$71)&gt;E11,"БЛОК: нет ставки, действовавшей в первый день просрочки по этому акту",IF(N(G11)&lt;0,"БЛОК: оплаты по этому акту больше долга на первый день просрочки",IF(NOT(ISNUMBER(F11)),"БЛОК: нужна сверочная сумма по этому акту из файла 04 (лист «Долг по актам», колонка J)",IF(ROUND(N(G11)-F11,2)&lt;&gt;0,"БЛОК: сверка не сходится. Долг на первый день просрочки минус оплаты по этому акту = "&amp;FIXED(N(G11),2)&amp;" руб., а по файлу 04 = "&amp;FIXED(F11,2)&amp;"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04, колонка H)","ок")))))))))))))</f>
        <v/>
      </c>
    </row>
    <row r="12">
      <c r="A12" s="5" t="n">
        <v>8</v>
      </c>
      <c r="B12" s="6" t="n"/>
      <c r="C12" s="6" t="n"/>
      <c r="D12" s="7" t="n"/>
      <c r="E12" s="8" t="n"/>
      <c r="F12" s="7" t="n"/>
      <c r="G12" s="9">
        <f>IF(OR(B12="",NOT(ISNUMBER(D12))),"",D12-SUMIF(Оплаты!$D$6:$D$505,B12,Оплаты!$B$6:$B$505))</f>
        <v/>
      </c>
      <c r="H12" s="5">
        <f>IF(AND(B12="",C12="",D12="",E12="",F12=""),"",IF(B12="","БЛОК: нужен идентификатор акта — по нему распределяются оплаты",IF(COUNTIF($B$5:$B$16,B12)&gt;1,"БЛОК: идентификатор акта повторяется — оплату нельзя отнести однозначно",IF(OR(NOT(ISNUMBER(D12)),D12&lt;=0),"БЛОК: нужна сумма основного долга на первый день просрочки, больше нуля (файл 04, лист «Долг по актам», колонка H)",IF(NOT(ISNUMBER(E12)),"БЛОК: нужен первый день просрочки по этому акту",IF(NOT(ISNUMBER(Ввод!$B$4)),"БЛОК: на листе «Ввод» не введён последний день расчёта",IF(E12&gt;Ввод!$B$4,"БЛОК: первый день просрочки позже последнего дня расчёта",IF(Ввод!$B$4-E12+1&gt;3999,"БЛОК: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ставка",IF(MIN(Ввод!$D$12:$D$71)&gt;E12,"БЛОК: нет ставки, действовавшей в первый день просрочки по этому акту",IF(N(G12)&lt;0,"БЛОК: оплаты по этому акту больше долга на первый день просрочки",IF(NOT(ISNUMBER(F12)),"БЛОК: нужна сверочная сумма по этому акту из файла 04 (лист «Долг по актам», колонка J)",IF(ROUND(N(G12)-F12,2)&lt;&gt;0,"БЛОК: сверка не сходится. Долг на первый день просрочки минус оплаты по этому акту = "&amp;FIXED(N(G12),2)&amp;" руб., а по файлу 04 = "&amp;FIXED(F12,2)&amp;"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04, колонка H)","ок")))))))))))))</f>
        <v/>
      </c>
    </row>
    <row r="13">
      <c r="A13" s="5" t="n">
        <v>9</v>
      </c>
      <c r="B13" s="6" t="n"/>
      <c r="C13" s="6" t="n"/>
      <c r="D13" s="7" t="n"/>
      <c r="E13" s="8" t="n"/>
      <c r="F13" s="7" t="n"/>
      <c r="G13" s="9">
        <f>IF(OR(B13="",NOT(ISNUMBER(D13))),"",D13-SUMIF(Оплаты!$D$6:$D$505,B13,Оплаты!$B$6:$B$505))</f>
        <v/>
      </c>
      <c r="H13" s="5">
        <f>IF(AND(B13="",C13="",D13="",E13="",F13=""),"",IF(B13="","БЛОК: нужен идентификатор акта — по нему распределяются оплаты",IF(COUNTIF($B$5:$B$16,B13)&gt;1,"БЛОК: идентификатор акта повторяется — оплату нельзя отнести однозначно",IF(OR(NOT(ISNUMBER(D13)),D13&lt;=0),"БЛОК: нужна сумма основного долга на первый день просрочки, больше нуля (файл 04, лист «Долг по актам», колонка H)",IF(NOT(ISNUMBER(E13)),"БЛОК: нужен первый день просрочки по этому акту",IF(NOT(ISNUMBER(Ввод!$B$4)),"БЛОК: на листе «Ввод» не введён последний день расчёта",IF(E13&gt;Ввод!$B$4,"БЛОК: первый день просрочки позже последнего дня расчёта",IF(Ввод!$B$4-E13+1&gt;3999,"БЛОК: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ставка",IF(MIN(Ввод!$D$12:$D$71)&gt;E13,"БЛОК: нет ставки, действовавшей в первый день просрочки по этому акту",IF(N(G13)&lt;0,"БЛОК: оплаты по этому акту больше долга на первый день просрочки",IF(NOT(ISNUMBER(F13)),"БЛОК: нужна сверочная сумма по этому акту из файла 04 (лист «Долг по актам», колонка J)",IF(ROUND(N(G13)-F13,2)&lt;&gt;0,"БЛОК: сверка не сходится. Долг на первый день просрочки минус оплаты по этому акту = "&amp;FIXED(N(G13),2)&amp;" руб., а по файлу 04 = "&amp;FIXED(F13,2)&amp;"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04, колонка H)","ок")))))))))))))</f>
        <v/>
      </c>
    </row>
    <row r="14">
      <c r="A14" s="5" t="n">
        <v>10</v>
      </c>
      <c r="B14" s="6" t="n"/>
      <c r="C14" s="6" t="n"/>
      <c r="D14" s="7" t="n"/>
      <c r="E14" s="8" t="n"/>
      <c r="F14" s="7" t="n"/>
      <c r="G14" s="9">
        <f>IF(OR(B14="",NOT(ISNUMBER(D14))),"",D14-SUMIF(Оплаты!$D$6:$D$505,B14,Оплаты!$B$6:$B$505))</f>
        <v/>
      </c>
      <c r="H14" s="5">
        <f>IF(AND(B14="",C14="",D14="",E14="",F14=""),"",IF(B14="","БЛОК: нужен идентификатор акта — по нему распределяются оплаты",IF(COUNTIF($B$5:$B$16,B14)&gt;1,"БЛОК: идентификатор акта повторяется — оплату нельзя отнести однозначно",IF(OR(NOT(ISNUMBER(D14)),D14&lt;=0),"БЛОК: нужна сумма основного долга на первый день просрочки, больше нуля (файл 04, лист «Долг по актам», колонка H)",IF(NOT(ISNUMBER(E14)),"БЛОК: нужен первый день просрочки по этому акту",IF(NOT(ISNUMBER(Ввод!$B$4)),"БЛОК: на листе «Ввод» не введён последний день расчёта",IF(E14&gt;Ввод!$B$4,"БЛОК: первый день просрочки позже последнего дня расчёта",IF(Ввод!$B$4-E14+1&gt;3999,"БЛОК: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ставка",IF(MIN(Ввод!$D$12:$D$71)&gt;E14,"БЛОК: нет ставки, действовавшей в первый день просрочки по этому акту",IF(N(G14)&lt;0,"БЛОК: оплаты по этому акту больше долга на первый день просрочки",IF(NOT(ISNUMBER(F14)),"БЛОК: нужна сверочная сумма по этому акту из файла 04 (лист «Долг по актам», колонка J)",IF(ROUND(N(G14)-F14,2)&lt;&gt;0,"БЛОК: сверка не сходится. Долг на первый день просрочки минус оплаты по этому акту = "&amp;FIXED(N(G14),2)&amp;" руб., а по файлу 04 = "&amp;FIXED(F14,2)&amp;"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04, колонка H)","ок")))))))))))))</f>
        <v/>
      </c>
    </row>
    <row r="15">
      <c r="A15" s="5" t="n">
        <v>11</v>
      </c>
      <c r="B15" s="6" t="n"/>
      <c r="C15" s="6" t="n"/>
      <c r="D15" s="7" t="n"/>
      <c r="E15" s="8" t="n"/>
      <c r="F15" s="7" t="n"/>
      <c r="G15" s="9">
        <f>IF(OR(B15="",NOT(ISNUMBER(D15))),"",D15-SUMIF(Оплаты!$D$6:$D$505,B15,Оплаты!$B$6:$B$505))</f>
        <v/>
      </c>
      <c r="H15" s="5">
        <f>IF(AND(B15="",C15="",D15="",E15="",F15=""),"",IF(B15="","БЛОК: нужен идентификатор акта — по нему распределяются оплаты",IF(COUNTIF($B$5:$B$16,B15)&gt;1,"БЛОК: идентификатор акта повторяется — оплату нельзя отнести однозначно",IF(OR(NOT(ISNUMBER(D15)),D15&lt;=0),"БЛОК: нужна сумма основного долга на первый день просрочки, больше нуля (файл 04, лист «Долг по актам», колонка H)",IF(NOT(ISNUMBER(E15)),"БЛОК: нужен первый день просрочки по этому акту",IF(NOT(ISNUMBER(Ввод!$B$4)),"БЛОК: на листе «Ввод» не введён последний день расчёта",IF(E15&gt;Ввод!$B$4,"БЛОК: первый день просрочки позже последнего дня расчёта",IF(Ввод!$B$4-E15+1&gt;3999,"БЛОК: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ставка",IF(MIN(Ввод!$D$12:$D$71)&gt;E15,"БЛОК: нет ставки, действовавшей в первый день просрочки по этому акту",IF(N(G15)&lt;0,"БЛОК: оплаты по этому акту больше долга на первый день просрочки",IF(NOT(ISNUMBER(F15)),"БЛОК: нужна сверочная сумма по этому акту из файла 04 (лист «Долг по актам», колонка J)",IF(ROUND(N(G15)-F15,2)&lt;&gt;0,"БЛОК: сверка не сходится. Долг на первый день просрочки минус оплаты по этому акту = "&amp;FIXED(N(G15),2)&amp;" руб., а по файлу 04 = "&amp;FIXED(F15,2)&amp;"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04, колонка H)","ок")))))))))))))</f>
        <v/>
      </c>
    </row>
    <row r="16">
      <c r="A16" s="5" t="n">
        <v>12</v>
      </c>
      <c r="B16" s="6" t="n"/>
      <c r="C16" s="6" t="n"/>
      <c r="D16" s="7" t="n"/>
      <c r="E16" s="8" t="n"/>
      <c r="F16" s="7" t="n"/>
      <c r="G16" s="9">
        <f>IF(OR(B16="",NOT(ISNUMBER(D16))),"",D16-SUMIF(Оплаты!$D$6:$D$505,B16,Оплаты!$B$6:$B$505))</f>
        <v/>
      </c>
      <c r="H16" s="5">
        <f>IF(AND(B16="",C16="",D16="",E16="",F16=""),"",IF(B16="","БЛОК: нужен идентификатор акта — по нему распределяются оплаты",IF(COUNTIF($B$5:$B$16,B16)&gt;1,"БЛОК: идентификатор акта повторяется — оплату нельзя отнести однозначно",IF(OR(NOT(ISNUMBER(D16)),D16&lt;=0),"БЛОК: нужна сумма основного долга на первый день просрочки, больше нуля (файл 04, лист «Долг по актам», колонка H)",IF(NOT(ISNUMBER(E16)),"БЛОК: нужен первый день просрочки по этому акту",IF(NOT(ISNUMBER(Ввод!$B$4)),"БЛОК: на листе «Ввод» не введён последний день расчёта",IF(E16&gt;Ввод!$B$4,"БЛОК: первый день просрочки позже последнего дня расчёта",IF(Ввод!$B$4-E16+1&gt;3999,"БЛОК: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ставка",IF(MIN(Ввод!$D$12:$D$71)&gt;E16,"БЛОК: нет ставки, действовавшей в первый день просрочки по этому акту",IF(N(G16)&lt;0,"БЛОК: оплаты по этому акту больше долга на первый день просрочки",IF(NOT(ISNUMBER(F16)),"БЛОК: нужна сверочная сумма по этому акту из файла 04 (лист «Долг по актам», колонка J)",IF(ROUND(N(G16)-F16,2)&lt;&gt;0,"БЛОК: сверка не сходится. Долг на первый день просрочки минус оплаты по этому акту = "&amp;FIXED(N(G16),2)&amp;" руб., а по файлу 04 = "&amp;FIXED(F16,2)&amp;"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04, колонка H)","ок")))))))))))))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8" customWidth="1" min="3" max="3"/>
    <col width="4" customWidth="1" min="4" max="4"/>
    <col width="4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Исходные данные</t>
        </is>
      </c>
    </row>
    <row r="4">
      <c r="A4" t="inlineStr">
        <is>
          <t>Последний день расчёта (включительно)</t>
        </is>
      </c>
      <c r="B4" s="10" t="n"/>
      <c r="C4" s="2" t="inlineStr">
        <is>
          <t>Дата претензии или иска. Общая для всех актов.</t>
        </is>
      </c>
    </row>
    <row r="6">
      <c r="A6" s="1" t="inlineStr">
        <is>
          <t>Суммы долга и даты начала просрочки — на листе «Акты»: у каждого акта они свои.</t>
        </is>
      </c>
    </row>
    <row r="8">
      <c r="A8" s="1" t="inlineStr">
        <is>
          <t>Ставка — в процентах годовых: 21 означает 21 %. Не вводите долю (0,21).</t>
        </is>
      </c>
    </row>
    <row r="10">
      <c r="F10" s="11" t="inlineStr">
        <is>
          <t>Периоды без начисления (если применимо)</t>
        </is>
      </c>
    </row>
    <row r="11">
      <c r="A11" s="4" t="inlineStr">
        <is>
          <t>Ставка действует с</t>
        </is>
      </c>
      <c r="B11" s="4" t="inlineStr">
        <is>
          <t>Ставка, % годовых</t>
        </is>
      </c>
      <c r="C11" s="4" t="inlineStr">
        <is>
          <t>Проверка</t>
        </is>
      </c>
      <c r="D11" t="inlineStr">
        <is>
          <t>служ.</t>
        </is>
      </c>
      <c r="F11" s="12" t="inlineStr">
        <is>
          <t>С</t>
        </is>
      </c>
      <c r="G11" s="12" t="inlineStr">
        <is>
          <t>По (включительно)</t>
        </is>
      </c>
      <c r="H11" s="12" t="inlineStr">
        <is>
          <t>Проверка</t>
        </is>
      </c>
    </row>
    <row r="12">
      <c r="A12" s="10" t="n"/>
      <c r="B12" s="13" t="n"/>
      <c r="C12" s="5">
        <f>IF(AND(A12="",B12=""),"",IF(OR(A12="",B12=""),"БЛОК: нужны и дата, и ставка",IF(OR(B12&lt;=0,B12&gt;100),"БЛОК: ставка вне 0–100",IF(B12&lt;1,"БЛОК: похоже на долю — введите проценты","ок"))))</f>
        <v/>
      </c>
      <c r="D12">
        <f>IF(A12="",2958465,A12)</f>
        <v/>
      </c>
      <c r="F12" s="10" t="n"/>
      <c r="G12" s="10" t="n"/>
      <c r="H12" s="5">
        <f>IF(AND(F12="",G12=""),"",IF(OR(F12="",G12=""),"БЛОК: нужны обе даты",IF(G12&lt;F12,"БЛОК: конец раньше начала","ок")))</f>
        <v/>
      </c>
    </row>
    <row r="13">
      <c r="A13" s="10" t="n"/>
      <c r="B13" s="13" t="n"/>
      <c r="C13" s="5">
        <f>IF(AND(A13="",B13=""),"",IF(OR(A13="",B13=""),"БЛОК: нужны и дата, и ставка",IF(OR(B13&lt;=0,B13&gt;100),"БЛОК: ставка вне 0–100",IF(B13&lt;1,"БЛОК: похоже на долю — введите проценты",IF(OR(A12="",A13&lt;=A12),"БЛОК: даты по возрастанию, без пустых строк","ок")))))</f>
        <v/>
      </c>
      <c r="D13">
        <f>IF(A13="",2958465,A13)</f>
        <v/>
      </c>
      <c r="F13" s="10" t="n"/>
      <c r="G13" s="10" t="n"/>
      <c r="H13" s="5">
        <f>IF(AND(F13="",G13=""),"",IF(OR(F13="",G13=""),"БЛОК: нужны обе даты",IF(G13&lt;F13,"БЛОК: конец раньше начала","ок")))</f>
        <v/>
      </c>
    </row>
    <row r="14">
      <c r="A14" s="10" t="n"/>
      <c r="B14" s="13" t="n"/>
      <c r="C14" s="5">
        <f>IF(AND(A14="",B14=""),"",IF(OR(A14="",B14=""),"БЛОК: нужны и дата, и ставка",IF(OR(B14&lt;=0,B14&gt;100),"БЛОК: ставка вне 0–100",IF(B14&lt;1,"БЛОК: похоже на долю — введите проценты",IF(OR(A13="",A14&lt;=A13),"БЛОК: даты по возрастанию, без пустых строк","ок")))))</f>
        <v/>
      </c>
      <c r="D14">
        <f>IF(A14="",2958465,A14)</f>
        <v/>
      </c>
      <c r="F14" s="10" t="n"/>
      <c r="G14" s="10" t="n"/>
      <c r="H14" s="5">
        <f>IF(AND(F14="",G14=""),"",IF(OR(F14="",G14=""),"БЛОК: нужны обе даты",IF(G14&lt;F14,"БЛОК: конец раньше начала","ок")))</f>
        <v/>
      </c>
    </row>
    <row r="15">
      <c r="A15" s="10" t="n"/>
      <c r="B15" s="13" t="n"/>
      <c r="C15" s="5">
        <f>IF(AND(A15="",B15=""),"",IF(OR(A15="",B15=""),"БЛОК: нужны и дата, и ставка",IF(OR(B15&lt;=0,B15&gt;100),"БЛОК: ставка вне 0–100",IF(B15&lt;1,"БЛОК: похоже на долю — введите проценты",IF(OR(A14="",A15&lt;=A14),"БЛОК: даты по возрастанию, без пустых строк","ок")))))</f>
        <v/>
      </c>
      <c r="D15">
        <f>IF(A15="",2958465,A15)</f>
        <v/>
      </c>
      <c r="F15" s="10" t="n"/>
      <c r="G15" s="10" t="n"/>
      <c r="H15" s="5">
        <f>IF(AND(F15="",G15=""),"",IF(OR(F15="",G15=""),"БЛОК: нужны обе даты",IF(G15&lt;F15,"БЛОК: конец раньше начала","ок")))</f>
        <v/>
      </c>
    </row>
    <row r="16">
      <c r="A16" s="10" t="n"/>
      <c r="B16" s="13" t="n"/>
      <c r="C16" s="5">
        <f>IF(AND(A16="",B16=""),"",IF(OR(A16="",B16=""),"БЛОК: нужны и дата, и ставка",IF(OR(B16&lt;=0,B16&gt;100),"БЛОК: ставка вне 0–100",IF(B16&lt;1,"БЛОК: похоже на долю — введите проценты",IF(OR(A15="",A16&lt;=A15),"БЛОК: даты по возрастанию, без пустых строк","ок")))))</f>
        <v/>
      </c>
      <c r="D16">
        <f>IF(A16="",2958465,A16)</f>
        <v/>
      </c>
      <c r="F16" s="10" t="n"/>
      <c r="G16" s="10" t="n"/>
      <c r="H16" s="5">
        <f>IF(AND(F16="",G16=""),"",IF(OR(F16="",G16=""),"БЛОК: нужны обе даты",IF(G16&lt;F16,"БЛОК: конец раньше начала","ок")))</f>
        <v/>
      </c>
    </row>
    <row r="17">
      <c r="A17" s="10" t="n"/>
      <c r="B17" s="13" t="n"/>
      <c r="C17" s="5">
        <f>IF(AND(A17="",B17=""),"",IF(OR(A17="",B17=""),"БЛОК: нужны и дата, и ставка",IF(OR(B17&lt;=0,B17&gt;100),"БЛОК: ставка вне 0–100",IF(B17&lt;1,"БЛОК: похоже на долю — введите проценты",IF(OR(A16="",A17&lt;=A16),"БЛОК: даты по возрастанию, без пустых строк","ок")))))</f>
        <v/>
      </c>
      <c r="D17">
        <f>IF(A17="",2958465,A17)</f>
        <v/>
      </c>
      <c r="F17" s="10" t="n"/>
      <c r="G17" s="10" t="n"/>
      <c r="H17" s="5">
        <f>IF(AND(F17="",G17=""),"",IF(OR(F17="",G17=""),"БЛОК: нужны обе даты",IF(G17&lt;F17,"БЛОК: конец раньше начала","ок")))</f>
        <v/>
      </c>
    </row>
    <row r="18">
      <c r="A18" s="10" t="n"/>
      <c r="B18" s="13" t="n"/>
      <c r="C18" s="5">
        <f>IF(AND(A18="",B18=""),"",IF(OR(A18="",B18=""),"БЛОК: нужны и дата, и ставка",IF(OR(B18&lt;=0,B18&gt;100),"БЛОК: ставка вне 0–100",IF(B18&lt;1,"БЛОК: похоже на долю — введите проценты",IF(OR(A17="",A18&lt;=A17),"БЛОК: даты по возрастанию, без пустых строк","ок")))))</f>
        <v/>
      </c>
      <c r="D18">
        <f>IF(A18="",2958465,A18)</f>
        <v/>
      </c>
      <c r="F18" s="10" t="n"/>
      <c r="G18" s="10" t="n"/>
      <c r="H18" s="5">
        <f>IF(AND(F18="",G18=""),"",IF(OR(F18="",G18=""),"БЛОК: нужны обе даты",IF(G18&lt;F18,"БЛОК: конец раньше начала","ок")))</f>
        <v/>
      </c>
    </row>
    <row r="19">
      <c r="A19" s="10" t="n"/>
      <c r="B19" s="13" t="n"/>
      <c r="C19" s="5">
        <f>IF(AND(A19="",B19=""),"",IF(OR(A19="",B19=""),"БЛОК: нужны и дата, и ставка",IF(OR(B19&lt;=0,B19&gt;100),"БЛОК: ставка вне 0–100",IF(B19&lt;1,"БЛОК: похоже на долю — введите проценты",IF(OR(A18="",A19&lt;=A18),"БЛОК: даты по возрастанию, без пустых строк","ок")))))</f>
        <v/>
      </c>
      <c r="D19">
        <f>IF(A19="",2958465,A19)</f>
        <v/>
      </c>
      <c r="F19" s="10" t="n"/>
      <c r="G19" s="10" t="n"/>
      <c r="H19" s="5">
        <f>IF(AND(F19="",G19=""),"",IF(OR(F19="",G19=""),"БЛОК: нужны обе даты",IF(G19&lt;F19,"БЛОК: конец раньше начала","ок")))</f>
        <v/>
      </c>
    </row>
    <row r="20">
      <c r="A20" s="10" t="n"/>
      <c r="B20" s="13" t="n"/>
      <c r="C20" s="5">
        <f>IF(AND(A20="",B20=""),"",IF(OR(A20="",B20=""),"БЛОК: нужны и дата, и ставка",IF(OR(B20&lt;=0,B20&gt;100),"БЛОК: ставка вне 0–100",IF(B20&lt;1,"БЛОК: похоже на долю — введите проценты",IF(OR(A19="",A20&lt;=A19),"БЛОК: даты по возрастанию, без пустых строк","ок")))))</f>
        <v/>
      </c>
      <c r="D20">
        <f>IF(A20="",2958465,A20)</f>
        <v/>
      </c>
      <c r="F20" s="10" t="n"/>
      <c r="G20" s="10" t="n"/>
      <c r="H20" s="5">
        <f>IF(AND(F20="",G20=""),"",IF(OR(F20="",G20=""),"БЛОК: нужны обе даты",IF(G20&lt;F20,"БЛОК: конец раньше начала","ок")))</f>
        <v/>
      </c>
    </row>
    <row r="21">
      <c r="A21" s="10" t="n"/>
      <c r="B21" s="13" t="n"/>
      <c r="C21" s="5">
        <f>IF(AND(A21="",B21=""),"",IF(OR(A21="",B21=""),"БЛОК: нужны и дата, и ставка",IF(OR(B21&lt;=0,B21&gt;100),"БЛОК: ставка вне 0–100",IF(B21&lt;1,"БЛОК: похоже на долю — введите проценты",IF(OR(A20="",A21&lt;=A20),"БЛОК: даты по возрастанию, без пустых строк","ок")))))</f>
        <v/>
      </c>
      <c r="D21">
        <f>IF(A21="",2958465,A21)</f>
        <v/>
      </c>
      <c r="F21" s="10" t="n"/>
      <c r="G21" s="10" t="n"/>
      <c r="H21" s="5">
        <f>IF(AND(F21="",G21=""),"",IF(OR(F21="",G21=""),"БЛОК: нужны обе даты",IF(G21&lt;F21,"БЛОК: конец раньше начала","ок")))</f>
        <v/>
      </c>
    </row>
    <row r="22">
      <c r="A22" s="10" t="n"/>
      <c r="B22" s="13" t="n"/>
      <c r="C22" s="5">
        <f>IF(AND(A22="",B22=""),"",IF(OR(A22="",B22=""),"БЛОК: нужны и дата, и ставка",IF(OR(B22&lt;=0,B22&gt;100),"БЛОК: ставка вне 0–100",IF(B22&lt;1,"БЛОК: похоже на долю — введите проценты",IF(OR(A21="",A22&lt;=A21),"БЛОК: даты по возрастанию, без пустых строк","ок")))))</f>
        <v/>
      </c>
      <c r="D22">
        <f>IF(A22="",2958465,A22)</f>
        <v/>
      </c>
      <c r="F22" s="10" t="n"/>
      <c r="G22" s="10" t="n"/>
      <c r="H22" s="5">
        <f>IF(AND(F22="",G22=""),"",IF(OR(F22="",G22=""),"БЛОК: нужны обе даты",IF(G22&lt;F22,"БЛОК: конец раньше начала","ок")))</f>
        <v/>
      </c>
    </row>
    <row r="23">
      <c r="A23" s="10" t="n"/>
      <c r="B23" s="13" t="n"/>
      <c r="C23" s="5">
        <f>IF(AND(A23="",B23=""),"",IF(OR(A23="",B23=""),"БЛОК: нужны и дата, и ставка",IF(OR(B23&lt;=0,B23&gt;100),"БЛОК: ставка вне 0–100",IF(B23&lt;1,"БЛОК: похоже на долю — введите проценты",IF(OR(A22="",A23&lt;=A22),"БЛОК: даты по возрастанию, без пустых строк","ок")))))</f>
        <v/>
      </c>
      <c r="D23">
        <f>IF(A23="",2958465,A23)</f>
        <v/>
      </c>
      <c r="F23" s="10" t="n"/>
      <c r="G23" s="10" t="n"/>
      <c r="H23" s="5">
        <f>IF(AND(F23="",G23=""),"",IF(OR(F23="",G23=""),"БЛОК: нужны обе даты",IF(G23&lt;F23,"БЛОК: конец раньше начала","ок")))</f>
        <v/>
      </c>
    </row>
    <row r="24">
      <c r="A24" s="10" t="n"/>
      <c r="B24" s="13" t="n"/>
      <c r="C24" s="5">
        <f>IF(AND(A24="",B24=""),"",IF(OR(A24="",B24=""),"БЛОК: нужны и дата, и ставка",IF(OR(B24&lt;=0,B24&gt;100),"БЛОК: ставка вне 0–100",IF(B24&lt;1,"БЛОК: похоже на долю — введите проценты",IF(OR(A23="",A24&lt;=A23),"БЛОК: даты по возрастанию, без пустых строк","ок")))))</f>
        <v/>
      </c>
      <c r="D24">
        <f>IF(A24="",2958465,A24)</f>
        <v/>
      </c>
      <c r="F24" s="10" t="n"/>
      <c r="G24" s="10" t="n"/>
      <c r="H24" s="5">
        <f>IF(AND(F24="",G24=""),"",IF(OR(F24="",G24=""),"БЛОК: нужны обе даты",IF(G24&lt;F24,"БЛОК: конец раньше начала","ок")))</f>
        <v/>
      </c>
    </row>
    <row r="25">
      <c r="A25" s="10" t="n"/>
      <c r="B25" s="13" t="n"/>
      <c r="C25" s="5">
        <f>IF(AND(A25="",B25=""),"",IF(OR(A25="",B25=""),"БЛОК: нужны и дата, и ставка",IF(OR(B25&lt;=0,B25&gt;100),"БЛОК: ставка вне 0–100",IF(B25&lt;1,"БЛОК: похоже на долю — введите проценты",IF(OR(A24="",A25&lt;=A24),"БЛОК: даты по возрастанию, без пустых строк","ок")))))</f>
        <v/>
      </c>
      <c r="D25">
        <f>IF(A25="",2958465,A25)</f>
        <v/>
      </c>
      <c r="F25" s="10" t="n"/>
      <c r="G25" s="10" t="n"/>
      <c r="H25" s="5">
        <f>IF(AND(F25="",G25=""),"",IF(OR(F25="",G25=""),"БЛОК: нужны обе даты",IF(G25&lt;F25,"БЛОК: конец раньше начала","ок")))</f>
        <v/>
      </c>
    </row>
    <row r="26">
      <c r="A26" s="10" t="n"/>
      <c r="B26" s="13" t="n"/>
      <c r="C26" s="5">
        <f>IF(AND(A26="",B26=""),"",IF(OR(A26="",B26=""),"БЛОК: нужны и дата, и ставка",IF(OR(B26&lt;=0,B26&gt;100),"БЛОК: ставка вне 0–100",IF(B26&lt;1,"БЛОК: похоже на долю — введите проценты",IF(OR(A25="",A26&lt;=A25),"БЛОК: даты по возрастанию, без пустых строк","ок")))))</f>
        <v/>
      </c>
      <c r="D26">
        <f>IF(A26="",2958465,A26)</f>
        <v/>
      </c>
      <c r="F26" s="10" t="n"/>
      <c r="G26" s="10" t="n"/>
      <c r="H26" s="5">
        <f>IF(AND(F26="",G26=""),"",IF(OR(F26="",G26=""),"БЛОК: нужны обе даты",IF(G26&lt;F26,"БЛОК: конец раньше начала","ок")))</f>
        <v/>
      </c>
    </row>
    <row r="27">
      <c r="A27" s="10" t="n"/>
      <c r="B27" s="13" t="n"/>
      <c r="C27" s="5">
        <f>IF(AND(A27="",B27=""),"",IF(OR(A27="",B27=""),"БЛОК: нужны и дата, и ставка",IF(OR(B27&lt;=0,B27&gt;100),"БЛОК: ставка вне 0–100",IF(B27&lt;1,"БЛОК: похоже на долю — введите проценты",IF(OR(A26="",A27&lt;=A26),"БЛОК: даты по возрастанию, без пустых строк","ок")))))</f>
        <v/>
      </c>
      <c r="D27">
        <f>IF(A27="",2958465,A27)</f>
        <v/>
      </c>
      <c r="F27" s="10" t="n"/>
      <c r="G27" s="10" t="n"/>
      <c r="H27" s="5">
        <f>IF(AND(F27="",G27=""),"",IF(OR(F27="",G27=""),"БЛОК: нужны обе даты",IF(G27&lt;F27,"БЛОК: конец раньше начала","ок")))</f>
        <v/>
      </c>
    </row>
    <row r="28">
      <c r="A28" s="10" t="n"/>
      <c r="B28" s="13" t="n"/>
      <c r="C28" s="5">
        <f>IF(AND(A28="",B28=""),"",IF(OR(A28="",B28=""),"БЛОК: нужны и дата, и ставка",IF(OR(B28&lt;=0,B28&gt;100),"БЛОК: ставка вне 0–100",IF(B28&lt;1,"БЛОК: похоже на долю — введите проценты",IF(OR(A27="",A28&lt;=A27),"БЛОК: даты по возрастанию, без пустых строк","ок")))))</f>
        <v/>
      </c>
      <c r="D28">
        <f>IF(A28="",2958465,A28)</f>
        <v/>
      </c>
      <c r="F28" s="10" t="n"/>
      <c r="G28" s="10" t="n"/>
      <c r="H28" s="5">
        <f>IF(AND(F28="",G28=""),"",IF(OR(F28="",G28=""),"БЛОК: нужны обе даты",IF(G28&lt;F28,"БЛОК: конец раньше начала","ок")))</f>
        <v/>
      </c>
    </row>
    <row r="29">
      <c r="A29" s="10" t="n"/>
      <c r="B29" s="13" t="n"/>
      <c r="C29" s="5">
        <f>IF(AND(A29="",B29=""),"",IF(OR(A29="",B29=""),"БЛОК: нужны и дата, и ставка",IF(OR(B29&lt;=0,B29&gt;100),"БЛОК: ставка вне 0–100",IF(B29&lt;1,"БЛОК: похоже на долю — введите проценты",IF(OR(A28="",A29&lt;=A28),"БЛОК: даты по возрастанию, без пустых строк","ок")))))</f>
        <v/>
      </c>
      <c r="D29">
        <f>IF(A29="",2958465,A29)</f>
        <v/>
      </c>
      <c r="F29" s="10" t="n"/>
      <c r="G29" s="10" t="n"/>
      <c r="H29" s="5">
        <f>IF(AND(F29="",G29=""),"",IF(OR(F29="",G29=""),"БЛОК: нужны обе даты",IF(G29&lt;F29,"БЛОК: конец раньше начала","ок")))</f>
        <v/>
      </c>
    </row>
    <row r="30">
      <c r="A30" s="10" t="n"/>
      <c r="B30" s="13" t="n"/>
      <c r="C30" s="5">
        <f>IF(AND(A30="",B30=""),"",IF(OR(A30="",B30=""),"БЛОК: нужны и дата, и ставка",IF(OR(B30&lt;=0,B30&gt;100),"БЛОК: ставка вне 0–100",IF(B30&lt;1,"БЛОК: похоже на долю — введите проценты",IF(OR(A29="",A30&lt;=A29),"БЛОК: даты по возрастанию, без пустых строк","ок")))))</f>
        <v/>
      </c>
      <c r="D30">
        <f>IF(A30="",2958465,A30)</f>
        <v/>
      </c>
      <c r="F30" s="10" t="n"/>
      <c r="G30" s="10" t="n"/>
      <c r="H30" s="5">
        <f>IF(AND(F30="",G30=""),"",IF(OR(F30="",G30=""),"БЛОК: нужны обе даты",IF(G30&lt;F30,"БЛОК: конец раньше начала","ок")))</f>
        <v/>
      </c>
    </row>
    <row r="31">
      <c r="A31" s="10" t="n"/>
      <c r="B31" s="13" t="n"/>
      <c r="C31" s="5">
        <f>IF(AND(A31="",B31=""),"",IF(OR(A31="",B31=""),"БЛОК: нужны и дата, и ставка",IF(OR(B31&lt;=0,B31&gt;100),"БЛОК: ставка вне 0–100",IF(B31&lt;1,"БЛОК: похоже на долю — введите проценты",IF(OR(A30="",A31&lt;=A30),"БЛОК: даты по возрастанию, без пустых строк","ок")))))</f>
        <v/>
      </c>
      <c r="D31">
        <f>IF(A31="",2958465,A31)</f>
        <v/>
      </c>
      <c r="F31" s="10" t="n"/>
      <c r="G31" s="10" t="n"/>
      <c r="H31" s="5">
        <f>IF(AND(F31="",G31=""),"",IF(OR(F31="",G31=""),"БЛОК: нужны обе даты",IF(G31&lt;F31,"БЛОК: конец раньше начала","ок")))</f>
        <v/>
      </c>
    </row>
    <row r="32">
      <c r="A32" s="10" t="n"/>
      <c r="B32" s="13" t="n"/>
      <c r="C32" s="5">
        <f>IF(AND(A32="",B32=""),"",IF(OR(A32="",B32=""),"БЛОК: нужны и дата, и ставка",IF(OR(B32&lt;=0,B32&gt;100),"БЛОК: ставка вне 0–100",IF(B32&lt;1,"БЛОК: похоже на долю — введите проценты",IF(OR(A31="",A32&lt;=A31),"БЛОК: даты по возрастанию, без пустых строк","ок")))))</f>
        <v/>
      </c>
      <c r="D32">
        <f>IF(A32="",2958465,A32)</f>
        <v/>
      </c>
    </row>
    <row r="33">
      <c r="A33" s="10" t="n"/>
      <c r="B33" s="13" t="n"/>
      <c r="C33" s="5">
        <f>IF(AND(A33="",B33=""),"",IF(OR(A33="",B33=""),"БЛОК: нужны и дата, и ставка",IF(OR(B33&lt;=0,B33&gt;100),"БЛОК: ставка вне 0–100",IF(B33&lt;1,"БЛОК: похоже на долю — введите проценты",IF(OR(A32="",A33&lt;=A32),"БЛОК: даты по возрастанию, без пустых строк","ок")))))</f>
        <v/>
      </c>
      <c r="D33">
        <f>IF(A33="",2958465,A33)</f>
        <v/>
      </c>
    </row>
    <row r="34">
      <c r="A34" s="10" t="n"/>
      <c r="B34" s="13" t="n"/>
      <c r="C34" s="5">
        <f>IF(AND(A34="",B34=""),"",IF(OR(A34="",B34=""),"БЛОК: нужны и дата, и ставка",IF(OR(B34&lt;=0,B34&gt;100),"БЛОК: ставка вне 0–100",IF(B34&lt;1,"БЛОК: похоже на долю — введите проценты",IF(OR(A33="",A34&lt;=A33),"БЛОК: даты по возрастанию, без пустых строк","ок")))))</f>
        <v/>
      </c>
      <c r="D34">
        <f>IF(A34="",2958465,A34)</f>
        <v/>
      </c>
    </row>
    <row r="35">
      <c r="A35" s="10" t="n"/>
      <c r="B35" s="13" t="n"/>
      <c r="C35" s="5">
        <f>IF(AND(A35="",B35=""),"",IF(OR(A35="",B35=""),"БЛОК: нужны и дата, и ставка",IF(OR(B35&lt;=0,B35&gt;100),"БЛОК: ставка вне 0–100",IF(B35&lt;1,"БЛОК: похоже на долю — введите проценты",IF(OR(A34="",A35&lt;=A34),"БЛОК: даты по возрастанию, без пустых строк","ок")))))</f>
        <v/>
      </c>
      <c r="D35">
        <f>IF(A35="",2958465,A35)</f>
        <v/>
      </c>
    </row>
    <row r="36">
      <c r="A36" s="10" t="n"/>
      <c r="B36" s="13" t="n"/>
      <c r="C36" s="5">
        <f>IF(AND(A36="",B36=""),"",IF(OR(A36="",B36=""),"БЛОК: нужны и дата, и ставка",IF(OR(B36&lt;=0,B36&gt;100),"БЛОК: ставка вне 0–100",IF(B36&lt;1,"БЛОК: похоже на долю — введите проценты",IF(OR(A35="",A36&lt;=A35),"БЛОК: даты по возрастанию, без пустых строк","ок")))))</f>
        <v/>
      </c>
      <c r="D36">
        <f>IF(A36="",2958465,A36)</f>
        <v/>
      </c>
    </row>
    <row r="37">
      <c r="A37" s="10" t="n"/>
      <c r="B37" s="13" t="n"/>
      <c r="C37" s="5">
        <f>IF(AND(A37="",B37=""),"",IF(OR(A37="",B37=""),"БЛОК: нужны и дата, и ставка",IF(OR(B37&lt;=0,B37&gt;100),"БЛОК: ставка вне 0–100",IF(B37&lt;1,"БЛОК: похоже на долю — введите проценты",IF(OR(A36="",A37&lt;=A36),"БЛОК: даты по возрастанию, без пустых строк","ок")))))</f>
        <v/>
      </c>
      <c r="D37">
        <f>IF(A37="",2958465,A37)</f>
        <v/>
      </c>
    </row>
    <row r="38">
      <c r="A38" s="10" t="n"/>
      <c r="B38" s="13" t="n"/>
      <c r="C38" s="5">
        <f>IF(AND(A38="",B38=""),"",IF(OR(A38="",B38=""),"БЛОК: нужны и дата, и ставка",IF(OR(B38&lt;=0,B38&gt;100),"БЛОК: ставка вне 0–100",IF(B38&lt;1,"БЛОК: похоже на долю — введите проценты",IF(OR(A37="",A38&lt;=A37),"БЛОК: даты по возрастанию, без пустых строк","ок")))))</f>
        <v/>
      </c>
      <c r="D38">
        <f>IF(A38="",2958465,A38)</f>
        <v/>
      </c>
    </row>
    <row r="39">
      <c r="A39" s="10" t="n"/>
      <c r="B39" s="13" t="n"/>
      <c r="C39" s="5">
        <f>IF(AND(A39="",B39=""),"",IF(OR(A39="",B39=""),"БЛОК: нужны и дата, и ставка",IF(OR(B39&lt;=0,B39&gt;100),"БЛОК: ставка вне 0–100",IF(B39&lt;1,"БЛОК: похоже на долю — введите проценты",IF(OR(A38="",A39&lt;=A38),"БЛОК: даты по возрастанию, без пустых строк","ок")))))</f>
        <v/>
      </c>
      <c r="D39">
        <f>IF(A39="",2958465,A39)</f>
        <v/>
      </c>
    </row>
    <row r="40">
      <c r="A40" s="10" t="n"/>
      <c r="B40" s="13" t="n"/>
      <c r="C40" s="5">
        <f>IF(AND(A40="",B40=""),"",IF(OR(A40="",B40=""),"БЛОК: нужны и дата, и ставка",IF(OR(B40&lt;=0,B40&gt;100),"БЛОК: ставка вне 0–100",IF(B40&lt;1,"БЛОК: похоже на долю — введите проценты",IF(OR(A39="",A40&lt;=A39),"БЛОК: даты по возрастанию, без пустых строк","ок")))))</f>
        <v/>
      </c>
      <c r="D40">
        <f>IF(A40="",2958465,A40)</f>
        <v/>
      </c>
    </row>
    <row r="41">
      <c r="A41" s="10" t="n"/>
      <c r="B41" s="13" t="n"/>
      <c r="C41" s="5">
        <f>IF(AND(A41="",B41=""),"",IF(OR(A41="",B41=""),"БЛОК: нужны и дата, и ставка",IF(OR(B41&lt;=0,B41&gt;100),"БЛОК: ставка вне 0–100",IF(B41&lt;1,"БЛОК: похоже на долю — введите проценты",IF(OR(A40="",A41&lt;=A40),"БЛОК: даты по возрастанию, без пустых строк","ок")))))</f>
        <v/>
      </c>
      <c r="D41">
        <f>IF(A41="",2958465,A41)</f>
        <v/>
      </c>
    </row>
    <row r="42">
      <c r="A42" s="10" t="n"/>
      <c r="B42" s="13" t="n"/>
      <c r="C42" s="5">
        <f>IF(AND(A42="",B42=""),"",IF(OR(A42="",B42=""),"БЛОК: нужны и дата, и ставка",IF(OR(B42&lt;=0,B42&gt;100),"БЛОК: ставка вне 0–100",IF(B42&lt;1,"БЛОК: похоже на долю — введите проценты",IF(OR(A41="",A42&lt;=A41),"БЛОК: даты по возрастанию, без пустых строк","ок")))))</f>
        <v/>
      </c>
      <c r="D42">
        <f>IF(A42="",2958465,A42)</f>
        <v/>
      </c>
    </row>
    <row r="43">
      <c r="A43" s="10" t="n"/>
      <c r="B43" s="13" t="n"/>
      <c r="C43" s="5">
        <f>IF(AND(A43="",B43=""),"",IF(OR(A43="",B43=""),"БЛОК: нужны и дата, и ставка",IF(OR(B43&lt;=0,B43&gt;100),"БЛОК: ставка вне 0–100",IF(B43&lt;1,"БЛОК: похоже на долю — введите проценты",IF(OR(A42="",A43&lt;=A42),"БЛОК: даты по возрастанию, без пустых строк","ок")))))</f>
        <v/>
      </c>
      <c r="D43">
        <f>IF(A43="",2958465,A43)</f>
        <v/>
      </c>
    </row>
    <row r="44">
      <c r="A44" s="10" t="n"/>
      <c r="B44" s="13" t="n"/>
      <c r="C44" s="5">
        <f>IF(AND(A44="",B44=""),"",IF(OR(A44="",B44=""),"БЛОК: нужны и дата, и ставка",IF(OR(B44&lt;=0,B44&gt;100),"БЛОК: ставка вне 0–100",IF(B44&lt;1,"БЛОК: похоже на долю — введите проценты",IF(OR(A43="",A44&lt;=A43),"БЛОК: даты по возрастанию, без пустых строк","ок")))))</f>
        <v/>
      </c>
      <c r="D44">
        <f>IF(A44="",2958465,A44)</f>
        <v/>
      </c>
    </row>
    <row r="45">
      <c r="A45" s="10" t="n"/>
      <c r="B45" s="13" t="n"/>
      <c r="C45" s="5">
        <f>IF(AND(A45="",B45=""),"",IF(OR(A45="",B45=""),"БЛОК: нужны и дата, и ставка",IF(OR(B45&lt;=0,B45&gt;100),"БЛОК: ставка вне 0–100",IF(B45&lt;1,"БЛОК: похоже на долю — введите проценты",IF(OR(A44="",A45&lt;=A44),"БЛОК: даты по возрастанию, без пустых строк","ок")))))</f>
        <v/>
      </c>
      <c r="D45">
        <f>IF(A45="",2958465,A45)</f>
        <v/>
      </c>
    </row>
    <row r="46">
      <c r="A46" s="10" t="n"/>
      <c r="B46" s="13" t="n"/>
      <c r="C46" s="5">
        <f>IF(AND(A46="",B46=""),"",IF(OR(A46="",B46=""),"БЛОК: нужны и дата, и ставка",IF(OR(B46&lt;=0,B46&gt;100),"БЛОК: ставка вне 0–100",IF(B46&lt;1,"БЛОК: похоже на долю — введите проценты",IF(OR(A45="",A46&lt;=A45),"БЛОК: даты по возрастанию, без пустых строк","ок")))))</f>
        <v/>
      </c>
      <c r="D46">
        <f>IF(A46="",2958465,A46)</f>
        <v/>
      </c>
    </row>
    <row r="47">
      <c r="A47" s="10" t="n"/>
      <c r="B47" s="13" t="n"/>
      <c r="C47" s="5">
        <f>IF(AND(A47="",B47=""),"",IF(OR(A47="",B47=""),"БЛОК: нужны и дата, и ставка",IF(OR(B47&lt;=0,B47&gt;100),"БЛОК: ставка вне 0–100",IF(B47&lt;1,"БЛОК: похоже на долю — введите проценты",IF(OR(A46="",A47&lt;=A46),"БЛОК: даты по возрастанию, без пустых строк","ок")))))</f>
        <v/>
      </c>
      <c r="D47">
        <f>IF(A47="",2958465,A47)</f>
        <v/>
      </c>
    </row>
    <row r="48">
      <c r="A48" s="10" t="n"/>
      <c r="B48" s="13" t="n"/>
      <c r="C48" s="5">
        <f>IF(AND(A48="",B48=""),"",IF(OR(A48="",B48=""),"БЛОК: нужны и дата, и ставка",IF(OR(B48&lt;=0,B48&gt;100),"БЛОК: ставка вне 0–100",IF(B48&lt;1,"БЛОК: похоже на долю — введите проценты",IF(OR(A47="",A48&lt;=A47),"БЛОК: даты по возрастанию, без пустых строк","ок")))))</f>
        <v/>
      </c>
      <c r="D48">
        <f>IF(A48="",2958465,A48)</f>
        <v/>
      </c>
    </row>
    <row r="49">
      <c r="A49" s="10" t="n"/>
      <c r="B49" s="13" t="n"/>
      <c r="C49" s="5">
        <f>IF(AND(A49="",B49=""),"",IF(OR(A49="",B49=""),"БЛОК: нужны и дата, и ставка",IF(OR(B49&lt;=0,B49&gt;100),"БЛОК: ставка вне 0–100",IF(B49&lt;1,"БЛОК: похоже на долю — введите проценты",IF(OR(A48="",A49&lt;=A48),"БЛОК: даты по возрастанию, без пустых строк","ок")))))</f>
        <v/>
      </c>
      <c r="D49">
        <f>IF(A49="",2958465,A49)</f>
        <v/>
      </c>
    </row>
    <row r="50">
      <c r="A50" s="10" t="n"/>
      <c r="B50" s="13" t="n"/>
      <c r="C50" s="5">
        <f>IF(AND(A50="",B50=""),"",IF(OR(A50="",B50=""),"БЛОК: нужны и дата, и ставка",IF(OR(B50&lt;=0,B50&gt;100),"БЛОК: ставка вне 0–100",IF(B50&lt;1,"БЛОК: похоже на долю — введите проценты",IF(OR(A49="",A50&lt;=A49),"БЛОК: даты по возрастанию, без пустых строк","ок")))))</f>
        <v/>
      </c>
      <c r="D50">
        <f>IF(A50="",2958465,A50)</f>
        <v/>
      </c>
    </row>
    <row r="51">
      <c r="A51" s="10" t="n"/>
      <c r="B51" s="13" t="n"/>
      <c r="C51" s="5">
        <f>IF(AND(A51="",B51=""),"",IF(OR(A51="",B51=""),"БЛОК: нужны и дата, и ставка",IF(OR(B51&lt;=0,B51&gt;100),"БЛОК: ставка вне 0–100",IF(B51&lt;1,"БЛОК: похоже на долю — введите проценты",IF(OR(A50="",A51&lt;=A50),"БЛОК: даты по возрастанию, без пустых строк","ок")))))</f>
        <v/>
      </c>
      <c r="D51">
        <f>IF(A51="",2958465,A51)</f>
        <v/>
      </c>
    </row>
    <row r="52">
      <c r="A52" s="10" t="n"/>
      <c r="B52" s="13" t="n"/>
      <c r="C52" s="5">
        <f>IF(AND(A52="",B52=""),"",IF(OR(A52="",B52=""),"БЛОК: нужны и дата, и ставка",IF(OR(B52&lt;=0,B52&gt;100),"БЛОК: ставка вне 0–100",IF(B52&lt;1,"БЛОК: похоже на долю — введите проценты",IF(OR(A51="",A52&lt;=A51),"БЛОК: даты по возрастанию, без пустых строк","ок")))))</f>
        <v/>
      </c>
      <c r="D52">
        <f>IF(A52="",2958465,A52)</f>
        <v/>
      </c>
    </row>
    <row r="53">
      <c r="A53" s="10" t="n"/>
      <c r="B53" s="13" t="n"/>
      <c r="C53" s="5">
        <f>IF(AND(A53="",B53=""),"",IF(OR(A53="",B53=""),"БЛОК: нужны и дата, и ставка",IF(OR(B53&lt;=0,B53&gt;100),"БЛОК: ставка вне 0–100",IF(B53&lt;1,"БЛОК: похоже на долю — введите проценты",IF(OR(A52="",A53&lt;=A52),"БЛОК: даты по возрастанию, без пустых строк","ок")))))</f>
        <v/>
      </c>
      <c r="D53">
        <f>IF(A53="",2958465,A53)</f>
        <v/>
      </c>
    </row>
    <row r="54">
      <c r="A54" s="10" t="n"/>
      <c r="B54" s="13" t="n"/>
      <c r="C54" s="5">
        <f>IF(AND(A54="",B54=""),"",IF(OR(A54="",B54=""),"БЛОК: нужны и дата, и ставка",IF(OR(B54&lt;=0,B54&gt;100),"БЛОК: ставка вне 0–100",IF(B54&lt;1,"БЛОК: похоже на долю — введите проценты",IF(OR(A53="",A54&lt;=A53),"БЛОК: даты по возрастанию, без пустых строк","ок")))))</f>
        <v/>
      </c>
      <c r="D54">
        <f>IF(A54="",2958465,A54)</f>
        <v/>
      </c>
    </row>
    <row r="55">
      <c r="A55" s="10" t="n"/>
      <c r="B55" s="13" t="n"/>
      <c r="C55" s="5">
        <f>IF(AND(A55="",B55=""),"",IF(OR(A55="",B55=""),"БЛОК: нужны и дата, и ставка",IF(OR(B55&lt;=0,B55&gt;100),"БЛОК: ставка вне 0–100",IF(B55&lt;1,"БЛОК: похоже на долю — введите проценты",IF(OR(A54="",A55&lt;=A54),"БЛОК: даты по возрастанию, без пустых строк","ок")))))</f>
        <v/>
      </c>
      <c r="D55">
        <f>IF(A55="",2958465,A55)</f>
        <v/>
      </c>
    </row>
    <row r="56">
      <c r="A56" s="10" t="n"/>
      <c r="B56" s="13" t="n"/>
      <c r="C56" s="5">
        <f>IF(AND(A56="",B56=""),"",IF(OR(A56="",B56=""),"БЛОК: нужны и дата, и ставка",IF(OR(B56&lt;=0,B56&gt;100),"БЛОК: ставка вне 0–100",IF(B56&lt;1,"БЛОК: похоже на долю — введите проценты",IF(OR(A55="",A56&lt;=A55),"БЛОК: даты по возрастанию, без пустых строк","ок")))))</f>
        <v/>
      </c>
      <c r="D56">
        <f>IF(A56="",2958465,A56)</f>
        <v/>
      </c>
    </row>
    <row r="57">
      <c r="A57" s="10" t="n"/>
      <c r="B57" s="13" t="n"/>
      <c r="C57" s="5">
        <f>IF(AND(A57="",B57=""),"",IF(OR(A57="",B57=""),"БЛОК: нужны и дата, и ставка",IF(OR(B57&lt;=0,B57&gt;100),"БЛОК: ставка вне 0–100",IF(B57&lt;1,"БЛОК: похоже на долю — введите проценты",IF(OR(A56="",A57&lt;=A56),"БЛОК: даты по возрастанию, без пустых строк","ок")))))</f>
        <v/>
      </c>
      <c r="D57">
        <f>IF(A57="",2958465,A57)</f>
        <v/>
      </c>
    </row>
    <row r="58">
      <c r="A58" s="10" t="n"/>
      <c r="B58" s="13" t="n"/>
      <c r="C58" s="5">
        <f>IF(AND(A58="",B58=""),"",IF(OR(A58="",B58=""),"БЛОК: нужны и дата, и ставка",IF(OR(B58&lt;=0,B58&gt;100),"БЛОК: ставка вне 0–100",IF(B58&lt;1,"БЛОК: похоже на долю — введите проценты",IF(OR(A57="",A58&lt;=A57),"БЛОК: даты по возрастанию, без пустых строк","ок")))))</f>
        <v/>
      </c>
      <c r="D58">
        <f>IF(A58="",2958465,A58)</f>
        <v/>
      </c>
    </row>
    <row r="59">
      <c r="A59" s="10" t="n"/>
      <c r="B59" s="13" t="n"/>
      <c r="C59" s="5">
        <f>IF(AND(A59="",B59=""),"",IF(OR(A59="",B59=""),"БЛОК: нужны и дата, и ставка",IF(OR(B59&lt;=0,B59&gt;100),"БЛОК: ставка вне 0–100",IF(B59&lt;1,"БЛОК: похоже на долю — введите проценты",IF(OR(A58="",A59&lt;=A58),"БЛОК: даты по возрастанию, без пустых строк","ок")))))</f>
        <v/>
      </c>
      <c r="D59">
        <f>IF(A59="",2958465,A59)</f>
        <v/>
      </c>
    </row>
    <row r="60">
      <c r="A60" s="10" t="n"/>
      <c r="B60" s="13" t="n"/>
      <c r="C60" s="5">
        <f>IF(AND(A60="",B60=""),"",IF(OR(A60="",B60=""),"БЛОК: нужны и дата, и ставка",IF(OR(B60&lt;=0,B60&gt;100),"БЛОК: ставка вне 0–100",IF(B60&lt;1,"БЛОК: похоже на долю — введите проценты",IF(OR(A59="",A60&lt;=A59),"БЛОК: даты по возрастанию, без пустых строк","ок")))))</f>
        <v/>
      </c>
      <c r="D60">
        <f>IF(A60="",2958465,A60)</f>
        <v/>
      </c>
    </row>
    <row r="61">
      <c r="A61" s="10" t="n"/>
      <c r="B61" s="13" t="n"/>
      <c r="C61" s="5">
        <f>IF(AND(A61="",B61=""),"",IF(OR(A61="",B61=""),"БЛОК: нужны и дата, и ставка",IF(OR(B61&lt;=0,B61&gt;100),"БЛОК: ставка вне 0–100",IF(B61&lt;1,"БЛОК: похоже на долю — введите проценты",IF(OR(A60="",A61&lt;=A60),"БЛОК: даты по возрастанию, без пустых строк","ок")))))</f>
        <v/>
      </c>
      <c r="D61">
        <f>IF(A61="",2958465,A61)</f>
        <v/>
      </c>
    </row>
    <row r="62">
      <c r="A62" s="10" t="n"/>
      <c r="B62" s="13" t="n"/>
      <c r="C62" s="5">
        <f>IF(AND(A62="",B62=""),"",IF(OR(A62="",B62=""),"БЛОК: нужны и дата, и ставка",IF(OR(B62&lt;=0,B62&gt;100),"БЛОК: ставка вне 0–100",IF(B62&lt;1,"БЛОК: похоже на долю — введите проценты",IF(OR(A61="",A62&lt;=A61),"БЛОК: даты по возрастанию, без пустых строк","ок")))))</f>
        <v/>
      </c>
      <c r="D62">
        <f>IF(A62="",2958465,A62)</f>
        <v/>
      </c>
    </row>
    <row r="63">
      <c r="A63" s="10" t="n"/>
      <c r="B63" s="13" t="n"/>
      <c r="C63" s="5">
        <f>IF(AND(A63="",B63=""),"",IF(OR(A63="",B63=""),"БЛОК: нужны и дата, и ставка",IF(OR(B63&lt;=0,B63&gt;100),"БЛОК: ставка вне 0–100",IF(B63&lt;1,"БЛОК: похоже на долю — введите проценты",IF(OR(A62="",A63&lt;=A62),"БЛОК: даты по возрастанию, без пустых строк","ок")))))</f>
        <v/>
      </c>
      <c r="D63">
        <f>IF(A63="",2958465,A63)</f>
        <v/>
      </c>
    </row>
    <row r="64">
      <c r="A64" s="10" t="n"/>
      <c r="B64" s="13" t="n"/>
      <c r="C64" s="5">
        <f>IF(AND(A64="",B64=""),"",IF(OR(A64="",B64=""),"БЛОК: нужны и дата, и ставка",IF(OR(B64&lt;=0,B64&gt;100),"БЛОК: ставка вне 0–100",IF(B64&lt;1,"БЛОК: похоже на долю — введите проценты",IF(OR(A63="",A64&lt;=A63),"БЛОК: даты по возрастанию, без пустых строк","ок")))))</f>
        <v/>
      </c>
      <c r="D64">
        <f>IF(A64="",2958465,A64)</f>
        <v/>
      </c>
    </row>
    <row r="65">
      <c r="A65" s="10" t="n"/>
      <c r="B65" s="13" t="n"/>
      <c r="C65" s="5">
        <f>IF(AND(A65="",B65=""),"",IF(OR(A65="",B65=""),"БЛОК: нужны и дата, и ставка",IF(OR(B65&lt;=0,B65&gt;100),"БЛОК: ставка вне 0–100",IF(B65&lt;1,"БЛОК: похоже на долю — введите проценты",IF(OR(A64="",A65&lt;=A64),"БЛОК: даты по возрастанию, без пустых строк","ок")))))</f>
        <v/>
      </c>
      <c r="D65">
        <f>IF(A65="",2958465,A65)</f>
        <v/>
      </c>
    </row>
    <row r="66">
      <c r="A66" s="10" t="n"/>
      <c r="B66" s="13" t="n"/>
      <c r="C66" s="5">
        <f>IF(AND(A66="",B66=""),"",IF(OR(A66="",B66=""),"БЛОК: нужны и дата, и ставка",IF(OR(B66&lt;=0,B66&gt;100),"БЛОК: ставка вне 0–100",IF(B66&lt;1,"БЛОК: похоже на долю — введите проценты",IF(OR(A65="",A66&lt;=A65),"БЛОК: даты по возрастанию, без пустых строк","ок")))))</f>
        <v/>
      </c>
      <c r="D66">
        <f>IF(A66="",2958465,A66)</f>
        <v/>
      </c>
    </row>
    <row r="67">
      <c r="A67" s="10" t="n"/>
      <c r="B67" s="13" t="n"/>
      <c r="C67" s="5">
        <f>IF(AND(A67="",B67=""),"",IF(OR(A67="",B67=""),"БЛОК: нужны и дата, и ставка",IF(OR(B67&lt;=0,B67&gt;100),"БЛОК: ставка вне 0–100",IF(B67&lt;1,"БЛОК: похоже на долю — введите проценты",IF(OR(A66="",A67&lt;=A66),"БЛОК: даты по возрастанию, без пустых строк","ок")))))</f>
        <v/>
      </c>
      <c r="D67">
        <f>IF(A67="",2958465,A67)</f>
        <v/>
      </c>
    </row>
    <row r="68">
      <c r="A68" s="10" t="n"/>
      <c r="B68" s="13" t="n"/>
      <c r="C68" s="5">
        <f>IF(AND(A68="",B68=""),"",IF(OR(A68="",B68=""),"БЛОК: нужны и дата, и ставка",IF(OR(B68&lt;=0,B68&gt;100),"БЛОК: ставка вне 0–100",IF(B68&lt;1,"БЛОК: похоже на долю — введите проценты",IF(OR(A67="",A68&lt;=A67),"БЛОК: даты по возрастанию, без пустых строк","ок")))))</f>
        <v/>
      </c>
      <c r="D68">
        <f>IF(A68="",2958465,A68)</f>
        <v/>
      </c>
    </row>
    <row r="69">
      <c r="A69" s="10" t="n"/>
      <c r="B69" s="13" t="n"/>
      <c r="C69" s="5">
        <f>IF(AND(A69="",B69=""),"",IF(OR(A69="",B69=""),"БЛОК: нужны и дата, и ставка",IF(OR(B69&lt;=0,B69&gt;100),"БЛОК: ставка вне 0–100",IF(B69&lt;1,"БЛОК: похоже на долю — введите проценты",IF(OR(A68="",A69&lt;=A68),"БЛОК: даты по возрастанию, без пустых строк","ок")))))</f>
        <v/>
      </c>
      <c r="D69">
        <f>IF(A69="",2958465,A69)</f>
        <v/>
      </c>
    </row>
    <row r="70">
      <c r="A70" s="10" t="n"/>
      <c r="B70" s="13" t="n"/>
      <c r="C70" s="5">
        <f>IF(AND(A70="",B70=""),"",IF(OR(A70="",B70=""),"БЛОК: нужны и дата, и ставка",IF(OR(B70&lt;=0,B70&gt;100),"БЛОК: ставка вне 0–100",IF(B70&lt;1,"БЛОК: похоже на долю — введите проценты",IF(OR(A69="",A70&lt;=A69),"БЛОК: даты по возрастанию, без пустых строк","ок")))))</f>
        <v/>
      </c>
      <c r="D70">
        <f>IF(A70="",2958465,A70)</f>
        <v/>
      </c>
    </row>
    <row r="71">
      <c r="A71" s="10" t="n"/>
      <c r="B71" s="13" t="n"/>
      <c r="C71" s="5">
        <f>IF(AND(A71="",B71=""),"",IF(OR(A71="",B71=""),"БЛОК: нужны и дата, и ставка",IF(OR(B71&lt;=0,B71&gt;100),"БЛОК: ставка вне 0–100",IF(B71&lt;1,"БЛОК: похоже на долю — введите проценты",IF(OR(A70="",A71&lt;=A70),"БЛОК: даты по возрастанию, без пустых строк","ок")))))</f>
        <v/>
      </c>
      <c r="D71">
        <f>IF(A71="",2958465,A71)</f>
        <v/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0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24" customWidth="1" min="4" max="4"/>
    <col width="74" customWidth="1" min="5" max="5"/>
  </cols>
  <sheetData>
    <row r="1">
      <c r="A1" s="1" t="inlineStr">
        <is>
          <t>Оплаты, поступившие в первый день просрочки или позже</t>
        </is>
      </c>
    </row>
    <row r="2">
      <c r="A2" s="2" t="inlineStr">
        <is>
          <t>Оплата, поступившая в день D, уменьшает долг по своему акту со следующего дня. Каждая оплата относится к одному акту с листа «Акты»: платёж без акта блокирует расчёт — распределите его документально. Оплаты, поступившие до первого дня просрочки по акту, сюда не вносятся: они уже вычтены в долге на первый день просрочки (файл 04, лист «Долг по актам»). Порядок строк любой. Вместимость — 500 оплат; строка ниже таблицы блокирует итог.</t>
        </is>
      </c>
    </row>
    <row r="3">
      <c r="A3" t="inlineStr">
        <is>
          <t>Сумма оплат</t>
        </is>
      </c>
      <c r="B3" s="14">
        <f>SUM(B6:B505)</f>
        <v/>
      </c>
    </row>
    <row r="5">
      <c r="A5" s="4" t="inlineStr">
        <is>
          <t>Дата оплаты</t>
        </is>
      </c>
      <c r="B5" s="4" t="inlineStr">
        <is>
          <t>Сумма, руб.</t>
        </is>
      </c>
      <c r="C5" s="4" t="inlineStr">
        <is>
          <t>Документ (п/п №, дата)</t>
        </is>
      </c>
      <c r="D5" s="4" t="inlineStr">
        <is>
          <t>Акт (идентификатор, как на листе «Акты»)</t>
        </is>
      </c>
      <c r="E5" s="4" t="inlineStr">
        <is>
          <t>Проверка</t>
        </is>
      </c>
    </row>
    <row r="6">
      <c r="A6" s="10" t="n"/>
      <c r="B6" s="15" t="n"/>
      <c r="C6" s="13" t="n"/>
      <c r="D6" s="13" t="n"/>
      <c r="E6" s="5">
        <f>IF(AND(A6="",B6="",C6="",D6=""),"",IF(OR(A6="",B6=""),"БЛОК: нужны и дата, и сумма",IF(B6&lt;=0,"БЛОК: сумма должна быть больше нуля",IF(D6="","БЛОК: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вас",IF(COUNTIF(Акты!$B$5:$B$16,D6)=0,"БЛОК: такого акта нет на листе «Акты» — добавьте акт или исправьте идентификатор",IF(NOT(ISNUMBER(INDEX(Акты!$E$5:$E$16,MATCH(D6,Акты!$B$5:$B$16,0)))),"БЛОК: у этого акта на листе «Акты» не указан первый день просрочки",IF(A6&lt;INDEX(Акты!$E$5:$E$16,MATCH(D6,Акты!$B$5:$B$16,0)),"БЛОК: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сюда",IF(A6&gt;Ввод!$B$4,"БЛОК: оплата после последнего дня расчёта — продлите расчёт или уберите строку","ок"))))))))</f>
        <v/>
      </c>
    </row>
    <row r="7">
      <c r="A7" s="10" t="n"/>
      <c r="B7" s="15" t="n"/>
      <c r="C7" s="13" t="n"/>
      <c r="D7" s="13" t="n"/>
      <c r="E7" s="5">
        <f>IF(AND(A7="",B7="",C7="",D7=""),"",IF(OR(A7="",B7=""),"БЛОК: нужны и дата, и сумма",IF(B7&lt;=0,"БЛОК: сумма должна быть больше нуля",IF(D7="","БЛОК: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вас",IF(COUNTIF(Акты!$B$5:$B$16,D7)=0,"БЛОК: такого акта нет на листе «Акты» — добавьте акт или исправьте идентификатор",IF(NOT(ISNUMBER(INDEX(Акты!$E$5:$E$16,MATCH(D7,Акты!$B$5:$B$16,0)))),"БЛОК: у этого акта на листе «Акты» не указан первый день просрочки",IF(A7&lt;INDEX(Акты!$E$5:$E$16,MATCH(D7,Акты!$B$5:$B$16,0)),"БЛОК: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сюда",IF(A7&gt;Ввод!$B$4,"БЛОК: оплата после последнего дня расчёта — продлите расчёт или уберите строку","ок"))))))))</f>
        <v/>
      </c>
    </row>
    <row r="8">
      <c r="A8" s="10" t="n"/>
      <c r="B8" s="15" t="n"/>
      <c r="C8" s="13" t="n"/>
      <c r="D8" s="13" t="n"/>
      <c r="E8" s="5">
        <f>IF(AND(A8="",B8="",C8="",D8=""),"",IF(OR(A8="",B8=""),"БЛОК: нужны и дата, и сумма",IF(B8&lt;=0,"БЛОК: сумма должна быть больше нуля",IF(D8="","БЛОК: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вас",IF(COUNTIF(Акты!$B$5:$B$16,D8)=0,"БЛОК: такого акта нет на листе «Акты» — добавьте акт или исправьте идентификатор",IF(NOT(ISNUMBER(INDEX(Акты!$E$5:$E$16,MATCH(D8,Акты!$B$5:$B$16,0)))),"БЛОК: у этого акта на листе «Акты» не указан первый день просрочки",IF(A8&lt;INDEX(Акты!$E$5:$E$16,MATCH(D8,Акты!$B$5:$B$16,0)),"БЛОК: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сюда",IF(A8&gt;Ввод!$B$4,"БЛОК: оплата после последнего дня расчёта — продлите расчёт или уберите строку","ок"))))))))</f>
        <v/>
      </c>
    </row>
    <row r="9">
      <c r="A9" s="10" t="n"/>
      <c r="B9" s="15" t="n"/>
      <c r="C9" s="13" t="n"/>
      <c r="D9" s="13" t="n"/>
      <c r="E9" s="5">
        <f>IF(AND(A9="",B9="",C9="",D9=""),"",IF(OR(A9="",B9=""),"БЛОК: нужны и дата, и сумма",IF(B9&lt;=0,"БЛОК: сумма должна быть больше нуля",IF(D9="","БЛОК: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вас",IF(COUNTIF(Акты!$B$5:$B$16,D9)=0,"БЛОК: такого акта нет на листе «Акты» — добавьте акт или исправьте идентификатор",IF(NOT(ISNUMBER(INDEX(Акты!$E$5:$E$16,MATCH(D9,Акты!$B$5:$B$16,0)))),"БЛОК: у этого акта на листе «Акты» не указан первый день просрочки",IF(A9&lt;INDEX(Акты!$E$5:$E$16,MATCH(D9,Акты!$B$5:$B$16,0)),"БЛОК: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сюда",IF(A9&gt;Ввод!$B$4,"БЛОК: оплата после последнего дня расчёта — продлите расчёт или уберите строку","ок"))))))))</f>
        <v/>
      </c>
    </row>
    <row r="10">
      <c r="A10" s="10" t="n"/>
      <c r="B10" s="15" t="n"/>
      <c r="C10" s="13" t="n"/>
      <c r="D10" s="13" t="n"/>
      <c r="E10" s="5">
        <f>IF(AND(A10="",B10="",C10="",D10=""),"",IF(OR(A10="",B10=""),"БЛОК: нужны и дата, и сумма",IF(B10&lt;=0,"БЛОК: сумма должна быть больше нуля",IF(D10="","БЛОК: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вас",IF(COUNTIF(Акты!$B$5:$B$16,D10)=0,"БЛОК: такого акта нет на листе «Акты» — добавьте акт или исправьте идентификатор",IF(NOT(ISNUMBER(INDEX(Акты!$E$5:$E$16,MATCH(D10,Акты!$B$5:$B$16,0)))),"БЛОК: у этого акта на листе «Акты» не указан первый день просрочки",IF(A10&lt;INDEX(Акты!$E$5:$E$16,MATCH(D10,Акты!$B$5:$B$16,0)),"БЛОК: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сюда",IF(A10&gt;Ввод!$B$4,"БЛОК: оплата после последнего дня расчёта — продлите расчёт или уберите строку","ок"))))))))</f>
        <v/>
      </c>
    </row>
    <row r="11">
      <c r="A11" s="10" t="n"/>
      <c r="B11" s="15" t="n"/>
      <c r="C11" s="13" t="n"/>
      <c r="D11" s="13" t="n"/>
      <c r="E11" s="5">
        <f>IF(AND(A11="",B11="",C11="",D11=""),"",IF(OR(A11="",B11=""),"БЛОК: нужны и дата, и сумма",IF(B11&lt;=0,"БЛОК: сумма должна быть больше нуля",IF(D11="","БЛОК: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вас",IF(COUNTIF(Акты!$B$5:$B$16,D11)=0,"БЛОК: такого акта нет на листе «Акты» — добавьте акт или исправьте идентификатор",IF(NOT(ISNUMBER(INDEX(Акты!$E$5:$E$16,MATCH(D11,Акты!$B$5:$B$16,0)))),"БЛОК: у этого акта на листе «Акты» не указан первый день просрочки",IF(A11&lt;INDEX(Акты!$E$5:$E$16,MATCH(D11,Акты!$B$5:$B$16,0)),"БЛОК: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сюда",IF(A11&gt;Ввод!$B$4,"БЛОК: оплата после последнего дня расчёта — продлите расчёт или уберите строку","ок"))))))))</f>
        <v/>
      </c>
    </row>
    <row r="12">
      <c r="A12" s="10" t="n"/>
      <c r="B12" s="15" t="n"/>
      <c r="C12" s="13" t="n"/>
      <c r="D12" s="13" t="n"/>
      <c r="E12" s="5">
        <f>IF(AND(A12="",B12="",C12="",D12=""),"",IF(OR(A12="",B12=""),"БЛОК: нужны и дата, и сумма",IF(B12&lt;=0,"БЛОК: сумма должна быть больше нуля",IF(D12="","БЛОК: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вас",IF(COUNTIF(Акты!$B$5:$B$16,D12)=0,"БЛОК: такого акта нет на листе «Акты» — добавьте акт или исправьте идентификатор",IF(NOT(ISNUMBER(INDEX(Акты!$E$5:$E$16,MATCH(D12,Акты!$B$5:$B$16,0)))),"БЛОК: у этого акта на листе «Акты» не указан первый день просрочки",IF(A12&lt;INDEX(Акты!$E$5:$E$16,MATCH(D12,Акты!$B$5:$B$16,0)),"БЛОК: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сюда",IF(A12&gt;Ввод!$B$4,"БЛОК: оплата после последнего дня расчёта — продлите расчёт или уберите строку","ок"))))))))</f>
        <v/>
      </c>
    </row>
    <row r="13">
      <c r="A13" s="10" t="n"/>
      <c r="B13" s="15" t="n"/>
      <c r="C13" s="13" t="n"/>
      <c r="D13" s="13" t="n"/>
      <c r="E13" s="5">
        <f>IF(AND(A13="",B13="",C13="",D13=""),"",IF(OR(A13="",B13=""),"БЛОК: нужны и дата, и сумма",IF(B13&lt;=0,"БЛОК: сумма должна быть больше нуля",IF(D13="","БЛОК: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вас",IF(COUNTIF(Акты!$B$5:$B$16,D13)=0,"БЛОК: такого акта нет на листе «Акты» — добавьте акт или исправьте идентификатор",IF(NOT(ISNUMBER(INDEX(Акты!$E$5:$E$16,MATCH(D13,Акты!$B$5:$B$16,0)))),"БЛОК: у этого акта на листе «Акты» не указан первый день просрочки",IF(A13&lt;INDEX(Акты!$E$5:$E$16,MATCH(D13,Акты!$B$5:$B$16,0)),"БЛОК: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сюда",IF(A13&gt;Ввод!$B$4,"БЛОК: оплата после последнего дня расчёта — продлите расчёт или уберите строку","ок"))))))))</f>
        <v/>
      </c>
    </row>
    <row r="14">
      <c r="A14" s="10" t="n"/>
      <c r="B14" s="15" t="n"/>
      <c r="C14" s="13" t="n"/>
      <c r="D14" s="13" t="n"/>
      <c r="E14" s="5">
        <f>IF(AND(A14="",B14="",C14="",D14=""),"",IF(OR(A14="",B14=""),"БЛОК: нужны и дата, и сумма",IF(B14&lt;=0,"БЛОК: сумма должна быть больше нуля",IF(D14="","БЛОК: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вас",IF(COUNTIF(Акты!$B$5:$B$16,D14)=0,"БЛОК: такого акта нет на листе «Акты» — добавьте акт или исправьте идентификатор",IF(NOT(ISNUMBER(INDEX(Акты!$E$5:$E$16,MATCH(D14,Акты!$B$5:$B$16,0)))),"БЛОК: у этого акта на листе «Акты» не указан первый день просрочки",IF(A14&lt;INDEX(Акты!$E$5:$E$16,MATCH(D14,Акты!$B$5:$B$16,0)),"БЛОК: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сюда",IF(A14&gt;Ввод!$B$4,"БЛОК: оплата после последнего дня расчёта — продлите расчёт или уберите строку","ок"))))))))</f>
        <v/>
      </c>
    </row>
    <row r="15">
      <c r="A15" s="10" t="n"/>
      <c r="B15" s="15" t="n"/>
      <c r="C15" s="13" t="n"/>
      <c r="D15" s="13" t="n"/>
      <c r="E15" s="5">
        <f>IF(AND(A15="",B15="",C15="",D15=""),"",IF(OR(A15="",B15=""),"БЛОК: нужны и дата, и сумма",IF(B15&lt;=0,"БЛОК: сумма должна быть больше нуля",IF(D15="","БЛОК: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вас",IF(COUNTIF(Акты!$B$5:$B$16,D15)=0,"БЛОК: такого акта нет на листе «Акты» — добавьте акт или исправьте идентификатор",IF(NOT(ISNUMBER(INDEX(Акты!$E$5:$E$16,MATCH(D15,Акты!$B$5:$B$16,0)))),"БЛОК: у этого акта на листе «Акты» не указан первый день просрочки",IF(A15&lt;INDEX(Акты!$E$5:$E$16,MATCH(D15,Акты!$B$5:$B$16,0)),"БЛОК: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сюда",IF(A15&gt;Ввод!$B$4,"БЛОК: оплата после последнего дня расчёта — продлите расчёт или уберите строку","ок"))))))))</f>
        <v/>
      </c>
    </row>
    <row r="16">
      <c r="A16" s="10" t="n"/>
      <c r="B16" s="15" t="n"/>
      <c r="C16" s="13" t="n"/>
      <c r="D16" s="13" t="n"/>
      <c r="E16" s="5">
        <f>IF(AND(A16="",B16="",C16="",D16=""),"",IF(OR(A16="",B16=""),"БЛОК: нужны и дата, и сумма",IF(B16&lt;=0,"БЛОК: сумма должна быть больше нуля",IF(D16="","БЛОК: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вас",IF(COUNTIF(Акты!$B$5:$B$16,D16)=0,"БЛОК: такого акта нет на листе «Акты» — добавьте акт или исправьте идентификатор",IF(NOT(ISNUMBER(INDEX(Акты!$E$5:$E$16,MATCH(D16,Акты!$B$5:$B$16,0)))),"БЛОК: у этого акта на листе «Акты» не указан первый день просрочки",IF(A16&lt;INDEX(Акты!$E$5:$E$16,MATCH(D16,Акты!$B$5:$B$16,0)),"БЛОК: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сюда",IF(A16&gt;Ввод!$B$4,"БЛОК: оплата после последнего дня расчёта — продлите расчёт или уберите строку","ок"))))))))</f>
        <v/>
      </c>
    </row>
    <row r="17">
      <c r="A17" s="10" t="n"/>
      <c r="B17" s="15" t="n"/>
      <c r="C17" s="13" t="n"/>
      <c r="D17" s="13" t="n"/>
      <c r="E17" s="5">
        <f>IF(AND(A17="",B17="",C17="",D17=""),"",IF(OR(A17="",B17=""),"БЛОК: нужны и дата, и сумма",IF(B17&lt;=0,"БЛОК: сумма должна быть больше нуля",IF(D17="","БЛОК: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вас",IF(COUNTIF(Акты!$B$5:$B$16,D17)=0,"БЛОК: такого акта нет на листе «Акты» — добавьте акт или исправьте идентификатор",IF(NOT(ISNUMBER(INDEX(Акты!$E$5:$E$16,MATCH(D17,Акты!$B$5:$B$16,0)))),"БЛОК: у этого акта на листе «Акты» не указан первый день просрочки",IF(A17&lt;INDEX(Акты!$E$5:$E$16,MATCH(D17,Акты!$B$5:$B$16,0)),"БЛОК: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сюда",IF(A17&gt;Ввод!$B$4,"БЛОК: оплата после последнего дня расчёта — продлите расчёт или уберите строку","ок"))))))))</f>
        <v/>
      </c>
    </row>
    <row r="18">
      <c r="A18" s="10" t="n"/>
      <c r="B18" s="15" t="n"/>
      <c r="C18" s="13" t="n"/>
      <c r="D18" s="13" t="n"/>
      <c r="E18" s="5">
        <f>IF(AND(A18="",B18="",C18="",D18=""),"",IF(OR(A18="",B18=""),"БЛОК: нужны и дата, и сумма",IF(B18&lt;=0,"БЛОК: сумма должна быть больше нуля",IF(D18="","БЛОК: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вас",IF(COUNTIF(Акты!$B$5:$B$16,D18)=0,"БЛОК: такого акта нет на листе «Акты» — добавьте акт или исправьте идентификатор",IF(NOT(ISNUMBER(INDEX(Акты!$E$5:$E$16,MATCH(D18,Акты!$B$5:$B$16,0)))),"БЛОК: у этого акта на листе «Акты» не указан первый день просрочки",IF(A18&lt;INDEX(Акты!$E$5:$E$16,MATCH(D18,Акты!$B$5:$B$16,0)),"БЛОК: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сюда",IF(A18&gt;Ввод!$B$4,"БЛОК: оплата после последнего дня расчёта — продлите расчёт или уберите строку","ок"))))))))</f>
        <v/>
      </c>
    </row>
    <row r="19">
      <c r="A19" s="10" t="n"/>
      <c r="B19" s="15" t="n"/>
      <c r="C19" s="13" t="n"/>
      <c r="D19" s="13" t="n"/>
      <c r="E19" s="5">
        <f>IF(AND(A19="",B19="",C19="",D19=""),"",IF(OR(A19="",B19=""),"БЛОК: нужны и дата, и сумма",IF(B19&lt;=0,"БЛОК: сумма должна быть больше нуля",IF(D19="","БЛОК: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вас",IF(COUNTIF(Акты!$B$5:$B$16,D19)=0,"БЛОК: такого акта нет на листе «Акты» — добавьте акт или исправьте идентификатор",IF(NOT(ISNUMBER(INDEX(Акты!$E$5:$E$16,MATCH(D19,Акты!$B$5:$B$16,0)))),"БЛОК: у этого акта на листе «Акты» не указан первый день просрочки",IF(A19&lt;INDEX(Акты!$E$5:$E$16,MATCH(D19,Акты!$B$5:$B$16,0)),"БЛОК: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сюда",IF(A19&gt;Ввод!$B$4,"БЛОК: оплата после последнего дня расчёта — продлите расчёт или уберите строку","ок"))))))))</f>
        <v/>
      </c>
    </row>
    <row r="20">
      <c r="A20" s="10" t="n"/>
      <c r="B20" s="15" t="n"/>
      <c r="C20" s="13" t="n"/>
      <c r="D20" s="13" t="n"/>
      <c r="E20" s="5">
        <f>IF(AND(A20="",B20="",C20="",D20=""),"",IF(OR(A20="",B20=""),"БЛОК: нужны и дата, и сумма",IF(B20&lt;=0,"БЛОК: сумма должна быть больше нуля",IF(D20="","БЛОК: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вас",IF(COUNTIF(Акты!$B$5:$B$16,D20)=0,"БЛОК: такого акта нет на листе «Акты» — добавьте акт или исправьте идентификатор",IF(NOT(ISNUMBER(INDEX(Акты!$E$5:$E$16,MATCH(D20,Акты!$B$5:$B$16,0)))),"БЛОК: у этого акта на листе «Акты» не указан первый день просрочки",IF(A20&lt;INDEX(Акты!$E$5:$E$16,MATCH(D20,Акты!$B$5:$B$16,0)),"БЛОК: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сюда",IF(A20&gt;Ввод!$B$4,"БЛОК: оплата после последнего дня расчёта — продлите расчёт или уберите строку","ок"))))))))</f>
        <v/>
      </c>
    </row>
    <row r="21">
      <c r="A21" s="10" t="n"/>
      <c r="B21" s="15" t="n"/>
      <c r="C21" s="13" t="n"/>
      <c r="D21" s="13" t="n"/>
      <c r="E21" s="5">
        <f>IF(AND(A21="",B21="",C21="",D21=""),"",IF(OR(A21="",B21=""),"БЛОК: нужны и дата, и сумма",IF(B21&lt;=0,"БЛОК: сумма должна быть больше нуля",IF(D21="","БЛОК: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вас",IF(COUNTIF(Акты!$B$5:$B$16,D21)=0,"БЛОК: такого акта нет на листе «Акты» — добавьте акт или исправьте идентификатор",IF(NOT(ISNUMBER(INDEX(Акты!$E$5:$E$16,MATCH(D21,Акты!$B$5:$B$16,0)))),"БЛОК: у этого акта на листе «Акты» не указан первый день просрочки",IF(A21&lt;INDEX(Акты!$E$5:$E$16,MATCH(D21,Акты!$B$5:$B$16,0)),"БЛОК: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сюда",IF(A21&gt;Ввод!$B$4,"БЛОК: оплата после последнего дня расчёта — продлите расчёт или уберите строку","ок"))))))))</f>
        <v/>
      </c>
    </row>
    <row r="22">
      <c r="A22" s="10" t="n"/>
      <c r="B22" s="15" t="n"/>
      <c r="C22" s="13" t="n"/>
      <c r="D22" s="13" t="n"/>
      <c r="E22" s="5">
        <f>IF(AND(A22="",B22="",C22="",D22=""),"",IF(OR(A22="",B22=""),"БЛОК: нужны и дата, и сумма",IF(B22&lt;=0,"БЛОК: сумма должна быть больше нуля",IF(D22="","БЛОК: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вас",IF(COUNTIF(Акты!$B$5:$B$16,D22)=0,"БЛОК: такого акта нет на листе «Акты» — добавьте акт или исправьте идентификатор",IF(NOT(ISNUMBER(INDEX(Акты!$E$5:$E$16,MATCH(D22,Акты!$B$5:$B$16,0)))),"БЛОК: у этого акта на листе «Акты» не указан первый день просрочки",IF(A22&lt;INDEX(Акты!$E$5:$E$16,MATCH(D22,Акты!$B$5:$B$16,0)),"БЛОК: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сюда",IF(A22&gt;Ввод!$B$4,"БЛОК: оплата после последнего дня расчёта — продлите расчёт или уберите строку","ок"))))))))</f>
        <v/>
      </c>
    </row>
    <row r="23">
      <c r="A23" s="10" t="n"/>
      <c r="B23" s="15" t="n"/>
      <c r="C23" s="13" t="n"/>
      <c r="D23" s="13" t="n"/>
      <c r="E23" s="5">
        <f>IF(AND(A23="",B23="",C23="",D23=""),"",IF(OR(A23="",B23=""),"БЛОК: нужны и дата, и сумма",IF(B23&lt;=0,"БЛОК: сумма должна быть больше нуля",IF(D23="","БЛОК: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вас",IF(COUNTIF(Акты!$B$5:$B$16,D23)=0,"БЛОК: такого акта нет на листе «Акты» — добавьте акт или исправьте идентификатор",IF(NOT(ISNUMBER(INDEX(Акты!$E$5:$E$16,MATCH(D23,Акты!$B$5:$B$16,0)))),"БЛОК: у этого акта на листе «Акты» не указан первый день просрочки",IF(A23&lt;INDEX(Акты!$E$5:$E$16,MATCH(D23,Акты!$B$5:$B$16,0)),"БЛОК: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сюда",IF(A23&gt;Ввод!$B$4,"БЛОК: оплата после последнего дня расчёта — продлите расчёт или уберите строку","ок"))))))))</f>
        <v/>
      </c>
    </row>
    <row r="24">
      <c r="A24" s="10" t="n"/>
      <c r="B24" s="15" t="n"/>
      <c r="C24" s="13" t="n"/>
      <c r="D24" s="13" t="n"/>
      <c r="E24" s="5">
        <f>IF(AND(A24="",B24="",C24="",D24=""),"",IF(OR(A24="",B24=""),"БЛОК: нужны и дата, и сумма",IF(B24&lt;=0,"БЛОК: сумма должна быть больше нуля",IF(D24="","БЛОК: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вас",IF(COUNTIF(Акты!$B$5:$B$16,D24)=0,"БЛОК: такого акта нет на листе «Акты» — добавьте акт или исправьте идентификатор",IF(NOT(ISNUMBER(INDEX(Акты!$E$5:$E$16,MATCH(D24,Акты!$B$5:$B$16,0)))),"БЛОК: у этого акта на листе «Акты» не указан первый день просрочки",IF(A24&lt;INDEX(Акты!$E$5:$E$16,MATCH(D24,Акты!$B$5:$B$16,0)),"БЛОК: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сюда",IF(A24&gt;Ввод!$B$4,"БЛОК: оплата после последнего дня расчёта — продлите расчёт или уберите строку","ок"))))))))</f>
        <v/>
      </c>
    </row>
    <row r="25">
      <c r="A25" s="10" t="n"/>
      <c r="B25" s="15" t="n"/>
      <c r="C25" s="13" t="n"/>
      <c r="D25" s="13" t="n"/>
      <c r="E25" s="5">
        <f>IF(AND(A25="",B25="",C25="",D25=""),"",IF(OR(A25="",B25=""),"БЛОК: нужны и дата, и сумма",IF(B25&lt;=0,"БЛОК: сумма должна быть больше нуля",IF(D25="","БЛОК: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вас",IF(COUNTIF(Акты!$B$5:$B$16,D25)=0,"БЛОК: такого акта нет на листе «Акты» — добавьте акт или исправьте идентификатор",IF(NOT(ISNUMBER(INDEX(Акты!$E$5:$E$16,MATCH(D25,Акты!$B$5:$B$16,0)))),"БЛОК: у этого акта на листе «Акты» не указан первый день просрочки",IF(A25&lt;INDEX(Акты!$E$5:$E$16,MATCH(D25,Акты!$B$5:$B$16,0)),"БЛОК: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сюда",IF(A25&gt;Ввод!$B$4,"БЛОК: оплата после последнего дня расчёта — продлите расчёт или уберите строку","ок"))))))))</f>
        <v/>
      </c>
    </row>
    <row r="26">
      <c r="A26" s="10" t="n"/>
      <c r="B26" s="15" t="n"/>
      <c r="C26" s="13" t="n"/>
      <c r="D26" s="13" t="n"/>
      <c r="E26" s="5">
        <f>IF(AND(A26="",B26="",C26="",D26=""),"",IF(OR(A26="",B26=""),"БЛОК: нужны и дата, и сумма",IF(B26&lt;=0,"БЛОК: сумма должна быть больше нуля",IF(D26="","БЛОК: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вас",IF(COUNTIF(Акты!$B$5:$B$16,D26)=0,"БЛОК: такого акта нет на листе «Акты» — добавьте акт или исправьте идентификатор",IF(NOT(ISNUMBER(INDEX(Акты!$E$5:$E$16,MATCH(D26,Акты!$B$5:$B$16,0)))),"БЛОК: у этого акта на листе «Акты» не указан первый день просрочки",IF(A26&lt;INDEX(Акты!$E$5:$E$16,MATCH(D26,Акты!$B$5:$B$16,0)),"БЛОК: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сюда",IF(A26&gt;Ввод!$B$4,"БЛОК: оплата после последнего дня расчёта — продлите расчёт или уберите строку","ок"))))))))</f>
        <v/>
      </c>
    </row>
    <row r="27">
      <c r="A27" s="10" t="n"/>
      <c r="B27" s="15" t="n"/>
      <c r="C27" s="13" t="n"/>
      <c r="D27" s="13" t="n"/>
      <c r="E27" s="5">
        <f>IF(AND(A27="",B27="",C27="",D27=""),"",IF(OR(A27="",B27=""),"БЛОК: нужны и дата, и сумма",IF(B27&lt;=0,"БЛОК: сумма должна быть больше нуля",IF(D27="","БЛОК: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вас",IF(COUNTIF(Акты!$B$5:$B$16,D27)=0,"БЛОК: такого акта нет на листе «Акты» — добавьте акт или исправьте идентификатор",IF(NOT(ISNUMBER(INDEX(Акты!$E$5:$E$16,MATCH(D27,Акты!$B$5:$B$16,0)))),"БЛОК: у этого акта на листе «Акты» не указан первый день просрочки",IF(A27&lt;INDEX(Акты!$E$5:$E$16,MATCH(D27,Акты!$B$5:$B$16,0)),"БЛОК: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сюда",IF(A27&gt;Ввод!$B$4,"БЛОК: оплата после последнего дня расчёта — продлите расчёт или уберите строку","ок"))))))))</f>
        <v/>
      </c>
    </row>
    <row r="28">
      <c r="A28" s="10" t="n"/>
      <c r="B28" s="15" t="n"/>
      <c r="C28" s="13" t="n"/>
      <c r="D28" s="13" t="n"/>
      <c r="E28" s="5">
        <f>IF(AND(A28="",B28="",C28="",D28=""),"",IF(OR(A28="",B28=""),"БЛОК: нужны и дата, и сумма",IF(B28&lt;=0,"БЛОК: сумма должна быть больше нуля",IF(D28="","БЛОК: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вас",IF(COUNTIF(Акты!$B$5:$B$16,D28)=0,"БЛОК: такого акта нет на листе «Акты» — добавьте акт или исправьте идентификатор",IF(NOT(ISNUMBER(INDEX(Акты!$E$5:$E$16,MATCH(D28,Акты!$B$5:$B$16,0)))),"БЛОК: у этого акта на листе «Акты» не указан первый день просрочки",IF(A28&lt;INDEX(Акты!$E$5:$E$16,MATCH(D28,Акты!$B$5:$B$16,0)),"БЛОК: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сюда",IF(A28&gt;Ввод!$B$4,"БЛОК: оплата после последнего дня расчёта — продлите расчёт или уберите строку","ок"))))))))</f>
        <v/>
      </c>
    </row>
    <row r="29">
      <c r="A29" s="10" t="n"/>
      <c r="B29" s="15" t="n"/>
      <c r="C29" s="13" t="n"/>
      <c r="D29" s="13" t="n"/>
      <c r="E29" s="5">
        <f>IF(AND(A29="",B29="",C29="",D29=""),"",IF(OR(A29="",B29=""),"БЛОК: нужны и дата, и сумма",IF(B29&lt;=0,"БЛОК: сумма должна быть больше нуля",IF(D29="","БЛОК: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вас",IF(COUNTIF(Акты!$B$5:$B$16,D29)=0,"БЛОК: такого акта нет на листе «Акты» — добавьте акт или исправьте идентификатор",IF(NOT(ISNUMBER(INDEX(Акты!$E$5:$E$16,MATCH(D29,Акты!$B$5:$B$16,0)))),"БЛОК: у этого акта на листе «Акты» не указан первый день просрочки",IF(A29&lt;INDEX(Акты!$E$5:$E$16,MATCH(D29,Акты!$B$5:$B$16,0)),"БЛОК: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сюда",IF(A29&gt;Ввод!$B$4,"БЛОК: оплата после последнего дня расчёта — продлите расчёт или уберите строку","ок"))))))))</f>
        <v/>
      </c>
    </row>
    <row r="30">
      <c r="A30" s="10" t="n"/>
      <c r="B30" s="15" t="n"/>
      <c r="C30" s="13" t="n"/>
      <c r="D30" s="13" t="n"/>
      <c r="E30" s="5">
        <f>IF(AND(A30="",B30="",C30="",D30=""),"",IF(OR(A30="",B30=""),"БЛОК: нужны и дата, и сумма",IF(B30&lt;=0,"БЛОК: сумма должна быть больше нуля",IF(D30="","БЛОК: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вас",IF(COUNTIF(Акты!$B$5:$B$16,D30)=0,"БЛОК: такого акта нет на листе «Акты» — добавьте акт или исправьте идентификатор",IF(NOT(ISNUMBER(INDEX(Акты!$E$5:$E$16,MATCH(D30,Акты!$B$5:$B$16,0)))),"БЛОК: у этого акта на листе «Акты» не указан первый день просрочки",IF(A30&lt;INDEX(Акты!$E$5:$E$16,MATCH(D30,Акты!$B$5:$B$16,0)),"БЛОК: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сюда",IF(A30&gt;Ввод!$B$4,"БЛОК: оплата после последнего дня расчёта — продлите расчёт или уберите строку","ок"))))))))</f>
        <v/>
      </c>
    </row>
    <row r="31">
      <c r="A31" s="10" t="n"/>
      <c r="B31" s="15" t="n"/>
      <c r="C31" s="13" t="n"/>
      <c r="D31" s="13" t="n"/>
      <c r="E31" s="5">
        <f>IF(AND(A31="",B31="",C31="",D31=""),"",IF(OR(A31="",B31=""),"БЛОК: нужны и дата, и сумма",IF(B31&lt;=0,"БЛОК: сумма должна быть больше нуля",IF(D31="","БЛОК: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вас",IF(COUNTIF(Акты!$B$5:$B$16,D31)=0,"БЛОК: такого акта нет на листе «Акты» — добавьте акт или исправьте идентификатор",IF(NOT(ISNUMBER(INDEX(Акты!$E$5:$E$16,MATCH(D31,Акты!$B$5:$B$16,0)))),"БЛОК: у этого акта на листе «Акты» не указан первый день просрочки",IF(A31&lt;INDEX(Акты!$E$5:$E$16,MATCH(D31,Акты!$B$5:$B$16,0)),"БЛОК: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сюда",IF(A31&gt;Ввод!$B$4,"БЛОК: оплата после последнего дня расчёта — продлите расчёт или уберите строку","ок"))))))))</f>
        <v/>
      </c>
    </row>
    <row r="32">
      <c r="A32" s="10" t="n"/>
      <c r="B32" s="15" t="n"/>
      <c r="C32" s="13" t="n"/>
      <c r="D32" s="13" t="n"/>
      <c r="E32" s="5">
        <f>IF(AND(A32="",B32="",C32="",D32=""),"",IF(OR(A32="",B32=""),"БЛОК: нужны и дата, и сумма",IF(B32&lt;=0,"БЛОК: сумма должна быть больше нуля",IF(D32="","БЛОК: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вас",IF(COUNTIF(Акты!$B$5:$B$16,D32)=0,"БЛОК: такого акта нет на листе «Акты» — добавьте акт или исправьте идентификатор",IF(NOT(ISNUMBER(INDEX(Акты!$E$5:$E$16,MATCH(D32,Акты!$B$5:$B$16,0)))),"БЛОК: у этого акта на листе «Акты» не указан первый день просрочки",IF(A32&lt;INDEX(Акты!$E$5:$E$16,MATCH(D32,Акты!$B$5:$B$16,0)),"БЛОК: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сюда",IF(A32&gt;Ввод!$B$4,"БЛОК: оплата после последнего дня расчёта — продлите расчёт или уберите строку","ок"))))))))</f>
        <v/>
      </c>
    </row>
    <row r="33">
      <c r="A33" s="10" t="n"/>
      <c r="B33" s="15" t="n"/>
      <c r="C33" s="13" t="n"/>
      <c r="D33" s="13" t="n"/>
      <c r="E33" s="5">
        <f>IF(AND(A33="",B33="",C33="",D33=""),"",IF(OR(A33="",B33=""),"БЛОК: нужны и дата, и сумма",IF(B33&lt;=0,"БЛОК: сумма должна быть больше нуля",IF(D33="","БЛОК: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вас",IF(COUNTIF(Акты!$B$5:$B$16,D33)=0,"БЛОК: такого акта нет на листе «Акты» — добавьте акт или исправьте идентификатор",IF(NOT(ISNUMBER(INDEX(Акты!$E$5:$E$16,MATCH(D33,Акты!$B$5:$B$16,0)))),"БЛОК: у этого акта на листе «Акты» не указан первый день просрочки",IF(A33&lt;INDEX(Акты!$E$5:$E$16,MATCH(D33,Акты!$B$5:$B$16,0)),"БЛОК: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сюда",IF(A33&gt;Ввод!$B$4,"БЛОК: оплата после последнего дня расчёта — продлите расчёт или уберите строку","ок"))))))))</f>
        <v/>
      </c>
    </row>
    <row r="34">
      <c r="A34" s="10" t="n"/>
      <c r="B34" s="15" t="n"/>
      <c r="C34" s="13" t="n"/>
      <c r="D34" s="13" t="n"/>
      <c r="E34" s="5">
        <f>IF(AND(A34="",B34="",C34="",D34=""),"",IF(OR(A34="",B34=""),"БЛОК: нужны и дата, и сумма",IF(B34&lt;=0,"БЛОК: сумма должна быть больше нуля",IF(D34="","БЛОК: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вас",IF(COUNTIF(Акты!$B$5:$B$16,D34)=0,"БЛОК: такого акта нет на листе «Акты» — добавьте акт или исправьте идентификатор",IF(NOT(ISNUMBER(INDEX(Акты!$E$5:$E$16,MATCH(D34,Акты!$B$5:$B$16,0)))),"БЛОК: у этого акта на листе «Акты» не указан первый день просрочки",IF(A34&lt;INDEX(Акты!$E$5:$E$16,MATCH(D34,Акты!$B$5:$B$16,0)),"БЛОК: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сюда",IF(A34&gt;Ввод!$B$4,"БЛОК: оплата после последнего дня расчёта — продлите расчёт или уберите строку","ок"))))))))</f>
        <v/>
      </c>
    </row>
    <row r="35">
      <c r="A35" s="10" t="n"/>
      <c r="B35" s="15" t="n"/>
      <c r="C35" s="13" t="n"/>
      <c r="D35" s="13" t="n"/>
      <c r="E35" s="5">
        <f>IF(AND(A35="",B35="",C35="",D35=""),"",IF(OR(A35="",B35=""),"БЛОК: нужны и дата, и сумма",IF(B35&lt;=0,"БЛОК: сумма должна быть больше нуля",IF(D35="","БЛОК: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вас",IF(COUNTIF(Акты!$B$5:$B$16,D35)=0,"БЛОК: такого акта нет на листе «Акты» — добавьте акт или исправьте идентификатор",IF(NOT(ISNUMBER(INDEX(Акты!$E$5:$E$16,MATCH(D35,Акты!$B$5:$B$16,0)))),"БЛОК: у этого акта на листе «Акты» не указан первый день просрочки",IF(A35&lt;INDEX(Акты!$E$5:$E$16,MATCH(D35,Акты!$B$5:$B$16,0)),"БЛОК: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сюда",IF(A35&gt;Ввод!$B$4,"БЛОК: оплата после последнего дня расчёта — продлите расчёт или уберите строку","ок"))))))))</f>
        <v/>
      </c>
    </row>
    <row r="36">
      <c r="A36" s="10" t="n"/>
      <c r="B36" s="15" t="n"/>
      <c r="C36" s="13" t="n"/>
      <c r="D36" s="13" t="n"/>
      <c r="E36" s="5">
        <f>IF(AND(A36="",B36="",C36="",D36=""),"",IF(OR(A36="",B36=""),"БЛОК: нужны и дата, и сумма",IF(B36&lt;=0,"БЛОК: сумма должна быть больше нуля",IF(D36="","БЛОК: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вас",IF(COUNTIF(Акты!$B$5:$B$16,D36)=0,"БЛОК: такого акта нет на листе «Акты» — добавьте акт или исправьте идентификатор",IF(NOT(ISNUMBER(INDEX(Акты!$E$5:$E$16,MATCH(D36,Акты!$B$5:$B$16,0)))),"БЛОК: у этого акта на листе «Акты» не указан первый день просрочки",IF(A36&lt;INDEX(Акты!$E$5:$E$16,MATCH(D36,Акты!$B$5:$B$16,0)),"БЛОК: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сюда",IF(A36&gt;Ввод!$B$4,"БЛОК: оплата после последнего дня расчёта — продлите расчёт или уберите строку","ок"))))))))</f>
        <v/>
      </c>
    </row>
    <row r="37">
      <c r="A37" s="10" t="n"/>
      <c r="B37" s="15" t="n"/>
      <c r="C37" s="13" t="n"/>
      <c r="D37" s="13" t="n"/>
      <c r="E37" s="5">
        <f>IF(AND(A37="",B37="",C37="",D37=""),"",IF(OR(A37="",B37=""),"БЛОК: нужны и дата, и сумма",IF(B37&lt;=0,"БЛОК: сумма должна быть больше нуля",IF(D37="","БЛОК: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вас",IF(COUNTIF(Акты!$B$5:$B$16,D37)=0,"БЛОК: такого акта нет на листе «Акты» — добавьте акт или исправьте идентификатор",IF(NOT(ISNUMBER(INDEX(Акты!$E$5:$E$16,MATCH(D37,Акты!$B$5:$B$16,0)))),"БЛОК: у этого акта на листе «Акты» не указан первый день просрочки",IF(A37&lt;INDEX(Акты!$E$5:$E$16,MATCH(D37,Акты!$B$5:$B$16,0)),"БЛОК: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сюда",IF(A37&gt;Ввод!$B$4,"БЛОК: оплата после последнего дня расчёта — продлите расчёт или уберите строку","ок"))))))))</f>
        <v/>
      </c>
    </row>
    <row r="38">
      <c r="A38" s="10" t="n"/>
      <c r="B38" s="15" t="n"/>
      <c r="C38" s="13" t="n"/>
      <c r="D38" s="13" t="n"/>
      <c r="E38" s="5">
        <f>IF(AND(A38="",B38="",C38="",D38=""),"",IF(OR(A38="",B38=""),"БЛОК: нужны и дата, и сумма",IF(B38&lt;=0,"БЛОК: сумма должна быть больше нуля",IF(D38="","БЛОК: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вас",IF(COUNTIF(Акты!$B$5:$B$16,D38)=0,"БЛОК: такого акта нет на листе «Акты» — добавьте акт или исправьте идентификатор",IF(NOT(ISNUMBER(INDEX(Акты!$E$5:$E$16,MATCH(D38,Акты!$B$5:$B$16,0)))),"БЛОК: у этого акта на листе «Акты» не указан первый день просрочки",IF(A38&lt;INDEX(Акты!$E$5:$E$16,MATCH(D38,Акты!$B$5:$B$16,0)),"БЛОК: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сюда",IF(A38&gt;Ввод!$B$4,"БЛОК: оплата после последнего дня расчёта — продлите расчёт или уберите строку","ок"))))))))</f>
        <v/>
      </c>
    </row>
    <row r="39">
      <c r="A39" s="10" t="n"/>
      <c r="B39" s="15" t="n"/>
      <c r="C39" s="13" t="n"/>
      <c r="D39" s="13" t="n"/>
      <c r="E39" s="5">
        <f>IF(AND(A39="",B39="",C39="",D39=""),"",IF(OR(A39="",B39=""),"БЛОК: нужны и дата, и сумма",IF(B39&lt;=0,"БЛОК: сумма должна быть больше нуля",IF(D39="","БЛОК: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вас",IF(COUNTIF(Акты!$B$5:$B$16,D39)=0,"БЛОК: такого акта нет на листе «Акты» — добавьте акт или исправьте идентификатор",IF(NOT(ISNUMBER(INDEX(Акты!$E$5:$E$16,MATCH(D39,Акты!$B$5:$B$16,0)))),"БЛОК: у этого акта на листе «Акты» не указан первый день просрочки",IF(A39&lt;INDEX(Акты!$E$5:$E$16,MATCH(D39,Акты!$B$5:$B$16,0)),"БЛОК: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сюда",IF(A39&gt;Ввод!$B$4,"БЛОК: оплата после последнего дня расчёта — продлите расчёт или уберите строку","ок"))))))))</f>
        <v/>
      </c>
    </row>
    <row r="40">
      <c r="A40" s="10" t="n"/>
      <c r="B40" s="15" t="n"/>
      <c r="C40" s="13" t="n"/>
      <c r="D40" s="13" t="n"/>
      <c r="E40" s="5">
        <f>IF(AND(A40="",B40="",C40="",D40=""),"",IF(OR(A40="",B40=""),"БЛОК: нужны и дата, и сумма",IF(B40&lt;=0,"БЛОК: сумма должна быть больше нуля",IF(D40="","БЛОК: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вас",IF(COUNTIF(Акты!$B$5:$B$16,D40)=0,"БЛОК: такого акта нет на листе «Акты» — добавьте акт или исправьте идентификатор",IF(NOT(ISNUMBER(INDEX(Акты!$E$5:$E$16,MATCH(D40,Акты!$B$5:$B$16,0)))),"БЛОК: у этого акта на листе «Акты» не указан первый день просрочки",IF(A40&lt;INDEX(Акты!$E$5:$E$16,MATCH(D40,Акты!$B$5:$B$16,0)),"БЛОК: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сюда",IF(A40&gt;Ввод!$B$4,"БЛОК: оплата после последнего дня расчёта — продлите расчёт или уберите строку","ок"))))))))</f>
        <v/>
      </c>
    </row>
    <row r="41">
      <c r="A41" s="10" t="n"/>
      <c r="B41" s="15" t="n"/>
      <c r="C41" s="13" t="n"/>
      <c r="D41" s="13" t="n"/>
      <c r="E41" s="5">
        <f>IF(AND(A41="",B41="",C41="",D41=""),"",IF(OR(A41="",B41=""),"БЛОК: нужны и дата, и сумма",IF(B41&lt;=0,"БЛОК: сумма должна быть больше нуля",IF(D41="","БЛОК: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вас",IF(COUNTIF(Акты!$B$5:$B$16,D41)=0,"БЛОК: такого акта нет на листе «Акты» — добавьте акт или исправьте идентификатор",IF(NOT(ISNUMBER(INDEX(Акты!$E$5:$E$16,MATCH(D41,Акты!$B$5:$B$16,0)))),"БЛОК: у этого акта на листе «Акты» не указан первый день просрочки",IF(A41&lt;INDEX(Акты!$E$5:$E$16,MATCH(D41,Акты!$B$5:$B$16,0)),"БЛОК: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сюда",IF(A41&gt;Ввод!$B$4,"БЛОК: оплата после последнего дня расчёта — продлите расчёт или уберите строку","ок"))))))))</f>
        <v/>
      </c>
    </row>
    <row r="42">
      <c r="A42" s="10" t="n"/>
      <c r="B42" s="15" t="n"/>
      <c r="C42" s="13" t="n"/>
      <c r="D42" s="13" t="n"/>
      <c r="E42" s="5">
        <f>IF(AND(A42="",B42="",C42="",D42=""),"",IF(OR(A42="",B42=""),"БЛОК: нужны и дата, и сумма",IF(B42&lt;=0,"БЛОК: сумма должна быть больше нуля",IF(D42="","БЛОК: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вас",IF(COUNTIF(Акты!$B$5:$B$16,D42)=0,"БЛОК: такого акта нет на листе «Акты» — добавьте акт или исправьте идентификатор",IF(NOT(ISNUMBER(INDEX(Акты!$E$5:$E$16,MATCH(D42,Акты!$B$5:$B$16,0)))),"БЛОК: у этого акта на листе «Акты» не указан первый день просрочки",IF(A42&lt;INDEX(Акты!$E$5:$E$16,MATCH(D42,Акты!$B$5:$B$16,0)),"БЛОК: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сюда",IF(A42&gt;Ввод!$B$4,"БЛОК: оплата после последнего дня расчёта — продлите расчёт или уберите строку","ок"))))))))</f>
        <v/>
      </c>
    </row>
    <row r="43">
      <c r="A43" s="10" t="n"/>
      <c r="B43" s="15" t="n"/>
      <c r="C43" s="13" t="n"/>
      <c r="D43" s="13" t="n"/>
      <c r="E43" s="5">
        <f>IF(AND(A43="",B43="",C43="",D43=""),"",IF(OR(A43="",B43=""),"БЛОК: нужны и дата, и сумма",IF(B43&lt;=0,"БЛОК: сумма должна быть больше нуля",IF(D43="","БЛОК: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вас",IF(COUNTIF(Акты!$B$5:$B$16,D43)=0,"БЛОК: такого акта нет на листе «Акты» — добавьте акт или исправьте идентификатор",IF(NOT(ISNUMBER(INDEX(Акты!$E$5:$E$16,MATCH(D43,Акты!$B$5:$B$16,0)))),"БЛОК: у этого акта на листе «Акты» не указан первый день просрочки",IF(A43&lt;INDEX(Акты!$E$5:$E$16,MATCH(D43,Акты!$B$5:$B$16,0)),"БЛОК: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сюда",IF(A43&gt;Ввод!$B$4,"БЛОК: оплата после последнего дня расчёта — продлите расчёт или уберите строку","ок"))))))))</f>
        <v/>
      </c>
    </row>
    <row r="44">
      <c r="A44" s="10" t="n"/>
      <c r="B44" s="15" t="n"/>
      <c r="C44" s="13" t="n"/>
      <c r="D44" s="13" t="n"/>
      <c r="E44" s="5">
        <f>IF(AND(A44="",B44="",C44="",D44=""),"",IF(OR(A44="",B44=""),"БЛОК: нужны и дата, и сумма",IF(B44&lt;=0,"БЛОК: сумма должна быть больше нуля",IF(D44="","БЛОК: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вас",IF(COUNTIF(Акты!$B$5:$B$16,D44)=0,"БЛОК: такого акта нет на листе «Акты» — добавьте акт или исправьте идентификатор",IF(NOT(ISNUMBER(INDEX(Акты!$E$5:$E$16,MATCH(D44,Акты!$B$5:$B$16,0)))),"БЛОК: у этого акта на листе «Акты» не указан первый день просрочки",IF(A44&lt;INDEX(Акты!$E$5:$E$16,MATCH(D44,Акты!$B$5:$B$16,0)),"БЛОК: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сюда",IF(A44&gt;Ввод!$B$4,"БЛОК: оплата после последнего дня расчёта — продлите расчёт или уберите строку","ок"))))))))</f>
        <v/>
      </c>
    </row>
    <row r="45">
      <c r="A45" s="10" t="n"/>
      <c r="B45" s="15" t="n"/>
      <c r="C45" s="13" t="n"/>
      <c r="D45" s="13" t="n"/>
      <c r="E45" s="5">
        <f>IF(AND(A45="",B45="",C45="",D45=""),"",IF(OR(A45="",B45=""),"БЛОК: нужны и дата, и сумма",IF(B45&lt;=0,"БЛОК: сумма должна быть больше нуля",IF(D45="","БЛОК: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вас",IF(COUNTIF(Акты!$B$5:$B$16,D45)=0,"БЛОК: такого акта нет на листе «Акты» — добавьте акт или исправьте идентификатор",IF(NOT(ISNUMBER(INDEX(Акты!$E$5:$E$16,MATCH(D45,Акты!$B$5:$B$16,0)))),"БЛОК: у этого акта на листе «Акты» не указан первый день просрочки",IF(A45&lt;INDEX(Акты!$E$5:$E$16,MATCH(D45,Акты!$B$5:$B$16,0)),"БЛОК: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сюда",IF(A45&gt;Ввод!$B$4,"БЛОК: оплата после последнего дня расчёта — продлите расчёт или уберите строку","ок"))))))))</f>
        <v/>
      </c>
    </row>
    <row r="46">
      <c r="A46" s="10" t="n"/>
      <c r="B46" s="15" t="n"/>
      <c r="C46" s="13" t="n"/>
      <c r="D46" s="13" t="n"/>
      <c r="E46" s="5">
        <f>IF(AND(A46="",B46="",C46="",D46=""),"",IF(OR(A46="",B46=""),"БЛОК: нужны и дата, и сумма",IF(B46&lt;=0,"БЛОК: сумма должна быть больше нуля",IF(D46="","БЛОК: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вас",IF(COUNTIF(Акты!$B$5:$B$16,D46)=0,"БЛОК: такого акта нет на листе «Акты» — добавьте акт или исправьте идентификатор",IF(NOT(ISNUMBER(INDEX(Акты!$E$5:$E$16,MATCH(D46,Акты!$B$5:$B$16,0)))),"БЛОК: у этого акта на листе «Акты» не указан первый день просрочки",IF(A46&lt;INDEX(Акты!$E$5:$E$16,MATCH(D46,Акты!$B$5:$B$16,0)),"БЛОК: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сюда",IF(A46&gt;Ввод!$B$4,"БЛОК: оплата после последнего дня расчёта — продлите расчёт или уберите строку","ок"))))))))</f>
        <v/>
      </c>
    </row>
    <row r="47">
      <c r="A47" s="10" t="n"/>
      <c r="B47" s="15" t="n"/>
      <c r="C47" s="13" t="n"/>
      <c r="D47" s="13" t="n"/>
      <c r="E47" s="5">
        <f>IF(AND(A47="",B47="",C47="",D47=""),"",IF(OR(A47="",B47=""),"БЛОК: нужны и дата, и сумма",IF(B47&lt;=0,"БЛОК: сумма должна быть больше нуля",IF(D47="","БЛОК: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вас",IF(COUNTIF(Акты!$B$5:$B$16,D47)=0,"БЛОК: такого акта нет на листе «Акты» — добавьте акт или исправьте идентификатор",IF(NOT(ISNUMBER(INDEX(Акты!$E$5:$E$16,MATCH(D47,Акты!$B$5:$B$16,0)))),"БЛОК: у этого акта на листе «Акты» не указан первый день просрочки",IF(A47&lt;INDEX(Акты!$E$5:$E$16,MATCH(D47,Акты!$B$5:$B$16,0)),"БЛОК: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сюда",IF(A47&gt;Ввод!$B$4,"БЛОК: оплата после последнего дня расчёта — продлите расчёт или уберите строку","ок"))))))))</f>
        <v/>
      </c>
    </row>
    <row r="48">
      <c r="A48" s="10" t="n"/>
      <c r="B48" s="15" t="n"/>
      <c r="C48" s="13" t="n"/>
      <c r="D48" s="13" t="n"/>
      <c r="E48" s="5">
        <f>IF(AND(A48="",B48="",C48="",D48=""),"",IF(OR(A48="",B48=""),"БЛОК: нужны и дата, и сумма",IF(B48&lt;=0,"БЛОК: сумма должна быть больше нуля",IF(D48="","БЛОК: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вас",IF(COUNTIF(Акты!$B$5:$B$16,D48)=0,"БЛОК: такого акта нет на листе «Акты» — добавьте акт или исправьте идентификатор",IF(NOT(ISNUMBER(INDEX(Акты!$E$5:$E$16,MATCH(D48,Акты!$B$5:$B$16,0)))),"БЛОК: у этого акта на листе «Акты» не указан первый день просрочки",IF(A48&lt;INDEX(Акты!$E$5:$E$16,MATCH(D48,Акты!$B$5:$B$16,0)),"БЛОК: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сюда",IF(A48&gt;Ввод!$B$4,"БЛОК: оплата после последнего дня расчёта — продлите расчёт или уберите строку","ок"))))))))</f>
        <v/>
      </c>
    </row>
    <row r="49">
      <c r="A49" s="10" t="n"/>
      <c r="B49" s="15" t="n"/>
      <c r="C49" s="13" t="n"/>
      <c r="D49" s="13" t="n"/>
      <c r="E49" s="5">
        <f>IF(AND(A49="",B49="",C49="",D49=""),"",IF(OR(A49="",B49=""),"БЛОК: нужны и дата, и сумма",IF(B49&lt;=0,"БЛОК: сумма должна быть больше нуля",IF(D49="","БЛОК: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вас",IF(COUNTIF(Акты!$B$5:$B$16,D49)=0,"БЛОК: такого акта нет на листе «Акты» — добавьте акт или исправьте идентификатор",IF(NOT(ISNUMBER(INDEX(Акты!$E$5:$E$16,MATCH(D49,Акты!$B$5:$B$16,0)))),"БЛОК: у этого акта на листе «Акты» не указан первый день просрочки",IF(A49&lt;INDEX(Акты!$E$5:$E$16,MATCH(D49,Акты!$B$5:$B$16,0)),"БЛОК: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сюда",IF(A49&gt;Ввод!$B$4,"БЛОК: оплата после последнего дня расчёта — продлите расчёт или уберите строку","ок"))))))))</f>
        <v/>
      </c>
    </row>
    <row r="50">
      <c r="A50" s="10" t="n"/>
      <c r="B50" s="15" t="n"/>
      <c r="C50" s="13" t="n"/>
      <c r="D50" s="13" t="n"/>
      <c r="E50" s="5">
        <f>IF(AND(A50="",B50="",C50="",D50=""),"",IF(OR(A50="",B50=""),"БЛОК: нужны и дата, и сумма",IF(B50&lt;=0,"БЛОК: сумма должна быть больше нуля",IF(D50="","БЛОК: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вас",IF(COUNTIF(Акты!$B$5:$B$16,D50)=0,"БЛОК: такого акта нет на листе «Акты» — добавьте акт или исправьте идентификатор",IF(NOT(ISNUMBER(INDEX(Акты!$E$5:$E$16,MATCH(D50,Акты!$B$5:$B$16,0)))),"БЛОК: у этого акта на листе «Акты» не указан первый день просрочки",IF(A50&lt;INDEX(Акты!$E$5:$E$16,MATCH(D50,Акты!$B$5:$B$16,0)),"БЛОК: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сюда",IF(A50&gt;Ввод!$B$4,"БЛОК: оплата после последнего дня расчёта — продлите расчёт или уберите строку","ок"))))))))</f>
        <v/>
      </c>
    </row>
    <row r="51">
      <c r="A51" s="10" t="n"/>
      <c r="B51" s="15" t="n"/>
      <c r="C51" s="13" t="n"/>
      <c r="D51" s="13" t="n"/>
      <c r="E51" s="5">
        <f>IF(AND(A51="",B51="",C51="",D51=""),"",IF(OR(A51="",B51=""),"БЛОК: нужны и дата, и сумма",IF(B51&lt;=0,"БЛОК: сумма должна быть больше нуля",IF(D51="","БЛОК: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вас",IF(COUNTIF(Акты!$B$5:$B$16,D51)=0,"БЛОК: такого акта нет на листе «Акты» — добавьте акт или исправьте идентификатор",IF(NOT(ISNUMBER(INDEX(Акты!$E$5:$E$16,MATCH(D51,Акты!$B$5:$B$16,0)))),"БЛОК: у этого акта на листе «Акты» не указан первый день просрочки",IF(A51&lt;INDEX(Акты!$E$5:$E$16,MATCH(D51,Акты!$B$5:$B$16,0)),"БЛОК: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сюда",IF(A51&gt;Ввод!$B$4,"БЛОК: оплата после последнего дня расчёта — продлите расчёт или уберите строку","ок"))))))))</f>
        <v/>
      </c>
    </row>
    <row r="52">
      <c r="A52" s="10" t="n"/>
      <c r="B52" s="15" t="n"/>
      <c r="C52" s="13" t="n"/>
      <c r="D52" s="13" t="n"/>
      <c r="E52" s="5">
        <f>IF(AND(A52="",B52="",C52="",D52=""),"",IF(OR(A52="",B52=""),"БЛОК: нужны и дата, и сумма",IF(B52&lt;=0,"БЛОК: сумма должна быть больше нуля",IF(D52="","БЛОК: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вас",IF(COUNTIF(Акты!$B$5:$B$16,D52)=0,"БЛОК: такого акта нет на листе «Акты» — добавьте акт или исправьте идентификатор",IF(NOT(ISNUMBER(INDEX(Акты!$E$5:$E$16,MATCH(D52,Акты!$B$5:$B$16,0)))),"БЛОК: у этого акта на листе «Акты» не указан первый день просрочки",IF(A52&lt;INDEX(Акты!$E$5:$E$16,MATCH(D52,Акты!$B$5:$B$16,0)),"БЛОК: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сюда",IF(A52&gt;Ввод!$B$4,"БЛОК: оплата после последнего дня расчёта — продлите расчёт или уберите строку","ок"))))))))</f>
        <v/>
      </c>
    </row>
    <row r="53">
      <c r="A53" s="10" t="n"/>
      <c r="B53" s="15" t="n"/>
      <c r="C53" s="13" t="n"/>
      <c r="D53" s="13" t="n"/>
      <c r="E53" s="5">
        <f>IF(AND(A53="",B53="",C53="",D53=""),"",IF(OR(A53="",B53=""),"БЛОК: нужны и дата, и сумма",IF(B53&lt;=0,"БЛОК: сумма должна быть больше нуля",IF(D53="","БЛОК: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вас",IF(COUNTIF(Акты!$B$5:$B$16,D53)=0,"БЛОК: такого акта нет на листе «Акты» — добавьте акт или исправьте идентификатор",IF(NOT(ISNUMBER(INDEX(Акты!$E$5:$E$16,MATCH(D53,Акты!$B$5:$B$16,0)))),"БЛОК: у этого акта на листе «Акты» не указан первый день просрочки",IF(A53&lt;INDEX(Акты!$E$5:$E$16,MATCH(D53,Акты!$B$5:$B$16,0)),"БЛОК: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сюда",IF(A53&gt;Ввод!$B$4,"БЛОК: оплата после последнего дня расчёта — продлите расчёт или уберите строку","ок"))))))))</f>
        <v/>
      </c>
    </row>
    <row r="54">
      <c r="A54" s="10" t="n"/>
      <c r="B54" s="15" t="n"/>
      <c r="C54" s="13" t="n"/>
      <c r="D54" s="13" t="n"/>
      <c r="E54" s="5">
        <f>IF(AND(A54="",B54="",C54="",D54=""),"",IF(OR(A54="",B54=""),"БЛОК: нужны и дата, и сумма",IF(B54&lt;=0,"БЛОК: сумма должна быть больше нуля",IF(D54="","БЛОК: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вас",IF(COUNTIF(Акты!$B$5:$B$16,D54)=0,"БЛОК: такого акта нет на листе «Акты» — добавьте акт или исправьте идентификатор",IF(NOT(ISNUMBER(INDEX(Акты!$E$5:$E$16,MATCH(D54,Акты!$B$5:$B$16,0)))),"БЛОК: у этого акта на листе «Акты» не указан первый день просрочки",IF(A54&lt;INDEX(Акты!$E$5:$E$16,MATCH(D54,Акты!$B$5:$B$16,0)),"БЛОК: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сюда",IF(A54&gt;Ввод!$B$4,"БЛОК: оплата после последнего дня расчёта — продлите расчёт или уберите строку","ок"))))))))</f>
        <v/>
      </c>
    </row>
    <row r="55">
      <c r="A55" s="10" t="n"/>
      <c r="B55" s="15" t="n"/>
      <c r="C55" s="13" t="n"/>
      <c r="D55" s="13" t="n"/>
      <c r="E55" s="5">
        <f>IF(AND(A55="",B55="",C55="",D55=""),"",IF(OR(A55="",B55=""),"БЛОК: нужны и дата, и сумма",IF(B55&lt;=0,"БЛОК: сумма должна быть больше нуля",IF(D55="","БЛОК: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вас",IF(COUNTIF(Акты!$B$5:$B$16,D55)=0,"БЛОК: такого акта нет на листе «Акты» — добавьте акт или исправьте идентификатор",IF(NOT(ISNUMBER(INDEX(Акты!$E$5:$E$16,MATCH(D55,Акты!$B$5:$B$16,0)))),"БЛОК: у этого акта на листе «Акты» не указан первый день просрочки",IF(A55&lt;INDEX(Акты!$E$5:$E$16,MATCH(D55,Акты!$B$5:$B$16,0)),"БЛОК: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сюда",IF(A55&gt;Ввод!$B$4,"БЛОК: оплата после последнего дня расчёта — продлите расчёт или уберите строку","ок"))))))))</f>
        <v/>
      </c>
    </row>
    <row r="56">
      <c r="A56" s="10" t="n"/>
      <c r="B56" s="15" t="n"/>
      <c r="C56" s="13" t="n"/>
      <c r="D56" s="13" t="n"/>
      <c r="E56" s="5">
        <f>IF(AND(A56="",B56="",C56="",D56=""),"",IF(OR(A56="",B56=""),"БЛОК: нужны и дата, и сумма",IF(B56&lt;=0,"БЛОК: сумма должна быть больше нуля",IF(D56="","БЛОК: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вас",IF(COUNTIF(Акты!$B$5:$B$16,D56)=0,"БЛОК: такого акта нет на листе «Акты» — добавьте акт или исправьте идентификатор",IF(NOT(ISNUMBER(INDEX(Акты!$E$5:$E$16,MATCH(D56,Акты!$B$5:$B$16,0)))),"БЛОК: у этого акта на листе «Акты» не указан первый день просрочки",IF(A56&lt;INDEX(Акты!$E$5:$E$16,MATCH(D56,Акты!$B$5:$B$16,0)),"БЛОК: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сюда",IF(A56&gt;Ввод!$B$4,"БЛОК: оплата после последнего дня расчёта — продлите расчёт или уберите строку","ок"))))))))</f>
        <v/>
      </c>
    </row>
    <row r="57">
      <c r="A57" s="10" t="n"/>
      <c r="B57" s="15" t="n"/>
      <c r="C57" s="13" t="n"/>
      <c r="D57" s="13" t="n"/>
      <c r="E57" s="5">
        <f>IF(AND(A57="",B57="",C57="",D57=""),"",IF(OR(A57="",B57=""),"БЛОК: нужны и дата, и сумма",IF(B57&lt;=0,"БЛОК: сумма должна быть больше нуля",IF(D57="","БЛОК: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вас",IF(COUNTIF(Акты!$B$5:$B$16,D57)=0,"БЛОК: такого акта нет на листе «Акты» — добавьте акт или исправьте идентификатор",IF(NOT(ISNUMBER(INDEX(Акты!$E$5:$E$16,MATCH(D57,Акты!$B$5:$B$16,0)))),"БЛОК: у этого акта на листе «Акты» не указан первый день просрочки",IF(A57&lt;INDEX(Акты!$E$5:$E$16,MATCH(D57,Акты!$B$5:$B$16,0)),"БЛОК: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сюда",IF(A57&gt;Ввод!$B$4,"БЛОК: оплата после последнего дня расчёта — продлите расчёт или уберите строку","ок"))))))))</f>
        <v/>
      </c>
    </row>
    <row r="58">
      <c r="A58" s="10" t="n"/>
      <c r="B58" s="15" t="n"/>
      <c r="C58" s="13" t="n"/>
      <c r="D58" s="13" t="n"/>
      <c r="E58" s="5">
        <f>IF(AND(A58="",B58="",C58="",D58=""),"",IF(OR(A58="",B58=""),"БЛОК: нужны и дата, и сумма",IF(B58&lt;=0,"БЛОК: сумма должна быть больше нуля",IF(D58="","БЛОК: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вас",IF(COUNTIF(Акты!$B$5:$B$16,D58)=0,"БЛОК: такого акта нет на листе «Акты» — добавьте акт или исправьте идентификатор",IF(NOT(ISNUMBER(INDEX(Акты!$E$5:$E$16,MATCH(D58,Акты!$B$5:$B$16,0)))),"БЛОК: у этого акта на листе «Акты» не указан первый день просрочки",IF(A58&lt;INDEX(Акты!$E$5:$E$16,MATCH(D58,Акты!$B$5:$B$16,0)),"БЛОК: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сюда",IF(A58&gt;Ввод!$B$4,"БЛОК: оплата после последнего дня расчёта — продлите расчёт или уберите строку","ок"))))))))</f>
        <v/>
      </c>
    </row>
    <row r="59">
      <c r="A59" s="10" t="n"/>
      <c r="B59" s="15" t="n"/>
      <c r="C59" s="13" t="n"/>
      <c r="D59" s="13" t="n"/>
      <c r="E59" s="5">
        <f>IF(AND(A59="",B59="",C59="",D59=""),"",IF(OR(A59="",B59=""),"БЛОК: нужны и дата, и сумма",IF(B59&lt;=0,"БЛОК: сумма должна быть больше нуля",IF(D59="","БЛОК: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вас",IF(COUNTIF(Акты!$B$5:$B$16,D59)=0,"БЛОК: такого акта нет на листе «Акты» — добавьте акт или исправьте идентификатор",IF(NOT(ISNUMBER(INDEX(Акты!$E$5:$E$16,MATCH(D59,Акты!$B$5:$B$16,0)))),"БЛОК: у этого акта на листе «Акты» не указан первый день просрочки",IF(A59&lt;INDEX(Акты!$E$5:$E$16,MATCH(D59,Акты!$B$5:$B$16,0)),"БЛОК: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сюда",IF(A59&gt;Ввод!$B$4,"БЛОК: оплата после последнего дня расчёта — продлите расчёт или уберите строку","ок"))))))))</f>
        <v/>
      </c>
    </row>
    <row r="60">
      <c r="A60" s="10" t="n"/>
      <c r="B60" s="15" t="n"/>
      <c r="C60" s="13" t="n"/>
      <c r="D60" s="13" t="n"/>
      <c r="E60" s="5">
        <f>IF(AND(A60="",B60="",C60="",D60=""),"",IF(OR(A60="",B60=""),"БЛОК: нужны и дата, и сумма",IF(B60&lt;=0,"БЛОК: сумма должна быть больше нуля",IF(D60="","БЛОК: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вас",IF(COUNTIF(Акты!$B$5:$B$16,D60)=0,"БЛОК: такого акта нет на листе «Акты» — добавьте акт или исправьте идентификатор",IF(NOT(ISNUMBER(INDEX(Акты!$E$5:$E$16,MATCH(D60,Акты!$B$5:$B$16,0)))),"БЛОК: у этого акта на листе «Акты» не указан первый день просрочки",IF(A60&lt;INDEX(Акты!$E$5:$E$16,MATCH(D60,Акты!$B$5:$B$16,0)),"БЛОК: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сюда",IF(A60&gt;Ввод!$B$4,"БЛОК: оплата после последнего дня расчёта — продлите расчёт или уберите строку","ок"))))))))</f>
        <v/>
      </c>
    </row>
    <row r="61">
      <c r="A61" s="10" t="n"/>
      <c r="B61" s="15" t="n"/>
      <c r="C61" s="13" t="n"/>
      <c r="D61" s="13" t="n"/>
      <c r="E61" s="5">
        <f>IF(AND(A61="",B61="",C61="",D61=""),"",IF(OR(A61="",B61=""),"БЛОК: нужны и дата, и сумма",IF(B61&lt;=0,"БЛОК: сумма должна быть больше нуля",IF(D61="","БЛОК: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вас",IF(COUNTIF(Акты!$B$5:$B$16,D61)=0,"БЛОК: такого акта нет на листе «Акты» — добавьте акт или исправьте идентификатор",IF(NOT(ISNUMBER(INDEX(Акты!$E$5:$E$16,MATCH(D61,Акты!$B$5:$B$16,0)))),"БЛОК: у этого акта на листе «Акты» не указан первый день просрочки",IF(A61&lt;INDEX(Акты!$E$5:$E$16,MATCH(D61,Акты!$B$5:$B$16,0)),"БЛОК: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сюда",IF(A61&gt;Ввод!$B$4,"БЛОК: оплата после последнего дня расчёта — продлите расчёт или уберите строку","ок"))))))))</f>
        <v/>
      </c>
    </row>
    <row r="62">
      <c r="A62" s="10" t="n"/>
      <c r="B62" s="15" t="n"/>
      <c r="C62" s="13" t="n"/>
      <c r="D62" s="13" t="n"/>
      <c r="E62" s="5">
        <f>IF(AND(A62="",B62="",C62="",D62=""),"",IF(OR(A62="",B62=""),"БЛОК: нужны и дата, и сумма",IF(B62&lt;=0,"БЛОК: сумма должна быть больше нуля",IF(D62="","БЛОК: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вас",IF(COUNTIF(Акты!$B$5:$B$16,D62)=0,"БЛОК: такого акта нет на листе «Акты» — добавьте акт или исправьте идентификатор",IF(NOT(ISNUMBER(INDEX(Акты!$E$5:$E$16,MATCH(D62,Акты!$B$5:$B$16,0)))),"БЛОК: у этого акта на листе «Акты» не указан первый день просрочки",IF(A62&lt;INDEX(Акты!$E$5:$E$16,MATCH(D62,Акты!$B$5:$B$16,0)),"БЛОК: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сюда",IF(A62&gt;Ввод!$B$4,"БЛОК: оплата после последнего дня расчёта — продлите расчёт или уберите строку","ок"))))))))</f>
        <v/>
      </c>
    </row>
    <row r="63">
      <c r="A63" s="10" t="n"/>
      <c r="B63" s="15" t="n"/>
      <c r="C63" s="13" t="n"/>
      <c r="D63" s="13" t="n"/>
      <c r="E63" s="5">
        <f>IF(AND(A63="",B63="",C63="",D63=""),"",IF(OR(A63="",B63=""),"БЛОК: нужны и дата, и сумма",IF(B63&lt;=0,"БЛОК: сумма должна быть больше нуля",IF(D63="","БЛОК: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вас",IF(COUNTIF(Акты!$B$5:$B$16,D63)=0,"БЛОК: такого акта нет на листе «Акты» — добавьте акт или исправьте идентификатор",IF(NOT(ISNUMBER(INDEX(Акты!$E$5:$E$16,MATCH(D63,Акты!$B$5:$B$16,0)))),"БЛОК: у этого акта на листе «Акты» не указан первый день просрочки",IF(A63&lt;INDEX(Акты!$E$5:$E$16,MATCH(D63,Акты!$B$5:$B$16,0)),"БЛОК: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сюда",IF(A63&gt;Ввод!$B$4,"БЛОК: оплата после последнего дня расчёта — продлите расчёт или уберите строку","ок"))))))))</f>
        <v/>
      </c>
    </row>
    <row r="64">
      <c r="A64" s="10" t="n"/>
      <c r="B64" s="15" t="n"/>
      <c r="C64" s="13" t="n"/>
      <c r="D64" s="13" t="n"/>
      <c r="E64" s="5">
        <f>IF(AND(A64="",B64="",C64="",D64=""),"",IF(OR(A64="",B64=""),"БЛОК: нужны и дата, и сумма",IF(B64&lt;=0,"БЛОК: сумма должна быть больше нуля",IF(D64="","БЛОК: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вас",IF(COUNTIF(Акты!$B$5:$B$16,D64)=0,"БЛОК: такого акта нет на листе «Акты» — добавьте акт или исправьте идентификатор",IF(NOT(ISNUMBER(INDEX(Акты!$E$5:$E$16,MATCH(D64,Акты!$B$5:$B$16,0)))),"БЛОК: у этого акта на листе «Акты» не указан первый день просрочки",IF(A64&lt;INDEX(Акты!$E$5:$E$16,MATCH(D64,Акты!$B$5:$B$16,0)),"БЛОК: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сюда",IF(A64&gt;Ввод!$B$4,"БЛОК: оплата после последнего дня расчёта — продлите расчёт или уберите строку","ок"))))))))</f>
        <v/>
      </c>
    </row>
    <row r="65">
      <c r="A65" s="10" t="n"/>
      <c r="B65" s="15" t="n"/>
      <c r="C65" s="13" t="n"/>
      <c r="D65" s="13" t="n"/>
      <c r="E65" s="5">
        <f>IF(AND(A65="",B65="",C65="",D65=""),"",IF(OR(A65="",B65=""),"БЛОК: нужны и дата, и сумма",IF(B65&lt;=0,"БЛОК: сумма должна быть больше нуля",IF(D65="","БЛОК: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вас",IF(COUNTIF(Акты!$B$5:$B$16,D65)=0,"БЛОК: такого акта нет на листе «Акты» — добавьте акт или исправьте идентификатор",IF(NOT(ISNUMBER(INDEX(Акты!$E$5:$E$16,MATCH(D65,Акты!$B$5:$B$16,0)))),"БЛОК: у этого акта на листе «Акты» не указан первый день просрочки",IF(A65&lt;INDEX(Акты!$E$5:$E$16,MATCH(D65,Акты!$B$5:$B$16,0)),"БЛОК: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сюда",IF(A65&gt;Ввод!$B$4,"БЛОК: оплата после последнего дня расчёта — продлите расчёт или уберите строку","ок"))))))))</f>
        <v/>
      </c>
    </row>
    <row r="66">
      <c r="A66" s="10" t="n"/>
      <c r="B66" s="15" t="n"/>
      <c r="C66" s="13" t="n"/>
      <c r="D66" s="13" t="n"/>
      <c r="E66" s="5">
        <f>IF(AND(A66="",B66="",C66="",D66=""),"",IF(OR(A66="",B66=""),"БЛОК: нужны и дата, и сумма",IF(B66&lt;=0,"БЛОК: сумма должна быть больше нуля",IF(D66="","БЛОК: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вас",IF(COUNTIF(Акты!$B$5:$B$16,D66)=0,"БЛОК: такого акта нет на листе «Акты» — добавьте акт или исправьте идентификатор",IF(NOT(ISNUMBER(INDEX(Акты!$E$5:$E$16,MATCH(D66,Акты!$B$5:$B$16,0)))),"БЛОК: у этого акта на листе «Акты» не указан первый день просрочки",IF(A66&lt;INDEX(Акты!$E$5:$E$16,MATCH(D66,Акты!$B$5:$B$16,0)),"БЛОК: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сюда",IF(A66&gt;Ввод!$B$4,"БЛОК: оплата после последнего дня расчёта — продлите расчёт или уберите строку","ок"))))))))</f>
        <v/>
      </c>
    </row>
    <row r="67">
      <c r="A67" s="10" t="n"/>
      <c r="B67" s="15" t="n"/>
      <c r="C67" s="13" t="n"/>
      <c r="D67" s="13" t="n"/>
      <c r="E67" s="5">
        <f>IF(AND(A67="",B67="",C67="",D67=""),"",IF(OR(A67="",B67=""),"БЛОК: нужны и дата, и сумма",IF(B67&lt;=0,"БЛОК: сумма должна быть больше нуля",IF(D67="","БЛОК: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вас",IF(COUNTIF(Акты!$B$5:$B$16,D67)=0,"БЛОК: такого акта нет на листе «Акты» — добавьте акт или исправьте идентификатор",IF(NOT(ISNUMBER(INDEX(Акты!$E$5:$E$16,MATCH(D67,Акты!$B$5:$B$16,0)))),"БЛОК: у этого акта на листе «Акты» не указан первый день просрочки",IF(A67&lt;INDEX(Акты!$E$5:$E$16,MATCH(D67,Акты!$B$5:$B$16,0)),"БЛОК: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сюда",IF(A67&gt;Ввод!$B$4,"БЛОК: оплата после последнего дня расчёта — продлите расчёт или уберите строку","ок"))))))))</f>
        <v/>
      </c>
    </row>
    <row r="68">
      <c r="A68" s="10" t="n"/>
      <c r="B68" s="15" t="n"/>
      <c r="C68" s="13" t="n"/>
      <c r="D68" s="13" t="n"/>
      <c r="E68" s="5">
        <f>IF(AND(A68="",B68="",C68="",D68=""),"",IF(OR(A68="",B68=""),"БЛОК: нужны и дата, и сумма",IF(B68&lt;=0,"БЛОК: сумма должна быть больше нуля",IF(D68="","БЛОК: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вас",IF(COUNTIF(Акты!$B$5:$B$16,D68)=0,"БЛОК: такого акта нет на листе «Акты» — добавьте акт или исправьте идентификатор",IF(NOT(ISNUMBER(INDEX(Акты!$E$5:$E$16,MATCH(D68,Акты!$B$5:$B$16,0)))),"БЛОК: у этого акта на листе «Акты» не указан первый день просрочки",IF(A68&lt;INDEX(Акты!$E$5:$E$16,MATCH(D68,Акты!$B$5:$B$16,0)),"БЛОК: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сюда",IF(A68&gt;Ввод!$B$4,"БЛОК: оплата после последнего дня расчёта — продлите расчёт или уберите строку","ок"))))))))</f>
        <v/>
      </c>
    </row>
    <row r="69">
      <c r="A69" s="10" t="n"/>
      <c r="B69" s="15" t="n"/>
      <c r="C69" s="13" t="n"/>
      <c r="D69" s="13" t="n"/>
      <c r="E69" s="5">
        <f>IF(AND(A69="",B69="",C69="",D69=""),"",IF(OR(A69="",B69=""),"БЛОК: нужны и дата, и сумма",IF(B69&lt;=0,"БЛОК: сумма должна быть больше нуля",IF(D69="","БЛОК: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вас",IF(COUNTIF(Акты!$B$5:$B$16,D69)=0,"БЛОК: такого акта нет на листе «Акты» — добавьте акт или исправьте идентификатор",IF(NOT(ISNUMBER(INDEX(Акты!$E$5:$E$16,MATCH(D69,Акты!$B$5:$B$16,0)))),"БЛОК: у этого акта на листе «Акты» не указан первый день просрочки",IF(A69&lt;INDEX(Акты!$E$5:$E$16,MATCH(D69,Акты!$B$5:$B$16,0)),"БЛОК: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сюда",IF(A69&gt;Ввод!$B$4,"БЛОК: оплата после последнего дня расчёта — продлите расчёт или уберите строку","ок"))))))))</f>
        <v/>
      </c>
    </row>
    <row r="70">
      <c r="A70" s="10" t="n"/>
      <c r="B70" s="15" t="n"/>
      <c r="C70" s="13" t="n"/>
      <c r="D70" s="13" t="n"/>
      <c r="E70" s="5">
        <f>IF(AND(A70="",B70="",C70="",D70=""),"",IF(OR(A70="",B70=""),"БЛОК: нужны и дата, и сумма",IF(B70&lt;=0,"БЛОК: сумма должна быть больше нуля",IF(D70="","БЛОК: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вас",IF(COUNTIF(Акты!$B$5:$B$16,D70)=0,"БЛОК: такого акта нет на листе «Акты» — добавьте акт или исправьте идентификатор",IF(NOT(ISNUMBER(INDEX(Акты!$E$5:$E$16,MATCH(D70,Акты!$B$5:$B$16,0)))),"БЛОК: у этого акта на листе «Акты» не указан первый день просрочки",IF(A70&lt;INDEX(Акты!$E$5:$E$16,MATCH(D70,Акты!$B$5:$B$16,0)),"БЛОК: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сюда",IF(A70&gt;Ввод!$B$4,"БЛОК: оплата после последнего дня расчёта — продлите расчёт или уберите строку","ок"))))))))</f>
        <v/>
      </c>
    </row>
    <row r="71">
      <c r="A71" s="10" t="n"/>
      <c r="B71" s="15" t="n"/>
      <c r="C71" s="13" t="n"/>
      <c r="D71" s="13" t="n"/>
      <c r="E71" s="5">
        <f>IF(AND(A71="",B71="",C71="",D71=""),"",IF(OR(A71="",B71=""),"БЛОК: нужны и дата, и сумма",IF(B71&lt;=0,"БЛОК: сумма должна быть больше нуля",IF(D71="","БЛОК: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вас",IF(COUNTIF(Акты!$B$5:$B$16,D71)=0,"БЛОК: такого акта нет на листе «Акты» — добавьте акт или исправьте идентификатор",IF(NOT(ISNUMBER(INDEX(Акты!$E$5:$E$16,MATCH(D71,Акты!$B$5:$B$16,0)))),"БЛОК: у этого акта на листе «Акты» не указан первый день просрочки",IF(A71&lt;INDEX(Акты!$E$5:$E$16,MATCH(D71,Акты!$B$5:$B$16,0)),"БЛОК: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сюда",IF(A71&gt;Ввод!$B$4,"БЛОК: оплата после последнего дня расчёта — продлите расчёт или уберите строку","ок"))))))))</f>
        <v/>
      </c>
    </row>
    <row r="72">
      <c r="A72" s="10" t="n"/>
      <c r="B72" s="15" t="n"/>
      <c r="C72" s="13" t="n"/>
      <c r="D72" s="13" t="n"/>
      <c r="E72" s="5">
        <f>IF(AND(A72="",B72="",C72="",D72=""),"",IF(OR(A72="",B72=""),"БЛОК: нужны и дата, и сумма",IF(B72&lt;=0,"БЛОК: сумма должна быть больше нуля",IF(D72="","БЛОК: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вас",IF(COUNTIF(Акты!$B$5:$B$16,D72)=0,"БЛОК: такого акта нет на листе «Акты» — добавьте акт или исправьте идентификатор",IF(NOT(ISNUMBER(INDEX(Акты!$E$5:$E$16,MATCH(D72,Акты!$B$5:$B$16,0)))),"БЛОК: у этого акта на листе «Акты» не указан первый день просрочки",IF(A72&lt;INDEX(Акты!$E$5:$E$16,MATCH(D72,Акты!$B$5:$B$16,0)),"БЛОК: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сюда",IF(A72&gt;Ввод!$B$4,"БЛОК: оплата после последнего дня расчёта — продлите расчёт или уберите строку","ок"))))))))</f>
        <v/>
      </c>
    </row>
    <row r="73">
      <c r="A73" s="10" t="n"/>
      <c r="B73" s="15" t="n"/>
      <c r="C73" s="13" t="n"/>
      <c r="D73" s="13" t="n"/>
      <c r="E73" s="5">
        <f>IF(AND(A73="",B73="",C73="",D73=""),"",IF(OR(A73="",B73=""),"БЛОК: нужны и дата, и сумма",IF(B73&lt;=0,"БЛОК: сумма должна быть больше нуля",IF(D73="","БЛОК: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вас",IF(COUNTIF(Акты!$B$5:$B$16,D73)=0,"БЛОК: такого акта нет на листе «Акты» — добавьте акт или исправьте идентификатор",IF(NOT(ISNUMBER(INDEX(Акты!$E$5:$E$16,MATCH(D73,Акты!$B$5:$B$16,0)))),"БЛОК: у этого акта на листе «Акты» не указан первый день просрочки",IF(A73&lt;INDEX(Акты!$E$5:$E$16,MATCH(D73,Акты!$B$5:$B$16,0)),"БЛОК: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сюда",IF(A73&gt;Ввод!$B$4,"БЛОК: оплата после последнего дня расчёта — продлите расчёт или уберите строку","ок"))))))))</f>
        <v/>
      </c>
    </row>
    <row r="74">
      <c r="A74" s="10" t="n"/>
      <c r="B74" s="15" t="n"/>
      <c r="C74" s="13" t="n"/>
      <c r="D74" s="13" t="n"/>
      <c r="E74" s="5">
        <f>IF(AND(A74="",B74="",C74="",D74=""),"",IF(OR(A74="",B74=""),"БЛОК: нужны и дата, и сумма",IF(B74&lt;=0,"БЛОК: сумма должна быть больше нуля",IF(D74="","БЛОК: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вас",IF(COUNTIF(Акты!$B$5:$B$16,D74)=0,"БЛОК: такого акта нет на листе «Акты» — добавьте акт или исправьте идентификатор",IF(NOT(ISNUMBER(INDEX(Акты!$E$5:$E$16,MATCH(D74,Акты!$B$5:$B$16,0)))),"БЛОК: у этого акта на листе «Акты» не указан первый день просрочки",IF(A74&lt;INDEX(Акты!$E$5:$E$16,MATCH(D74,Акты!$B$5:$B$16,0)),"БЛОК: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сюда",IF(A74&gt;Ввод!$B$4,"БЛОК: оплата после последнего дня расчёта — продлите расчёт или уберите строку","ок"))))))))</f>
        <v/>
      </c>
    </row>
    <row r="75">
      <c r="A75" s="10" t="n"/>
      <c r="B75" s="15" t="n"/>
      <c r="C75" s="13" t="n"/>
      <c r="D75" s="13" t="n"/>
      <c r="E75" s="5">
        <f>IF(AND(A75="",B75="",C75="",D75=""),"",IF(OR(A75="",B75=""),"БЛОК: нужны и дата, и сумма",IF(B75&lt;=0,"БЛОК: сумма должна быть больше нуля",IF(D75="","БЛОК: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вас",IF(COUNTIF(Акты!$B$5:$B$16,D75)=0,"БЛОК: такого акта нет на листе «Акты» — добавьте акт или исправьте идентификатор",IF(NOT(ISNUMBER(INDEX(Акты!$E$5:$E$16,MATCH(D75,Акты!$B$5:$B$16,0)))),"БЛОК: у этого акта на листе «Акты» не указан первый день просрочки",IF(A75&lt;INDEX(Акты!$E$5:$E$16,MATCH(D75,Акты!$B$5:$B$16,0)),"БЛОК: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сюда",IF(A75&gt;Ввод!$B$4,"БЛОК: оплата после последнего дня расчёта — продлите расчёт или уберите строку","ок"))))))))</f>
        <v/>
      </c>
    </row>
    <row r="76">
      <c r="A76" s="10" t="n"/>
      <c r="B76" s="15" t="n"/>
      <c r="C76" s="13" t="n"/>
      <c r="D76" s="13" t="n"/>
      <c r="E76" s="5">
        <f>IF(AND(A76="",B76="",C76="",D76=""),"",IF(OR(A76="",B76=""),"БЛОК: нужны и дата, и сумма",IF(B76&lt;=0,"БЛОК: сумма должна быть больше нуля",IF(D76="","БЛОК: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вас",IF(COUNTIF(Акты!$B$5:$B$16,D76)=0,"БЛОК: такого акта нет на листе «Акты» — добавьте акт или исправьте идентификатор",IF(NOT(ISNUMBER(INDEX(Акты!$E$5:$E$16,MATCH(D76,Акты!$B$5:$B$16,0)))),"БЛОК: у этого акта на листе «Акты» не указан первый день просрочки",IF(A76&lt;INDEX(Акты!$E$5:$E$16,MATCH(D76,Акты!$B$5:$B$16,0)),"БЛОК: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сюда",IF(A76&gt;Ввод!$B$4,"БЛОК: оплата после последнего дня расчёта — продлите расчёт или уберите строку","ок"))))))))</f>
        <v/>
      </c>
    </row>
    <row r="77">
      <c r="A77" s="10" t="n"/>
      <c r="B77" s="15" t="n"/>
      <c r="C77" s="13" t="n"/>
      <c r="D77" s="13" t="n"/>
      <c r="E77" s="5">
        <f>IF(AND(A77="",B77="",C77="",D77=""),"",IF(OR(A77="",B77=""),"БЛОК: нужны и дата, и сумма",IF(B77&lt;=0,"БЛОК: сумма должна быть больше нуля",IF(D77="","БЛОК: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вас",IF(COUNTIF(Акты!$B$5:$B$16,D77)=0,"БЛОК: такого акта нет на листе «Акты» — добавьте акт или исправьте идентификатор",IF(NOT(ISNUMBER(INDEX(Акты!$E$5:$E$16,MATCH(D77,Акты!$B$5:$B$16,0)))),"БЛОК: у этого акта на листе «Акты» не указан первый день просрочки",IF(A77&lt;INDEX(Акты!$E$5:$E$16,MATCH(D77,Акты!$B$5:$B$16,0)),"БЛОК: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сюда",IF(A77&gt;Ввод!$B$4,"БЛОК: оплата после последнего дня расчёта — продлите расчёт или уберите строку","ок"))))))))</f>
        <v/>
      </c>
    </row>
    <row r="78">
      <c r="A78" s="10" t="n"/>
      <c r="B78" s="15" t="n"/>
      <c r="C78" s="13" t="n"/>
      <c r="D78" s="13" t="n"/>
      <c r="E78" s="5">
        <f>IF(AND(A78="",B78="",C78="",D78=""),"",IF(OR(A78="",B78=""),"БЛОК: нужны и дата, и сумма",IF(B78&lt;=0,"БЛОК: сумма должна быть больше нуля",IF(D78="","БЛОК: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вас",IF(COUNTIF(Акты!$B$5:$B$16,D78)=0,"БЛОК: такого акта нет на листе «Акты» — добавьте акт или исправьте идентификатор",IF(NOT(ISNUMBER(INDEX(Акты!$E$5:$E$16,MATCH(D78,Акты!$B$5:$B$16,0)))),"БЛОК: у этого акта на листе «Акты» не указан первый день просрочки",IF(A78&lt;INDEX(Акты!$E$5:$E$16,MATCH(D78,Акты!$B$5:$B$16,0)),"БЛОК: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сюда",IF(A78&gt;Ввод!$B$4,"БЛОК: оплата после последнего дня расчёта — продлите расчёт или уберите строку","ок"))))))))</f>
        <v/>
      </c>
    </row>
    <row r="79">
      <c r="A79" s="10" t="n"/>
      <c r="B79" s="15" t="n"/>
      <c r="C79" s="13" t="n"/>
      <c r="D79" s="13" t="n"/>
      <c r="E79" s="5">
        <f>IF(AND(A79="",B79="",C79="",D79=""),"",IF(OR(A79="",B79=""),"БЛОК: нужны и дата, и сумма",IF(B79&lt;=0,"БЛОК: сумма должна быть больше нуля",IF(D79="","БЛОК: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вас",IF(COUNTIF(Акты!$B$5:$B$16,D79)=0,"БЛОК: такого акта нет на листе «Акты» — добавьте акт или исправьте идентификатор",IF(NOT(ISNUMBER(INDEX(Акты!$E$5:$E$16,MATCH(D79,Акты!$B$5:$B$16,0)))),"БЛОК: у этого акта на листе «Акты» не указан первый день просрочки",IF(A79&lt;INDEX(Акты!$E$5:$E$16,MATCH(D79,Акты!$B$5:$B$16,0)),"БЛОК: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сюда",IF(A79&gt;Ввод!$B$4,"БЛОК: оплата после последнего дня расчёта — продлите расчёт или уберите строку","ок"))))))))</f>
        <v/>
      </c>
    </row>
    <row r="80">
      <c r="A80" s="10" t="n"/>
      <c r="B80" s="15" t="n"/>
      <c r="C80" s="13" t="n"/>
      <c r="D80" s="13" t="n"/>
      <c r="E80" s="5">
        <f>IF(AND(A80="",B80="",C80="",D80=""),"",IF(OR(A80="",B80=""),"БЛОК: нужны и дата, и сумма",IF(B80&lt;=0,"БЛОК: сумма должна быть больше нуля",IF(D80="","БЛОК: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вас",IF(COUNTIF(Акты!$B$5:$B$16,D80)=0,"БЛОК: такого акта нет на листе «Акты» — добавьте акт или исправьте идентификатор",IF(NOT(ISNUMBER(INDEX(Акты!$E$5:$E$16,MATCH(D80,Акты!$B$5:$B$16,0)))),"БЛОК: у этого акта на листе «Акты» не указан первый день просрочки",IF(A80&lt;INDEX(Акты!$E$5:$E$16,MATCH(D80,Акты!$B$5:$B$16,0)),"БЛОК: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сюда",IF(A80&gt;Ввод!$B$4,"БЛОК: оплата после последнего дня расчёта — продлите расчёт или уберите строку","ок"))))))))</f>
        <v/>
      </c>
    </row>
    <row r="81">
      <c r="A81" s="10" t="n"/>
      <c r="B81" s="15" t="n"/>
      <c r="C81" s="13" t="n"/>
      <c r="D81" s="13" t="n"/>
      <c r="E81" s="5">
        <f>IF(AND(A81="",B81="",C81="",D81=""),"",IF(OR(A81="",B81=""),"БЛОК: нужны и дата, и сумма",IF(B81&lt;=0,"БЛОК: сумма должна быть больше нуля",IF(D81="","БЛОК: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вас",IF(COUNTIF(Акты!$B$5:$B$16,D81)=0,"БЛОК: такого акта нет на листе «Акты» — добавьте акт или исправьте идентификатор",IF(NOT(ISNUMBER(INDEX(Акты!$E$5:$E$16,MATCH(D81,Акты!$B$5:$B$16,0)))),"БЛОК: у этого акта на листе «Акты» не указан первый день просрочки",IF(A81&lt;INDEX(Акты!$E$5:$E$16,MATCH(D81,Акты!$B$5:$B$16,0)),"БЛОК: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сюда",IF(A81&gt;Ввод!$B$4,"БЛОК: оплата после последнего дня расчёта — продлите расчёт или уберите строку","ок"))))))))</f>
        <v/>
      </c>
    </row>
    <row r="82">
      <c r="A82" s="10" t="n"/>
      <c r="B82" s="15" t="n"/>
      <c r="C82" s="13" t="n"/>
      <c r="D82" s="13" t="n"/>
      <c r="E82" s="5">
        <f>IF(AND(A82="",B82="",C82="",D82=""),"",IF(OR(A82="",B82=""),"БЛОК: нужны и дата, и сумма",IF(B82&lt;=0,"БЛОК: сумма должна быть больше нуля",IF(D82="","БЛОК: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вас",IF(COUNTIF(Акты!$B$5:$B$16,D82)=0,"БЛОК: такого акта нет на листе «Акты» — добавьте акт или исправьте идентификатор",IF(NOT(ISNUMBER(INDEX(Акты!$E$5:$E$16,MATCH(D82,Акты!$B$5:$B$16,0)))),"БЛОК: у этого акта на листе «Акты» не указан первый день просрочки",IF(A82&lt;INDEX(Акты!$E$5:$E$16,MATCH(D82,Акты!$B$5:$B$16,0)),"БЛОК: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сюда",IF(A82&gt;Ввод!$B$4,"БЛОК: оплата после последнего дня расчёта — продлите расчёт или уберите строку","ок"))))))))</f>
        <v/>
      </c>
    </row>
    <row r="83">
      <c r="A83" s="10" t="n"/>
      <c r="B83" s="15" t="n"/>
      <c r="C83" s="13" t="n"/>
      <c r="D83" s="13" t="n"/>
      <c r="E83" s="5">
        <f>IF(AND(A83="",B83="",C83="",D83=""),"",IF(OR(A83="",B83=""),"БЛОК: нужны и дата, и сумма",IF(B83&lt;=0,"БЛОК: сумма должна быть больше нуля",IF(D83="","БЛОК: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вас",IF(COUNTIF(Акты!$B$5:$B$16,D83)=0,"БЛОК: такого акта нет на листе «Акты» — добавьте акт или исправьте идентификатор",IF(NOT(ISNUMBER(INDEX(Акты!$E$5:$E$16,MATCH(D83,Акты!$B$5:$B$16,0)))),"БЛОК: у этого акта на листе «Акты» не указан первый день просрочки",IF(A83&lt;INDEX(Акты!$E$5:$E$16,MATCH(D83,Акты!$B$5:$B$16,0)),"БЛОК: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сюда",IF(A83&gt;Ввод!$B$4,"БЛОК: оплата после последнего дня расчёта — продлите расчёт или уберите строку","ок"))))))))</f>
        <v/>
      </c>
    </row>
    <row r="84">
      <c r="A84" s="10" t="n"/>
      <c r="B84" s="15" t="n"/>
      <c r="C84" s="13" t="n"/>
      <c r="D84" s="13" t="n"/>
      <c r="E84" s="5">
        <f>IF(AND(A84="",B84="",C84="",D84=""),"",IF(OR(A84="",B84=""),"БЛОК: нужны и дата, и сумма",IF(B84&lt;=0,"БЛОК: сумма должна быть больше нуля",IF(D84="","БЛОК: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вас",IF(COUNTIF(Акты!$B$5:$B$16,D84)=0,"БЛОК: такого акта нет на листе «Акты» — добавьте акт или исправьте идентификатор",IF(NOT(ISNUMBER(INDEX(Акты!$E$5:$E$16,MATCH(D84,Акты!$B$5:$B$16,0)))),"БЛОК: у этого акта на листе «Акты» не указан первый день просрочки",IF(A84&lt;INDEX(Акты!$E$5:$E$16,MATCH(D84,Акты!$B$5:$B$16,0)),"БЛОК: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сюда",IF(A84&gt;Ввод!$B$4,"БЛОК: оплата после последнего дня расчёта — продлите расчёт или уберите строку","ок"))))))))</f>
        <v/>
      </c>
    </row>
    <row r="85">
      <c r="A85" s="10" t="n"/>
      <c r="B85" s="15" t="n"/>
      <c r="C85" s="13" t="n"/>
      <c r="D85" s="13" t="n"/>
      <c r="E85" s="5">
        <f>IF(AND(A85="",B85="",C85="",D85=""),"",IF(OR(A85="",B85=""),"БЛОК: нужны и дата, и сумма",IF(B85&lt;=0,"БЛОК: сумма должна быть больше нуля",IF(D85="","БЛОК: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вас",IF(COUNTIF(Акты!$B$5:$B$16,D85)=0,"БЛОК: такого акта нет на листе «Акты» — добавьте акт или исправьте идентификатор",IF(NOT(ISNUMBER(INDEX(Акты!$E$5:$E$16,MATCH(D85,Акты!$B$5:$B$16,0)))),"БЛОК: у этого акта на листе «Акты» не указан первый день просрочки",IF(A85&lt;INDEX(Акты!$E$5:$E$16,MATCH(D85,Акты!$B$5:$B$16,0)),"БЛОК: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сюда",IF(A85&gt;Ввод!$B$4,"БЛОК: оплата после последнего дня расчёта — продлите расчёт или уберите строку","ок"))))))))</f>
        <v/>
      </c>
    </row>
    <row r="86">
      <c r="A86" s="10" t="n"/>
      <c r="B86" s="15" t="n"/>
      <c r="C86" s="13" t="n"/>
      <c r="D86" s="13" t="n"/>
      <c r="E86" s="5">
        <f>IF(AND(A86="",B86="",C86="",D86=""),"",IF(OR(A86="",B86=""),"БЛОК: нужны и дата, и сумма",IF(B86&lt;=0,"БЛОК: сумма должна быть больше нуля",IF(D86="","БЛОК: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вас",IF(COUNTIF(Акты!$B$5:$B$16,D86)=0,"БЛОК: такого акта нет на листе «Акты» — добавьте акт или исправьте идентификатор",IF(NOT(ISNUMBER(INDEX(Акты!$E$5:$E$16,MATCH(D86,Акты!$B$5:$B$16,0)))),"БЛОК: у этого акта на листе «Акты» не указан первый день просрочки",IF(A86&lt;INDEX(Акты!$E$5:$E$16,MATCH(D86,Акты!$B$5:$B$16,0)),"БЛОК: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сюда",IF(A86&gt;Ввод!$B$4,"БЛОК: оплата после последнего дня расчёта — продлите расчёт или уберите строку","ок"))))))))</f>
        <v/>
      </c>
    </row>
    <row r="87">
      <c r="A87" s="10" t="n"/>
      <c r="B87" s="15" t="n"/>
      <c r="C87" s="13" t="n"/>
      <c r="D87" s="13" t="n"/>
      <c r="E87" s="5">
        <f>IF(AND(A87="",B87="",C87="",D87=""),"",IF(OR(A87="",B87=""),"БЛОК: нужны и дата, и сумма",IF(B87&lt;=0,"БЛОК: сумма должна быть больше нуля",IF(D87="","БЛОК: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вас",IF(COUNTIF(Акты!$B$5:$B$16,D87)=0,"БЛОК: такого акта нет на листе «Акты» — добавьте акт или исправьте идентификатор",IF(NOT(ISNUMBER(INDEX(Акты!$E$5:$E$16,MATCH(D87,Акты!$B$5:$B$16,0)))),"БЛОК: у этого акта на листе «Акты» не указан первый день просрочки",IF(A87&lt;INDEX(Акты!$E$5:$E$16,MATCH(D87,Акты!$B$5:$B$16,0)),"БЛОК: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сюда",IF(A87&gt;Ввод!$B$4,"БЛОК: оплата после последнего дня расчёта — продлите расчёт или уберите строку","ок"))))))))</f>
        <v/>
      </c>
    </row>
    <row r="88">
      <c r="A88" s="10" t="n"/>
      <c r="B88" s="15" t="n"/>
      <c r="C88" s="13" t="n"/>
      <c r="D88" s="13" t="n"/>
      <c r="E88" s="5">
        <f>IF(AND(A88="",B88="",C88="",D88=""),"",IF(OR(A88="",B88=""),"БЛОК: нужны и дата, и сумма",IF(B88&lt;=0,"БЛОК: сумма должна быть больше нуля",IF(D88="","БЛОК: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вас",IF(COUNTIF(Акты!$B$5:$B$16,D88)=0,"БЛОК: такого акта нет на листе «Акты» — добавьте акт или исправьте идентификатор",IF(NOT(ISNUMBER(INDEX(Акты!$E$5:$E$16,MATCH(D88,Акты!$B$5:$B$16,0)))),"БЛОК: у этого акта на листе «Акты» не указан первый день просрочки",IF(A88&lt;INDEX(Акты!$E$5:$E$16,MATCH(D88,Акты!$B$5:$B$16,0)),"БЛОК: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сюда",IF(A88&gt;Ввод!$B$4,"БЛОК: оплата после последнего дня расчёта — продлите расчёт или уберите строку","ок"))))))))</f>
        <v/>
      </c>
    </row>
    <row r="89">
      <c r="A89" s="10" t="n"/>
      <c r="B89" s="15" t="n"/>
      <c r="C89" s="13" t="n"/>
      <c r="D89" s="13" t="n"/>
      <c r="E89" s="5">
        <f>IF(AND(A89="",B89="",C89="",D89=""),"",IF(OR(A89="",B89=""),"БЛОК: нужны и дата, и сумма",IF(B89&lt;=0,"БЛОК: сумма должна быть больше нуля",IF(D89="","БЛОК: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вас",IF(COUNTIF(Акты!$B$5:$B$16,D89)=0,"БЛОК: такого акта нет на листе «Акты» — добавьте акт или исправьте идентификатор",IF(NOT(ISNUMBER(INDEX(Акты!$E$5:$E$16,MATCH(D89,Акты!$B$5:$B$16,0)))),"БЛОК: у этого акта на листе «Акты» не указан первый день просрочки",IF(A89&lt;INDEX(Акты!$E$5:$E$16,MATCH(D89,Акты!$B$5:$B$16,0)),"БЛОК: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сюда",IF(A89&gt;Ввод!$B$4,"БЛОК: оплата после последнего дня расчёта — продлите расчёт или уберите строку","ок"))))))))</f>
        <v/>
      </c>
    </row>
    <row r="90">
      <c r="A90" s="10" t="n"/>
      <c r="B90" s="15" t="n"/>
      <c r="C90" s="13" t="n"/>
      <c r="D90" s="13" t="n"/>
      <c r="E90" s="5">
        <f>IF(AND(A90="",B90="",C90="",D90=""),"",IF(OR(A90="",B90=""),"БЛОК: нужны и дата, и сумма",IF(B90&lt;=0,"БЛОК: сумма должна быть больше нуля",IF(D90="","БЛОК: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вас",IF(COUNTIF(Акты!$B$5:$B$16,D90)=0,"БЛОК: такого акта нет на листе «Акты» — добавьте акт или исправьте идентификатор",IF(NOT(ISNUMBER(INDEX(Акты!$E$5:$E$16,MATCH(D90,Акты!$B$5:$B$16,0)))),"БЛОК: у этого акта на листе «Акты» не указан первый день просрочки",IF(A90&lt;INDEX(Акты!$E$5:$E$16,MATCH(D90,Акты!$B$5:$B$16,0)),"БЛОК: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сюда",IF(A90&gt;Ввод!$B$4,"БЛОК: оплата после последнего дня расчёта — продлите расчёт или уберите строку","ок"))))))))</f>
        <v/>
      </c>
    </row>
    <row r="91">
      <c r="A91" s="10" t="n"/>
      <c r="B91" s="15" t="n"/>
      <c r="C91" s="13" t="n"/>
      <c r="D91" s="13" t="n"/>
      <c r="E91" s="5">
        <f>IF(AND(A91="",B91="",C91="",D91=""),"",IF(OR(A91="",B91=""),"БЛОК: нужны и дата, и сумма",IF(B91&lt;=0,"БЛОК: сумма должна быть больше нуля",IF(D91="","БЛОК: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вас",IF(COUNTIF(Акты!$B$5:$B$16,D91)=0,"БЛОК: такого акта нет на листе «Акты» — добавьте акт или исправьте идентификатор",IF(NOT(ISNUMBER(INDEX(Акты!$E$5:$E$16,MATCH(D91,Акты!$B$5:$B$16,0)))),"БЛОК: у этого акта на листе «Акты» не указан первый день просрочки",IF(A91&lt;INDEX(Акты!$E$5:$E$16,MATCH(D91,Акты!$B$5:$B$16,0)),"БЛОК: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сюда",IF(A91&gt;Ввод!$B$4,"БЛОК: оплата после последнего дня расчёта — продлите расчёт или уберите строку","ок"))))))))</f>
        <v/>
      </c>
    </row>
    <row r="92">
      <c r="A92" s="10" t="n"/>
      <c r="B92" s="15" t="n"/>
      <c r="C92" s="13" t="n"/>
      <c r="D92" s="13" t="n"/>
      <c r="E92" s="5">
        <f>IF(AND(A92="",B92="",C92="",D92=""),"",IF(OR(A92="",B92=""),"БЛОК: нужны и дата, и сумма",IF(B92&lt;=0,"БЛОК: сумма должна быть больше нуля",IF(D92="","БЛОК: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вас",IF(COUNTIF(Акты!$B$5:$B$16,D92)=0,"БЛОК: такого акта нет на листе «Акты» — добавьте акт или исправьте идентификатор",IF(NOT(ISNUMBER(INDEX(Акты!$E$5:$E$16,MATCH(D92,Акты!$B$5:$B$16,0)))),"БЛОК: у этого акта на листе «Акты» не указан первый день просрочки",IF(A92&lt;INDEX(Акты!$E$5:$E$16,MATCH(D92,Акты!$B$5:$B$16,0)),"БЛОК: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сюда",IF(A92&gt;Ввод!$B$4,"БЛОК: оплата после последнего дня расчёта — продлите расчёт или уберите строку","ок"))))))))</f>
        <v/>
      </c>
    </row>
    <row r="93">
      <c r="A93" s="10" t="n"/>
      <c r="B93" s="15" t="n"/>
      <c r="C93" s="13" t="n"/>
      <c r="D93" s="13" t="n"/>
      <c r="E93" s="5">
        <f>IF(AND(A93="",B93="",C93="",D93=""),"",IF(OR(A93="",B93=""),"БЛОК: нужны и дата, и сумма",IF(B93&lt;=0,"БЛОК: сумма должна быть больше нуля",IF(D93="","БЛОК: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вас",IF(COUNTIF(Акты!$B$5:$B$16,D93)=0,"БЛОК: такого акта нет на листе «Акты» — добавьте акт или исправьте идентификатор",IF(NOT(ISNUMBER(INDEX(Акты!$E$5:$E$16,MATCH(D93,Акты!$B$5:$B$16,0)))),"БЛОК: у этого акта на листе «Акты» не указан первый день просрочки",IF(A93&lt;INDEX(Акты!$E$5:$E$16,MATCH(D93,Акты!$B$5:$B$16,0)),"БЛОК: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сюда",IF(A93&gt;Ввод!$B$4,"БЛОК: оплата после последнего дня расчёта — продлите расчёт или уберите строку","ок"))))))))</f>
        <v/>
      </c>
    </row>
    <row r="94">
      <c r="A94" s="10" t="n"/>
      <c r="B94" s="15" t="n"/>
      <c r="C94" s="13" t="n"/>
      <c r="D94" s="13" t="n"/>
      <c r="E94" s="5">
        <f>IF(AND(A94="",B94="",C94="",D94=""),"",IF(OR(A94="",B94=""),"БЛОК: нужны и дата, и сумма",IF(B94&lt;=0,"БЛОК: сумма должна быть больше нуля",IF(D94="","БЛОК: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вас",IF(COUNTIF(Акты!$B$5:$B$16,D94)=0,"БЛОК: такого акта нет на листе «Акты» — добавьте акт или исправьте идентификатор",IF(NOT(ISNUMBER(INDEX(Акты!$E$5:$E$16,MATCH(D94,Акты!$B$5:$B$16,0)))),"БЛОК: у этого акта на листе «Акты» не указан первый день просрочки",IF(A94&lt;INDEX(Акты!$E$5:$E$16,MATCH(D94,Акты!$B$5:$B$16,0)),"БЛОК: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сюда",IF(A94&gt;Ввод!$B$4,"БЛОК: оплата после последнего дня расчёта — продлите расчёт или уберите строку","ок"))))))))</f>
        <v/>
      </c>
    </row>
    <row r="95">
      <c r="A95" s="10" t="n"/>
      <c r="B95" s="15" t="n"/>
      <c r="C95" s="13" t="n"/>
      <c r="D95" s="13" t="n"/>
      <c r="E95" s="5">
        <f>IF(AND(A95="",B95="",C95="",D95=""),"",IF(OR(A95="",B95=""),"БЛОК: нужны и дата, и сумма",IF(B95&lt;=0,"БЛОК: сумма должна быть больше нуля",IF(D95="","БЛОК: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вас",IF(COUNTIF(Акты!$B$5:$B$16,D95)=0,"БЛОК: такого акта нет на листе «Акты» — добавьте акт или исправьте идентификатор",IF(NOT(ISNUMBER(INDEX(Акты!$E$5:$E$16,MATCH(D95,Акты!$B$5:$B$16,0)))),"БЛОК: у этого акта на листе «Акты» не указан первый день просрочки",IF(A95&lt;INDEX(Акты!$E$5:$E$16,MATCH(D95,Акты!$B$5:$B$16,0)),"БЛОК: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сюда",IF(A95&gt;Ввод!$B$4,"БЛОК: оплата после последнего дня расчёта — продлите расчёт или уберите строку","ок"))))))))</f>
        <v/>
      </c>
    </row>
    <row r="96">
      <c r="A96" s="10" t="n"/>
      <c r="B96" s="15" t="n"/>
      <c r="C96" s="13" t="n"/>
      <c r="D96" s="13" t="n"/>
      <c r="E96" s="5">
        <f>IF(AND(A96="",B96="",C96="",D96=""),"",IF(OR(A96="",B96=""),"БЛОК: нужны и дата, и сумма",IF(B96&lt;=0,"БЛОК: сумма должна быть больше нуля",IF(D96="","БЛОК: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вас",IF(COUNTIF(Акты!$B$5:$B$16,D96)=0,"БЛОК: такого акта нет на листе «Акты» — добавьте акт или исправьте идентификатор",IF(NOT(ISNUMBER(INDEX(Акты!$E$5:$E$16,MATCH(D96,Акты!$B$5:$B$16,0)))),"БЛОК: у этого акта на листе «Акты» не указан первый день просрочки",IF(A96&lt;INDEX(Акты!$E$5:$E$16,MATCH(D96,Акты!$B$5:$B$16,0)),"БЛОК: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сюда",IF(A96&gt;Ввод!$B$4,"БЛОК: оплата после последнего дня расчёта — продлите расчёт или уберите строку","ок"))))))))</f>
        <v/>
      </c>
    </row>
    <row r="97">
      <c r="A97" s="10" t="n"/>
      <c r="B97" s="15" t="n"/>
      <c r="C97" s="13" t="n"/>
      <c r="D97" s="13" t="n"/>
      <c r="E97" s="5">
        <f>IF(AND(A97="",B97="",C97="",D97=""),"",IF(OR(A97="",B97=""),"БЛОК: нужны и дата, и сумма",IF(B97&lt;=0,"БЛОК: сумма должна быть больше нуля",IF(D97="","БЛОК: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вас",IF(COUNTIF(Акты!$B$5:$B$16,D97)=0,"БЛОК: такого акта нет на листе «Акты» — добавьте акт или исправьте идентификатор",IF(NOT(ISNUMBER(INDEX(Акты!$E$5:$E$16,MATCH(D97,Акты!$B$5:$B$16,0)))),"БЛОК: у этого акта на листе «Акты» не указан первый день просрочки",IF(A97&lt;INDEX(Акты!$E$5:$E$16,MATCH(D97,Акты!$B$5:$B$16,0)),"БЛОК: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сюда",IF(A97&gt;Ввод!$B$4,"БЛОК: оплата после последнего дня расчёта — продлите расчёт или уберите строку","ок"))))))))</f>
        <v/>
      </c>
    </row>
    <row r="98">
      <c r="A98" s="10" t="n"/>
      <c r="B98" s="15" t="n"/>
      <c r="C98" s="13" t="n"/>
      <c r="D98" s="13" t="n"/>
      <c r="E98" s="5">
        <f>IF(AND(A98="",B98="",C98="",D98=""),"",IF(OR(A98="",B98=""),"БЛОК: нужны и дата, и сумма",IF(B98&lt;=0,"БЛОК: сумма должна быть больше нуля",IF(D98="","БЛОК: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вас",IF(COUNTIF(Акты!$B$5:$B$16,D98)=0,"БЛОК: такого акта нет на листе «Акты» — добавьте акт или исправьте идентификатор",IF(NOT(ISNUMBER(INDEX(Акты!$E$5:$E$16,MATCH(D98,Акты!$B$5:$B$16,0)))),"БЛОК: у этого акта на листе «Акты» не указан первый день просрочки",IF(A98&lt;INDEX(Акты!$E$5:$E$16,MATCH(D98,Акты!$B$5:$B$16,0)),"БЛОК: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сюда",IF(A98&gt;Ввод!$B$4,"БЛОК: оплата после последнего дня расчёта — продлите расчёт или уберите строку","ок"))))))))</f>
        <v/>
      </c>
    </row>
    <row r="99">
      <c r="A99" s="10" t="n"/>
      <c r="B99" s="15" t="n"/>
      <c r="C99" s="13" t="n"/>
      <c r="D99" s="13" t="n"/>
      <c r="E99" s="5">
        <f>IF(AND(A99="",B99="",C99="",D99=""),"",IF(OR(A99="",B99=""),"БЛОК: нужны и дата, и сумма",IF(B99&lt;=0,"БЛОК: сумма должна быть больше нуля",IF(D99="","БЛОК: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вас",IF(COUNTIF(Акты!$B$5:$B$16,D99)=0,"БЛОК: такого акта нет на листе «Акты» — добавьте акт или исправьте идентификатор",IF(NOT(ISNUMBER(INDEX(Акты!$E$5:$E$16,MATCH(D99,Акты!$B$5:$B$16,0)))),"БЛОК: у этого акта на листе «Акты» не указан первый день просрочки",IF(A99&lt;INDEX(Акты!$E$5:$E$16,MATCH(D99,Акты!$B$5:$B$16,0)),"БЛОК: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сюда",IF(A99&gt;Ввод!$B$4,"БЛОК: оплата после последнего дня расчёта — продлите расчёт или уберите строку","ок"))))))))</f>
        <v/>
      </c>
    </row>
    <row r="100">
      <c r="A100" s="10" t="n"/>
      <c r="B100" s="15" t="n"/>
      <c r="C100" s="13" t="n"/>
      <c r="D100" s="13" t="n"/>
      <c r="E100" s="5">
        <f>IF(AND(A100="",B100="",C100="",D100=""),"",IF(OR(A100="",B100=""),"БЛОК: нужны и дата, и сумма",IF(B100&lt;=0,"БЛОК: сумма должна быть больше нуля",IF(D100="","БЛОК: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вас",IF(COUNTIF(Акты!$B$5:$B$16,D100)=0,"БЛОК: такого акта нет на листе «Акты» — добавьте акт или исправьте идентификатор",IF(NOT(ISNUMBER(INDEX(Акты!$E$5:$E$16,MATCH(D100,Акты!$B$5:$B$16,0)))),"БЛОК: у этого акта на листе «Акты» не указан первый день просрочки",IF(A100&lt;INDEX(Акты!$E$5:$E$16,MATCH(D100,Акты!$B$5:$B$16,0)),"БЛОК: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сюда",IF(A100&gt;Ввод!$B$4,"БЛОК: оплата после последнего дня расчёта — продлите расчёт или уберите строку","ок"))))))))</f>
        <v/>
      </c>
    </row>
    <row r="101">
      <c r="A101" s="10" t="n"/>
      <c r="B101" s="15" t="n"/>
      <c r="C101" s="13" t="n"/>
      <c r="D101" s="13" t="n"/>
      <c r="E101" s="5">
        <f>IF(AND(A101="",B101="",C101="",D101=""),"",IF(OR(A101="",B101=""),"БЛОК: нужны и дата, и сумма",IF(B101&lt;=0,"БЛОК: сумма должна быть больше нуля",IF(D101="","БЛОК: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вас",IF(COUNTIF(Акты!$B$5:$B$16,D101)=0,"БЛОК: такого акта нет на листе «Акты» — добавьте акт или исправьте идентификатор",IF(NOT(ISNUMBER(INDEX(Акты!$E$5:$E$16,MATCH(D101,Акты!$B$5:$B$16,0)))),"БЛОК: у этого акта на листе «Акты» не указан первый день просрочки",IF(A101&lt;INDEX(Акты!$E$5:$E$16,MATCH(D101,Акты!$B$5:$B$16,0)),"БЛОК: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сюда",IF(A101&gt;Ввод!$B$4,"БЛОК: оплата после последнего дня расчёта — продлите расчёт или уберите строку","ок"))))))))</f>
        <v/>
      </c>
    </row>
    <row r="102">
      <c r="A102" s="10" t="n"/>
      <c r="B102" s="15" t="n"/>
      <c r="C102" s="13" t="n"/>
      <c r="D102" s="13" t="n"/>
      <c r="E102" s="5">
        <f>IF(AND(A102="",B102="",C102="",D102=""),"",IF(OR(A102="",B102=""),"БЛОК: нужны и дата, и сумма",IF(B102&lt;=0,"БЛОК: сумма должна быть больше нуля",IF(D102="","БЛОК: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вас",IF(COUNTIF(Акты!$B$5:$B$16,D102)=0,"БЛОК: такого акта нет на листе «Акты» — добавьте акт или исправьте идентификатор",IF(NOT(ISNUMBER(INDEX(Акты!$E$5:$E$16,MATCH(D102,Акты!$B$5:$B$16,0)))),"БЛОК: у этого акта на листе «Акты» не указан первый день просрочки",IF(A102&lt;INDEX(Акты!$E$5:$E$16,MATCH(D102,Акты!$B$5:$B$16,0)),"БЛОК: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сюда",IF(A102&gt;Ввод!$B$4,"БЛОК: оплата после последнего дня расчёта — продлите расчёт или уберите строку","ок"))))))))</f>
        <v/>
      </c>
    </row>
    <row r="103">
      <c r="A103" s="10" t="n"/>
      <c r="B103" s="15" t="n"/>
      <c r="C103" s="13" t="n"/>
      <c r="D103" s="13" t="n"/>
      <c r="E103" s="5">
        <f>IF(AND(A103="",B103="",C103="",D103=""),"",IF(OR(A103="",B103=""),"БЛОК: нужны и дата, и сумма",IF(B103&lt;=0,"БЛОК: сумма должна быть больше нуля",IF(D103="","БЛОК: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вас",IF(COUNTIF(Акты!$B$5:$B$16,D103)=0,"БЛОК: такого акта нет на листе «Акты» — добавьте акт или исправьте идентификатор",IF(NOT(ISNUMBER(INDEX(Акты!$E$5:$E$16,MATCH(D103,Акты!$B$5:$B$16,0)))),"БЛОК: у этого акта на листе «Акты» не указан первый день просрочки",IF(A103&lt;INDEX(Акты!$E$5:$E$16,MATCH(D103,Акты!$B$5:$B$16,0)),"БЛОК: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сюда",IF(A103&gt;Ввод!$B$4,"БЛОК: оплата после последнего дня расчёта — продлите расчёт или уберите строку","ок"))))))))</f>
        <v/>
      </c>
    </row>
    <row r="104">
      <c r="A104" s="10" t="n"/>
      <c r="B104" s="15" t="n"/>
      <c r="C104" s="13" t="n"/>
      <c r="D104" s="13" t="n"/>
      <c r="E104" s="5">
        <f>IF(AND(A104="",B104="",C104="",D104=""),"",IF(OR(A104="",B104=""),"БЛОК: нужны и дата, и сумма",IF(B104&lt;=0,"БЛОК: сумма должна быть больше нуля",IF(D104="","БЛОК: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вас",IF(COUNTIF(Акты!$B$5:$B$16,D104)=0,"БЛОК: такого акта нет на листе «Акты» — добавьте акт или исправьте идентификатор",IF(NOT(ISNUMBER(INDEX(Акты!$E$5:$E$16,MATCH(D104,Акты!$B$5:$B$16,0)))),"БЛОК: у этого акта на листе «Акты» не указан первый день просрочки",IF(A104&lt;INDEX(Акты!$E$5:$E$16,MATCH(D104,Акты!$B$5:$B$16,0)),"БЛОК: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сюда",IF(A104&gt;Ввод!$B$4,"БЛОК: оплата после последнего дня расчёта — продлите расчёт или уберите строку","ок"))))))))</f>
        <v/>
      </c>
    </row>
    <row r="105">
      <c r="A105" s="10" t="n"/>
      <c r="B105" s="15" t="n"/>
      <c r="C105" s="13" t="n"/>
      <c r="D105" s="13" t="n"/>
      <c r="E105" s="5">
        <f>IF(AND(A105="",B105="",C105="",D105=""),"",IF(OR(A105="",B105=""),"БЛОК: нужны и дата, и сумма",IF(B105&lt;=0,"БЛОК: сумма должна быть больше нуля",IF(D105="","БЛОК: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вас",IF(COUNTIF(Акты!$B$5:$B$16,D105)=0,"БЛОК: такого акта нет на листе «Акты» — добавьте акт или исправьте идентификатор",IF(NOT(ISNUMBER(INDEX(Акты!$E$5:$E$16,MATCH(D105,Акты!$B$5:$B$16,0)))),"БЛОК: у этого акта на листе «Акты» не указан первый день просрочки",IF(A105&lt;INDEX(Акты!$E$5:$E$16,MATCH(D105,Акты!$B$5:$B$16,0)),"БЛОК: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сюда",IF(A105&gt;Ввод!$B$4,"БЛОК: оплата после последнего дня расчёта — продлите расчёт или уберите строку","ок"))))))))</f>
        <v/>
      </c>
    </row>
    <row r="106">
      <c r="A106" s="10" t="n"/>
      <c r="B106" s="15" t="n"/>
      <c r="C106" s="13" t="n"/>
      <c r="D106" s="13" t="n"/>
      <c r="E106" s="5">
        <f>IF(AND(A106="",B106="",C106="",D106=""),"",IF(OR(A106="",B106=""),"БЛОК: нужны и дата, и сумма",IF(B106&lt;=0,"БЛОК: сумма должна быть больше нуля",IF(D106="","БЛОК: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вас",IF(COUNTIF(Акты!$B$5:$B$16,D106)=0,"БЛОК: такого акта нет на листе «Акты» — добавьте акт или исправьте идентификатор",IF(NOT(ISNUMBER(INDEX(Акты!$E$5:$E$16,MATCH(D106,Акты!$B$5:$B$16,0)))),"БЛОК: у этого акта на листе «Акты» не указан первый день просрочки",IF(A106&lt;INDEX(Акты!$E$5:$E$16,MATCH(D106,Акты!$B$5:$B$16,0)),"БЛОК: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сюда",IF(A106&gt;Ввод!$B$4,"БЛОК: оплата после последнего дня расчёта — продлите расчёт или уберите строку","ок"))))))))</f>
        <v/>
      </c>
    </row>
    <row r="107">
      <c r="A107" s="10" t="n"/>
      <c r="B107" s="15" t="n"/>
      <c r="C107" s="13" t="n"/>
      <c r="D107" s="13" t="n"/>
      <c r="E107" s="5">
        <f>IF(AND(A107="",B107="",C107="",D107=""),"",IF(OR(A107="",B107=""),"БЛОК: нужны и дата, и сумма",IF(B107&lt;=0,"БЛОК: сумма должна быть больше нуля",IF(D107="","БЛОК: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вас",IF(COUNTIF(Акты!$B$5:$B$16,D107)=0,"БЛОК: такого акта нет на листе «Акты» — добавьте акт или исправьте идентификатор",IF(NOT(ISNUMBER(INDEX(Акты!$E$5:$E$16,MATCH(D107,Акты!$B$5:$B$16,0)))),"БЛОК: у этого акта на листе «Акты» не указан первый день просрочки",IF(A107&lt;INDEX(Акты!$E$5:$E$16,MATCH(D107,Акты!$B$5:$B$16,0)),"БЛОК: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сюда",IF(A107&gt;Ввод!$B$4,"БЛОК: оплата после последнего дня расчёта — продлите расчёт или уберите строку","ок"))))))))</f>
        <v/>
      </c>
    </row>
    <row r="108">
      <c r="A108" s="10" t="n"/>
      <c r="B108" s="15" t="n"/>
      <c r="C108" s="13" t="n"/>
      <c r="D108" s="13" t="n"/>
      <c r="E108" s="5">
        <f>IF(AND(A108="",B108="",C108="",D108=""),"",IF(OR(A108="",B108=""),"БЛОК: нужны и дата, и сумма",IF(B108&lt;=0,"БЛОК: сумма должна быть больше нуля",IF(D108="","БЛОК: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вас",IF(COUNTIF(Акты!$B$5:$B$16,D108)=0,"БЛОК: такого акта нет на листе «Акты» — добавьте акт или исправьте идентификатор",IF(NOT(ISNUMBER(INDEX(Акты!$E$5:$E$16,MATCH(D108,Акты!$B$5:$B$16,0)))),"БЛОК: у этого акта на листе «Акты» не указан первый день просрочки",IF(A108&lt;INDEX(Акты!$E$5:$E$16,MATCH(D108,Акты!$B$5:$B$16,0)),"БЛОК: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сюда",IF(A108&gt;Ввод!$B$4,"БЛОК: оплата после последнего дня расчёта — продлите расчёт или уберите строку","ок"))))))))</f>
        <v/>
      </c>
    </row>
    <row r="109">
      <c r="A109" s="10" t="n"/>
      <c r="B109" s="15" t="n"/>
      <c r="C109" s="13" t="n"/>
      <c r="D109" s="13" t="n"/>
      <c r="E109" s="5">
        <f>IF(AND(A109="",B109="",C109="",D109=""),"",IF(OR(A109="",B109=""),"БЛОК: нужны и дата, и сумма",IF(B109&lt;=0,"БЛОК: сумма должна быть больше нуля",IF(D109="","БЛОК: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вас",IF(COUNTIF(Акты!$B$5:$B$16,D109)=0,"БЛОК: такого акта нет на листе «Акты» — добавьте акт или исправьте идентификатор",IF(NOT(ISNUMBER(INDEX(Акты!$E$5:$E$16,MATCH(D109,Акты!$B$5:$B$16,0)))),"БЛОК: у этого акта на листе «Акты» не указан первый день просрочки",IF(A109&lt;INDEX(Акты!$E$5:$E$16,MATCH(D109,Акты!$B$5:$B$16,0)),"БЛОК: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сюда",IF(A109&gt;Ввод!$B$4,"БЛОК: оплата после последнего дня расчёта — продлите расчёт или уберите строку","ок"))))))))</f>
        <v/>
      </c>
    </row>
    <row r="110">
      <c r="A110" s="10" t="n"/>
      <c r="B110" s="15" t="n"/>
      <c r="C110" s="13" t="n"/>
      <c r="D110" s="13" t="n"/>
      <c r="E110" s="5">
        <f>IF(AND(A110="",B110="",C110="",D110=""),"",IF(OR(A110="",B110=""),"БЛОК: нужны и дата, и сумма",IF(B110&lt;=0,"БЛОК: сумма должна быть больше нуля",IF(D110="","БЛОК: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вас",IF(COUNTIF(Акты!$B$5:$B$16,D110)=0,"БЛОК: такого акта нет на листе «Акты» — добавьте акт или исправьте идентификатор",IF(NOT(ISNUMBER(INDEX(Акты!$E$5:$E$16,MATCH(D110,Акты!$B$5:$B$16,0)))),"БЛОК: у этого акта на листе «Акты» не указан первый день просрочки",IF(A110&lt;INDEX(Акты!$E$5:$E$16,MATCH(D110,Акты!$B$5:$B$16,0)),"БЛОК: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сюда",IF(A110&gt;Ввод!$B$4,"БЛОК: оплата после последнего дня расчёта — продлите расчёт или уберите строку","ок"))))))))</f>
        <v/>
      </c>
    </row>
    <row r="111">
      <c r="A111" s="10" t="n"/>
      <c r="B111" s="15" t="n"/>
      <c r="C111" s="13" t="n"/>
      <c r="D111" s="13" t="n"/>
      <c r="E111" s="5">
        <f>IF(AND(A111="",B111="",C111="",D111=""),"",IF(OR(A111="",B111=""),"БЛОК: нужны и дата, и сумма",IF(B111&lt;=0,"БЛОК: сумма должна быть больше нуля",IF(D111="","БЛОК: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вас",IF(COUNTIF(Акты!$B$5:$B$16,D111)=0,"БЛОК: такого акта нет на листе «Акты» — добавьте акт или исправьте идентификатор",IF(NOT(ISNUMBER(INDEX(Акты!$E$5:$E$16,MATCH(D111,Акты!$B$5:$B$16,0)))),"БЛОК: у этого акта на листе «Акты» не указан первый день просрочки",IF(A111&lt;INDEX(Акты!$E$5:$E$16,MATCH(D111,Акты!$B$5:$B$16,0)),"БЛОК: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сюда",IF(A111&gt;Ввод!$B$4,"БЛОК: оплата после последнего дня расчёта — продлите расчёт или уберите строку","ок"))))))))</f>
        <v/>
      </c>
    </row>
    <row r="112">
      <c r="A112" s="10" t="n"/>
      <c r="B112" s="15" t="n"/>
      <c r="C112" s="13" t="n"/>
      <c r="D112" s="13" t="n"/>
      <c r="E112" s="5">
        <f>IF(AND(A112="",B112="",C112="",D112=""),"",IF(OR(A112="",B112=""),"БЛОК: нужны и дата, и сумма",IF(B112&lt;=0,"БЛОК: сумма должна быть больше нуля",IF(D112="","БЛОК: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вас",IF(COUNTIF(Акты!$B$5:$B$16,D112)=0,"БЛОК: такого акта нет на листе «Акты» — добавьте акт или исправьте идентификатор",IF(NOT(ISNUMBER(INDEX(Акты!$E$5:$E$16,MATCH(D112,Акты!$B$5:$B$16,0)))),"БЛОК: у этого акта на листе «Акты» не указан первый день просрочки",IF(A112&lt;INDEX(Акты!$E$5:$E$16,MATCH(D112,Акты!$B$5:$B$16,0)),"БЛОК: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сюда",IF(A112&gt;Ввод!$B$4,"БЛОК: оплата после последнего дня расчёта — продлите расчёт или уберите строку","ок"))))))))</f>
        <v/>
      </c>
    </row>
    <row r="113">
      <c r="A113" s="10" t="n"/>
      <c r="B113" s="15" t="n"/>
      <c r="C113" s="13" t="n"/>
      <c r="D113" s="13" t="n"/>
      <c r="E113" s="5">
        <f>IF(AND(A113="",B113="",C113="",D113=""),"",IF(OR(A113="",B113=""),"БЛОК: нужны и дата, и сумма",IF(B113&lt;=0,"БЛОК: сумма должна быть больше нуля",IF(D113="","БЛОК: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вас",IF(COUNTIF(Акты!$B$5:$B$16,D113)=0,"БЛОК: такого акта нет на листе «Акты» — добавьте акт или исправьте идентификатор",IF(NOT(ISNUMBER(INDEX(Акты!$E$5:$E$16,MATCH(D113,Акты!$B$5:$B$16,0)))),"БЛОК: у этого акта на листе «Акты» не указан первый день просрочки",IF(A113&lt;INDEX(Акты!$E$5:$E$16,MATCH(D113,Акты!$B$5:$B$16,0)),"БЛОК: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сюда",IF(A113&gt;Ввод!$B$4,"БЛОК: оплата после последнего дня расчёта — продлите расчёт или уберите строку","ок"))))))))</f>
        <v/>
      </c>
    </row>
    <row r="114">
      <c r="A114" s="10" t="n"/>
      <c r="B114" s="15" t="n"/>
      <c r="C114" s="13" t="n"/>
      <c r="D114" s="13" t="n"/>
      <c r="E114" s="5">
        <f>IF(AND(A114="",B114="",C114="",D114=""),"",IF(OR(A114="",B114=""),"БЛОК: нужны и дата, и сумма",IF(B114&lt;=0,"БЛОК: сумма должна быть больше нуля",IF(D114="","БЛОК: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вас",IF(COUNTIF(Акты!$B$5:$B$16,D114)=0,"БЛОК: такого акта нет на листе «Акты» — добавьте акт или исправьте идентификатор",IF(NOT(ISNUMBER(INDEX(Акты!$E$5:$E$16,MATCH(D114,Акты!$B$5:$B$16,0)))),"БЛОК: у этого акта на листе «Акты» не указан первый день просрочки",IF(A114&lt;INDEX(Акты!$E$5:$E$16,MATCH(D114,Акты!$B$5:$B$16,0)),"БЛОК: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сюда",IF(A114&gt;Ввод!$B$4,"БЛОК: оплата после последнего дня расчёта — продлите расчёт или уберите строку","ок"))))))))</f>
        <v/>
      </c>
    </row>
    <row r="115">
      <c r="A115" s="10" t="n"/>
      <c r="B115" s="15" t="n"/>
      <c r="C115" s="13" t="n"/>
      <c r="D115" s="13" t="n"/>
      <c r="E115" s="5">
        <f>IF(AND(A115="",B115="",C115="",D115=""),"",IF(OR(A115="",B115=""),"БЛОК: нужны и дата, и сумма",IF(B115&lt;=0,"БЛОК: сумма должна быть больше нуля",IF(D115="","БЛОК: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вас",IF(COUNTIF(Акты!$B$5:$B$16,D115)=0,"БЛОК: такого акта нет на листе «Акты» — добавьте акт или исправьте идентификатор",IF(NOT(ISNUMBER(INDEX(Акты!$E$5:$E$16,MATCH(D115,Акты!$B$5:$B$16,0)))),"БЛОК: у этого акта на листе «Акты» не указан первый день просрочки",IF(A115&lt;INDEX(Акты!$E$5:$E$16,MATCH(D115,Акты!$B$5:$B$16,0)),"БЛОК: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сюда",IF(A115&gt;Ввод!$B$4,"БЛОК: оплата после последнего дня расчёта — продлите расчёт или уберите строку","ок"))))))))</f>
        <v/>
      </c>
    </row>
    <row r="116">
      <c r="A116" s="10" t="n"/>
      <c r="B116" s="15" t="n"/>
      <c r="C116" s="13" t="n"/>
      <c r="D116" s="13" t="n"/>
      <c r="E116" s="5">
        <f>IF(AND(A116="",B116="",C116="",D116=""),"",IF(OR(A116="",B116=""),"БЛОК: нужны и дата, и сумма",IF(B116&lt;=0,"БЛОК: сумма должна быть больше нуля",IF(D116="","БЛОК: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вас",IF(COUNTIF(Акты!$B$5:$B$16,D116)=0,"БЛОК: такого акта нет на листе «Акты» — добавьте акт или исправьте идентификатор",IF(NOT(ISNUMBER(INDEX(Акты!$E$5:$E$16,MATCH(D116,Акты!$B$5:$B$16,0)))),"БЛОК: у этого акта на листе «Акты» не указан первый день просрочки",IF(A116&lt;INDEX(Акты!$E$5:$E$16,MATCH(D116,Акты!$B$5:$B$16,0)),"БЛОК: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сюда",IF(A116&gt;Ввод!$B$4,"БЛОК: оплата после последнего дня расчёта — продлите расчёт или уберите строку","ок"))))))))</f>
        <v/>
      </c>
    </row>
    <row r="117">
      <c r="A117" s="10" t="n"/>
      <c r="B117" s="15" t="n"/>
      <c r="C117" s="13" t="n"/>
      <c r="D117" s="13" t="n"/>
      <c r="E117" s="5">
        <f>IF(AND(A117="",B117="",C117="",D117=""),"",IF(OR(A117="",B117=""),"БЛОК: нужны и дата, и сумма",IF(B117&lt;=0,"БЛОК: сумма должна быть больше нуля",IF(D117="","БЛОК: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вас",IF(COUNTIF(Акты!$B$5:$B$16,D117)=0,"БЛОК: такого акта нет на листе «Акты» — добавьте акт или исправьте идентификатор",IF(NOT(ISNUMBER(INDEX(Акты!$E$5:$E$16,MATCH(D117,Акты!$B$5:$B$16,0)))),"БЛОК: у этого акта на листе «Акты» не указан первый день просрочки",IF(A117&lt;INDEX(Акты!$E$5:$E$16,MATCH(D117,Акты!$B$5:$B$16,0)),"БЛОК: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сюда",IF(A117&gt;Ввод!$B$4,"БЛОК: оплата после последнего дня расчёта — продлите расчёт или уберите строку","ок"))))))))</f>
        <v/>
      </c>
    </row>
    <row r="118">
      <c r="A118" s="10" t="n"/>
      <c r="B118" s="15" t="n"/>
      <c r="C118" s="13" t="n"/>
      <c r="D118" s="13" t="n"/>
      <c r="E118" s="5">
        <f>IF(AND(A118="",B118="",C118="",D118=""),"",IF(OR(A118="",B118=""),"БЛОК: нужны и дата, и сумма",IF(B118&lt;=0,"БЛОК: сумма должна быть больше нуля",IF(D118="","БЛОК: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вас",IF(COUNTIF(Акты!$B$5:$B$16,D118)=0,"БЛОК: такого акта нет на листе «Акты» — добавьте акт или исправьте идентификатор",IF(NOT(ISNUMBER(INDEX(Акты!$E$5:$E$16,MATCH(D118,Акты!$B$5:$B$16,0)))),"БЛОК: у этого акта на листе «Акты» не указан первый день просрочки",IF(A118&lt;INDEX(Акты!$E$5:$E$16,MATCH(D118,Акты!$B$5:$B$16,0)),"БЛОК: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сюда",IF(A118&gt;Ввод!$B$4,"БЛОК: оплата после последнего дня расчёта — продлите расчёт или уберите строку","ок"))))))))</f>
        <v/>
      </c>
    </row>
    <row r="119">
      <c r="A119" s="10" t="n"/>
      <c r="B119" s="15" t="n"/>
      <c r="C119" s="13" t="n"/>
      <c r="D119" s="13" t="n"/>
      <c r="E119" s="5">
        <f>IF(AND(A119="",B119="",C119="",D119=""),"",IF(OR(A119="",B119=""),"БЛОК: нужны и дата, и сумма",IF(B119&lt;=0,"БЛОК: сумма должна быть больше нуля",IF(D119="","БЛОК: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вас",IF(COUNTIF(Акты!$B$5:$B$16,D119)=0,"БЛОК: такого акта нет на листе «Акты» — добавьте акт или исправьте идентификатор",IF(NOT(ISNUMBER(INDEX(Акты!$E$5:$E$16,MATCH(D119,Акты!$B$5:$B$16,0)))),"БЛОК: у этого акта на листе «Акты» не указан первый день просрочки",IF(A119&lt;INDEX(Акты!$E$5:$E$16,MATCH(D119,Акты!$B$5:$B$16,0)),"БЛОК: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сюда",IF(A119&gt;Ввод!$B$4,"БЛОК: оплата после последнего дня расчёта — продлите расчёт или уберите строку","ок"))))))))</f>
        <v/>
      </c>
    </row>
    <row r="120">
      <c r="A120" s="10" t="n"/>
      <c r="B120" s="15" t="n"/>
      <c r="C120" s="13" t="n"/>
      <c r="D120" s="13" t="n"/>
      <c r="E120" s="5">
        <f>IF(AND(A120="",B120="",C120="",D120=""),"",IF(OR(A120="",B120=""),"БЛОК: нужны и дата, и сумма",IF(B120&lt;=0,"БЛОК: сумма должна быть больше нуля",IF(D120="","БЛОК: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вас",IF(COUNTIF(Акты!$B$5:$B$16,D120)=0,"БЛОК: такого акта нет на листе «Акты» — добавьте акт или исправьте идентификатор",IF(NOT(ISNUMBER(INDEX(Акты!$E$5:$E$16,MATCH(D120,Акты!$B$5:$B$16,0)))),"БЛОК: у этого акта на листе «Акты» не указан первый день просрочки",IF(A120&lt;INDEX(Акты!$E$5:$E$16,MATCH(D120,Акты!$B$5:$B$16,0)),"БЛОК: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сюда",IF(A120&gt;Ввод!$B$4,"БЛОК: оплата после последнего дня расчёта — продлите расчёт или уберите строку","ок"))))))))</f>
        <v/>
      </c>
    </row>
    <row r="121">
      <c r="A121" s="10" t="n"/>
      <c r="B121" s="15" t="n"/>
      <c r="C121" s="13" t="n"/>
      <c r="D121" s="13" t="n"/>
      <c r="E121" s="5">
        <f>IF(AND(A121="",B121="",C121="",D121=""),"",IF(OR(A121="",B121=""),"БЛОК: нужны и дата, и сумма",IF(B121&lt;=0,"БЛОК: сумма должна быть больше нуля",IF(D121="","БЛОК: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вас",IF(COUNTIF(Акты!$B$5:$B$16,D121)=0,"БЛОК: такого акта нет на листе «Акты» — добавьте акт или исправьте идентификатор",IF(NOT(ISNUMBER(INDEX(Акты!$E$5:$E$16,MATCH(D121,Акты!$B$5:$B$16,0)))),"БЛОК: у этого акта на листе «Акты» не указан первый день просрочки",IF(A121&lt;INDEX(Акты!$E$5:$E$16,MATCH(D121,Акты!$B$5:$B$16,0)),"БЛОК: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сюда",IF(A121&gt;Ввод!$B$4,"БЛОК: оплата после последнего дня расчёта — продлите расчёт или уберите строку","ок"))))))))</f>
        <v/>
      </c>
    </row>
    <row r="122">
      <c r="A122" s="10" t="n"/>
      <c r="B122" s="15" t="n"/>
      <c r="C122" s="13" t="n"/>
      <c r="D122" s="13" t="n"/>
      <c r="E122" s="5">
        <f>IF(AND(A122="",B122="",C122="",D122=""),"",IF(OR(A122="",B122=""),"БЛОК: нужны и дата, и сумма",IF(B122&lt;=0,"БЛОК: сумма должна быть больше нуля",IF(D122="","БЛОК: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вас",IF(COUNTIF(Акты!$B$5:$B$16,D122)=0,"БЛОК: такого акта нет на листе «Акты» — добавьте акт или исправьте идентификатор",IF(NOT(ISNUMBER(INDEX(Акты!$E$5:$E$16,MATCH(D122,Акты!$B$5:$B$16,0)))),"БЛОК: у этого акта на листе «Акты» не указан первый день просрочки",IF(A122&lt;INDEX(Акты!$E$5:$E$16,MATCH(D122,Акты!$B$5:$B$16,0)),"БЛОК: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сюда",IF(A122&gt;Ввод!$B$4,"БЛОК: оплата после последнего дня расчёта — продлите расчёт или уберите строку","ок"))))))))</f>
        <v/>
      </c>
    </row>
    <row r="123">
      <c r="A123" s="10" t="n"/>
      <c r="B123" s="15" t="n"/>
      <c r="C123" s="13" t="n"/>
      <c r="D123" s="13" t="n"/>
      <c r="E123" s="5">
        <f>IF(AND(A123="",B123="",C123="",D123=""),"",IF(OR(A123="",B123=""),"БЛОК: нужны и дата, и сумма",IF(B123&lt;=0,"БЛОК: сумма должна быть больше нуля",IF(D123="","БЛОК: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вас",IF(COUNTIF(Акты!$B$5:$B$16,D123)=0,"БЛОК: такого акта нет на листе «Акты» — добавьте акт или исправьте идентификатор",IF(NOT(ISNUMBER(INDEX(Акты!$E$5:$E$16,MATCH(D123,Акты!$B$5:$B$16,0)))),"БЛОК: у этого акта на листе «Акты» не указан первый день просрочки",IF(A123&lt;INDEX(Акты!$E$5:$E$16,MATCH(D123,Акты!$B$5:$B$16,0)),"БЛОК: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сюда",IF(A123&gt;Ввод!$B$4,"БЛОК: оплата после последнего дня расчёта — продлите расчёт или уберите строку","ок"))))))))</f>
        <v/>
      </c>
    </row>
    <row r="124">
      <c r="A124" s="10" t="n"/>
      <c r="B124" s="15" t="n"/>
      <c r="C124" s="13" t="n"/>
      <c r="D124" s="13" t="n"/>
      <c r="E124" s="5">
        <f>IF(AND(A124="",B124="",C124="",D124=""),"",IF(OR(A124="",B124=""),"БЛОК: нужны и дата, и сумма",IF(B124&lt;=0,"БЛОК: сумма должна быть больше нуля",IF(D124="","БЛОК: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вас",IF(COUNTIF(Акты!$B$5:$B$16,D124)=0,"БЛОК: такого акта нет на листе «Акты» — добавьте акт или исправьте идентификатор",IF(NOT(ISNUMBER(INDEX(Акты!$E$5:$E$16,MATCH(D124,Акты!$B$5:$B$16,0)))),"БЛОК: у этого акта на листе «Акты» не указан первый день просрочки",IF(A124&lt;INDEX(Акты!$E$5:$E$16,MATCH(D124,Акты!$B$5:$B$16,0)),"БЛОК: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сюда",IF(A124&gt;Ввод!$B$4,"БЛОК: оплата после последнего дня расчёта — продлите расчёт или уберите строку","ок"))))))))</f>
        <v/>
      </c>
    </row>
    <row r="125">
      <c r="A125" s="10" t="n"/>
      <c r="B125" s="15" t="n"/>
      <c r="C125" s="13" t="n"/>
      <c r="D125" s="13" t="n"/>
      <c r="E125" s="5">
        <f>IF(AND(A125="",B125="",C125="",D125=""),"",IF(OR(A125="",B125=""),"БЛОК: нужны и дата, и сумма",IF(B125&lt;=0,"БЛОК: сумма должна быть больше нуля",IF(D125="","БЛОК: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вас",IF(COUNTIF(Акты!$B$5:$B$16,D125)=0,"БЛОК: такого акта нет на листе «Акты» — добавьте акт или исправьте идентификатор",IF(NOT(ISNUMBER(INDEX(Акты!$E$5:$E$16,MATCH(D125,Акты!$B$5:$B$16,0)))),"БЛОК: у этого акта на листе «Акты» не указан первый день просрочки",IF(A125&lt;INDEX(Акты!$E$5:$E$16,MATCH(D125,Акты!$B$5:$B$16,0)),"БЛОК: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сюда",IF(A125&gt;Ввод!$B$4,"БЛОК: оплата после последнего дня расчёта — продлите расчёт или уберите строку","ок"))))))))</f>
        <v/>
      </c>
    </row>
    <row r="126">
      <c r="A126" s="10" t="n"/>
      <c r="B126" s="15" t="n"/>
      <c r="C126" s="13" t="n"/>
      <c r="D126" s="13" t="n"/>
      <c r="E126" s="5">
        <f>IF(AND(A126="",B126="",C126="",D126=""),"",IF(OR(A126="",B126=""),"БЛОК: нужны и дата, и сумма",IF(B126&lt;=0,"БЛОК: сумма должна быть больше нуля",IF(D126="","БЛОК: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вас",IF(COUNTIF(Акты!$B$5:$B$16,D126)=0,"БЛОК: такого акта нет на листе «Акты» — добавьте акт или исправьте идентификатор",IF(NOT(ISNUMBER(INDEX(Акты!$E$5:$E$16,MATCH(D126,Акты!$B$5:$B$16,0)))),"БЛОК: у этого акта на листе «Акты» не указан первый день просрочки",IF(A126&lt;INDEX(Акты!$E$5:$E$16,MATCH(D126,Акты!$B$5:$B$16,0)),"БЛОК: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сюда",IF(A126&gt;Ввод!$B$4,"БЛОК: оплата после последнего дня расчёта — продлите расчёт или уберите строку","ок"))))))))</f>
        <v/>
      </c>
    </row>
    <row r="127">
      <c r="A127" s="10" t="n"/>
      <c r="B127" s="15" t="n"/>
      <c r="C127" s="13" t="n"/>
      <c r="D127" s="13" t="n"/>
      <c r="E127" s="5">
        <f>IF(AND(A127="",B127="",C127="",D127=""),"",IF(OR(A127="",B127=""),"БЛОК: нужны и дата, и сумма",IF(B127&lt;=0,"БЛОК: сумма должна быть больше нуля",IF(D127="","БЛОК: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вас",IF(COUNTIF(Акты!$B$5:$B$16,D127)=0,"БЛОК: такого акта нет на листе «Акты» — добавьте акт или исправьте идентификатор",IF(NOT(ISNUMBER(INDEX(Акты!$E$5:$E$16,MATCH(D127,Акты!$B$5:$B$16,0)))),"БЛОК: у этого акта на листе «Акты» не указан первый день просрочки",IF(A127&lt;INDEX(Акты!$E$5:$E$16,MATCH(D127,Акты!$B$5:$B$16,0)),"БЛОК: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сюда",IF(A127&gt;Ввод!$B$4,"БЛОК: оплата после последнего дня расчёта — продлите расчёт или уберите строку","ок"))))))))</f>
        <v/>
      </c>
    </row>
    <row r="128">
      <c r="A128" s="10" t="n"/>
      <c r="B128" s="15" t="n"/>
      <c r="C128" s="13" t="n"/>
      <c r="D128" s="13" t="n"/>
      <c r="E128" s="5">
        <f>IF(AND(A128="",B128="",C128="",D128=""),"",IF(OR(A128="",B128=""),"БЛОК: нужны и дата, и сумма",IF(B128&lt;=0,"БЛОК: сумма должна быть больше нуля",IF(D128="","БЛОК: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вас",IF(COUNTIF(Акты!$B$5:$B$16,D128)=0,"БЛОК: такого акта нет на листе «Акты» — добавьте акт или исправьте идентификатор",IF(NOT(ISNUMBER(INDEX(Акты!$E$5:$E$16,MATCH(D128,Акты!$B$5:$B$16,0)))),"БЛОК: у этого акта на листе «Акты» не указан первый день просрочки",IF(A128&lt;INDEX(Акты!$E$5:$E$16,MATCH(D128,Акты!$B$5:$B$16,0)),"БЛОК: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сюда",IF(A128&gt;Ввод!$B$4,"БЛОК: оплата после последнего дня расчёта — продлите расчёт или уберите строку","ок"))))))))</f>
        <v/>
      </c>
    </row>
    <row r="129">
      <c r="A129" s="10" t="n"/>
      <c r="B129" s="15" t="n"/>
      <c r="C129" s="13" t="n"/>
      <c r="D129" s="13" t="n"/>
      <c r="E129" s="5">
        <f>IF(AND(A129="",B129="",C129="",D129=""),"",IF(OR(A129="",B129=""),"БЛОК: нужны и дата, и сумма",IF(B129&lt;=0,"БЛОК: сумма должна быть больше нуля",IF(D129="","БЛОК: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вас",IF(COUNTIF(Акты!$B$5:$B$16,D129)=0,"БЛОК: такого акта нет на листе «Акты» — добавьте акт или исправьте идентификатор",IF(NOT(ISNUMBER(INDEX(Акты!$E$5:$E$16,MATCH(D129,Акты!$B$5:$B$16,0)))),"БЛОК: у этого акта на листе «Акты» не указан первый день просрочки",IF(A129&lt;INDEX(Акты!$E$5:$E$16,MATCH(D129,Акты!$B$5:$B$16,0)),"БЛОК: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сюда",IF(A129&gt;Ввод!$B$4,"БЛОК: оплата после последнего дня расчёта — продлите расчёт или уберите строку","ок"))))))))</f>
        <v/>
      </c>
    </row>
    <row r="130">
      <c r="A130" s="10" t="n"/>
      <c r="B130" s="15" t="n"/>
      <c r="C130" s="13" t="n"/>
      <c r="D130" s="13" t="n"/>
      <c r="E130" s="5">
        <f>IF(AND(A130="",B130="",C130="",D130=""),"",IF(OR(A130="",B130=""),"БЛОК: нужны и дата, и сумма",IF(B130&lt;=0,"БЛОК: сумма должна быть больше нуля",IF(D130="","БЛОК: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вас",IF(COUNTIF(Акты!$B$5:$B$16,D130)=0,"БЛОК: такого акта нет на листе «Акты» — добавьте акт или исправьте идентификатор",IF(NOT(ISNUMBER(INDEX(Акты!$E$5:$E$16,MATCH(D130,Акты!$B$5:$B$16,0)))),"БЛОК: у этого акта на листе «Акты» не указан первый день просрочки",IF(A130&lt;INDEX(Акты!$E$5:$E$16,MATCH(D130,Акты!$B$5:$B$16,0)),"БЛОК: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сюда",IF(A130&gt;Ввод!$B$4,"БЛОК: оплата после последнего дня расчёта — продлите расчёт или уберите строку","ок"))))))))</f>
        <v/>
      </c>
    </row>
    <row r="131">
      <c r="A131" s="10" t="n"/>
      <c r="B131" s="15" t="n"/>
      <c r="C131" s="13" t="n"/>
      <c r="D131" s="13" t="n"/>
      <c r="E131" s="5">
        <f>IF(AND(A131="",B131="",C131="",D131=""),"",IF(OR(A131="",B131=""),"БЛОК: нужны и дата, и сумма",IF(B131&lt;=0,"БЛОК: сумма должна быть больше нуля",IF(D131="","БЛОК: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вас",IF(COUNTIF(Акты!$B$5:$B$16,D131)=0,"БЛОК: такого акта нет на листе «Акты» — добавьте акт или исправьте идентификатор",IF(NOT(ISNUMBER(INDEX(Акты!$E$5:$E$16,MATCH(D131,Акты!$B$5:$B$16,0)))),"БЛОК: у этого акта на листе «Акты» не указан первый день просрочки",IF(A131&lt;INDEX(Акты!$E$5:$E$16,MATCH(D131,Акты!$B$5:$B$16,0)),"БЛОК: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сюда",IF(A131&gt;Ввод!$B$4,"БЛОК: оплата после последнего дня расчёта — продлите расчёт или уберите строку","ок"))))))))</f>
        <v/>
      </c>
    </row>
    <row r="132">
      <c r="A132" s="10" t="n"/>
      <c r="B132" s="15" t="n"/>
      <c r="C132" s="13" t="n"/>
      <c r="D132" s="13" t="n"/>
      <c r="E132" s="5">
        <f>IF(AND(A132="",B132="",C132="",D132=""),"",IF(OR(A132="",B132=""),"БЛОК: нужны и дата, и сумма",IF(B132&lt;=0,"БЛОК: сумма должна быть больше нуля",IF(D132="","БЛОК: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вас",IF(COUNTIF(Акты!$B$5:$B$16,D132)=0,"БЛОК: такого акта нет на листе «Акты» — добавьте акт или исправьте идентификатор",IF(NOT(ISNUMBER(INDEX(Акты!$E$5:$E$16,MATCH(D132,Акты!$B$5:$B$16,0)))),"БЛОК: у этого акта на листе «Акты» не указан первый день просрочки",IF(A132&lt;INDEX(Акты!$E$5:$E$16,MATCH(D132,Акты!$B$5:$B$16,0)),"БЛОК: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сюда",IF(A132&gt;Ввод!$B$4,"БЛОК: оплата после последнего дня расчёта — продлите расчёт или уберите строку","ок"))))))))</f>
        <v/>
      </c>
    </row>
    <row r="133">
      <c r="A133" s="10" t="n"/>
      <c r="B133" s="15" t="n"/>
      <c r="C133" s="13" t="n"/>
      <c r="D133" s="13" t="n"/>
      <c r="E133" s="5">
        <f>IF(AND(A133="",B133="",C133="",D133=""),"",IF(OR(A133="",B133=""),"БЛОК: нужны и дата, и сумма",IF(B133&lt;=0,"БЛОК: сумма должна быть больше нуля",IF(D133="","БЛОК: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вас",IF(COUNTIF(Акты!$B$5:$B$16,D133)=0,"БЛОК: такого акта нет на листе «Акты» — добавьте акт или исправьте идентификатор",IF(NOT(ISNUMBER(INDEX(Акты!$E$5:$E$16,MATCH(D133,Акты!$B$5:$B$16,0)))),"БЛОК: у этого акта на листе «Акты» не указан первый день просрочки",IF(A133&lt;INDEX(Акты!$E$5:$E$16,MATCH(D133,Акты!$B$5:$B$16,0)),"БЛОК: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сюда",IF(A133&gt;Ввод!$B$4,"БЛОК: оплата после последнего дня расчёта — продлите расчёт или уберите строку","ок"))))))))</f>
        <v/>
      </c>
    </row>
    <row r="134">
      <c r="A134" s="10" t="n"/>
      <c r="B134" s="15" t="n"/>
      <c r="C134" s="13" t="n"/>
      <c r="D134" s="13" t="n"/>
      <c r="E134" s="5">
        <f>IF(AND(A134="",B134="",C134="",D134=""),"",IF(OR(A134="",B134=""),"БЛОК: нужны и дата, и сумма",IF(B134&lt;=0,"БЛОК: сумма должна быть больше нуля",IF(D134="","БЛОК: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вас",IF(COUNTIF(Акты!$B$5:$B$16,D134)=0,"БЛОК: такого акта нет на листе «Акты» — добавьте акт или исправьте идентификатор",IF(NOT(ISNUMBER(INDEX(Акты!$E$5:$E$16,MATCH(D134,Акты!$B$5:$B$16,0)))),"БЛОК: у этого акта на листе «Акты» не указан первый день просрочки",IF(A134&lt;INDEX(Акты!$E$5:$E$16,MATCH(D134,Акты!$B$5:$B$16,0)),"БЛОК: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сюда",IF(A134&gt;Ввод!$B$4,"БЛОК: оплата после последнего дня расчёта — продлите расчёт или уберите строку","ок"))))))))</f>
        <v/>
      </c>
    </row>
    <row r="135">
      <c r="A135" s="10" t="n"/>
      <c r="B135" s="15" t="n"/>
      <c r="C135" s="13" t="n"/>
      <c r="D135" s="13" t="n"/>
      <c r="E135" s="5">
        <f>IF(AND(A135="",B135="",C135="",D135=""),"",IF(OR(A135="",B135=""),"БЛОК: нужны и дата, и сумма",IF(B135&lt;=0,"БЛОК: сумма должна быть больше нуля",IF(D135="","БЛОК: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вас",IF(COUNTIF(Акты!$B$5:$B$16,D135)=0,"БЛОК: такого акта нет на листе «Акты» — добавьте акт или исправьте идентификатор",IF(NOT(ISNUMBER(INDEX(Акты!$E$5:$E$16,MATCH(D135,Акты!$B$5:$B$16,0)))),"БЛОК: у этого акта на листе «Акты» не указан первый день просрочки",IF(A135&lt;INDEX(Акты!$E$5:$E$16,MATCH(D135,Акты!$B$5:$B$16,0)),"БЛОК: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сюда",IF(A135&gt;Ввод!$B$4,"БЛОК: оплата после последнего дня расчёта — продлите расчёт или уберите строку","ок"))))))))</f>
        <v/>
      </c>
    </row>
    <row r="136">
      <c r="A136" s="10" t="n"/>
      <c r="B136" s="15" t="n"/>
      <c r="C136" s="13" t="n"/>
      <c r="D136" s="13" t="n"/>
      <c r="E136" s="5">
        <f>IF(AND(A136="",B136="",C136="",D136=""),"",IF(OR(A136="",B136=""),"БЛОК: нужны и дата, и сумма",IF(B136&lt;=0,"БЛОК: сумма должна быть больше нуля",IF(D136="","БЛОК: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вас",IF(COUNTIF(Акты!$B$5:$B$16,D136)=0,"БЛОК: такого акта нет на листе «Акты» — добавьте акт или исправьте идентификатор",IF(NOT(ISNUMBER(INDEX(Акты!$E$5:$E$16,MATCH(D136,Акты!$B$5:$B$16,0)))),"БЛОК: у этого акта на листе «Акты» не указан первый день просрочки",IF(A136&lt;INDEX(Акты!$E$5:$E$16,MATCH(D136,Акты!$B$5:$B$16,0)),"БЛОК: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сюда",IF(A136&gt;Ввод!$B$4,"БЛОК: оплата после последнего дня расчёта — продлите расчёт или уберите строку","ок"))))))))</f>
        <v/>
      </c>
    </row>
    <row r="137">
      <c r="A137" s="10" t="n"/>
      <c r="B137" s="15" t="n"/>
      <c r="C137" s="13" t="n"/>
      <c r="D137" s="13" t="n"/>
      <c r="E137" s="5">
        <f>IF(AND(A137="",B137="",C137="",D137=""),"",IF(OR(A137="",B137=""),"БЛОК: нужны и дата, и сумма",IF(B137&lt;=0,"БЛОК: сумма должна быть больше нуля",IF(D137="","БЛОК: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вас",IF(COUNTIF(Акты!$B$5:$B$16,D137)=0,"БЛОК: такого акта нет на листе «Акты» — добавьте акт или исправьте идентификатор",IF(NOT(ISNUMBER(INDEX(Акты!$E$5:$E$16,MATCH(D137,Акты!$B$5:$B$16,0)))),"БЛОК: у этого акта на листе «Акты» не указан первый день просрочки",IF(A137&lt;INDEX(Акты!$E$5:$E$16,MATCH(D137,Акты!$B$5:$B$16,0)),"БЛОК: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сюда",IF(A137&gt;Ввод!$B$4,"БЛОК: оплата после последнего дня расчёта — продлите расчёт или уберите строку","ок"))))))))</f>
        <v/>
      </c>
    </row>
    <row r="138">
      <c r="A138" s="10" t="n"/>
      <c r="B138" s="15" t="n"/>
      <c r="C138" s="13" t="n"/>
      <c r="D138" s="13" t="n"/>
      <c r="E138" s="5">
        <f>IF(AND(A138="",B138="",C138="",D138=""),"",IF(OR(A138="",B138=""),"БЛОК: нужны и дата, и сумма",IF(B138&lt;=0,"БЛОК: сумма должна быть больше нуля",IF(D138="","БЛОК: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вас",IF(COUNTIF(Акты!$B$5:$B$16,D138)=0,"БЛОК: такого акта нет на листе «Акты» — добавьте акт или исправьте идентификатор",IF(NOT(ISNUMBER(INDEX(Акты!$E$5:$E$16,MATCH(D138,Акты!$B$5:$B$16,0)))),"БЛОК: у этого акта на листе «Акты» не указан первый день просрочки",IF(A138&lt;INDEX(Акты!$E$5:$E$16,MATCH(D138,Акты!$B$5:$B$16,0)),"БЛОК: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сюда",IF(A138&gt;Ввод!$B$4,"БЛОК: оплата после последнего дня расчёта — продлите расчёт или уберите строку","ок"))))))))</f>
        <v/>
      </c>
    </row>
    <row r="139">
      <c r="A139" s="10" t="n"/>
      <c r="B139" s="15" t="n"/>
      <c r="C139" s="13" t="n"/>
      <c r="D139" s="13" t="n"/>
      <c r="E139" s="5">
        <f>IF(AND(A139="",B139="",C139="",D139=""),"",IF(OR(A139="",B139=""),"БЛОК: нужны и дата, и сумма",IF(B139&lt;=0,"БЛОК: сумма должна быть больше нуля",IF(D139="","БЛОК: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вас",IF(COUNTIF(Акты!$B$5:$B$16,D139)=0,"БЛОК: такого акта нет на листе «Акты» — добавьте акт или исправьте идентификатор",IF(NOT(ISNUMBER(INDEX(Акты!$E$5:$E$16,MATCH(D139,Акты!$B$5:$B$16,0)))),"БЛОК: у этого акта на листе «Акты» не указан первый день просрочки",IF(A139&lt;INDEX(Акты!$E$5:$E$16,MATCH(D139,Акты!$B$5:$B$16,0)),"БЛОК: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сюда",IF(A139&gt;Ввод!$B$4,"БЛОК: оплата после последнего дня расчёта — продлите расчёт или уберите строку","ок"))))))))</f>
        <v/>
      </c>
    </row>
    <row r="140">
      <c r="A140" s="10" t="n"/>
      <c r="B140" s="15" t="n"/>
      <c r="C140" s="13" t="n"/>
      <c r="D140" s="13" t="n"/>
      <c r="E140" s="5">
        <f>IF(AND(A140="",B140="",C140="",D140=""),"",IF(OR(A140="",B140=""),"БЛОК: нужны и дата, и сумма",IF(B140&lt;=0,"БЛОК: сумма должна быть больше нуля",IF(D140="","БЛОК: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вас",IF(COUNTIF(Акты!$B$5:$B$16,D140)=0,"БЛОК: такого акта нет на листе «Акты» — добавьте акт или исправьте идентификатор",IF(NOT(ISNUMBER(INDEX(Акты!$E$5:$E$16,MATCH(D140,Акты!$B$5:$B$16,0)))),"БЛОК: у этого акта на листе «Акты» не указан первый день просрочки",IF(A140&lt;INDEX(Акты!$E$5:$E$16,MATCH(D140,Акты!$B$5:$B$16,0)),"БЛОК: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сюда",IF(A140&gt;Ввод!$B$4,"БЛОК: оплата после последнего дня расчёта — продлите расчёт или уберите строку","ок"))))))))</f>
        <v/>
      </c>
    </row>
    <row r="141">
      <c r="A141" s="10" t="n"/>
      <c r="B141" s="15" t="n"/>
      <c r="C141" s="13" t="n"/>
      <c r="D141" s="13" t="n"/>
      <c r="E141" s="5">
        <f>IF(AND(A141="",B141="",C141="",D141=""),"",IF(OR(A141="",B141=""),"БЛОК: нужны и дата, и сумма",IF(B141&lt;=0,"БЛОК: сумма должна быть больше нуля",IF(D141="","БЛОК: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вас",IF(COUNTIF(Акты!$B$5:$B$16,D141)=0,"БЛОК: такого акта нет на листе «Акты» — добавьте акт или исправьте идентификатор",IF(NOT(ISNUMBER(INDEX(Акты!$E$5:$E$16,MATCH(D141,Акты!$B$5:$B$16,0)))),"БЛОК: у этого акта на листе «Акты» не указан первый день просрочки",IF(A141&lt;INDEX(Акты!$E$5:$E$16,MATCH(D141,Акты!$B$5:$B$16,0)),"БЛОК: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сюда",IF(A141&gt;Ввод!$B$4,"БЛОК: оплата после последнего дня расчёта — продлите расчёт или уберите строку","ок"))))))))</f>
        <v/>
      </c>
    </row>
    <row r="142">
      <c r="A142" s="10" t="n"/>
      <c r="B142" s="15" t="n"/>
      <c r="C142" s="13" t="n"/>
      <c r="D142" s="13" t="n"/>
      <c r="E142" s="5">
        <f>IF(AND(A142="",B142="",C142="",D142=""),"",IF(OR(A142="",B142=""),"БЛОК: нужны и дата, и сумма",IF(B142&lt;=0,"БЛОК: сумма должна быть больше нуля",IF(D142="","БЛОК: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вас",IF(COUNTIF(Акты!$B$5:$B$16,D142)=0,"БЛОК: такого акта нет на листе «Акты» — добавьте акт или исправьте идентификатор",IF(NOT(ISNUMBER(INDEX(Акты!$E$5:$E$16,MATCH(D142,Акты!$B$5:$B$16,0)))),"БЛОК: у этого акта на листе «Акты» не указан первый день просрочки",IF(A142&lt;INDEX(Акты!$E$5:$E$16,MATCH(D142,Акты!$B$5:$B$16,0)),"БЛОК: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сюда",IF(A142&gt;Ввод!$B$4,"БЛОК: оплата после последнего дня расчёта — продлите расчёт или уберите строку","ок"))))))))</f>
        <v/>
      </c>
    </row>
    <row r="143">
      <c r="A143" s="10" t="n"/>
      <c r="B143" s="15" t="n"/>
      <c r="C143" s="13" t="n"/>
      <c r="D143" s="13" t="n"/>
      <c r="E143" s="5">
        <f>IF(AND(A143="",B143="",C143="",D143=""),"",IF(OR(A143="",B143=""),"БЛОК: нужны и дата, и сумма",IF(B143&lt;=0,"БЛОК: сумма должна быть больше нуля",IF(D143="","БЛОК: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вас",IF(COUNTIF(Акты!$B$5:$B$16,D143)=0,"БЛОК: такого акта нет на листе «Акты» — добавьте акт или исправьте идентификатор",IF(NOT(ISNUMBER(INDEX(Акты!$E$5:$E$16,MATCH(D143,Акты!$B$5:$B$16,0)))),"БЛОК: у этого акта на листе «Акты» не указан первый день просрочки",IF(A143&lt;INDEX(Акты!$E$5:$E$16,MATCH(D143,Акты!$B$5:$B$16,0)),"БЛОК: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сюда",IF(A143&gt;Ввод!$B$4,"БЛОК: оплата после последнего дня расчёта — продлите расчёт или уберите строку","ок"))))))))</f>
        <v/>
      </c>
    </row>
    <row r="144">
      <c r="A144" s="10" t="n"/>
      <c r="B144" s="15" t="n"/>
      <c r="C144" s="13" t="n"/>
      <c r="D144" s="13" t="n"/>
      <c r="E144" s="5">
        <f>IF(AND(A144="",B144="",C144="",D144=""),"",IF(OR(A144="",B144=""),"БЛОК: нужны и дата, и сумма",IF(B144&lt;=0,"БЛОК: сумма должна быть больше нуля",IF(D144="","БЛОК: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вас",IF(COUNTIF(Акты!$B$5:$B$16,D144)=0,"БЛОК: такого акта нет на листе «Акты» — добавьте акт или исправьте идентификатор",IF(NOT(ISNUMBER(INDEX(Акты!$E$5:$E$16,MATCH(D144,Акты!$B$5:$B$16,0)))),"БЛОК: у этого акта на листе «Акты» не указан первый день просрочки",IF(A144&lt;INDEX(Акты!$E$5:$E$16,MATCH(D144,Акты!$B$5:$B$16,0)),"БЛОК: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сюда",IF(A144&gt;Ввод!$B$4,"БЛОК: оплата после последнего дня расчёта — продлите расчёт или уберите строку","ок"))))))))</f>
        <v/>
      </c>
    </row>
    <row r="145">
      <c r="A145" s="10" t="n"/>
      <c r="B145" s="15" t="n"/>
      <c r="C145" s="13" t="n"/>
      <c r="D145" s="13" t="n"/>
      <c r="E145" s="5">
        <f>IF(AND(A145="",B145="",C145="",D145=""),"",IF(OR(A145="",B145=""),"БЛОК: нужны и дата, и сумма",IF(B145&lt;=0,"БЛОК: сумма должна быть больше нуля",IF(D145="","БЛОК: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вас",IF(COUNTIF(Акты!$B$5:$B$16,D145)=0,"БЛОК: такого акта нет на листе «Акты» — добавьте акт или исправьте идентификатор",IF(NOT(ISNUMBER(INDEX(Акты!$E$5:$E$16,MATCH(D145,Акты!$B$5:$B$16,0)))),"БЛОК: у этого акта на листе «Акты» не указан первый день просрочки",IF(A145&lt;INDEX(Акты!$E$5:$E$16,MATCH(D145,Акты!$B$5:$B$16,0)),"БЛОК: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сюда",IF(A145&gt;Ввод!$B$4,"БЛОК: оплата после последнего дня расчёта — продлите расчёт или уберите строку","ок"))))))))</f>
        <v/>
      </c>
    </row>
    <row r="146">
      <c r="A146" s="10" t="n"/>
      <c r="B146" s="15" t="n"/>
      <c r="C146" s="13" t="n"/>
      <c r="D146" s="13" t="n"/>
      <c r="E146" s="5">
        <f>IF(AND(A146="",B146="",C146="",D146=""),"",IF(OR(A146="",B146=""),"БЛОК: нужны и дата, и сумма",IF(B146&lt;=0,"БЛОК: сумма должна быть больше нуля",IF(D146="","БЛОК: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вас",IF(COUNTIF(Акты!$B$5:$B$16,D146)=0,"БЛОК: такого акта нет на листе «Акты» — добавьте акт или исправьте идентификатор",IF(NOT(ISNUMBER(INDEX(Акты!$E$5:$E$16,MATCH(D146,Акты!$B$5:$B$16,0)))),"БЛОК: у этого акта на листе «Акты» не указан первый день просрочки",IF(A146&lt;INDEX(Акты!$E$5:$E$16,MATCH(D146,Акты!$B$5:$B$16,0)),"БЛОК: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сюда",IF(A146&gt;Ввод!$B$4,"БЛОК: оплата после последнего дня расчёта — продлите расчёт или уберите строку","ок"))))))))</f>
        <v/>
      </c>
    </row>
    <row r="147">
      <c r="A147" s="10" t="n"/>
      <c r="B147" s="15" t="n"/>
      <c r="C147" s="13" t="n"/>
      <c r="D147" s="13" t="n"/>
      <c r="E147" s="5">
        <f>IF(AND(A147="",B147="",C147="",D147=""),"",IF(OR(A147="",B147=""),"БЛОК: нужны и дата, и сумма",IF(B147&lt;=0,"БЛОК: сумма должна быть больше нуля",IF(D147="","БЛОК: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вас",IF(COUNTIF(Акты!$B$5:$B$16,D147)=0,"БЛОК: такого акта нет на листе «Акты» — добавьте акт или исправьте идентификатор",IF(NOT(ISNUMBER(INDEX(Акты!$E$5:$E$16,MATCH(D147,Акты!$B$5:$B$16,0)))),"БЛОК: у этого акта на листе «Акты» не указан первый день просрочки",IF(A147&lt;INDEX(Акты!$E$5:$E$16,MATCH(D147,Акты!$B$5:$B$16,0)),"БЛОК: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сюда",IF(A147&gt;Ввод!$B$4,"БЛОК: оплата после последнего дня расчёта — продлите расчёт или уберите строку","ок"))))))))</f>
        <v/>
      </c>
    </row>
    <row r="148">
      <c r="A148" s="10" t="n"/>
      <c r="B148" s="15" t="n"/>
      <c r="C148" s="13" t="n"/>
      <c r="D148" s="13" t="n"/>
      <c r="E148" s="5">
        <f>IF(AND(A148="",B148="",C148="",D148=""),"",IF(OR(A148="",B148=""),"БЛОК: нужны и дата, и сумма",IF(B148&lt;=0,"БЛОК: сумма должна быть больше нуля",IF(D148="","БЛОК: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вас",IF(COUNTIF(Акты!$B$5:$B$16,D148)=0,"БЛОК: такого акта нет на листе «Акты» — добавьте акт или исправьте идентификатор",IF(NOT(ISNUMBER(INDEX(Акты!$E$5:$E$16,MATCH(D148,Акты!$B$5:$B$16,0)))),"БЛОК: у этого акта на листе «Акты» не указан первый день просрочки",IF(A148&lt;INDEX(Акты!$E$5:$E$16,MATCH(D148,Акты!$B$5:$B$16,0)),"БЛОК: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сюда",IF(A148&gt;Ввод!$B$4,"БЛОК: оплата после последнего дня расчёта — продлите расчёт или уберите строку","ок"))))))))</f>
        <v/>
      </c>
    </row>
    <row r="149">
      <c r="A149" s="10" t="n"/>
      <c r="B149" s="15" t="n"/>
      <c r="C149" s="13" t="n"/>
      <c r="D149" s="13" t="n"/>
      <c r="E149" s="5">
        <f>IF(AND(A149="",B149="",C149="",D149=""),"",IF(OR(A149="",B149=""),"БЛОК: нужны и дата, и сумма",IF(B149&lt;=0,"БЛОК: сумма должна быть больше нуля",IF(D149="","БЛОК: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вас",IF(COUNTIF(Акты!$B$5:$B$16,D149)=0,"БЛОК: такого акта нет на листе «Акты» — добавьте акт или исправьте идентификатор",IF(NOT(ISNUMBER(INDEX(Акты!$E$5:$E$16,MATCH(D149,Акты!$B$5:$B$16,0)))),"БЛОК: у этого акта на листе «Акты» не указан первый день просрочки",IF(A149&lt;INDEX(Акты!$E$5:$E$16,MATCH(D149,Акты!$B$5:$B$16,0)),"БЛОК: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сюда",IF(A149&gt;Ввод!$B$4,"БЛОК: оплата после последнего дня расчёта — продлите расчёт или уберите строку","ок"))))))))</f>
        <v/>
      </c>
    </row>
    <row r="150">
      <c r="A150" s="10" t="n"/>
      <c r="B150" s="15" t="n"/>
      <c r="C150" s="13" t="n"/>
      <c r="D150" s="13" t="n"/>
      <c r="E150" s="5">
        <f>IF(AND(A150="",B150="",C150="",D150=""),"",IF(OR(A150="",B150=""),"БЛОК: нужны и дата, и сумма",IF(B150&lt;=0,"БЛОК: сумма должна быть больше нуля",IF(D150="","БЛОК: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вас",IF(COUNTIF(Акты!$B$5:$B$16,D150)=0,"БЛОК: такого акта нет на листе «Акты» — добавьте акт или исправьте идентификатор",IF(NOT(ISNUMBER(INDEX(Акты!$E$5:$E$16,MATCH(D150,Акты!$B$5:$B$16,0)))),"БЛОК: у этого акта на листе «Акты» не указан первый день просрочки",IF(A150&lt;INDEX(Акты!$E$5:$E$16,MATCH(D150,Акты!$B$5:$B$16,0)),"БЛОК: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сюда",IF(A150&gt;Ввод!$B$4,"БЛОК: оплата после последнего дня расчёта — продлите расчёт или уберите строку","ок"))))))))</f>
        <v/>
      </c>
    </row>
    <row r="151">
      <c r="A151" s="10" t="n"/>
      <c r="B151" s="15" t="n"/>
      <c r="C151" s="13" t="n"/>
      <c r="D151" s="13" t="n"/>
      <c r="E151" s="5">
        <f>IF(AND(A151="",B151="",C151="",D151=""),"",IF(OR(A151="",B151=""),"БЛОК: нужны и дата, и сумма",IF(B151&lt;=0,"БЛОК: сумма должна быть больше нуля",IF(D151="","БЛОК: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вас",IF(COUNTIF(Акты!$B$5:$B$16,D151)=0,"БЛОК: такого акта нет на листе «Акты» — добавьте акт или исправьте идентификатор",IF(NOT(ISNUMBER(INDEX(Акты!$E$5:$E$16,MATCH(D151,Акты!$B$5:$B$16,0)))),"БЛОК: у этого акта на листе «Акты» не указан первый день просрочки",IF(A151&lt;INDEX(Акты!$E$5:$E$16,MATCH(D151,Акты!$B$5:$B$16,0)),"БЛОК: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сюда",IF(A151&gt;Ввод!$B$4,"БЛОК: оплата после последнего дня расчёта — продлите расчёт или уберите строку","ок"))))))))</f>
        <v/>
      </c>
    </row>
    <row r="152">
      <c r="A152" s="10" t="n"/>
      <c r="B152" s="15" t="n"/>
      <c r="C152" s="13" t="n"/>
      <c r="D152" s="13" t="n"/>
      <c r="E152" s="5">
        <f>IF(AND(A152="",B152="",C152="",D152=""),"",IF(OR(A152="",B152=""),"БЛОК: нужны и дата, и сумма",IF(B152&lt;=0,"БЛОК: сумма должна быть больше нуля",IF(D152="","БЛОК: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вас",IF(COUNTIF(Акты!$B$5:$B$16,D152)=0,"БЛОК: такого акта нет на листе «Акты» — добавьте акт или исправьте идентификатор",IF(NOT(ISNUMBER(INDEX(Акты!$E$5:$E$16,MATCH(D152,Акты!$B$5:$B$16,0)))),"БЛОК: у этого акта на листе «Акты» не указан первый день просрочки",IF(A152&lt;INDEX(Акты!$E$5:$E$16,MATCH(D152,Акты!$B$5:$B$16,0)),"БЛОК: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сюда",IF(A152&gt;Ввод!$B$4,"БЛОК: оплата после последнего дня расчёта — продлите расчёт или уберите строку","ок"))))))))</f>
        <v/>
      </c>
    </row>
    <row r="153">
      <c r="A153" s="10" t="n"/>
      <c r="B153" s="15" t="n"/>
      <c r="C153" s="13" t="n"/>
      <c r="D153" s="13" t="n"/>
      <c r="E153" s="5">
        <f>IF(AND(A153="",B153="",C153="",D153=""),"",IF(OR(A153="",B153=""),"БЛОК: нужны и дата, и сумма",IF(B153&lt;=0,"БЛОК: сумма должна быть больше нуля",IF(D153="","БЛОК: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вас",IF(COUNTIF(Акты!$B$5:$B$16,D153)=0,"БЛОК: такого акта нет на листе «Акты» — добавьте акт или исправьте идентификатор",IF(NOT(ISNUMBER(INDEX(Акты!$E$5:$E$16,MATCH(D153,Акты!$B$5:$B$16,0)))),"БЛОК: у этого акта на листе «Акты» не указан первый день просрочки",IF(A153&lt;INDEX(Акты!$E$5:$E$16,MATCH(D153,Акты!$B$5:$B$16,0)),"БЛОК: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сюда",IF(A153&gt;Ввод!$B$4,"БЛОК: оплата после последнего дня расчёта — продлите расчёт или уберите строку","ок"))))))))</f>
        <v/>
      </c>
    </row>
    <row r="154">
      <c r="A154" s="10" t="n"/>
      <c r="B154" s="15" t="n"/>
      <c r="C154" s="13" t="n"/>
      <c r="D154" s="13" t="n"/>
      <c r="E154" s="5">
        <f>IF(AND(A154="",B154="",C154="",D154=""),"",IF(OR(A154="",B154=""),"БЛОК: нужны и дата, и сумма",IF(B154&lt;=0,"БЛОК: сумма должна быть больше нуля",IF(D154="","БЛОК: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вас",IF(COUNTIF(Акты!$B$5:$B$16,D154)=0,"БЛОК: такого акта нет на листе «Акты» — добавьте акт или исправьте идентификатор",IF(NOT(ISNUMBER(INDEX(Акты!$E$5:$E$16,MATCH(D154,Акты!$B$5:$B$16,0)))),"БЛОК: у этого акта на листе «Акты» не указан первый день просрочки",IF(A154&lt;INDEX(Акты!$E$5:$E$16,MATCH(D154,Акты!$B$5:$B$16,0)),"БЛОК: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сюда",IF(A154&gt;Ввод!$B$4,"БЛОК: оплата после последнего дня расчёта — продлите расчёт или уберите строку","ок"))))))))</f>
        <v/>
      </c>
    </row>
    <row r="155">
      <c r="A155" s="10" t="n"/>
      <c r="B155" s="15" t="n"/>
      <c r="C155" s="13" t="n"/>
      <c r="D155" s="13" t="n"/>
      <c r="E155" s="5">
        <f>IF(AND(A155="",B155="",C155="",D155=""),"",IF(OR(A155="",B155=""),"БЛОК: нужны и дата, и сумма",IF(B155&lt;=0,"БЛОК: сумма должна быть больше нуля",IF(D155="","БЛОК: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вас",IF(COUNTIF(Акты!$B$5:$B$16,D155)=0,"БЛОК: такого акта нет на листе «Акты» — добавьте акт или исправьте идентификатор",IF(NOT(ISNUMBER(INDEX(Акты!$E$5:$E$16,MATCH(D155,Акты!$B$5:$B$16,0)))),"БЛОК: у этого акта на листе «Акты» не указан первый день просрочки",IF(A155&lt;INDEX(Акты!$E$5:$E$16,MATCH(D155,Акты!$B$5:$B$16,0)),"БЛОК: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сюда",IF(A155&gt;Ввод!$B$4,"БЛОК: оплата после последнего дня расчёта — продлите расчёт или уберите строку","ок"))))))))</f>
        <v/>
      </c>
    </row>
    <row r="156">
      <c r="A156" s="10" t="n"/>
      <c r="B156" s="15" t="n"/>
      <c r="C156" s="13" t="n"/>
      <c r="D156" s="13" t="n"/>
      <c r="E156" s="5">
        <f>IF(AND(A156="",B156="",C156="",D156=""),"",IF(OR(A156="",B156=""),"БЛОК: нужны и дата, и сумма",IF(B156&lt;=0,"БЛОК: сумма должна быть больше нуля",IF(D156="","БЛОК: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вас",IF(COUNTIF(Акты!$B$5:$B$16,D156)=0,"БЛОК: такого акта нет на листе «Акты» — добавьте акт или исправьте идентификатор",IF(NOT(ISNUMBER(INDEX(Акты!$E$5:$E$16,MATCH(D156,Акты!$B$5:$B$16,0)))),"БЛОК: у этого акта на листе «Акты» не указан первый день просрочки",IF(A156&lt;INDEX(Акты!$E$5:$E$16,MATCH(D156,Акты!$B$5:$B$16,0)),"БЛОК: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сюда",IF(A156&gt;Ввод!$B$4,"БЛОК: оплата после последнего дня расчёта — продлите расчёт или уберите строку","ок"))))))))</f>
        <v/>
      </c>
    </row>
    <row r="157">
      <c r="A157" s="10" t="n"/>
      <c r="B157" s="15" t="n"/>
      <c r="C157" s="13" t="n"/>
      <c r="D157" s="13" t="n"/>
      <c r="E157" s="5">
        <f>IF(AND(A157="",B157="",C157="",D157=""),"",IF(OR(A157="",B157=""),"БЛОК: нужны и дата, и сумма",IF(B157&lt;=0,"БЛОК: сумма должна быть больше нуля",IF(D157="","БЛОК: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вас",IF(COUNTIF(Акты!$B$5:$B$16,D157)=0,"БЛОК: такого акта нет на листе «Акты» — добавьте акт или исправьте идентификатор",IF(NOT(ISNUMBER(INDEX(Акты!$E$5:$E$16,MATCH(D157,Акты!$B$5:$B$16,0)))),"БЛОК: у этого акта на листе «Акты» не указан первый день просрочки",IF(A157&lt;INDEX(Акты!$E$5:$E$16,MATCH(D157,Акты!$B$5:$B$16,0)),"БЛОК: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сюда",IF(A157&gt;Ввод!$B$4,"БЛОК: оплата после последнего дня расчёта — продлите расчёт или уберите строку","ок"))))))))</f>
        <v/>
      </c>
    </row>
    <row r="158">
      <c r="A158" s="10" t="n"/>
      <c r="B158" s="15" t="n"/>
      <c r="C158" s="13" t="n"/>
      <c r="D158" s="13" t="n"/>
      <c r="E158" s="5">
        <f>IF(AND(A158="",B158="",C158="",D158=""),"",IF(OR(A158="",B158=""),"БЛОК: нужны и дата, и сумма",IF(B158&lt;=0,"БЛОК: сумма должна быть больше нуля",IF(D158="","БЛОК: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вас",IF(COUNTIF(Акты!$B$5:$B$16,D158)=0,"БЛОК: такого акта нет на листе «Акты» — добавьте акт или исправьте идентификатор",IF(NOT(ISNUMBER(INDEX(Акты!$E$5:$E$16,MATCH(D158,Акты!$B$5:$B$16,0)))),"БЛОК: у этого акта на листе «Акты» не указан первый день просрочки",IF(A158&lt;INDEX(Акты!$E$5:$E$16,MATCH(D158,Акты!$B$5:$B$16,0)),"БЛОК: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сюда",IF(A158&gt;Ввод!$B$4,"БЛОК: оплата после последнего дня расчёта — продлите расчёт или уберите строку","ок"))))))))</f>
        <v/>
      </c>
    </row>
    <row r="159">
      <c r="A159" s="10" t="n"/>
      <c r="B159" s="15" t="n"/>
      <c r="C159" s="13" t="n"/>
      <c r="D159" s="13" t="n"/>
      <c r="E159" s="5">
        <f>IF(AND(A159="",B159="",C159="",D159=""),"",IF(OR(A159="",B159=""),"БЛОК: нужны и дата, и сумма",IF(B159&lt;=0,"БЛОК: сумма должна быть больше нуля",IF(D159="","БЛОК: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вас",IF(COUNTIF(Акты!$B$5:$B$16,D159)=0,"БЛОК: такого акта нет на листе «Акты» — добавьте акт или исправьте идентификатор",IF(NOT(ISNUMBER(INDEX(Акты!$E$5:$E$16,MATCH(D159,Акты!$B$5:$B$16,0)))),"БЛОК: у этого акта на листе «Акты» не указан первый день просрочки",IF(A159&lt;INDEX(Акты!$E$5:$E$16,MATCH(D159,Акты!$B$5:$B$16,0)),"БЛОК: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сюда",IF(A159&gt;Ввод!$B$4,"БЛОК: оплата после последнего дня расчёта — продлите расчёт или уберите строку","ок"))))))))</f>
        <v/>
      </c>
    </row>
    <row r="160">
      <c r="A160" s="10" t="n"/>
      <c r="B160" s="15" t="n"/>
      <c r="C160" s="13" t="n"/>
      <c r="D160" s="13" t="n"/>
      <c r="E160" s="5">
        <f>IF(AND(A160="",B160="",C160="",D160=""),"",IF(OR(A160="",B160=""),"БЛОК: нужны и дата, и сумма",IF(B160&lt;=0,"БЛОК: сумма должна быть больше нуля",IF(D160="","БЛОК: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вас",IF(COUNTIF(Акты!$B$5:$B$16,D160)=0,"БЛОК: такого акта нет на листе «Акты» — добавьте акт или исправьте идентификатор",IF(NOT(ISNUMBER(INDEX(Акты!$E$5:$E$16,MATCH(D160,Акты!$B$5:$B$16,0)))),"БЛОК: у этого акта на листе «Акты» не указан первый день просрочки",IF(A160&lt;INDEX(Акты!$E$5:$E$16,MATCH(D160,Акты!$B$5:$B$16,0)),"БЛОК: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сюда",IF(A160&gt;Ввод!$B$4,"БЛОК: оплата после последнего дня расчёта — продлите расчёт или уберите строку","ок"))))))))</f>
        <v/>
      </c>
    </row>
    <row r="161">
      <c r="A161" s="10" t="n"/>
      <c r="B161" s="15" t="n"/>
      <c r="C161" s="13" t="n"/>
      <c r="D161" s="13" t="n"/>
      <c r="E161" s="5">
        <f>IF(AND(A161="",B161="",C161="",D161=""),"",IF(OR(A161="",B161=""),"БЛОК: нужны и дата, и сумма",IF(B161&lt;=0,"БЛОК: сумма должна быть больше нуля",IF(D161="","БЛОК: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вас",IF(COUNTIF(Акты!$B$5:$B$16,D161)=0,"БЛОК: такого акта нет на листе «Акты» — добавьте акт или исправьте идентификатор",IF(NOT(ISNUMBER(INDEX(Акты!$E$5:$E$16,MATCH(D161,Акты!$B$5:$B$16,0)))),"БЛОК: у этого акта на листе «Акты» не указан первый день просрочки",IF(A161&lt;INDEX(Акты!$E$5:$E$16,MATCH(D161,Акты!$B$5:$B$16,0)),"БЛОК: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сюда",IF(A161&gt;Ввод!$B$4,"БЛОК: оплата после последнего дня расчёта — продлите расчёт или уберите строку","ок"))))))))</f>
        <v/>
      </c>
    </row>
    <row r="162">
      <c r="A162" s="10" t="n"/>
      <c r="B162" s="15" t="n"/>
      <c r="C162" s="13" t="n"/>
      <c r="D162" s="13" t="n"/>
      <c r="E162" s="5">
        <f>IF(AND(A162="",B162="",C162="",D162=""),"",IF(OR(A162="",B162=""),"БЛОК: нужны и дата, и сумма",IF(B162&lt;=0,"БЛОК: сумма должна быть больше нуля",IF(D162="","БЛОК: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вас",IF(COUNTIF(Акты!$B$5:$B$16,D162)=0,"БЛОК: такого акта нет на листе «Акты» — добавьте акт или исправьте идентификатор",IF(NOT(ISNUMBER(INDEX(Акты!$E$5:$E$16,MATCH(D162,Акты!$B$5:$B$16,0)))),"БЛОК: у этого акта на листе «Акты» не указан первый день просрочки",IF(A162&lt;INDEX(Акты!$E$5:$E$16,MATCH(D162,Акты!$B$5:$B$16,0)),"БЛОК: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сюда",IF(A162&gt;Ввод!$B$4,"БЛОК: оплата после последнего дня расчёта — продлите расчёт или уберите строку","ок"))))))))</f>
        <v/>
      </c>
    </row>
    <row r="163">
      <c r="A163" s="10" t="n"/>
      <c r="B163" s="15" t="n"/>
      <c r="C163" s="13" t="n"/>
      <c r="D163" s="13" t="n"/>
      <c r="E163" s="5">
        <f>IF(AND(A163="",B163="",C163="",D163=""),"",IF(OR(A163="",B163=""),"БЛОК: нужны и дата, и сумма",IF(B163&lt;=0,"БЛОК: сумма должна быть больше нуля",IF(D163="","БЛОК: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вас",IF(COUNTIF(Акты!$B$5:$B$16,D163)=0,"БЛОК: такого акта нет на листе «Акты» — добавьте акт или исправьте идентификатор",IF(NOT(ISNUMBER(INDEX(Акты!$E$5:$E$16,MATCH(D163,Акты!$B$5:$B$16,0)))),"БЛОК: у этого акта на листе «Акты» не указан первый день просрочки",IF(A163&lt;INDEX(Акты!$E$5:$E$16,MATCH(D163,Акты!$B$5:$B$16,0)),"БЛОК: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сюда",IF(A163&gt;Ввод!$B$4,"БЛОК: оплата после последнего дня расчёта — продлите расчёт или уберите строку","ок"))))))))</f>
        <v/>
      </c>
    </row>
    <row r="164">
      <c r="A164" s="10" t="n"/>
      <c r="B164" s="15" t="n"/>
      <c r="C164" s="13" t="n"/>
      <c r="D164" s="13" t="n"/>
      <c r="E164" s="5">
        <f>IF(AND(A164="",B164="",C164="",D164=""),"",IF(OR(A164="",B164=""),"БЛОК: нужны и дата, и сумма",IF(B164&lt;=0,"БЛОК: сумма должна быть больше нуля",IF(D164="","БЛОК: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вас",IF(COUNTIF(Акты!$B$5:$B$16,D164)=0,"БЛОК: такого акта нет на листе «Акты» — добавьте акт или исправьте идентификатор",IF(NOT(ISNUMBER(INDEX(Акты!$E$5:$E$16,MATCH(D164,Акты!$B$5:$B$16,0)))),"БЛОК: у этого акта на листе «Акты» не указан первый день просрочки",IF(A164&lt;INDEX(Акты!$E$5:$E$16,MATCH(D164,Акты!$B$5:$B$16,0)),"БЛОК: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сюда",IF(A164&gt;Ввод!$B$4,"БЛОК: оплата после последнего дня расчёта — продлите расчёт или уберите строку","ок"))))))))</f>
        <v/>
      </c>
    </row>
    <row r="165">
      <c r="A165" s="10" t="n"/>
      <c r="B165" s="15" t="n"/>
      <c r="C165" s="13" t="n"/>
      <c r="D165" s="13" t="n"/>
      <c r="E165" s="5">
        <f>IF(AND(A165="",B165="",C165="",D165=""),"",IF(OR(A165="",B165=""),"БЛОК: нужны и дата, и сумма",IF(B165&lt;=0,"БЛОК: сумма должна быть больше нуля",IF(D165="","БЛОК: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вас",IF(COUNTIF(Акты!$B$5:$B$16,D165)=0,"БЛОК: такого акта нет на листе «Акты» — добавьте акт или исправьте идентификатор",IF(NOT(ISNUMBER(INDEX(Акты!$E$5:$E$16,MATCH(D165,Акты!$B$5:$B$16,0)))),"БЛОК: у этого акта на листе «Акты» не указан первый день просрочки",IF(A165&lt;INDEX(Акты!$E$5:$E$16,MATCH(D165,Акты!$B$5:$B$16,0)),"БЛОК: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сюда",IF(A165&gt;Ввод!$B$4,"БЛОК: оплата после последнего дня расчёта — продлите расчёт или уберите строку","ок"))))))))</f>
        <v/>
      </c>
    </row>
    <row r="166">
      <c r="A166" s="10" t="n"/>
      <c r="B166" s="15" t="n"/>
      <c r="C166" s="13" t="n"/>
      <c r="D166" s="13" t="n"/>
      <c r="E166" s="5">
        <f>IF(AND(A166="",B166="",C166="",D166=""),"",IF(OR(A166="",B166=""),"БЛОК: нужны и дата, и сумма",IF(B166&lt;=0,"БЛОК: сумма должна быть больше нуля",IF(D166="","БЛОК: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вас",IF(COUNTIF(Акты!$B$5:$B$16,D166)=0,"БЛОК: такого акта нет на листе «Акты» — добавьте акт или исправьте идентификатор",IF(NOT(ISNUMBER(INDEX(Акты!$E$5:$E$16,MATCH(D166,Акты!$B$5:$B$16,0)))),"БЛОК: у этого акта на листе «Акты» не указан первый день просрочки",IF(A166&lt;INDEX(Акты!$E$5:$E$16,MATCH(D166,Акты!$B$5:$B$16,0)),"БЛОК: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сюда",IF(A166&gt;Ввод!$B$4,"БЛОК: оплата после последнего дня расчёта — продлите расчёт или уберите строку","ок"))))))))</f>
        <v/>
      </c>
    </row>
    <row r="167">
      <c r="A167" s="10" t="n"/>
      <c r="B167" s="15" t="n"/>
      <c r="C167" s="13" t="n"/>
      <c r="D167" s="13" t="n"/>
      <c r="E167" s="5">
        <f>IF(AND(A167="",B167="",C167="",D167=""),"",IF(OR(A167="",B167=""),"БЛОК: нужны и дата, и сумма",IF(B167&lt;=0,"БЛОК: сумма должна быть больше нуля",IF(D167="","БЛОК: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вас",IF(COUNTIF(Акты!$B$5:$B$16,D167)=0,"БЛОК: такого акта нет на листе «Акты» — добавьте акт или исправьте идентификатор",IF(NOT(ISNUMBER(INDEX(Акты!$E$5:$E$16,MATCH(D167,Акты!$B$5:$B$16,0)))),"БЛОК: у этого акта на листе «Акты» не указан первый день просрочки",IF(A167&lt;INDEX(Акты!$E$5:$E$16,MATCH(D167,Акты!$B$5:$B$16,0)),"БЛОК: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сюда",IF(A167&gt;Ввод!$B$4,"БЛОК: оплата после последнего дня расчёта — продлите расчёт или уберите строку","ок"))))))))</f>
        <v/>
      </c>
    </row>
    <row r="168">
      <c r="A168" s="10" t="n"/>
      <c r="B168" s="15" t="n"/>
      <c r="C168" s="13" t="n"/>
      <c r="D168" s="13" t="n"/>
      <c r="E168" s="5">
        <f>IF(AND(A168="",B168="",C168="",D168=""),"",IF(OR(A168="",B168=""),"БЛОК: нужны и дата, и сумма",IF(B168&lt;=0,"БЛОК: сумма должна быть больше нуля",IF(D168="","БЛОК: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вас",IF(COUNTIF(Акты!$B$5:$B$16,D168)=0,"БЛОК: такого акта нет на листе «Акты» — добавьте акт или исправьте идентификатор",IF(NOT(ISNUMBER(INDEX(Акты!$E$5:$E$16,MATCH(D168,Акты!$B$5:$B$16,0)))),"БЛОК: у этого акта на листе «Акты» не указан первый день просрочки",IF(A168&lt;INDEX(Акты!$E$5:$E$16,MATCH(D168,Акты!$B$5:$B$16,0)),"БЛОК: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сюда",IF(A168&gt;Ввод!$B$4,"БЛОК: оплата после последнего дня расчёта — продлите расчёт или уберите строку","ок"))))))))</f>
        <v/>
      </c>
    </row>
    <row r="169">
      <c r="A169" s="10" t="n"/>
      <c r="B169" s="15" t="n"/>
      <c r="C169" s="13" t="n"/>
      <c r="D169" s="13" t="n"/>
      <c r="E169" s="5">
        <f>IF(AND(A169="",B169="",C169="",D169=""),"",IF(OR(A169="",B169=""),"БЛОК: нужны и дата, и сумма",IF(B169&lt;=0,"БЛОК: сумма должна быть больше нуля",IF(D169="","БЛОК: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вас",IF(COUNTIF(Акты!$B$5:$B$16,D169)=0,"БЛОК: такого акта нет на листе «Акты» — добавьте акт или исправьте идентификатор",IF(NOT(ISNUMBER(INDEX(Акты!$E$5:$E$16,MATCH(D169,Акты!$B$5:$B$16,0)))),"БЛОК: у этого акта на листе «Акты» не указан первый день просрочки",IF(A169&lt;INDEX(Акты!$E$5:$E$16,MATCH(D169,Акты!$B$5:$B$16,0)),"БЛОК: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сюда",IF(A169&gt;Ввод!$B$4,"БЛОК: оплата после последнего дня расчёта — продлите расчёт или уберите строку","ок"))))))))</f>
        <v/>
      </c>
    </row>
    <row r="170">
      <c r="A170" s="10" t="n"/>
      <c r="B170" s="15" t="n"/>
      <c r="C170" s="13" t="n"/>
      <c r="D170" s="13" t="n"/>
      <c r="E170" s="5">
        <f>IF(AND(A170="",B170="",C170="",D170=""),"",IF(OR(A170="",B170=""),"БЛОК: нужны и дата, и сумма",IF(B170&lt;=0,"БЛОК: сумма должна быть больше нуля",IF(D170="","БЛОК: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вас",IF(COUNTIF(Акты!$B$5:$B$16,D170)=0,"БЛОК: такого акта нет на листе «Акты» — добавьте акт или исправьте идентификатор",IF(NOT(ISNUMBER(INDEX(Акты!$E$5:$E$16,MATCH(D170,Акты!$B$5:$B$16,0)))),"БЛОК: у этого акта на листе «Акты» не указан первый день просрочки",IF(A170&lt;INDEX(Акты!$E$5:$E$16,MATCH(D170,Акты!$B$5:$B$16,0)),"БЛОК: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сюда",IF(A170&gt;Ввод!$B$4,"БЛОК: оплата после последнего дня расчёта — продлите расчёт или уберите строку","ок"))))))))</f>
        <v/>
      </c>
    </row>
    <row r="171">
      <c r="A171" s="10" t="n"/>
      <c r="B171" s="15" t="n"/>
      <c r="C171" s="13" t="n"/>
      <c r="D171" s="13" t="n"/>
      <c r="E171" s="5">
        <f>IF(AND(A171="",B171="",C171="",D171=""),"",IF(OR(A171="",B171=""),"БЛОК: нужны и дата, и сумма",IF(B171&lt;=0,"БЛОК: сумма должна быть больше нуля",IF(D171="","БЛОК: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вас",IF(COUNTIF(Акты!$B$5:$B$16,D171)=0,"БЛОК: такого акта нет на листе «Акты» — добавьте акт или исправьте идентификатор",IF(NOT(ISNUMBER(INDEX(Акты!$E$5:$E$16,MATCH(D171,Акты!$B$5:$B$16,0)))),"БЛОК: у этого акта на листе «Акты» не указан первый день просрочки",IF(A171&lt;INDEX(Акты!$E$5:$E$16,MATCH(D171,Акты!$B$5:$B$16,0)),"БЛОК: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сюда",IF(A171&gt;Ввод!$B$4,"БЛОК: оплата после последнего дня расчёта — продлите расчёт или уберите строку","ок"))))))))</f>
        <v/>
      </c>
    </row>
    <row r="172">
      <c r="A172" s="10" t="n"/>
      <c r="B172" s="15" t="n"/>
      <c r="C172" s="13" t="n"/>
      <c r="D172" s="13" t="n"/>
      <c r="E172" s="5">
        <f>IF(AND(A172="",B172="",C172="",D172=""),"",IF(OR(A172="",B172=""),"БЛОК: нужны и дата, и сумма",IF(B172&lt;=0,"БЛОК: сумма должна быть больше нуля",IF(D172="","БЛОК: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вас",IF(COUNTIF(Акты!$B$5:$B$16,D172)=0,"БЛОК: такого акта нет на листе «Акты» — добавьте акт или исправьте идентификатор",IF(NOT(ISNUMBER(INDEX(Акты!$E$5:$E$16,MATCH(D172,Акты!$B$5:$B$16,0)))),"БЛОК: у этого акта на листе «Акты» не указан первый день просрочки",IF(A172&lt;INDEX(Акты!$E$5:$E$16,MATCH(D172,Акты!$B$5:$B$16,0)),"БЛОК: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сюда",IF(A172&gt;Ввод!$B$4,"БЛОК: оплата после последнего дня расчёта — продлите расчёт или уберите строку","ок"))))))))</f>
        <v/>
      </c>
    </row>
    <row r="173">
      <c r="A173" s="10" t="n"/>
      <c r="B173" s="15" t="n"/>
      <c r="C173" s="13" t="n"/>
      <c r="D173" s="13" t="n"/>
      <c r="E173" s="5">
        <f>IF(AND(A173="",B173="",C173="",D173=""),"",IF(OR(A173="",B173=""),"БЛОК: нужны и дата, и сумма",IF(B173&lt;=0,"БЛОК: сумма должна быть больше нуля",IF(D173="","БЛОК: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вас",IF(COUNTIF(Акты!$B$5:$B$16,D173)=0,"БЛОК: такого акта нет на листе «Акты» — добавьте акт или исправьте идентификатор",IF(NOT(ISNUMBER(INDEX(Акты!$E$5:$E$16,MATCH(D173,Акты!$B$5:$B$16,0)))),"БЛОК: у этого акта на листе «Акты» не указан первый день просрочки",IF(A173&lt;INDEX(Акты!$E$5:$E$16,MATCH(D173,Акты!$B$5:$B$16,0)),"БЛОК: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сюда",IF(A173&gt;Ввод!$B$4,"БЛОК: оплата после последнего дня расчёта — продлите расчёт или уберите строку","ок"))))))))</f>
        <v/>
      </c>
    </row>
    <row r="174">
      <c r="A174" s="10" t="n"/>
      <c r="B174" s="15" t="n"/>
      <c r="C174" s="13" t="n"/>
      <c r="D174" s="13" t="n"/>
      <c r="E174" s="5">
        <f>IF(AND(A174="",B174="",C174="",D174=""),"",IF(OR(A174="",B174=""),"БЛОК: нужны и дата, и сумма",IF(B174&lt;=0,"БЛОК: сумма должна быть больше нуля",IF(D174="","БЛОК: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вас",IF(COUNTIF(Акты!$B$5:$B$16,D174)=0,"БЛОК: такого акта нет на листе «Акты» — добавьте акт или исправьте идентификатор",IF(NOT(ISNUMBER(INDEX(Акты!$E$5:$E$16,MATCH(D174,Акты!$B$5:$B$16,0)))),"БЛОК: у этого акта на листе «Акты» не указан первый день просрочки",IF(A174&lt;INDEX(Акты!$E$5:$E$16,MATCH(D174,Акты!$B$5:$B$16,0)),"БЛОК: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сюда",IF(A174&gt;Ввод!$B$4,"БЛОК: оплата после последнего дня расчёта — продлите расчёт или уберите строку","ок"))))))))</f>
        <v/>
      </c>
    </row>
    <row r="175">
      <c r="A175" s="10" t="n"/>
      <c r="B175" s="15" t="n"/>
      <c r="C175" s="13" t="n"/>
      <c r="D175" s="13" t="n"/>
      <c r="E175" s="5">
        <f>IF(AND(A175="",B175="",C175="",D175=""),"",IF(OR(A175="",B175=""),"БЛОК: нужны и дата, и сумма",IF(B175&lt;=0,"БЛОК: сумма должна быть больше нуля",IF(D175="","БЛОК: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вас",IF(COUNTIF(Акты!$B$5:$B$16,D175)=0,"БЛОК: такого акта нет на листе «Акты» — добавьте акт или исправьте идентификатор",IF(NOT(ISNUMBER(INDEX(Акты!$E$5:$E$16,MATCH(D175,Акты!$B$5:$B$16,0)))),"БЛОК: у этого акта на листе «Акты» не указан первый день просрочки",IF(A175&lt;INDEX(Акты!$E$5:$E$16,MATCH(D175,Акты!$B$5:$B$16,0)),"БЛОК: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сюда",IF(A175&gt;Ввод!$B$4,"БЛОК: оплата после последнего дня расчёта — продлите расчёт или уберите строку","ок"))))))))</f>
        <v/>
      </c>
    </row>
    <row r="176">
      <c r="A176" s="10" t="n"/>
      <c r="B176" s="15" t="n"/>
      <c r="C176" s="13" t="n"/>
      <c r="D176" s="13" t="n"/>
      <c r="E176" s="5">
        <f>IF(AND(A176="",B176="",C176="",D176=""),"",IF(OR(A176="",B176=""),"БЛОК: нужны и дата, и сумма",IF(B176&lt;=0,"БЛОК: сумма должна быть больше нуля",IF(D176="","БЛОК: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вас",IF(COUNTIF(Акты!$B$5:$B$16,D176)=0,"БЛОК: такого акта нет на листе «Акты» — добавьте акт или исправьте идентификатор",IF(NOT(ISNUMBER(INDEX(Акты!$E$5:$E$16,MATCH(D176,Акты!$B$5:$B$16,0)))),"БЛОК: у этого акта на листе «Акты» не указан первый день просрочки",IF(A176&lt;INDEX(Акты!$E$5:$E$16,MATCH(D176,Акты!$B$5:$B$16,0)),"БЛОК: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сюда",IF(A176&gt;Ввод!$B$4,"БЛОК: оплата после последнего дня расчёта — продлите расчёт или уберите строку","ок"))))))))</f>
        <v/>
      </c>
    </row>
    <row r="177">
      <c r="A177" s="10" t="n"/>
      <c r="B177" s="15" t="n"/>
      <c r="C177" s="13" t="n"/>
      <c r="D177" s="13" t="n"/>
      <c r="E177" s="5">
        <f>IF(AND(A177="",B177="",C177="",D177=""),"",IF(OR(A177="",B177=""),"БЛОК: нужны и дата, и сумма",IF(B177&lt;=0,"БЛОК: сумма должна быть больше нуля",IF(D177="","БЛОК: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вас",IF(COUNTIF(Акты!$B$5:$B$16,D177)=0,"БЛОК: такого акта нет на листе «Акты» — добавьте акт или исправьте идентификатор",IF(NOT(ISNUMBER(INDEX(Акты!$E$5:$E$16,MATCH(D177,Акты!$B$5:$B$16,0)))),"БЛОК: у этого акта на листе «Акты» не указан первый день просрочки",IF(A177&lt;INDEX(Акты!$E$5:$E$16,MATCH(D177,Акты!$B$5:$B$16,0)),"БЛОК: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сюда",IF(A177&gt;Ввод!$B$4,"БЛОК: оплата после последнего дня расчёта — продлите расчёт или уберите строку","ок"))))))))</f>
        <v/>
      </c>
    </row>
    <row r="178">
      <c r="A178" s="10" t="n"/>
      <c r="B178" s="15" t="n"/>
      <c r="C178" s="13" t="n"/>
      <c r="D178" s="13" t="n"/>
      <c r="E178" s="5">
        <f>IF(AND(A178="",B178="",C178="",D178=""),"",IF(OR(A178="",B178=""),"БЛОК: нужны и дата, и сумма",IF(B178&lt;=0,"БЛОК: сумма должна быть больше нуля",IF(D178="","БЛОК: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вас",IF(COUNTIF(Акты!$B$5:$B$16,D178)=0,"БЛОК: такого акта нет на листе «Акты» — добавьте акт или исправьте идентификатор",IF(NOT(ISNUMBER(INDEX(Акты!$E$5:$E$16,MATCH(D178,Акты!$B$5:$B$16,0)))),"БЛОК: у этого акта на листе «Акты» не указан первый день просрочки",IF(A178&lt;INDEX(Акты!$E$5:$E$16,MATCH(D178,Акты!$B$5:$B$16,0)),"БЛОК: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сюда",IF(A178&gt;Ввод!$B$4,"БЛОК: оплата после последнего дня расчёта — продлите расчёт или уберите строку","ок"))))))))</f>
        <v/>
      </c>
    </row>
    <row r="179">
      <c r="A179" s="10" t="n"/>
      <c r="B179" s="15" t="n"/>
      <c r="C179" s="13" t="n"/>
      <c r="D179" s="13" t="n"/>
      <c r="E179" s="5">
        <f>IF(AND(A179="",B179="",C179="",D179=""),"",IF(OR(A179="",B179=""),"БЛОК: нужны и дата, и сумма",IF(B179&lt;=0,"БЛОК: сумма должна быть больше нуля",IF(D179="","БЛОК: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вас",IF(COUNTIF(Акты!$B$5:$B$16,D179)=0,"БЛОК: такого акта нет на листе «Акты» — добавьте акт или исправьте идентификатор",IF(NOT(ISNUMBER(INDEX(Акты!$E$5:$E$16,MATCH(D179,Акты!$B$5:$B$16,0)))),"БЛОК: у этого акта на листе «Акты» не указан первый день просрочки",IF(A179&lt;INDEX(Акты!$E$5:$E$16,MATCH(D179,Акты!$B$5:$B$16,0)),"БЛОК: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сюда",IF(A179&gt;Ввод!$B$4,"БЛОК: оплата после последнего дня расчёта — продлите расчёт или уберите строку","ок"))))))))</f>
        <v/>
      </c>
    </row>
    <row r="180">
      <c r="A180" s="10" t="n"/>
      <c r="B180" s="15" t="n"/>
      <c r="C180" s="13" t="n"/>
      <c r="D180" s="13" t="n"/>
      <c r="E180" s="5">
        <f>IF(AND(A180="",B180="",C180="",D180=""),"",IF(OR(A180="",B180=""),"БЛОК: нужны и дата, и сумма",IF(B180&lt;=0,"БЛОК: сумма должна быть больше нуля",IF(D180="","БЛОК: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вас",IF(COUNTIF(Акты!$B$5:$B$16,D180)=0,"БЛОК: такого акта нет на листе «Акты» — добавьте акт или исправьте идентификатор",IF(NOT(ISNUMBER(INDEX(Акты!$E$5:$E$16,MATCH(D180,Акты!$B$5:$B$16,0)))),"БЛОК: у этого акта на листе «Акты» не указан первый день просрочки",IF(A180&lt;INDEX(Акты!$E$5:$E$16,MATCH(D180,Акты!$B$5:$B$16,0)),"БЛОК: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сюда",IF(A180&gt;Ввод!$B$4,"БЛОК: оплата после последнего дня расчёта — продлите расчёт или уберите строку","ок"))))))))</f>
        <v/>
      </c>
    </row>
    <row r="181">
      <c r="A181" s="10" t="n"/>
      <c r="B181" s="15" t="n"/>
      <c r="C181" s="13" t="n"/>
      <c r="D181" s="13" t="n"/>
      <c r="E181" s="5">
        <f>IF(AND(A181="",B181="",C181="",D181=""),"",IF(OR(A181="",B181=""),"БЛОК: нужны и дата, и сумма",IF(B181&lt;=0,"БЛОК: сумма должна быть больше нуля",IF(D181="","БЛОК: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вас",IF(COUNTIF(Акты!$B$5:$B$16,D181)=0,"БЛОК: такого акта нет на листе «Акты» — добавьте акт или исправьте идентификатор",IF(NOT(ISNUMBER(INDEX(Акты!$E$5:$E$16,MATCH(D181,Акты!$B$5:$B$16,0)))),"БЛОК: у этого акта на листе «Акты» не указан первый день просрочки",IF(A181&lt;INDEX(Акты!$E$5:$E$16,MATCH(D181,Акты!$B$5:$B$16,0)),"БЛОК: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сюда",IF(A181&gt;Ввод!$B$4,"БЛОК: оплата после последнего дня расчёта — продлите расчёт или уберите строку","ок"))))))))</f>
        <v/>
      </c>
    </row>
    <row r="182">
      <c r="A182" s="10" t="n"/>
      <c r="B182" s="15" t="n"/>
      <c r="C182" s="13" t="n"/>
      <c r="D182" s="13" t="n"/>
      <c r="E182" s="5">
        <f>IF(AND(A182="",B182="",C182="",D182=""),"",IF(OR(A182="",B182=""),"БЛОК: нужны и дата, и сумма",IF(B182&lt;=0,"БЛОК: сумма должна быть больше нуля",IF(D182="","БЛОК: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вас",IF(COUNTIF(Акты!$B$5:$B$16,D182)=0,"БЛОК: такого акта нет на листе «Акты» — добавьте акт или исправьте идентификатор",IF(NOT(ISNUMBER(INDEX(Акты!$E$5:$E$16,MATCH(D182,Акты!$B$5:$B$16,0)))),"БЛОК: у этого акта на листе «Акты» не указан первый день просрочки",IF(A182&lt;INDEX(Акты!$E$5:$E$16,MATCH(D182,Акты!$B$5:$B$16,0)),"БЛОК: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сюда",IF(A182&gt;Ввод!$B$4,"БЛОК: оплата после последнего дня расчёта — продлите расчёт или уберите строку","ок"))))))))</f>
        <v/>
      </c>
    </row>
    <row r="183">
      <c r="A183" s="10" t="n"/>
      <c r="B183" s="15" t="n"/>
      <c r="C183" s="13" t="n"/>
      <c r="D183" s="13" t="n"/>
      <c r="E183" s="5">
        <f>IF(AND(A183="",B183="",C183="",D183=""),"",IF(OR(A183="",B183=""),"БЛОК: нужны и дата, и сумма",IF(B183&lt;=0,"БЛОК: сумма должна быть больше нуля",IF(D183="","БЛОК: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вас",IF(COUNTIF(Акты!$B$5:$B$16,D183)=0,"БЛОК: такого акта нет на листе «Акты» — добавьте акт или исправьте идентификатор",IF(NOT(ISNUMBER(INDEX(Акты!$E$5:$E$16,MATCH(D183,Акты!$B$5:$B$16,0)))),"БЛОК: у этого акта на листе «Акты» не указан первый день просрочки",IF(A183&lt;INDEX(Акты!$E$5:$E$16,MATCH(D183,Акты!$B$5:$B$16,0)),"БЛОК: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сюда",IF(A183&gt;Ввод!$B$4,"БЛОК: оплата после последнего дня расчёта — продлите расчёт или уберите строку","ок"))))))))</f>
        <v/>
      </c>
    </row>
    <row r="184">
      <c r="A184" s="10" t="n"/>
      <c r="B184" s="15" t="n"/>
      <c r="C184" s="13" t="n"/>
      <c r="D184" s="13" t="n"/>
      <c r="E184" s="5">
        <f>IF(AND(A184="",B184="",C184="",D184=""),"",IF(OR(A184="",B184=""),"БЛОК: нужны и дата, и сумма",IF(B184&lt;=0,"БЛОК: сумма должна быть больше нуля",IF(D184="","БЛОК: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вас",IF(COUNTIF(Акты!$B$5:$B$16,D184)=0,"БЛОК: такого акта нет на листе «Акты» — добавьте акт или исправьте идентификатор",IF(NOT(ISNUMBER(INDEX(Акты!$E$5:$E$16,MATCH(D184,Акты!$B$5:$B$16,0)))),"БЛОК: у этого акта на листе «Акты» не указан первый день просрочки",IF(A184&lt;INDEX(Акты!$E$5:$E$16,MATCH(D184,Акты!$B$5:$B$16,0)),"БЛОК: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сюда",IF(A184&gt;Ввод!$B$4,"БЛОК: оплата после последнего дня расчёта — продлите расчёт или уберите строку","ок"))))))))</f>
        <v/>
      </c>
    </row>
    <row r="185">
      <c r="A185" s="10" t="n"/>
      <c r="B185" s="15" t="n"/>
      <c r="C185" s="13" t="n"/>
      <c r="D185" s="13" t="n"/>
      <c r="E185" s="5">
        <f>IF(AND(A185="",B185="",C185="",D185=""),"",IF(OR(A185="",B185=""),"БЛОК: нужны и дата, и сумма",IF(B185&lt;=0,"БЛОК: сумма должна быть больше нуля",IF(D185="","БЛОК: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вас",IF(COUNTIF(Акты!$B$5:$B$16,D185)=0,"БЛОК: такого акта нет на листе «Акты» — добавьте акт или исправьте идентификатор",IF(NOT(ISNUMBER(INDEX(Акты!$E$5:$E$16,MATCH(D185,Акты!$B$5:$B$16,0)))),"БЛОК: у этого акта на листе «Акты» не указан первый день просрочки",IF(A185&lt;INDEX(Акты!$E$5:$E$16,MATCH(D185,Акты!$B$5:$B$16,0)),"БЛОК: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сюда",IF(A185&gt;Ввод!$B$4,"БЛОК: оплата после последнего дня расчёта — продлите расчёт или уберите строку","ок"))))))))</f>
        <v/>
      </c>
    </row>
    <row r="186">
      <c r="A186" s="10" t="n"/>
      <c r="B186" s="15" t="n"/>
      <c r="C186" s="13" t="n"/>
      <c r="D186" s="13" t="n"/>
      <c r="E186" s="5">
        <f>IF(AND(A186="",B186="",C186="",D186=""),"",IF(OR(A186="",B186=""),"БЛОК: нужны и дата, и сумма",IF(B186&lt;=0,"БЛОК: сумма должна быть больше нуля",IF(D186="","БЛОК: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вас",IF(COUNTIF(Акты!$B$5:$B$16,D186)=0,"БЛОК: такого акта нет на листе «Акты» — добавьте акт или исправьте идентификатор",IF(NOT(ISNUMBER(INDEX(Акты!$E$5:$E$16,MATCH(D186,Акты!$B$5:$B$16,0)))),"БЛОК: у этого акта на листе «Акты» не указан первый день просрочки",IF(A186&lt;INDEX(Акты!$E$5:$E$16,MATCH(D186,Акты!$B$5:$B$16,0)),"БЛОК: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сюда",IF(A186&gt;Ввод!$B$4,"БЛОК: оплата после последнего дня расчёта — продлите расчёт или уберите строку","ок"))))))))</f>
        <v/>
      </c>
    </row>
    <row r="187">
      <c r="A187" s="10" t="n"/>
      <c r="B187" s="15" t="n"/>
      <c r="C187" s="13" t="n"/>
      <c r="D187" s="13" t="n"/>
      <c r="E187" s="5">
        <f>IF(AND(A187="",B187="",C187="",D187=""),"",IF(OR(A187="",B187=""),"БЛОК: нужны и дата, и сумма",IF(B187&lt;=0,"БЛОК: сумма должна быть больше нуля",IF(D187="","БЛОК: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вас",IF(COUNTIF(Акты!$B$5:$B$16,D187)=0,"БЛОК: такого акта нет на листе «Акты» — добавьте акт или исправьте идентификатор",IF(NOT(ISNUMBER(INDEX(Акты!$E$5:$E$16,MATCH(D187,Акты!$B$5:$B$16,0)))),"БЛОК: у этого акта на листе «Акты» не указан первый день просрочки",IF(A187&lt;INDEX(Акты!$E$5:$E$16,MATCH(D187,Акты!$B$5:$B$16,0)),"БЛОК: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сюда",IF(A187&gt;Ввод!$B$4,"БЛОК: оплата после последнего дня расчёта — продлите расчёт или уберите строку","ок"))))))))</f>
        <v/>
      </c>
    </row>
    <row r="188">
      <c r="A188" s="10" t="n"/>
      <c r="B188" s="15" t="n"/>
      <c r="C188" s="13" t="n"/>
      <c r="D188" s="13" t="n"/>
      <c r="E188" s="5">
        <f>IF(AND(A188="",B188="",C188="",D188=""),"",IF(OR(A188="",B188=""),"БЛОК: нужны и дата, и сумма",IF(B188&lt;=0,"БЛОК: сумма должна быть больше нуля",IF(D188="","БЛОК: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вас",IF(COUNTIF(Акты!$B$5:$B$16,D188)=0,"БЛОК: такого акта нет на листе «Акты» — добавьте акт или исправьте идентификатор",IF(NOT(ISNUMBER(INDEX(Акты!$E$5:$E$16,MATCH(D188,Акты!$B$5:$B$16,0)))),"БЛОК: у этого акта на листе «Акты» не указан первый день просрочки",IF(A188&lt;INDEX(Акты!$E$5:$E$16,MATCH(D188,Акты!$B$5:$B$16,0)),"БЛОК: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сюда",IF(A188&gt;Ввод!$B$4,"БЛОК: оплата после последнего дня расчёта — продлите расчёт или уберите строку","ок"))))))))</f>
        <v/>
      </c>
    </row>
    <row r="189">
      <c r="A189" s="10" t="n"/>
      <c r="B189" s="15" t="n"/>
      <c r="C189" s="13" t="n"/>
      <c r="D189" s="13" t="n"/>
      <c r="E189" s="5">
        <f>IF(AND(A189="",B189="",C189="",D189=""),"",IF(OR(A189="",B189=""),"БЛОК: нужны и дата, и сумма",IF(B189&lt;=0,"БЛОК: сумма должна быть больше нуля",IF(D189="","БЛОК: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вас",IF(COUNTIF(Акты!$B$5:$B$16,D189)=0,"БЛОК: такого акта нет на листе «Акты» — добавьте акт или исправьте идентификатор",IF(NOT(ISNUMBER(INDEX(Акты!$E$5:$E$16,MATCH(D189,Акты!$B$5:$B$16,0)))),"БЛОК: у этого акта на листе «Акты» не указан первый день просрочки",IF(A189&lt;INDEX(Акты!$E$5:$E$16,MATCH(D189,Акты!$B$5:$B$16,0)),"БЛОК: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сюда",IF(A189&gt;Ввод!$B$4,"БЛОК: оплата после последнего дня расчёта — продлите расчёт или уберите строку","ок"))))))))</f>
        <v/>
      </c>
    </row>
    <row r="190">
      <c r="A190" s="10" t="n"/>
      <c r="B190" s="15" t="n"/>
      <c r="C190" s="13" t="n"/>
      <c r="D190" s="13" t="n"/>
      <c r="E190" s="5">
        <f>IF(AND(A190="",B190="",C190="",D190=""),"",IF(OR(A190="",B190=""),"БЛОК: нужны и дата, и сумма",IF(B190&lt;=0,"БЛОК: сумма должна быть больше нуля",IF(D190="","БЛОК: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вас",IF(COUNTIF(Акты!$B$5:$B$16,D190)=0,"БЛОК: такого акта нет на листе «Акты» — добавьте акт или исправьте идентификатор",IF(NOT(ISNUMBER(INDEX(Акты!$E$5:$E$16,MATCH(D190,Акты!$B$5:$B$16,0)))),"БЛОК: у этого акта на листе «Акты» не указан первый день просрочки",IF(A190&lt;INDEX(Акты!$E$5:$E$16,MATCH(D190,Акты!$B$5:$B$16,0)),"БЛОК: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сюда",IF(A190&gt;Ввод!$B$4,"БЛОК: оплата после последнего дня расчёта — продлите расчёт или уберите строку","ок"))))))))</f>
        <v/>
      </c>
    </row>
    <row r="191">
      <c r="A191" s="10" t="n"/>
      <c r="B191" s="15" t="n"/>
      <c r="C191" s="13" t="n"/>
      <c r="D191" s="13" t="n"/>
      <c r="E191" s="5">
        <f>IF(AND(A191="",B191="",C191="",D191=""),"",IF(OR(A191="",B191=""),"БЛОК: нужны и дата, и сумма",IF(B191&lt;=0,"БЛОК: сумма должна быть больше нуля",IF(D191="","БЛОК: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вас",IF(COUNTIF(Акты!$B$5:$B$16,D191)=0,"БЛОК: такого акта нет на листе «Акты» — добавьте акт или исправьте идентификатор",IF(NOT(ISNUMBER(INDEX(Акты!$E$5:$E$16,MATCH(D191,Акты!$B$5:$B$16,0)))),"БЛОК: у этого акта на листе «Акты» не указан первый день просрочки",IF(A191&lt;INDEX(Акты!$E$5:$E$16,MATCH(D191,Акты!$B$5:$B$16,0)),"БЛОК: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сюда",IF(A191&gt;Ввод!$B$4,"БЛОК: оплата после последнего дня расчёта — продлите расчёт или уберите строку","ок"))))))))</f>
        <v/>
      </c>
    </row>
    <row r="192">
      <c r="A192" s="10" t="n"/>
      <c r="B192" s="15" t="n"/>
      <c r="C192" s="13" t="n"/>
      <c r="D192" s="13" t="n"/>
      <c r="E192" s="5">
        <f>IF(AND(A192="",B192="",C192="",D192=""),"",IF(OR(A192="",B192=""),"БЛОК: нужны и дата, и сумма",IF(B192&lt;=0,"БЛОК: сумма должна быть больше нуля",IF(D192="","БЛОК: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вас",IF(COUNTIF(Акты!$B$5:$B$16,D192)=0,"БЛОК: такого акта нет на листе «Акты» — добавьте акт или исправьте идентификатор",IF(NOT(ISNUMBER(INDEX(Акты!$E$5:$E$16,MATCH(D192,Акты!$B$5:$B$16,0)))),"БЛОК: у этого акта на листе «Акты» не указан первый день просрочки",IF(A192&lt;INDEX(Акты!$E$5:$E$16,MATCH(D192,Акты!$B$5:$B$16,0)),"БЛОК: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сюда",IF(A192&gt;Ввод!$B$4,"БЛОК: оплата после последнего дня расчёта — продлите расчёт или уберите строку","ок"))))))))</f>
        <v/>
      </c>
    </row>
    <row r="193">
      <c r="A193" s="10" t="n"/>
      <c r="B193" s="15" t="n"/>
      <c r="C193" s="13" t="n"/>
      <c r="D193" s="13" t="n"/>
      <c r="E193" s="5">
        <f>IF(AND(A193="",B193="",C193="",D193=""),"",IF(OR(A193="",B193=""),"БЛОК: нужны и дата, и сумма",IF(B193&lt;=0,"БЛОК: сумма должна быть больше нуля",IF(D193="","БЛОК: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вас",IF(COUNTIF(Акты!$B$5:$B$16,D193)=0,"БЛОК: такого акта нет на листе «Акты» — добавьте акт или исправьте идентификатор",IF(NOT(ISNUMBER(INDEX(Акты!$E$5:$E$16,MATCH(D193,Акты!$B$5:$B$16,0)))),"БЛОК: у этого акта на листе «Акты» не указан первый день просрочки",IF(A193&lt;INDEX(Акты!$E$5:$E$16,MATCH(D193,Акты!$B$5:$B$16,0)),"БЛОК: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сюда",IF(A193&gt;Ввод!$B$4,"БЛОК: оплата после последнего дня расчёта — продлите расчёт или уберите строку","ок"))))))))</f>
        <v/>
      </c>
    </row>
    <row r="194">
      <c r="A194" s="10" t="n"/>
      <c r="B194" s="15" t="n"/>
      <c r="C194" s="13" t="n"/>
      <c r="D194" s="13" t="n"/>
      <c r="E194" s="5">
        <f>IF(AND(A194="",B194="",C194="",D194=""),"",IF(OR(A194="",B194=""),"БЛОК: нужны и дата, и сумма",IF(B194&lt;=0,"БЛОК: сумма должна быть больше нуля",IF(D194="","БЛОК: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вас",IF(COUNTIF(Акты!$B$5:$B$16,D194)=0,"БЛОК: такого акта нет на листе «Акты» — добавьте акт или исправьте идентификатор",IF(NOT(ISNUMBER(INDEX(Акты!$E$5:$E$16,MATCH(D194,Акты!$B$5:$B$16,0)))),"БЛОК: у этого акта на листе «Акты» не указан первый день просрочки",IF(A194&lt;INDEX(Акты!$E$5:$E$16,MATCH(D194,Акты!$B$5:$B$16,0)),"БЛОК: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сюда",IF(A194&gt;Ввод!$B$4,"БЛОК: оплата после последнего дня расчёта — продлите расчёт или уберите строку","ок"))))))))</f>
        <v/>
      </c>
    </row>
    <row r="195">
      <c r="A195" s="10" t="n"/>
      <c r="B195" s="15" t="n"/>
      <c r="C195" s="13" t="n"/>
      <c r="D195" s="13" t="n"/>
      <c r="E195" s="5">
        <f>IF(AND(A195="",B195="",C195="",D195=""),"",IF(OR(A195="",B195=""),"БЛОК: нужны и дата, и сумма",IF(B195&lt;=0,"БЛОК: сумма должна быть больше нуля",IF(D195="","БЛОК: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вас",IF(COUNTIF(Акты!$B$5:$B$16,D195)=0,"БЛОК: такого акта нет на листе «Акты» — добавьте акт или исправьте идентификатор",IF(NOT(ISNUMBER(INDEX(Акты!$E$5:$E$16,MATCH(D195,Акты!$B$5:$B$16,0)))),"БЛОК: у этого акта на листе «Акты» не указан первый день просрочки",IF(A195&lt;INDEX(Акты!$E$5:$E$16,MATCH(D195,Акты!$B$5:$B$16,0)),"БЛОК: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сюда",IF(A195&gt;Ввод!$B$4,"БЛОК: оплата после последнего дня расчёта — продлите расчёт или уберите строку","ок"))))))))</f>
        <v/>
      </c>
    </row>
    <row r="196">
      <c r="A196" s="10" t="n"/>
      <c r="B196" s="15" t="n"/>
      <c r="C196" s="13" t="n"/>
      <c r="D196" s="13" t="n"/>
      <c r="E196" s="5">
        <f>IF(AND(A196="",B196="",C196="",D196=""),"",IF(OR(A196="",B196=""),"БЛОК: нужны и дата, и сумма",IF(B196&lt;=0,"БЛОК: сумма должна быть больше нуля",IF(D196="","БЛОК: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вас",IF(COUNTIF(Акты!$B$5:$B$16,D196)=0,"БЛОК: такого акта нет на листе «Акты» — добавьте акт или исправьте идентификатор",IF(NOT(ISNUMBER(INDEX(Акты!$E$5:$E$16,MATCH(D196,Акты!$B$5:$B$16,0)))),"БЛОК: у этого акта на листе «Акты» не указан первый день просрочки",IF(A196&lt;INDEX(Акты!$E$5:$E$16,MATCH(D196,Акты!$B$5:$B$16,0)),"БЛОК: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сюда",IF(A196&gt;Ввод!$B$4,"БЛОК: оплата после последнего дня расчёта — продлите расчёт или уберите строку","ок"))))))))</f>
        <v/>
      </c>
    </row>
    <row r="197">
      <c r="A197" s="10" t="n"/>
      <c r="B197" s="15" t="n"/>
      <c r="C197" s="13" t="n"/>
      <c r="D197" s="13" t="n"/>
      <c r="E197" s="5">
        <f>IF(AND(A197="",B197="",C197="",D197=""),"",IF(OR(A197="",B197=""),"БЛОК: нужны и дата, и сумма",IF(B197&lt;=0,"БЛОК: сумма должна быть больше нуля",IF(D197="","БЛОК: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вас",IF(COUNTIF(Акты!$B$5:$B$16,D197)=0,"БЛОК: такого акта нет на листе «Акты» — добавьте акт или исправьте идентификатор",IF(NOT(ISNUMBER(INDEX(Акты!$E$5:$E$16,MATCH(D197,Акты!$B$5:$B$16,0)))),"БЛОК: у этого акта на листе «Акты» не указан первый день просрочки",IF(A197&lt;INDEX(Акты!$E$5:$E$16,MATCH(D197,Акты!$B$5:$B$16,0)),"БЛОК: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сюда",IF(A197&gt;Ввод!$B$4,"БЛОК: оплата после последнего дня расчёта — продлите расчёт или уберите строку","ок"))))))))</f>
        <v/>
      </c>
    </row>
    <row r="198">
      <c r="A198" s="10" t="n"/>
      <c r="B198" s="15" t="n"/>
      <c r="C198" s="13" t="n"/>
      <c r="D198" s="13" t="n"/>
      <c r="E198" s="5">
        <f>IF(AND(A198="",B198="",C198="",D198=""),"",IF(OR(A198="",B198=""),"БЛОК: нужны и дата, и сумма",IF(B198&lt;=0,"БЛОК: сумма должна быть больше нуля",IF(D198="","БЛОК: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вас",IF(COUNTIF(Акты!$B$5:$B$16,D198)=0,"БЛОК: такого акта нет на листе «Акты» — добавьте акт или исправьте идентификатор",IF(NOT(ISNUMBER(INDEX(Акты!$E$5:$E$16,MATCH(D198,Акты!$B$5:$B$16,0)))),"БЛОК: у этого акта на листе «Акты» не указан первый день просрочки",IF(A198&lt;INDEX(Акты!$E$5:$E$16,MATCH(D198,Акты!$B$5:$B$16,0)),"БЛОК: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сюда",IF(A198&gt;Ввод!$B$4,"БЛОК: оплата после последнего дня расчёта — продлите расчёт или уберите строку","ок"))))))))</f>
        <v/>
      </c>
    </row>
    <row r="199">
      <c r="A199" s="10" t="n"/>
      <c r="B199" s="15" t="n"/>
      <c r="C199" s="13" t="n"/>
      <c r="D199" s="13" t="n"/>
      <c r="E199" s="5">
        <f>IF(AND(A199="",B199="",C199="",D199=""),"",IF(OR(A199="",B199=""),"БЛОК: нужны и дата, и сумма",IF(B199&lt;=0,"БЛОК: сумма должна быть больше нуля",IF(D199="","БЛОК: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вас",IF(COUNTIF(Акты!$B$5:$B$16,D199)=0,"БЛОК: такого акта нет на листе «Акты» — добавьте акт или исправьте идентификатор",IF(NOT(ISNUMBER(INDEX(Акты!$E$5:$E$16,MATCH(D199,Акты!$B$5:$B$16,0)))),"БЛОК: у этого акта на листе «Акты» не указан первый день просрочки",IF(A199&lt;INDEX(Акты!$E$5:$E$16,MATCH(D199,Акты!$B$5:$B$16,0)),"БЛОК: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сюда",IF(A199&gt;Ввод!$B$4,"БЛОК: оплата после последнего дня расчёта — продлите расчёт или уберите строку","ок"))))))))</f>
        <v/>
      </c>
    </row>
    <row r="200">
      <c r="A200" s="10" t="n"/>
      <c r="B200" s="15" t="n"/>
      <c r="C200" s="13" t="n"/>
      <c r="D200" s="13" t="n"/>
      <c r="E200" s="5">
        <f>IF(AND(A200="",B200="",C200="",D200=""),"",IF(OR(A200="",B200=""),"БЛОК: нужны и дата, и сумма",IF(B200&lt;=0,"БЛОК: сумма должна быть больше нуля",IF(D200="","БЛОК: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вас",IF(COUNTIF(Акты!$B$5:$B$16,D200)=0,"БЛОК: такого акта нет на листе «Акты» — добавьте акт или исправьте идентификатор",IF(NOT(ISNUMBER(INDEX(Акты!$E$5:$E$16,MATCH(D200,Акты!$B$5:$B$16,0)))),"БЛОК: у этого акта на листе «Акты» не указан первый день просрочки",IF(A200&lt;INDEX(Акты!$E$5:$E$16,MATCH(D200,Акты!$B$5:$B$16,0)),"БЛОК: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сюда",IF(A200&gt;Ввод!$B$4,"БЛОК: оплата после последнего дня расчёта — продлите расчёт или уберите строку","ок"))))))))</f>
        <v/>
      </c>
    </row>
    <row r="201">
      <c r="A201" s="10" t="n"/>
      <c r="B201" s="15" t="n"/>
      <c r="C201" s="13" t="n"/>
      <c r="D201" s="13" t="n"/>
      <c r="E201" s="5">
        <f>IF(AND(A201="",B201="",C201="",D201=""),"",IF(OR(A201="",B201=""),"БЛОК: нужны и дата, и сумма",IF(B201&lt;=0,"БЛОК: сумма должна быть больше нуля",IF(D201="","БЛОК: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вас",IF(COUNTIF(Акты!$B$5:$B$16,D201)=0,"БЛОК: такого акта нет на листе «Акты» — добавьте акт или исправьте идентификатор",IF(NOT(ISNUMBER(INDEX(Акты!$E$5:$E$16,MATCH(D201,Акты!$B$5:$B$16,0)))),"БЛОК: у этого акта на листе «Акты» не указан первый день просрочки",IF(A201&lt;INDEX(Акты!$E$5:$E$16,MATCH(D201,Акты!$B$5:$B$16,0)),"БЛОК: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сюда",IF(A201&gt;Ввод!$B$4,"БЛОК: оплата после последнего дня расчёта — продлите расчёт или уберите строку","ок"))))))))</f>
        <v/>
      </c>
    </row>
    <row r="202">
      <c r="A202" s="10" t="n"/>
      <c r="B202" s="15" t="n"/>
      <c r="C202" s="13" t="n"/>
      <c r="D202" s="13" t="n"/>
      <c r="E202" s="5">
        <f>IF(AND(A202="",B202="",C202="",D202=""),"",IF(OR(A202="",B202=""),"БЛОК: нужны и дата, и сумма",IF(B202&lt;=0,"БЛОК: сумма должна быть больше нуля",IF(D202="","БЛОК: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вас",IF(COUNTIF(Акты!$B$5:$B$16,D202)=0,"БЛОК: такого акта нет на листе «Акты» — добавьте акт или исправьте идентификатор",IF(NOT(ISNUMBER(INDEX(Акты!$E$5:$E$16,MATCH(D202,Акты!$B$5:$B$16,0)))),"БЛОК: у этого акта на листе «Акты» не указан первый день просрочки",IF(A202&lt;INDEX(Акты!$E$5:$E$16,MATCH(D202,Акты!$B$5:$B$16,0)),"БЛОК: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сюда",IF(A202&gt;Ввод!$B$4,"БЛОК: оплата после последнего дня расчёта — продлите расчёт или уберите строку","ок"))))))))</f>
        <v/>
      </c>
    </row>
    <row r="203">
      <c r="A203" s="10" t="n"/>
      <c r="B203" s="15" t="n"/>
      <c r="C203" s="13" t="n"/>
      <c r="D203" s="13" t="n"/>
      <c r="E203" s="5">
        <f>IF(AND(A203="",B203="",C203="",D203=""),"",IF(OR(A203="",B203=""),"БЛОК: нужны и дата, и сумма",IF(B203&lt;=0,"БЛОК: сумма должна быть больше нуля",IF(D203="","БЛОК: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вас",IF(COUNTIF(Акты!$B$5:$B$16,D203)=0,"БЛОК: такого акта нет на листе «Акты» — добавьте акт или исправьте идентификатор",IF(NOT(ISNUMBER(INDEX(Акты!$E$5:$E$16,MATCH(D203,Акты!$B$5:$B$16,0)))),"БЛОК: у этого акта на листе «Акты» не указан первый день просрочки",IF(A203&lt;INDEX(Акты!$E$5:$E$16,MATCH(D203,Акты!$B$5:$B$16,0)),"БЛОК: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сюда",IF(A203&gt;Ввод!$B$4,"БЛОК: оплата после последнего дня расчёта — продлите расчёт или уберите строку","ок"))))))))</f>
        <v/>
      </c>
    </row>
    <row r="204">
      <c r="A204" s="10" t="n"/>
      <c r="B204" s="15" t="n"/>
      <c r="C204" s="13" t="n"/>
      <c r="D204" s="13" t="n"/>
      <c r="E204" s="5">
        <f>IF(AND(A204="",B204="",C204="",D204=""),"",IF(OR(A204="",B204=""),"БЛОК: нужны и дата, и сумма",IF(B204&lt;=0,"БЛОК: сумма должна быть больше нуля",IF(D204="","БЛОК: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вас",IF(COUNTIF(Акты!$B$5:$B$16,D204)=0,"БЛОК: такого акта нет на листе «Акты» — добавьте акт или исправьте идентификатор",IF(NOT(ISNUMBER(INDEX(Акты!$E$5:$E$16,MATCH(D204,Акты!$B$5:$B$16,0)))),"БЛОК: у этого акта на листе «Акты» не указан первый день просрочки",IF(A204&lt;INDEX(Акты!$E$5:$E$16,MATCH(D204,Акты!$B$5:$B$16,0)),"БЛОК: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сюда",IF(A204&gt;Ввод!$B$4,"БЛОК: оплата после последнего дня расчёта — продлите расчёт или уберите строку","ок"))))))))</f>
        <v/>
      </c>
    </row>
    <row r="205">
      <c r="A205" s="10" t="n"/>
      <c r="B205" s="15" t="n"/>
      <c r="C205" s="13" t="n"/>
      <c r="D205" s="13" t="n"/>
      <c r="E205" s="5">
        <f>IF(AND(A205="",B205="",C205="",D205=""),"",IF(OR(A205="",B205=""),"БЛОК: нужны и дата, и сумма",IF(B205&lt;=0,"БЛОК: сумма должна быть больше нуля",IF(D205="","БЛОК: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вас",IF(COUNTIF(Акты!$B$5:$B$16,D205)=0,"БЛОК: такого акта нет на листе «Акты» — добавьте акт или исправьте идентификатор",IF(NOT(ISNUMBER(INDEX(Акты!$E$5:$E$16,MATCH(D205,Акты!$B$5:$B$16,0)))),"БЛОК: у этого акта на листе «Акты» не указан первый день просрочки",IF(A205&lt;INDEX(Акты!$E$5:$E$16,MATCH(D205,Акты!$B$5:$B$16,0)),"БЛОК: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сюда",IF(A205&gt;Ввод!$B$4,"БЛОК: оплата после последнего дня расчёта — продлите расчёт или уберите строку","ок"))))))))</f>
        <v/>
      </c>
    </row>
    <row r="206">
      <c r="A206" s="10" t="n"/>
      <c r="B206" s="15" t="n"/>
      <c r="C206" s="13" t="n"/>
      <c r="D206" s="13" t="n"/>
      <c r="E206" s="5">
        <f>IF(AND(A206="",B206="",C206="",D206=""),"",IF(OR(A206="",B206=""),"БЛОК: нужны и дата, и сумма",IF(B206&lt;=0,"БЛОК: сумма должна быть больше нуля",IF(D206="","БЛОК: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вас",IF(COUNTIF(Акты!$B$5:$B$16,D206)=0,"БЛОК: такого акта нет на листе «Акты» — добавьте акт или исправьте идентификатор",IF(NOT(ISNUMBER(INDEX(Акты!$E$5:$E$16,MATCH(D206,Акты!$B$5:$B$16,0)))),"БЛОК: у этого акта на листе «Акты» не указан первый день просрочки",IF(A206&lt;INDEX(Акты!$E$5:$E$16,MATCH(D206,Акты!$B$5:$B$16,0)),"БЛОК: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сюда",IF(A206&gt;Ввод!$B$4,"БЛОК: оплата после последнего дня расчёта — продлите расчёт или уберите строку","ок"))))))))</f>
        <v/>
      </c>
    </row>
    <row r="207">
      <c r="A207" s="10" t="n"/>
      <c r="B207" s="15" t="n"/>
      <c r="C207" s="13" t="n"/>
      <c r="D207" s="13" t="n"/>
      <c r="E207" s="5">
        <f>IF(AND(A207="",B207="",C207="",D207=""),"",IF(OR(A207="",B207=""),"БЛОК: нужны и дата, и сумма",IF(B207&lt;=0,"БЛОК: сумма должна быть больше нуля",IF(D207="","БЛОК: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вас",IF(COUNTIF(Акты!$B$5:$B$16,D207)=0,"БЛОК: такого акта нет на листе «Акты» — добавьте акт или исправьте идентификатор",IF(NOT(ISNUMBER(INDEX(Акты!$E$5:$E$16,MATCH(D207,Акты!$B$5:$B$16,0)))),"БЛОК: у этого акта на листе «Акты» не указан первый день просрочки",IF(A207&lt;INDEX(Акты!$E$5:$E$16,MATCH(D207,Акты!$B$5:$B$16,0)),"БЛОК: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сюда",IF(A207&gt;Ввод!$B$4,"БЛОК: оплата после последнего дня расчёта — продлите расчёт или уберите строку","ок"))))))))</f>
        <v/>
      </c>
    </row>
    <row r="208">
      <c r="A208" s="10" t="n"/>
      <c r="B208" s="15" t="n"/>
      <c r="C208" s="13" t="n"/>
      <c r="D208" s="13" t="n"/>
      <c r="E208" s="5">
        <f>IF(AND(A208="",B208="",C208="",D208=""),"",IF(OR(A208="",B208=""),"БЛОК: нужны и дата, и сумма",IF(B208&lt;=0,"БЛОК: сумма должна быть больше нуля",IF(D208="","БЛОК: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вас",IF(COUNTIF(Акты!$B$5:$B$16,D208)=0,"БЛОК: такого акта нет на листе «Акты» — добавьте акт или исправьте идентификатор",IF(NOT(ISNUMBER(INDEX(Акты!$E$5:$E$16,MATCH(D208,Акты!$B$5:$B$16,0)))),"БЛОК: у этого акта на листе «Акты» не указан первый день просрочки",IF(A208&lt;INDEX(Акты!$E$5:$E$16,MATCH(D208,Акты!$B$5:$B$16,0)),"БЛОК: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сюда",IF(A208&gt;Ввод!$B$4,"БЛОК: оплата после последнего дня расчёта — продлите расчёт или уберите строку","ок"))))))))</f>
        <v/>
      </c>
    </row>
    <row r="209">
      <c r="A209" s="10" t="n"/>
      <c r="B209" s="15" t="n"/>
      <c r="C209" s="13" t="n"/>
      <c r="D209" s="13" t="n"/>
      <c r="E209" s="5">
        <f>IF(AND(A209="",B209="",C209="",D209=""),"",IF(OR(A209="",B209=""),"БЛОК: нужны и дата, и сумма",IF(B209&lt;=0,"БЛОК: сумма должна быть больше нуля",IF(D209="","БЛОК: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вас",IF(COUNTIF(Акты!$B$5:$B$16,D209)=0,"БЛОК: такого акта нет на листе «Акты» — добавьте акт или исправьте идентификатор",IF(NOT(ISNUMBER(INDEX(Акты!$E$5:$E$16,MATCH(D209,Акты!$B$5:$B$16,0)))),"БЛОК: у этого акта на листе «Акты» не указан первый день просрочки",IF(A209&lt;INDEX(Акты!$E$5:$E$16,MATCH(D209,Акты!$B$5:$B$16,0)),"БЛОК: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сюда",IF(A209&gt;Ввод!$B$4,"БЛОК: оплата после последнего дня расчёта — продлите расчёт или уберите строку","ок"))))))))</f>
        <v/>
      </c>
    </row>
    <row r="210">
      <c r="A210" s="10" t="n"/>
      <c r="B210" s="15" t="n"/>
      <c r="C210" s="13" t="n"/>
      <c r="D210" s="13" t="n"/>
      <c r="E210" s="5">
        <f>IF(AND(A210="",B210="",C210="",D210=""),"",IF(OR(A210="",B210=""),"БЛОК: нужны и дата, и сумма",IF(B210&lt;=0,"БЛОК: сумма должна быть больше нуля",IF(D210="","БЛОК: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вас",IF(COUNTIF(Акты!$B$5:$B$16,D210)=0,"БЛОК: такого акта нет на листе «Акты» — добавьте акт или исправьте идентификатор",IF(NOT(ISNUMBER(INDEX(Акты!$E$5:$E$16,MATCH(D210,Акты!$B$5:$B$16,0)))),"БЛОК: у этого акта на листе «Акты» не указан первый день просрочки",IF(A210&lt;INDEX(Акты!$E$5:$E$16,MATCH(D210,Акты!$B$5:$B$16,0)),"БЛОК: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сюда",IF(A210&gt;Ввод!$B$4,"БЛОК: оплата после последнего дня расчёта — продлите расчёт или уберите строку","ок"))))))))</f>
        <v/>
      </c>
    </row>
    <row r="211">
      <c r="A211" s="10" t="n"/>
      <c r="B211" s="15" t="n"/>
      <c r="C211" s="13" t="n"/>
      <c r="D211" s="13" t="n"/>
      <c r="E211" s="5">
        <f>IF(AND(A211="",B211="",C211="",D211=""),"",IF(OR(A211="",B211=""),"БЛОК: нужны и дата, и сумма",IF(B211&lt;=0,"БЛОК: сумма должна быть больше нуля",IF(D211="","БЛОК: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вас",IF(COUNTIF(Акты!$B$5:$B$16,D211)=0,"БЛОК: такого акта нет на листе «Акты» — добавьте акт или исправьте идентификатор",IF(NOT(ISNUMBER(INDEX(Акты!$E$5:$E$16,MATCH(D211,Акты!$B$5:$B$16,0)))),"БЛОК: у этого акта на листе «Акты» не указан первый день просрочки",IF(A211&lt;INDEX(Акты!$E$5:$E$16,MATCH(D211,Акты!$B$5:$B$16,0)),"БЛОК: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сюда",IF(A211&gt;Ввод!$B$4,"БЛОК: оплата после последнего дня расчёта — продлите расчёт или уберите строку","ок"))))))))</f>
        <v/>
      </c>
    </row>
    <row r="212">
      <c r="A212" s="10" t="n"/>
      <c r="B212" s="15" t="n"/>
      <c r="C212" s="13" t="n"/>
      <c r="D212" s="13" t="n"/>
      <c r="E212" s="5">
        <f>IF(AND(A212="",B212="",C212="",D212=""),"",IF(OR(A212="",B212=""),"БЛОК: нужны и дата, и сумма",IF(B212&lt;=0,"БЛОК: сумма должна быть больше нуля",IF(D212="","БЛОК: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вас",IF(COUNTIF(Акты!$B$5:$B$16,D212)=0,"БЛОК: такого акта нет на листе «Акты» — добавьте акт или исправьте идентификатор",IF(NOT(ISNUMBER(INDEX(Акты!$E$5:$E$16,MATCH(D212,Акты!$B$5:$B$16,0)))),"БЛОК: у этого акта на листе «Акты» не указан первый день просрочки",IF(A212&lt;INDEX(Акты!$E$5:$E$16,MATCH(D212,Акты!$B$5:$B$16,0)),"БЛОК: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сюда",IF(A212&gt;Ввод!$B$4,"БЛОК: оплата после последнего дня расчёта — продлите расчёт или уберите строку","ок"))))))))</f>
        <v/>
      </c>
    </row>
    <row r="213">
      <c r="A213" s="10" t="n"/>
      <c r="B213" s="15" t="n"/>
      <c r="C213" s="13" t="n"/>
      <c r="D213" s="13" t="n"/>
      <c r="E213" s="5">
        <f>IF(AND(A213="",B213="",C213="",D213=""),"",IF(OR(A213="",B213=""),"БЛОК: нужны и дата, и сумма",IF(B213&lt;=0,"БЛОК: сумма должна быть больше нуля",IF(D213="","БЛОК: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вас",IF(COUNTIF(Акты!$B$5:$B$16,D213)=0,"БЛОК: такого акта нет на листе «Акты» — добавьте акт или исправьте идентификатор",IF(NOT(ISNUMBER(INDEX(Акты!$E$5:$E$16,MATCH(D213,Акты!$B$5:$B$16,0)))),"БЛОК: у этого акта на листе «Акты» не указан первый день просрочки",IF(A213&lt;INDEX(Акты!$E$5:$E$16,MATCH(D213,Акты!$B$5:$B$16,0)),"БЛОК: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сюда",IF(A213&gt;Ввод!$B$4,"БЛОК: оплата после последнего дня расчёта — продлите расчёт или уберите строку","ок"))))))))</f>
        <v/>
      </c>
    </row>
    <row r="214">
      <c r="A214" s="10" t="n"/>
      <c r="B214" s="15" t="n"/>
      <c r="C214" s="13" t="n"/>
      <c r="D214" s="13" t="n"/>
      <c r="E214" s="5">
        <f>IF(AND(A214="",B214="",C214="",D214=""),"",IF(OR(A214="",B214=""),"БЛОК: нужны и дата, и сумма",IF(B214&lt;=0,"БЛОК: сумма должна быть больше нуля",IF(D214="","БЛОК: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вас",IF(COUNTIF(Акты!$B$5:$B$16,D214)=0,"БЛОК: такого акта нет на листе «Акты» — добавьте акт или исправьте идентификатор",IF(NOT(ISNUMBER(INDEX(Акты!$E$5:$E$16,MATCH(D214,Акты!$B$5:$B$16,0)))),"БЛОК: у этого акта на листе «Акты» не указан первый день просрочки",IF(A214&lt;INDEX(Акты!$E$5:$E$16,MATCH(D214,Акты!$B$5:$B$16,0)),"БЛОК: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сюда",IF(A214&gt;Ввод!$B$4,"БЛОК: оплата после последнего дня расчёта — продлите расчёт или уберите строку","ок"))))))))</f>
        <v/>
      </c>
    </row>
    <row r="215">
      <c r="A215" s="10" t="n"/>
      <c r="B215" s="15" t="n"/>
      <c r="C215" s="13" t="n"/>
      <c r="D215" s="13" t="n"/>
      <c r="E215" s="5">
        <f>IF(AND(A215="",B215="",C215="",D215=""),"",IF(OR(A215="",B215=""),"БЛОК: нужны и дата, и сумма",IF(B215&lt;=0,"БЛОК: сумма должна быть больше нуля",IF(D215="","БЛОК: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вас",IF(COUNTIF(Акты!$B$5:$B$16,D215)=0,"БЛОК: такого акта нет на листе «Акты» — добавьте акт или исправьте идентификатор",IF(NOT(ISNUMBER(INDEX(Акты!$E$5:$E$16,MATCH(D215,Акты!$B$5:$B$16,0)))),"БЛОК: у этого акта на листе «Акты» не указан первый день просрочки",IF(A215&lt;INDEX(Акты!$E$5:$E$16,MATCH(D215,Акты!$B$5:$B$16,0)),"БЛОК: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сюда",IF(A215&gt;Ввод!$B$4,"БЛОК: оплата после последнего дня расчёта — продлите расчёт или уберите строку","ок"))))))))</f>
        <v/>
      </c>
    </row>
    <row r="216">
      <c r="A216" s="10" t="n"/>
      <c r="B216" s="15" t="n"/>
      <c r="C216" s="13" t="n"/>
      <c r="D216" s="13" t="n"/>
      <c r="E216" s="5">
        <f>IF(AND(A216="",B216="",C216="",D216=""),"",IF(OR(A216="",B216=""),"БЛОК: нужны и дата, и сумма",IF(B216&lt;=0,"БЛОК: сумма должна быть больше нуля",IF(D216="","БЛОК: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вас",IF(COUNTIF(Акты!$B$5:$B$16,D216)=0,"БЛОК: такого акта нет на листе «Акты» — добавьте акт или исправьте идентификатор",IF(NOT(ISNUMBER(INDEX(Акты!$E$5:$E$16,MATCH(D216,Акты!$B$5:$B$16,0)))),"БЛОК: у этого акта на листе «Акты» не указан первый день просрочки",IF(A216&lt;INDEX(Акты!$E$5:$E$16,MATCH(D216,Акты!$B$5:$B$16,0)),"БЛОК: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сюда",IF(A216&gt;Ввод!$B$4,"БЛОК: оплата после последнего дня расчёта — продлите расчёт или уберите строку","ок"))))))))</f>
        <v/>
      </c>
    </row>
    <row r="217">
      <c r="A217" s="10" t="n"/>
      <c r="B217" s="15" t="n"/>
      <c r="C217" s="13" t="n"/>
      <c r="D217" s="13" t="n"/>
      <c r="E217" s="5">
        <f>IF(AND(A217="",B217="",C217="",D217=""),"",IF(OR(A217="",B217=""),"БЛОК: нужны и дата, и сумма",IF(B217&lt;=0,"БЛОК: сумма должна быть больше нуля",IF(D217="","БЛОК: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вас",IF(COUNTIF(Акты!$B$5:$B$16,D217)=0,"БЛОК: такого акта нет на листе «Акты» — добавьте акт или исправьте идентификатор",IF(NOT(ISNUMBER(INDEX(Акты!$E$5:$E$16,MATCH(D217,Акты!$B$5:$B$16,0)))),"БЛОК: у этого акта на листе «Акты» не указан первый день просрочки",IF(A217&lt;INDEX(Акты!$E$5:$E$16,MATCH(D217,Акты!$B$5:$B$16,0)),"БЛОК: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сюда",IF(A217&gt;Ввод!$B$4,"БЛОК: оплата после последнего дня расчёта — продлите расчёт или уберите строку","ок"))))))))</f>
        <v/>
      </c>
    </row>
    <row r="218">
      <c r="A218" s="10" t="n"/>
      <c r="B218" s="15" t="n"/>
      <c r="C218" s="13" t="n"/>
      <c r="D218" s="13" t="n"/>
      <c r="E218" s="5">
        <f>IF(AND(A218="",B218="",C218="",D218=""),"",IF(OR(A218="",B218=""),"БЛОК: нужны и дата, и сумма",IF(B218&lt;=0,"БЛОК: сумма должна быть больше нуля",IF(D218="","БЛОК: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вас",IF(COUNTIF(Акты!$B$5:$B$16,D218)=0,"БЛОК: такого акта нет на листе «Акты» — добавьте акт или исправьте идентификатор",IF(NOT(ISNUMBER(INDEX(Акты!$E$5:$E$16,MATCH(D218,Акты!$B$5:$B$16,0)))),"БЛОК: у этого акта на листе «Акты» не указан первый день просрочки",IF(A218&lt;INDEX(Акты!$E$5:$E$16,MATCH(D218,Акты!$B$5:$B$16,0)),"БЛОК: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сюда",IF(A218&gt;Ввод!$B$4,"БЛОК: оплата после последнего дня расчёта — продлите расчёт или уберите строку","ок"))))))))</f>
        <v/>
      </c>
    </row>
    <row r="219">
      <c r="A219" s="10" t="n"/>
      <c r="B219" s="15" t="n"/>
      <c r="C219" s="13" t="n"/>
      <c r="D219" s="13" t="n"/>
      <c r="E219" s="5">
        <f>IF(AND(A219="",B219="",C219="",D219=""),"",IF(OR(A219="",B219=""),"БЛОК: нужны и дата, и сумма",IF(B219&lt;=0,"БЛОК: сумма должна быть больше нуля",IF(D219="","БЛОК: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вас",IF(COUNTIF(Акты!$B$5:$B$16,D219)=0,"БЛОК: такого акта нет на листе «Акты» — добавьте акт или исправьте идентификатор",IF(NOT(ISNUMBER(INDEX(Акты!$E$5:$E$16,MATCH(D219,Акты!$B$5:$B$16,0)))),"БЛОК: у этого акта на листе «Акты» не указан первый день просрочки",IF(A219&lt;INDEX(Акты!$E$5:$E$16,MATCH(D219,Акты!$B$5:$B$16,0)),"БЛОК: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сюда",IF(A219&gt;Ввод!$B$4,"БЛОК: оплата после последнего дня расчёта — продлите расчёт или уберите строку","ок"))))))))</f>
        <v/>
      </c>
    </row>
    <row r="220">
      <c r="A220" s="10" t="n"/>
      <c r="B220" s="15" t="n"/>
      <c r="C220" s="13" t="n"/>
      <c r="D220" s="13" t="n"/>
      <c r="E220" s="5">
        <f>IF(AND(A220="",B220="",C220="",D220=""),"",IF(OR(A220="",B220=""),"БЛОК: нужны и дата, и сумма",IF(B220&lt;=0,"БЛОК: сумма должна быть больше нуля",IF(D220="","БЛОК: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вас",IF(COUNTIF(Акты!$B$5:$B$16,D220)=0,"БЛОК: такого акта нет на листе «Акты» — добавьте акт или исправьте идентификатор",IF(NOT(ISNUMBER(INDEX(Акты!$E$5:$E$16,MATCH(D220,Акты!$B$5:$B$16,0)))),"БЛОК: у этого акта на листе «Акты» не указан первый день просрочки",IF(A220&lt;INDEX(Акты!$E$5:$E$16,MATCH(D220,Акты!$B$5:$B$16,0)),"БЛОК: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сюда",IF(A220&gt;Ввод!$B$4,"БЛОК: оплата после последнего дня расчёта — продлите расчёт или уберите строку","ок"))))))))</f>
        <v/>
      </c>
    </row>
    <row r="221">
      <c r="A221" s="10" t="n"/>
      <c r="B221" s="15" t="n"/>
      <c r="C221" s="13" t="n"/>
      <c r="D221" s="13" t="n"/>
      <c r="E221" s="5">
        <f>IF(AND(A221="",B221="",C221="",D221=""),"",IF(OR(A221="",B221=""),"БЛОК: нужны и дата, и сумма",IF(B221&lt;=0,"БЛОК: сумма должна быть больше нуля",IF(D221="","БЛОК: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вас",IF(COUNTIF(Акты!$B$5:$B$16,D221)=0,"БЛОК: такого акта нет на листе «Акты» — добавьте акт или исправьте идентификатор",IF(NOT(ISNUMBER(INDEX(Акты!$E$5:$E$16,MATCH(D221,Акты!$B$5:$B$16,0)))),"БЛОК: у этого акта на листе «Акты» не указан первый день просрочки",IF(A221&lt;INDEX(Акты!$E$5:$E$16,MATCH(D221,Акты!$B$5:$B$16,0)),"БЛОК: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сюда",IF(A221&gt;Ввод!$B$4,"БЛОК: оплата после последнего дня расчёта — продлите расчёт или уберите строку","ок"))))))))</f>
        <v/>
      </c>
    </row>
    <row r="222">
      <c r="A222" s="10" t="n"/>
      <c r="B222" s="15" t="n"/>
      <c r="C222" s="13" t="n"/>
      <c r="D222" s="13" t="n"/>
      <c r="E222" s="5">
        <f>IF(AND(A222="",B222="",C222="",D222=""),"",IF(OR(A222="",B222=""),"БЛОК: нужны и дата, и сумма",IF(B222&lt;=0,"БЛОК: сумма должна быть больше нуля",IF(D222="","БЛОК: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вас",IF(COUNTIF(Акты!$B$5:$B$16,D222)=0,"БЛОК: такого акта нет на листе «Акты» — добавьте акт или исправьте идентификатор",IF(NOT(ISNUMBER(INDEX(Акты!$E$5:$E$16,MATCH(D222,Акты!$B$5:$B$16,0)))),"БЛОК: у этого акта на листе «Акты» не указан первый день просрочки",IF(A222&lt;INDEX(Акты!$E$5:$E$16,MATCH(D222,Акты!$B$5:$B$16,0)),"БЛОК: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сюда",IF(A222&gt;Ввод!$B$4,"БЛОК: оплата после последнего дня расчёта — продлите расчёт или уберите строку","ок"))))))))</f>
        <v/>
      </c>
    </row>
    <row r="223">
      <c r="A223" s="10" t="n"/>
      <c r="B223" s="15" t="n"/>
      <c r="C223" s="13" t="n"/>
      <c r="D223" s="13" t="n"/>
      <c r="E223" s="5">
        <f>IF(AND(A223="",B223="",C223="",D223=""),"",IF(OR(A223="",B223=""),"БЛОК: нужны и дата, и сумма",IF(B223&lt;=0,"БЛОК: сумма должна быть больше нуля",IF(D223="","БЛОК: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вас",IF(COUNTIF(Акты!$B$5:$B$16,D223)=0,"БЛОК: такого акта нет на листе «Акты» — добавьте акт или исправьте идентификатор",IF(NOT(ISNUMBER(INDEX(Акты!$E$5:$E$16,MATCH(D223,Акты!$B$5:$B$16,0)))),"БЛОК: у этого акта на листе «Акты» не указан первый день просрочки",IF(A223&lt;INDEX(Акты!$E$5:$E$16,MATCH(D223,Акты!$B$5:$B$16,0)),"БЛОК: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сюда",IF(A223&gt;Ввод!$B$4,"БЛОК: оплата после последнего дня расчёта — продлите расчёт или уберите строку","ок"))))))))</f>
        <v/>
      </c>
    </row>
    <row r="224">
      <c r="A224" s="10" t="n"/>
      <c r="B224" s="15" t="n"/>
      <c r="C224" s="13" t="n"/>
      <c r="D224" s="13" t="n"/>
      <c r="E224" s="5">
        <f>IF(AND(A224="",B224="",C224="",D224=""),"",IF(OR(A224="",B224=""),"БЛОК: нужны и дата, и сумма",IF(B224&lt;=0,"БЛОК: сумма должна быть больше нуля",IF(D224="","БЛОК: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вас",IF(COUNTIF(Акты!$B$5:$B$16,D224)=0,"БЛОК: такого акта нет на листе «Акты» — добавьте акт или исправьте идентификатор",IF(NOT(ISNUMBER(INDEX(Акты!$E$5:$E$16,MATCH(D224,Акты!$B$5:$B$16,0)))),"БЛОК: у этого акта на листе «Акты» не указан первый день просрочки",IF(A224&lt;INDEX(Акты!$E$5:$E$16,MATCH(D224,Акты!$B$5:$B$16,0)),"БЛОК: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сюда",IF(A224&gt;Ввод!$B$4,"БЛОК: оплата после последнего дня расчёта — продлите расчёт или уберите строку","ок"))))))))</f>
        <v/>
      </c>
    </row>
    <row r="225">
      <c r="A225" s="10" t="n"/>
      <c r="B225" s="15" t="n"/>
      <c r="C225" s="13" t="n"/>
      <c r="D225" s="13" t="n"/>
      <c r="E225" s="5">
        <f>IF(AND(A225="",B225="",C225="",D225=""),"",IF(OR(A225="",B225=""),"БЛОК: нужны и дата, и сумма",IF(B225&lt;=0,"БЛОК: сумма должна быть больше нуля",IF(D225="","БЛОК: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вас",IF(COUNTIF(Акты!$B$5:$B$16,D225)=0,"БЛОК: такого акта нет на листе «Акты» — добавьте акт или исправьте идентификатор",IF(NOT(ISNUMBER(INDEX(Акты!$E$5:$E$16,MATCH(D225,Акты!$B$5:$B$16,0)))),"БЛОК: у этого акта на листе «Акты» не указан первый день просрочки",IF(A225&lt;INDEX(Акты!$E$5:$E$16,MATCH(D225,Акты!$B$5:$B$16,0)),"БЛОК: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сюда",IF(A225&gt;Ввод!$B$4,"БЛОК: оплата после последнего дня расчёта — продлите расчёт или уберите строку","ок"))))))))</f>
        <v/>
      </c>
    </row>
    <row r="226">
      <c r="A226" s="10" t="n"/>
      <c r="B226" s="15" t="n"/>
      <c r="C226" s="13" t="n"/>
      <c r="D226" s="13" t="n"/>
      <c r="E226" s="5">
        <f>IF(AND(A226="",B226="",C226="",D226=""),"",IF(OR(A226="",B226=""),"БЛОК: нужны и дата, и сумма",IF(B226&lt;=0,"БЛОК: сумма должна быть больше нуля",IF(D226="","БЛОК: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вас",IF(COUNTIF(Акты!$B$5:$B$16,D226)=0,"БЛОК: такого акта нет на листе «Акты» — добавьте акт или исправьте идентификатор",IF(NOT(ISNUMBER(INDEX(Акты!$E$5:$E$16,MATCH(D226,Акты!$B$5:$B$16,0)))),"БЛОК: у этого акта на листе «Акты» не указан первый день просрочки",IF(A226&lt;INDEX(Акты!$E$5:$E$16,MATCH(D226,Акты!$B$5:$B$16,0)),"БЛОК: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сюда",IF(A226&gt;Ввод!$B$4,"БЛОК: оплата после последнего дня расчёта — продлите расчёт или уберите строку","ок"))))))))</f>
        <v/>
      </c>
    </row>
    <row r="227">
      <c r="A227" s="10" t="n"/>
      <c r="B227" s="15" t="n"/>
      <c r="C227" s="13" t="n"/>
      <c r="D227" s="13" t="n"/>
      <c r="E227" s="5">
        <f>IF(AND(A227="",B227="",C227="",D227=""),"",IF(OR(A227="",B227=""),"БЛОК: нужны и дата, и сумма",IF(B227&lt;=0,"БЛОК: сумма должна быть больше нуля",IF(D227="","БЛОК: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вас",IF(COUNTIF(Акты!$B$5:$B$16,D227)=0,"БЛОК: такого акта нет на листе «Акты» — добавьте акт или исправьте идентификатор",IF(NOT(ISNUMBER(INDEX(Акты!$E$5:$E$16,MATCH(D227,Акты!$B$5:$B$16,0)))),"БЛОК: у этого акта на листе «Акты» не указан первый день просрочки",IF(A227&lt;INDEX(Акты!$E$5:$E$16,MATCH(D227,Акты!$B$5:$B$16,0)),"БЛОК: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сюда",IF(A227&gt;Ввод!$B$4,"БЛОК: оплата после последнего дня расчёта — продлите расчёт или уберите строку","ок"))))))))</f>
        <v/>
      </c>
    </row>
    <row r="228">
      <c r="A228" s="10" t="n"/>
      <c r="B228" s="15" t="n"/>
      <c r="C228" s="13" t="n"/>
      <c r="D228" s="13" t="n"/>
      <c r="E228" s="5">
        <f>IF(AND(A228="",B228="",C228="",D228=""),"",IF(OR(A228="",B228=""),"БЛОК: нужны и дата, и сумма",IF(B228&lt;=0,"БЛОК: сумма должна быть больше нуля",IF(D228="","БЛОК: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вас",IF(COUNTIF(Акты!$B$5:$B$16,D228)=0,"БЛОК: такого акта нет на листе «Акты» — добавьте акт или исправьте идентификатор",IF(NOT(ISNUMBER(INDEX(Акты!$E$5:$E$16,MATCH(D228,Акты!$B$5:$B$16,0)))),"БЛОК: у этого акта на листе «Акты» не указан первый день просрочки",IF(A228&lt;INDEX(Акты!$E$5:$E$16,MATCH(D228,Акты!$B$5:$B$16,0)),"БЛОК: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сюда",IF(A228&gt;Ввод!$B$4,"БЛОК: оплата после последнего дня расчёта — продлите расчёт или уберите строку","ок"))))))))</f>
        <v/>
      </c>
    </row>
    <row r="229">
      <c r="A229" s="10" t="n"/>
      <c r="B229" s="15" t="n"/>
      <c r="C229" s="13" t="n"/>
      <c r="D229" s="13" t="n"/>
      <c r="E229" s="5">
        <f>IF(AND(A229="",B229="",C229="",D229=""),"",IF(OR(A229="",B229=""),"БЛОК: нужны и дата, и сумма",IF(B229&lt;=0,"БЛОК: сумма должна быть больше нуля",IF(D229="","БЛОК: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вас",IF(COUNTIF(Акты!$B$5:$B$16,D229)=0,"БЛОК: такого акта нет на листе «Акты» — добавьте акт или исправьте идентификатор",IF(NOT(ISNUMBER(INDEX(Акты!$E$5:$E$16,MATCH(D229,Акты!$B$5:$B$16,0)))),"БЛОК: у этого акта на листе «Акты» не указан первый день просрочки",IF(A229&lt;INDEX(Акты!$E$5:$E$16,MATCH(D229,Акты!$B$5:$B$16,0)),"БЛОК: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сюда",IF(A229&gt;Ввод!$B$4,"БЛОК: оплата после последнего дня расчёта — продлите расчёт или уберите строку","ок"))))))))</f>
        <v/>
      </c>
    </row>
    <row r="230">
      <c r="A230" s="10" t="n"/>
      <c r="B230" s="15" t="n"/>
      <c r="C230" s="13" t="n"/>
      <c r="D230" s="13" t="n"/>
      <c r="E230" s="5">
        <f>IF(AND(A230="",B230="",C230="",D230=""),"",IF(OR(A230="",B230=""),"БЛОК: нужны и дата, и сумма",IF(B230&lt;=0,"БЛОК: сумма должна быть больше нуля",IF(D230="","БЛОК: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вас",IF(COUNTIF(Акты!$B$5:$B$16,D230)=0,"БЛОК: такого акта нет на листе «Акты» — добавьте акт или исправьте идентификатор",IF(NOT(ISNUMBER(INDEX(Акты!$E$5:$E$16,MATCH(D230,Акты!$B$5:$B$16,0)))),"БЛОК: у этого акта на листе «Акты» не указан первый день просрочки",IF(A230&lt;INDEX(Акты!$E$5:$E$16,MATCH(D230,Акты!$B$5:$B$16,0)),"БЛОК: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сюда",IF(A230&gt;Ввод!$B$4,"БЛОК: оплата после последнего дня расчёта — продлите расчёт или уберите строку","ок"))))))))</f>
        <v/>
      </c>
    </row>
    <row r="231">
      <c r="A231" s="10" t="n"/>
      <c r="B231" s="15" t="n"/>
      <c r="C231" s="13" t="n"/>
      <c r="D231" s="13" t="n"/>
      <c r="E231" s="5">
        <f>IF(AND(A231="",B231="",C231="",D231=""),"",IF(OR(A231="",B231=""),"БЛОК: нужны и дата, и сумма",IF(B231&lt;=0,"БЛОК: сумма должна быть больше нуля",IF(D231="","БЛОК: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вас",IF(COUNTIF(Акты!$B$5:$B$16,D231)=0,"БЛОК: такого акта нет на листе «Акты» — добавьте акт или исправьте идентификатор",IF(NOT(ISNUMBER(INDEX(Акты!$E$5:$E$16,MATCH(D231,Акты!$B$5:$B$16,0)))),"БЛОК: у этого акта на листе «Акты» не указан первый день просрочки",IF(A231&lt;INDEX(Акты!$E$5:$E$16,MATCH(D231,Акты!$B$5:$B$16,0)),"БЛОК: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сюда",IF(A231&gt;Ввод!$B$4,"БЛОК: оплата после последнего дня расчёта — продлите расчёт или уберите строку","ок"))))))))</f>
        <v/>
      </c>
    </row>
    <row r="232">
      <c r="A232" s="10" t="n"/>
      <c r="B232" s="15" t="n"/>
      <c r="C232" s="13" t="n"/>
      <c r="D232" s="13" t="n"/>
      <c r="E232" s="5">
        <f>IF(AND(A232="",B232="",C232="",D232=""),"",IF(OR(A232="",B232=""),"БЛОК: нужны и дата, и сумма",IF(B232&lt;=0,"БЛОК: сумма должна быть больше нуля",IF(D232="","БЛОК: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вас",IF(COUNTIF(Акты!$B$5:$B$16,D232)=0,"БЛОК: такого акта нет на листе «Акты» — добавьте акт или исправьте идентификатор",IF(NOT(ISNUMBER(INDEX(Акты!$E$5:$E$16,MATCH(D232,Акты!$B$5:$B$16,0)))),"БЛОК: у этого акта на листе «Акты» не указан первый день просрочки",IF(A232&lt;INDEX(Акты!$E$5:$E$16,MATCH(D232,Акты!$B$5:$B$16,0)),"БЛОК: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сюда",IF(A232&gt;Ввод!$B$4,"БЛОК: оплата после последнего дня расчёта — продлите расчёт или уберите строку","ок"))))))))</f>
        <v/>
      </c>
    </row>
    <row r="233">
      <c r="A233" s="10" t="n"/>
      <c r="B233" s="15" t="n"/>
      <c r="C233" s="13" t="n"/>
      <c r="D233" s="13" t="n"/>
      <c r="E233" s="5">
        <f>IF(AND(A233="",B233="",C233="",D233=""),"",IF(OR(A233="",B233=""),"БЛОК: нужны и дата, и сумма",IF(B233&lt;=0,"БЛОК: сумма должна быть больше нуля",IF(D233="","БЛОК: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вас",IF(COUNTIF(Акты!$B$5:$B$16,D233)=0,"БЛОК: такого акта нет на листе «Акты» — добавьте акт или исправьте идентификатор",IF(NOT(ISNUMBER(INDEX(Акты!$E$5:$E$16,MATCH(D233,Акты!$B$5:$B$16,0)))),"БЛОК: у этого акта на листе «Акты» не указан первый день просрочки",IF(A233&lt;INDEX(Акты!$E$5:$E$16,MATCH(D233,Акты!$B$5:$B$16,0)),"БЛОК: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сюда",IF(A233&gt;Ввод!$B$4,"БЛОК: оплата после последнего дня расчёта — продлите расчёт или уберите строку","ок"))))))))</f>
        <v/>
      </c>
    </row>
    <row r="234">
      <c r="A234" s="10" t="n"/>
      <c r="B234" s="15" t="n"/>
      <c r="C234" s="13" t="n"/>
      <c r="D234" s="13" t="n"/>
      <c r="E234" s="5">
        <f>IF(AND(A234="",B234="",C234="",D234=""),"",IF(OR(A234="",B234=""),"БЛОК: нужны и дата, и сумма",IF(B234&lt;=0,"БЛОК: сумма должна быть больше нуля",IF(D234="","БЛОК: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вас",IF(COUNTIF(Акты!$B$5:$B$16,D234)=0,"БЛОК: такого акта нет на листе «Акты» — добавьте акт или исправьте идентификатор",IF(NOT(ISNUMBER(INDEX(Акты!$E$5:$E$16,MATCH(D234,Акты!$B$5:$B$16,0)))),"БЛОК: у этого акта на листе «Акты» не указан первый день просрочки",IF(A234&lt;INDEX(Акты!$E$5:$E$16,MATCH(D234,Акты!$B$5:$B$16,0)),"БЛОК: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сюда",IF(A234&gt;Ввод!$B$4,"БЛОК: оплата после последнего дня расчёта — продлите расчёт или уберите строку","ок"))))))))</f>
        <v/>
      </c>
    </row>
    <row r="235">
      <c r="A235" s="10" t="n"/>
      <c r="B235" s="15" t="n"/>
      <c r="C235" s="13" t="n"/>
      <c r="D235" s="13" t="n"/>
      <c r="E235" s="5">
        <f>IF(AND(A235="",B235="",C235="",D235=""),"",IF(OR(A235="",B235=""),"БЛОК: нужны и дата, и сумма",IF(B235&lt;=0,"БЛОК: сумма должна быть больше нуля",IF(D235="","БЛОК: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вас",IF(COUNTIF(Акты!$B$5:$B$16,D235)=0,"БЛОК: такого акта нет на листе «Акты» — добавьте акт или исправьте идентификатор",IF(NOT(ISNUMBER(INDEX(Акты!$E$5:$E$16,MATCH(D235,Акты!$B$5:$B$16,0)))),"БЛОК: у этого акта на листе «Акты» не указан первый день просрочки",IF(A235&lt;INDEX(Акты!$E$5:$E$16,MATCH(D235,Акты!$B$5:$B$16,0)),"БЛОК: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сюда",IF(A235&gt;Ввод!$B$4,"БЛОК: оплата после последнего дня расчёта — продлите расчёт или уберите строку","ок"))))))))</f>
        <v/>
      </c>
    </row>
    <row r="236">
      <c r="A236" s="10" t="n"/>
      <c r="B236" s="15" t="n"/>
      <c r="C236" s="13" t="n"/>
      <c r="D236" s="13" t="n"/>
      <c r="E236" s="5">
        <f>IF(AND(A236="",B236="",C236="",D236=""),"",IF(OR(A236="",B236=""),"БЛОК: нужны и дата, и сумма",IF(B236&lt;=0,"БЛОК: сумма должна быть больше нуля",IF(D236="","БЛОК: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вас",IF(COUNTIF(Акты!$B$5:$B$16,D236)=0,"БЛОК: такого акта нет на листе «Акты» — добавьте акт или исправьте идентификатор",IF(NOT(ISNUMBER(INDEX(Акты!$E$5:$E$16,MATCH(D236,Акты!$B$5:$B$16,0)))),"БЛОК: у этого акта на листе «Акты» не указан первый день просрочки",IF(A236&lt;INDEX(Акты!$E$5:$E$16,MATCH(D236,Акты!$B$5:$B$16,0)),"БЛОК: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сюда",IF(A236&gt;Ввод!$B$4,"БЛОК: оплата после последнего дня расчёта — продлите расчёт или уберите строку","ок"))))))))</f>
        <v/>
      </c>
    </row>
    <row r="237">
      <c r="A237" s="10" t="n"/>
      <c r="B237" s="15" t="n"/>
      <c r="C237" s="13" t="n"/>
      <c r="D237" s="13" t="n"/>
      <c r="E237" s="5">
        <f>IF(AND(A237="",B237="",C237="",D237=""),"",IF(OR(A237="",B237=""),"БЛОК: нужны и дата, и сумма",IF(B237&lt;=0,"БЛОК: сумма должна быть больше нуля",IF(D237="","БЛОК: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вас",IF(COUNTIF(Акты!$B$5:$B$16,D237)=0,"БЛОК: такого акта нет на листе «Акты» — добавьте акт или исправьте идентификатор",IF(NOT(ISNUMBER(INDEX(Акты!$E$5:$E$16,MATCH(D237,Акты!$B$5:$B$16,0)))),"БЛОК: у этого акта на листе «Акты» не указан первый день просрочки",IF(A237&lt;INDEX(Акты!$E$5:$E$16,MATCH(D237,Акты!$B$5:$B$16,0)),"БЛОК: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сюда",IF(A237&gt;Ввод!$B$4,"БЛОК: оплата после последнего дня расчёта — продлите расчёт или уберите строку","ок"))))))))</f>
        <v/>
      </c>
    </row>
    <row r="238">
      <c r="A238" s="10" t="n"/>
      <c r="B238" s="15" t="n"/>
      <c r="C238" s="13" t="n"/>
      <c r="D238" s="13" t="n"/>
      <c r="E238" s="5">
        <f>IF(AND(A238="",B238="",C238="",D238=""),"",IF(OR(A238="",B238=""),"БЛОК: нужны и дата, и сумма",IF(B238&lt;=0,"БЛОК: сумма должна быть больше нуля",IF(D238="","БЛОК: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вас",IF(COUNTIF(Акты!$B$5:$B$16,D238)=0,"БЛОК: такого акта нет на листе «Акты» — добавьте акт или исправьте идентификатор",IF(NOT(ISNUMBER(INDEX(Акты!$E$5:$E$16,MATCH(D238,Акты!$B$5:$B$16,0)))),"БЛОК: у этого акта на листе «Акты» не указан первый день просрочки",IF(A238&lt;INDEX(Акты!$E$5:$E$16,MATCH(D238,Акты!$B$5:$B$16,0)),"БЛОК: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сюда",IF(A238&gt;Ввод!$B$4,"БЛОК: оплата после последнего дня расчёта — продлите расчёт или уберите строку","ок"))))))))</f>
        <v/>
      </c>
    </row>
    <row r="239">
      <c r="A239" s="10" t="n"/>
      <c r="B239" s="15" t="n"/>
      <c r="C239" s="13" t="n"/>
      <c r="D239" s="13" t="n"/>
      <c r="E239" s="5">
        <f>IF(AND(A239="",B239="",C239="",D239=""),"",IF(OR(A239="",B239=""),"БЛОК: нужны и дата, и сумма",IF(B239&lt;=0,"БЛОК: сумма должна быть больше нуля",IF(D239="","БЛОК: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вас",IF(COUNTIF(Акты!$B$5:$B$16,D239)=0,"БЛОК: такого акта нет на листе «Акты» — добавьте акт или исправьте идентификатор",IF(NOT(ISNUMBER(INDEX(Акты!$E$5:$E$16,MATCH(D239,Акты!$B$5:$B$16,0)))),"БЛОК: у этого акта на листе «Акты» не указан первый день просрочки",IF(A239&lt;INDEX(Акты!$E$5:$E$16,MATCH(D239,Акты!$B$5:$B$16,0)),"БЛОК: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сюда",IF(A239&gt;Ввод!$B$4,"БЛОК: оплата после последнего дня расчёта — продлите расчёт или уберите строку","ок"))))))))</f>
        <v/>
      </c>
    </row>
    <row r="240">
      <c r="A240" s="10" t="n"/>
      <c r="B240" s="15" t="n"/>
      <c r="C240" s="13" t="n"/>
      <c r="D240" s="13" t="n"/>
      <c r="E240" s="5">
        <f>IF(AND(A240="",B240="",C240="",D240=""),"",IF(OR(A240="",B240=""),"БЛОК: нужны и дата, и сумма",IF(B240&lt;=0,"БЛОК: сумма должна быть больше нуля",IF(D240="","БЛОК: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вас",IF(COUNTIF(Акты!$B$5:$B$16,D240)=0,"БЛОК: такого акта нет на листе «Акты» — добавьте акт или исправьте идентификатор",IF(NOT(ISNUMBER(INDEX(Акты!$E$5:$E$16,MATCH(D240,Акты!$B$5:$B$16,0)))),"БЛОК: у этого акта на листе «Акты» не указан первый день просрочки",IF(A240&lt;INDEX(Акты!$E$5:$E$16,MATCH(D240,Акты!$B$5:$B$16,0)),"БЛОК: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сюда",IF(A240&gt;Ввод!$B$4,"БЛОК: оплата после последнего дня расчёта — продлите расчёт или уберите строку","ок"))))))))</f>
        <v/>
      </c>
    </row>
    <row r="241">
      <c r="A241" s="10" t="n"/>
      <c r="B241" s="15" t="n"/>
      <c r="C241" s="13" t="n"/>
      <c r="D241" s="13" t="n"/>
      <c r="E241" s="5">
        <f>IF(AND(A241="",B241="",C241="",D241=""),"",IF(OR(A241="",B241=""),"БЛОК: нужны и дата, и сумма",IF(B241&lt;=0,"БЛОК: сумма должна быть больше нуля",IF(D241="","БЛОК: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вас",IF(COUNTIF(Акты!$B$5:$B$16,D241)=0,"БЛОК: такого акта нет на листе «Акты» — добавьте акт или исправьте идентификатор",IF(NOT(ISNUMBER(INDEX(Акты!$E$5:$E$16,MATCH(D241,Акты!$B$5:$B$16,0)))),"БЛОК: у этого акта на листе «Акты» не указан первый день просрочки",IF(A241&lt;INDEX(Акты!$E$5:$E$16,MATCH(D241,Акты!$B$5:$B$16,0)),"БЛОК: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сюда",IF(A241&gt;Ввод!$B$4,"БЛОК: оплата после последнего дня расчёта — продлите расчёт или уберите строку","ок"))))))))</f>
        <v/>
      </c>
    </row>
    <row r="242">
      <c r="A242" s="10" t="n"/>
      <c r="B242" s="15" t="n"/>
      <c r="C242" s="13" t="n"/>
      <c r="D242" s="13" t="n"/>
      <c r="E242" s="5">
        <f>IF(AND(A242="",B242="",C242="",D242=""),"",IF(OR(A242="",B242=""),"БЛОК: нужны и дата, и сумма",IF(B242&lt;=0,"БЛОК: сумма должна быть больше нуля",IF(D242="","БЛОК: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вас",IF(COUNTIF(Акты!$B$5:$B$16,D242)=0,"БЛОК: такого акта нет на листе «Акты» — добавьте акт или исправьте идентификатор",IF(NOT(ISNUMBER(INDEX(Акты!$E$5:$E$16,MATCH(D242,Акты!$B$5:$B$16,0)))),"БЛОК: у этого акта на листе «Акты» не указан первый день просрочки",IF(A242&lt;INDEX(Акты!$E$5:$E$16,MATCH(D242,Акты!$B$5:$B$16,0)),"БЛОК: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сюда",IF(A242&gt;Ввод!$B$4,"БЛОК: оплата после последнего дня расчёта — продлите расчёт или уберите строку","ок"))))))))</f>
        <v/>
      </c>
    </row>
    <row r="243">
      <c r="A243" s="10" t="n"/>
      <c r="B243" s="15" t="n"/>
      <c r="C243" s="13" t="n"/>
      <c r="D243" s="13" t="n"/>
      <c r="E243" s="5">
        <f>IF(AND(A243="",B243="",C243="",D243=""),"",IF(OR(A243="",B243=""),"БЛОК: нужны и дата, и сумма",IF(B243&lt;=0,"БЛОК: сумма должна быть больше нуля",IF(D243="","БЛОК: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вас",IF(COUNTIF(Акты!$B$5:$B$16,D243)=0,"БЛОК: такого акта нет на листе «Акты» — добавьте акт или исправьте идентификатор",IF(NOT(ISNUMBER(INDEX(Акты!$E$5:$E$16,MATCH(D243,Акты!$B$5:$B$16,0)))),"БЛОК: у этого акта на листе «Акты» не указан первый день просрочки",IF(A243&lt;INDEX(Акты!$E$5:$E$16,MATCH(D243,Акты!$B$5:$B$16,0)),"БЛОК: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сюда",IF(A243&gt;Ввод!$B$4,"БЛОК: оплата после последнего дня расчёта — продлите расчёт или уберите строку","ок"))))))))</f>
        <v/>
      </c>
    </row>
    <row r="244">
      <c r="A244" s="10" t="n"/>
      <c r="B244" s="15" t="n"/>
      <c r="C244" s="13" t="n"/>
      <c r="D244" s="13" t="n"/>
      <c r="E244" s="5">
        <f>IF(AND(A244="",B244="",C244="",D244=""),"",IF(OR(A244="",B244=""),"БЛОК: нужны и дата, и сумма",IF(B244&lt;=0,"БЛОК: сумма должна быть больше нуля",IF(D244="","БЛОК: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вас",IF(COUNTIF(Акты!$B$5:$B$16,D244)=0,"БЛОК: такого акта нет на листе «Акты» — добавьте акт или исправьте идентификатор",IF(NOT(ISNUMBER(INDEX(Акты!$E$5:$E$16,MATCH(D244,Акты!$B$5:$B$16,0)))),"БЛОК: у этого акта на листе «Акты» не указан первый день просрочки",IF(A244&lt;INDEX(Акты!$E$5:$E$16,MATCH(D244,Акты!$B$5:$B$16,0)),"БЛОК: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сюда",IF(A244&gt;Ввод!$B$4,"БЛОК: оплата после последнего дня расчёта — продлите расчёт или уберите строку","ок"))))))))</f>
        <v/>
      </c>
    </row>
    <row r="245">
      <c r="A245" s="10" t="n"/>
      <c r="B245" s="15" t="n"/>
      <c r="C245" s="13" t="n"/>
      <c r="D245" s="13" t="n"/>
      <c r="E245" s="5">
        <f>IF(AND(A245="",B245="",C245="",D245=""),"",IF(OR(A245="",B245=""),"БЛОК: нужны и дата, и сумма",IF(B245&lt;=0,"БЛОК: сумма должна быть больше нуля",IF(D245="","БЛОК: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вас",IF(COUNTIF(Акты!$B$5:$B$16,D245)=0,"БЛОК: такого акта нет на листе «Акты» — добавьте акт или исправьте идентификатор",IF(NOT(ISNUMBER(INDEX(Акты!$E$5:$E$16,MATCH(D245,Акты!$B$5:$B$16,0)))),"БЛОК: у этого акта на листе «Акты» не указан первый день просрочки",IF(A245&lt;INDEX(Акты!$E$5:$E$16,MATCH(D245,Акты!$B$5:$B$16,0)),"БЛОК: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сюда",IF(A245&gt;Ввод!$B$4,"БЛОК: оплата после последнего дня расчёта — продлите расчёт или уберите строку","ок"))))))))</f>
        <v/>
      </c>
    </row>
    <row r="246">
      <c r="A246" s="10" t="n"/>
      <c r="B246" s="15" t="n"/>
      <c r="C246" s="13" t="n"/>
      <c r="D246" s="13" t="n"/>
      <c r="E246" s="5">
        <f>IF(AND(A246="",B246="",C246="",D246=""),"",IF(OR(A246="",B246=""),"БЛОК: нужны и дата, и сумма",IF(B246&lt;=0,"БЛОК: сумма должна быть больше нуля",IF(D246="","БЛОК: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вас",IF(COUNTIF(Акты!$B$5:$B$16,D246)=0,"БЛОК: такого акта нет на листе «Акты» — добавьте акт или исправьте идентификатор",IF(NOT(ISNUMBER(INDEX(Акты!$E$5:$E$16,MATCH(D246,Акты!$B$5:$B$16,0)))),"БЛОК: у этого акта на листе «Акты» не указан первый день просрочки",IF(A246&lt;INDEX(Акты!$E$5:$E$16,MATCH(D246,Акты!$B$5:$B$16,0)),"БЛОК: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сюда",IF(A246&gt;Ввод!$B$4,"БЛОК: оплата после последнего дня расчёта — продлите расчёт или уберите строку","ок"))))))))</f>
        <v/>
      </c>
    </row>
    <row r="247">
      <c r="A247" s="10" t="n"/>
      <c r="B247" s="15" t="n"/>
      <c r="C247" s="13" t="n"/>
      <c r="D247" s="13" t="n"/>
      <c r="E247" s="5">
        <f>IF(AND(A247="",B247="",C247="",D247=""),"",IF(OR(A247="",B247=""),"БЛОК: нужны и дата, и сумма",IF(B247&lt;=0,"БЛОК: сумма должна быть больше нуля",IF(D247="","БЛОК: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вас",IF(COUNTIF(Акты!$B$5:$B$16,D247)=0,"БЛОК: такого акта нет на листе «Акты» — добавьте акт или исправьте идентификатор",IF(NOT(ISNUMBER(INDEX(Акты!$E$5:$E$16,MATCH(D247,Акты!$B$5:$B$16,0)))),"БЛОК: у этого акта на листе «Акты» не указан первый день просрочки",IF(A247&lt;INDEX(Акты!$E$5:$E$16,MATCH(D247,Акты!$B$5:$B$16,0)),"БЛОК: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сюда",IF(A247&gt;Ввод!$B$4,"БЛОК: оплата после последнего дня расчёта — продлите расчёт или уберите строку","ок"))))))))</f>
        <v/>
      </c>
    </row>
    <row r="248">
      <c r="A248" s="10" t="n"/>
      <c r="B248" s="15" t="n"/>
      <c r="C248" s="13" t="n"/>
      <c r="D248" s="13" t="n"/>
      <c r="E248" s="5">
        <f>IF(AND(A248="",B248="",C248="",D248=""),"",IF(OR(A248="",B248=""),"БЛОК: нужны и дата, и сумма",IF(B248&lt;=0,"БЛОК: сумма должна быть больше нуля",IF(D248="","БЛОК: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вас",IF(COUNTIF(Акты!$B$5:$B$16,D248)=0,"БЛОК: такого акта нет на листе «Акты» — добавьте акт или исправьте идентификатор",IF(NOT(ISNUMBER(INDEX(Акты!$E$5:$E$16,MATCH(D248,Акты!$B$5:$B$16,0)))),"БЛОК: у этого акта на листе «Акты» не указан первый день просрочки",IF(A248&lt;INDEX(Акты!$E$5:$E$16,MATCH(D248,Акты!$B$5:$B$16,0)),"БЛОК: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сюда",IF(A248&gt;Ввод!$B$4,"БЛОК: оплата после последнего дня расчёта — продлите расчёт или уберите строку","ок"))))))))</f>
        <v/>
      </c>
    </row>
    <row r="249">
      <c r="A249" s="10" t="n"/>
      <c r="B249" s="15" t="n"/>
      <c r="C249" s="13" t="n"/>
      <c r="D249" s="13" t="n"/>
      <c r="E249" s="5">
        <f>IF(AND(A249="",B249="",C249="",D249=""),"",IF(OR(A249="",B249=""),"БЛОК: нужны и дата, и сумма",IF(B249&lt;=0,"БЛОК: сумма должна быть больше нуля",IF(D249="","БЛОК: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вас",IF(COUNTIF(Акты!$B$5:$B$16,D249)=0,"БЛОК: такого акта нет на листе «Акты» — добавьте акт или исправьте идентификатор",IF(NOT(ISNUMBER(INDEX(Акты!$E$5:$E$16,MATCH(D249,Акты!$B$5:$B$16,0)))),"БЛОК: у этого акта на листе «Акты» не указан первый день просрочки",IF(A249&lt;INDEX(Акты!$E$5:$E$16,MATCH(D249,Акты!$B$5:$B$16,0)),"БЛОК: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сюда",IF(A249&gt;Ввод!$B$4,"БЛОК: оплата после последнего дня расчёта — продлите расчёт или уберите строку","ок"))))))))</f>
        <v/>
      </c>
    </row>
    <row r="250">
      <c r="A250" s="10" t="n"/>
      <c r="B250" s="15" t="n"/>
      <c r="C250" s="13" t="n"/>
      <c r="D250" s="13" t="n"/>
      <c r="E250" s="5">
        <f>IF(AND(A250="",B250="",C250="",D250=""),"",IF(OR(A250="",B250=""),"БЛОК: нужны и дата, и сумма",IF(B250&lt;=0,"БЛОК: сумма должна быть больше нуля",IF(D250="","БЛОК: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вас",IF(COUNTIF(Акты!$B$5:$B$16,D250)=0,"БЛОК: такого акта нет на листе «Акты» — добавьте акт или исправьте идентификатор",IF(NOT(ISNUMBER(INDEX(Акты!$E$5:$E$16,MATCH(D250,Акты!$B$5:$B$16,0)))),"БЛОК: у этого акта на листе «Акты» не указан первый день просрочки",IF(A250&lt;INDEX(Акты!$E$5:$E$16,MATCH(D250,Акты!$B$5:$B$16,0)),"БЛОК: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сюда",IF(A250&gt;Ввод!$B$4,"БЛОК: оплата после последнего дня расчёта — продлите расчёт или уберите строку","ок"))))))))</f>
        <v/>
      </c>
    </row>
    <row r="251">
      <c r="A251" s="10" t="n"/>
      <c r="B251" s="15" t="n"/>
      <c r="C251" s="13" t="n"/>
      <c r="D251" s="13" t="n"/>
      <c r="E251" s="5">
        <f>IF(AND(A251="",B251="",C251="",D251=""),"",IF(OR(A251="",B251=""),"БЛОК: нужны и дата, и сумма",IF(B251&lt;=0,"БЛОК: сумма должна быть больше нуля",IF(D251="","БЛОК: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вас",IF(COUNTIF(Акты!$B$5:$B$16,D251)=0,"БЛОК: такого акта нет на листе «Акты» — добавьте акт или исправьте идентификатор",IF(NOT(ISNUMBER(INDEX(Акты!$E$5:$E$16,MATCH(D251,Акты!$B$5:$B$16,0)))),"БЛОК: у этого акта на листе «Акты» не указан первый день просрочки",IF(A251&lt;INDEX(Акты!$E$5:$E$16,MATCH(D251,Акты!$B$5:$B$16,0)),"БЛОК: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сюда",IF(A251&gt;Ввод!$B$4,"БЛОК: оплата после последнего дня расчёта — продлите расчёт или уберите строку","ок"))))))))</f>
        <v/>
      </c>
    </row>
    <row r="252">
      <c r="A252" s="10" t="n"/>
      <c r="B252" s="15" t="n"/>
      <c r="C252" s="13" t="n"/>
      <c r="D252" s="13" t="n"/>
      <c r="E252" s="5">
        <f>IF(AND(A252="",B252="",C252="",D252=""),"",IF(OR(A252="",B252=""),"БЛОК: нужны и дата, и сумма",IF(B252&lt;=0,"БЛОК: сумма должна быть больше нуля",IF(D252="","БЛОК: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вас",IF(COUNTIF(Акты!$B$5:$B$16,D252)=0,"БЛОК: такого акта нет на листе «Акты» — добавьте акт или исправьте идентификатор",IF(NOT(ISNUMBER(INDEX(Акты!$E$5:$E$16,MATCH(D252,Акты!$B$5:$B$16,0)))),"БЛОК: у этого акта на листе «Акты» не указан первый день просрочки",IF(A252&lt;INDEX(Акты!$E$5:$E$16,MATCH(D252,Акты!$B$5:$B$16,0)),"БЛОК: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сюда",IF(A252&gt;Ввод!$B$4,"БЛОК: оплата после последнего дня расчёта — продлите расчёт или уберите строку","ок"))))))))</f>
        <v/>
      </c>
    </row>
    <row r="253">
      <c r="A253" s="10" t="n"/>
      <c r="B253" s="15" t="n"/>
      <c r="C253" s="13" t="n"/>
      <c r="D253" s="13" t="n"/>
      <c r="E253" s="5">
        <f>IF(AND(A253="",B253="",C253="",D253=""),"",IF(OR(A253="",B253=""),"БЛОК: нужны и дата, и сумма",IF(B253&lt;=0,"БЛОК: сумма должна быть больше нуля",IF(D253="","БЛОК: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вас",IF(COUNTIF(Акты!$B$5:$B$16,D253)=0,"БЛОК: такого акта нет на листе «Акты» — добавьте акт или исправьте идентификатор",IF(NOT(ISNUMBER(INDEX(Акты!$E$5:$E$16,MATCH(D253,Акты!$B$5:$B$16,0)))),"БЛОК: у этого акта на листе «Акты» не указан первый день просрочки",IF(A253&lt;INDEX(Акты!$E$5:$E$16,MATCH(D253,Акты!$B$5:$B$16,0)),"БЛОК: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сюда",IF(A253&gt;Ввод!$B$4,"БЛОК: оплата после последнего дня расчёта — продлите расчёт или уберите строку","ок"))))))))</f>
        <v/>
      </c>
    </row>
    <row r="254">
      <c r="A254" s="10" t="n"/>
      <c r="B254" s="15" t="n"/>
      <c r="C254" s="13" t="n"/>
      <c r="D254" s="13" t="n"/>
      <c r="E254" s="5">
        <f>IF(AND(A254="",B254="",C254="",D254=""),"",IF(OR(A254="",B254=""),"БЛОК: нужны и дата, и сумма",IF(B254&lt;=0,"БЛОК: сумма должна быть больше нуля",IF(D254="","БЛОК: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вас",IF(COUNTIF(Акты!$B$5:$B$16,D254)=0,"БЛОК: такого акта нет на листе «Акты» — добавьте акт или исправьте идентификатор",IF(NOT(ISNUMBER(INDEX(Акты!$E$5:$E$16,MATCH(D254,Акты!$B$5:$B$16,0)))),"БЛОК: у этого акта на листе «Акты» не указан первый день просрочки",IF(A254&lt;INDEX(Акты!$E$5:$E$16,MATCH(D254,Акты!$B$5:$B$16,0)),"БЛОК: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сюда",IF(A254&gt;Ввод!$B$4,"БЛОК: оплата после последнего дня расчёта — продлите расчёт или уберите строку","ок"))))))))</f>
        <v/>
      </c>
    </row>
    <row r="255">
      <c r="A255" s="10" t="n"/>
      <c r="B255" s="15" t="n"/>
      <c r="C255" s="13" t="n"/>
      <c r="D255" s="13" t="n"/>
      <c r="E255" s="5">
        <f>IF(AND(A255="",B255="",C255="",D255=""),"",IF(OR(A255="",B255=""),"БЛОК: нужны и дата, и сумма",IF(B255&lt;=0,"БЛОК: сумма должна быть больше нуля",IF(D255="","БЛОК: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вас",IF(COUNTIF(Акты!$B$5:$B$16,D255)=0,"БЛОК: такого акта нет на листе «Акты» — добавьте акт или исправьте идентификатор",IF(NOT(ISNUMBER(INDEX(Акты!$E$5:$E$16,MATCH(D255,Акты!$B$5:$B$16,0)))),"БЛОК: у этого акта на листе «Акты» не указан первый день просрочки",IF(A255&lt;INDEX(Акты!$E$5:$E$16,MATCH(D255,Акты!$B$5:$B$16,0)),"БЛОК: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сюда",IF(A255&gt;Ввод!$B$4,"БЛОК: оплата после последнего дня расчёта — продлите расчёт или уберите строку","ок"))))))))</f>
        <v/>
      </c>
    </row>
    <row r="256">
      <c r="A256" s="10" t="n"/>
      <c r="B256" s="15" t="n"/>
      <c r="C256" s="13" t="n"/>
      <c r="D256" s="13" t="n"/>
      <c r="E256" s="5">
        <f>IF(AND(A256="",B256="",C256="",D256=""),"",IF(OR(A256="",B256=""),"БЛОК: нужны и дата, и сумма",IF(B256&lt;=0,"БЛОК: сумма должна быть больше нуля",IF(D256="","БЛОК: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вас",IF(COUNTIF(Акты!$B$5:$B$16,D256)=0,"БЛОК: такого акта нет на листе «Акты» — добавьте акт или исправьте идентификатор",IF(NOT(ISNUMBER(INDEX(Акты!$E$5:$E$16,MATCH(D256,Акты!$B$5:$B$16,0)))),"БЛОК: у этого акта на листе «Акты» не указан первый день просрочки",IF(A256&lt;INDEX(Акты!$E$5:$E$16,MATCH(D256,Акты!$B$5:$B$16,0)),"БЛОК: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сюда",IF(A256&gt;Ввод!$B$4,"БЛОК: оплата после последнего дня расчёта — продлите расчёт или уберите строку","ок"))))))))</f>
        <v/>
      </c>
    </row>
    <row r="257">
      <c r="A257" s="10" t="n"/>
      <c r="B257" s="15" t="n"/>
      <c r="C257" s="13" t="n"/>
      <c r="D257" s="13" t="n"/>
      <c r="E257" s="5">
        <f>IF(AND(A257="",B257="",C257="",D257=""),"",IF(OR(A257="",B257=""),"БЛОК: нужны и дата, и сумма",IF(B257&lt;=0,"БЛОК: сумма должна быть больше нуля",IF(D257="","БЛОК: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вас",IF(COUNTIF(Акты!$B$5:$B$16,D257)=0,"БЛОК: такого акта нет на листе «Акты» — добавьте акт или исправьте идентификатор",IF(NOT(ISNUMBER(INDEX(Акты!$E$5:$E$16,MATCH(D257,Акты!$B$5:$B$16,0)))),"БЛОК: у этого акта на листе «Акты» не указан первый день просрочки",IF(A257&lt;INDEX(Акты!$E$5:$E$16,MATCH(D257,Акты!$B$5:$B$16,0)),"БЛОК: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сюда",IF(A257&gt;Ввод!$B$4,"БЛОК: оплата после последнего дня расчёта — продлите расчёт или уберите строку","ок"))))))))</f>
        <v/>
      </c>
    </row>
    <row r="258">
      <c r="A258" s="10" t="n"/>
      <c r="B258" s="15" t="n"/>
      <c r="C258" s="13" t="n"/>
      <c r="D258" s="13" t="n"/>
      <c r="E258" s="5">
        <f>IF(AND(A258="",B258="",C258="",D258=""),"",IF(OR(A258="",B258=""),"БЛОК: нужны и дата, и сумма",IF(B258&lt;=0,"БЛОК: сумма должна быть больше нуля",IF(D258="","БЛОК: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вас",IF(COUNTIF(Акты!$B$5:$B$16,D258)=0,"БЛОК: такого акта нет на листе «Акты» — добавьте акт или исправьте идентификатор",IF(NOT(ISNUMBER(INDEX(Акты!$E$5:$E$16,MATCH(D258,Акты!$B$5:$B$16,0)))),"БЛОК: у этого акта на листе «Акты» не указан первый день просрочки",IF(A258&lt;INDEX(Акты!$E$5:$E$16,MATCH(D258,Акты!$B$5:$B$16,0)),"БЛОК: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сюда",IF(A258&gt;Ввод!$B$4,"БЛОК: оплата после последнего дня расчёта — продлите расчёт или уберите строку","ок"))))))))</f>
        <v/>
      </c>
    </row>
    <row r="259">
      <c r="A259" s="10" t="n"/>
      <c r="B259" s="15" t="n"/>
      <c r="C259" s="13" t="n"/>
      <c r="D259" s="13" t="n"/>
      <c r="E259" s="5">
        <f>IF(AND(A259="",B259="",C259="",D259=""),"",IF(OR(A259="",B259=""),"БЛОК: нужны и дата, и сумма",IF(B259&lt;=0,"БЛОК: сумма должна быть больше нуля",IF(D259="","БЛОК: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вас",IF(COUNTIF(Акты!$B$5:$B$16,D259)=0,"БЛОК: такого акта нет на листе «Акты» — добавьте акт или исправьте идентификатор",IF(NOT(ISNUMBER(INDEX(Акты!$E$5:$E$16,MATCH(D259,Акты!$B$5:$B$16,0)))),"БЛОК: у этого акта на листе «Акты» не указан первый день просрочки",IF(A259&lt;INDEX(Акты!$E$5:$E$16,MATCH(D259,Акты!$B$5:$B$16,0)),"БЛОК: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сюда",IF(A259&gt;Ввод!$B$4,"БЛОК: оплата после последнего дня расчёта — продлите расчёт или уберите строку","ок"))))))))</f>
        <v/>
      </c>
    </row>
    <row r="260">
      <c r="A260" s="10" t="n"/>
      <c r="B260" s="15" t="n"/>
      <c r="C260" s="13" t="n"/>
      <c r="D260" s="13" t="n"/>
      <c r="E260" s="5">
        <f>IF(AND(A260="",B260="",C260="",D260=""),"",IF(OR(A260="",B260=""),"БЛОК: нужны и дата, и сумма",IF(B260&lt;=0,"БЛОК: сумма должна быть больше нуля",IF(D260="","БЛОК: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вас",IF(COUNTIF(Акты!$B$5:$B$16,D260)=0,"БЛОК: такого акта нет на листе «Акты» — добавьте акт или исправьте идентификатор",IF(NOT(ISNUMBER(INDEX(Акты!$E$5:$E$16,MATCH(D260,Акты!$B$5:$B$16,0)))),"БЛОК: у этого акта на листе «Акты» не указан первый день просрочки",IF(A260&lt;INDEX(Акты!$E$5:$E$16,MATCH(D260,Акты!$B$5:$B$16,0)),"БЛОК: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сюда",IF(A260&gt;Ввод!$B$4,"БЛОК: оплата после последнего дня расчёта — продлите расчёт или уберите строку","ок"))))))))</f>
        <v/>
      </c>
    </row>
    <row r="261">
      <c r="A261" s="10" t="n"/>
      <c r="B261" s="15" t="n"/>
      <c r="C261" s="13" t="n"/>
      <c r="D261" s="13" t="n"/>
      <c r="E261" s="5">
        <f>IF(AND(A261="",B261="",C261="",D261=""),"",IF(OR(A261="",B261=""),"БЛОК: нужны и дата, и сумма",IF(B261&lt;=0,"БЛОК: сумма должна быть больше нуля",IF(D261="","БЛОК: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вас",IF(COUNTIF(Акты!$B$5:$B$16,D261)=0,"БЛОК: такого акта нет на листе «Акты» — добавьте акт или исправьте идентификатор",IF(NOT(ISNUMBER(INDEX(Акты!$E$5:$E$16,MATCH(D261,Акты!$B$5:$B$16,0)))),"БЛОК: у этого акта на листе «Акты» не указан первый день просрочки",IF(A261&lt;INDEX(Акты!$E$5:$E$16,MATCH(D261,Акты!$B$5:$B$16,0)),"БЛОК: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сюда",IF(A261&gt;Ввод!$B$4,"БЛОК: оплата после последнего дня расчёта — продлите расчёт или уберите строку","ок"))))))))</f>
        <v/>
      </c>
    </row>
    <row r="262">
      <c r="A262" s="10" t="n"/>
      <c r="B262" s="15" t="n"/>
      <c r="C262" s="13" t="n"/>
      <c r="D262" s="13" t="n"/>
      <c r="E262" s="5">
        <f>IF(AND(A262="",B262="",C262="",D262=""),"",IF(OR(A262="",B262=""),"БЛОК: нужны и дата, и сумма",IF(B262&lt;=0,"БЛОК: сумма должна быть больше нуля",IF(D262="","БЛОК: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вас",IF(COUNTIF(Акты!$B$5:$B$16,D262)=0,"БЛОК: такого акта нет на листе «Акты» — добавьте акт или исправьте идентификатор",IF(NOT(ISNUMBER(INDEX(Акты!$E$5:$E$16,MATCH(D262,Акты!$B$5:$B$16,0)))),"БЛОК: у этого акта на листе «Акты» не указан первый день просрочки",IF(A262&lt;INDEX(Акты!$E$5:$E$16,MATCH(D262,Акты!$B$5:$B$16,0)),"БЛОК: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сюда",IF(A262&gt;Ввод!$B$4,"БЛОК: оплата после последнего дня расчёта — продлите расчёт или уберите строку","ок"))))))))</f>
        <v/>
      </c>
    </row>
    <row r="263">
      <c r="A263" s="10" t="n"/>
      <c r="B263" s="15" t="n"/>
      <c r="C263" s="13" t="n"/>
      <c r="D263" s="13" t="n"/>
      <c r="E263" s="5">
        <f>IF(AND(A263="",B263="",C263="",D263=""),"",IF(OR(A263="",B263=""),"БЛОК: нужны и дата, и сумма",IF(B263&lt;=0,"БЛОК: сумма должна быть больше нуля",IF(D263="","БЛОК: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вас",IF(COUNTIF(Акты!$B$5:$B$16,D263)=0,"БЛОК: такого акта нет на листе «Акты» — добавьте акт или исправьте идентификатор",IF(NOT(ISNUMBER(INDEX(Акты!$E$5:$E$16,MATCH(D263,Акты!$B$5:$B$16,0)))),"БЛОК: у этого акта на листе «Акты» не указан первый день просрочки",IF(A263&lt;INDEX(Акты!$E$5:$E$16,MATCH(D263,Акты!$B$5:$B$16,0)),"БЛОК: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сюда",IF(A263&gt;Ввод!$B$4,"БЛОК: оплата после последнего дня расчёта — продлите расчёт или уберите строку","ок"))))))))</f>
        <v/>
      </c>
    </row>
    <row r="264">
      <c r="A264" s="10" t="n"/>
      <c r="B264" s="15" t="n"/>
      <c r="C264" s="13" t="n"/>
      <c r="D264" s="13" t="n"/>
      <c r="E264" s="5">
        <f>IF(AND(A264="",B264="",C264="",D264=""),"",IF(OR(A264="",B264=""),"БЛОК: нужны и дата, и сумма",IF(B264&lt;=0,"БЛОК: сумма должна быть больше нуля",IF(D264="","БЛОК: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вас",IF(COUNTIF(Акты!$B$5:$B$16,D264)=0,"БЛОК: такого акта нет на листе «Акты» — добавьте акт или исправьте идентификатор",IF(NOT(ISNUMBER(INDEX(Акты!$E$5:$E$16,MATCH(D264,Акты!$B$5:$B$16,0)))),"БЛОК: у этого акта на листе «Акты» не указан первый день просрочки",IF(A264&lt;INDEX(Акты!$E$5:$E$16,MATCH(D264,Акты!$B$5:$B$16,0)),"БЛОК: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сюда",IF(A264&gt;Ввод!$B$4,"БЛОК: оплата после последнего дня расчёта — продлите расчёт или уберите строку","ок"))))))))</f>
        <v/>
      </c>
    </row>
    <row r="265">
      <c r="A265" s="10" t="n"/>
      <c r="B265" s="15" t="n"/>
      <c r="C265" s="13" t="n"/>
      <c r="D265" s="13" t="n"/>
      <c r="E265" s="5">
        <f>IF(AND(A265="",B265="",C265="",D265=""),"",IF(OR(A265="",B265=""),"БЛОК: нужны и дата, и сумма",IF(B265&lt;=0,"БЛОК: сумма должна быть больше нуля",IF(D265="","БЛОК: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вас",IF(COUNTIF(Акты!$B$5:$B$16,D265)=0,"БЛОК: такого акта нет на листе «Акты» — добавьте акт или исправьте идентификатор",IF(NOT(ISNUMBER(INDEX(Акты!$E$5:$E$16,MATCH(D265,Акты!$B$5:$B$16,0)))),"БЛОК: у этого акта на листе «Акты» не указан первый день просрочки",IF(A265&lt;INDEX(Акты!$E$5:$E$16,MATCH(D265,Акты!$B$5:$B$16,0)),"БЛОК: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сюда",IF(A265&gt;Ввод!$B$4,"БЛОК: оплата после последнего дня расчёта — продлите расчёт или уберите строку","ок"))))))))</f>
        <v/>
      </c>
    </row>
    <row r="266">
      <c r="A266" s="10" t="n"/>
      <c r="B266" s="15" t="n"/>
      <c r="C266" s="13" t="n"/>
      <c r="D266" s="13" t="n"/>
      <c r="E266" s="5">
        <f>IF(AND(A266="",B266="",C266="",D266=""),"",IF(OR(A266="",B266=""),"БЛОК: нужны и дата, и сумма",IF(B266&lt;=0,"БЛОК: сумма должна быть больше нуля",IF(D266="","БЛОК: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вас",IF(COUNTIF(Акты!$B$5:$B$16,D266)=0,"БЛОК: такого акта нет на листе «Акты» — добавьте акт или исправьте идентификатор",IF(NOT(ISNUMBER(INDEX(Акты!$E$5:$E$16,MATCH(D266,Акты!$B$5:$B$16,0)))),"БЛОК: у этого акта на листе «Акты» не указан первый день просрочки",IF(A266&lt;INDEX(Акты!$E$5:$E$16,MATCH(D266,Акты!$B$5:$B$16,0)),"БЛОК: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сюда",IF(A266&gt;Ввод!$B$4,"БЛОК: оплата после последнего дня расчёта — продлите расчёт или уберите строку","ок"))))))))</f>
        <v/>
      </c>
    </row>
    <row r="267">
      <c r="A267" s="10" t="n"/>
      <c r="B267" s="15" t="n"/>
      <c r="C267" s="13" t="n"/>
      <c r="D267" s="13" t="n"/>
      <c r="E267" s="5">
        <f>IF(AND(A267="",B267="",C267="",D267=""),"",IF(OR(A267="",B267=""),"БЛОК: нужны и дата, и сумма",IF(B267&lt;=0,"БЛОК: сумма должна быть больше нуля",IF(D267="","БЛОК: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вас",IF(COUNTIF(Акты!$B$5:$B$16,D267)=0,"БЛОК: такого акта нет на листе «Акты» — добавьте акт или исправьте идентификатор",IF(NOT(ISNUMBER(INDEX(Акты!$E$5:$E$16,MATCH(D267,Акты!$B$5:$B$16,0)))),"БЛОК: у этого акта на листе «Акты» не указан первый день просрочки",IF(A267&lt;INDEX(Акты!$E$5:$E$16,MATCH(D267,Акты!$B$5:$B$16,0)),"БЛОК: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сюда",IF(A267&gt;Ввод!$B$4,"БЛОК: оплата после последнего дня расчёта — продлите расчёт или уберите строку","ок"))))))))</f>
        <v/>
      </c>
    </row>
    <row r="268">
      <c r="A268" s="10" t="n"/>
      <c r="B268" s="15" t="n"/>
      <c r="C268" s="13" t="n"/>
      <c r="D268" s="13" t="n"/>
      <c r="E268" s="5">
        <f>IF(AND(A268="",B268="",C268="",D268=""),"",IF(OR(A268="",B268=""),"БЛОК: нужны и дата, и сумма",IF(B268&lt;=0,"БЛОК: сумма должна быть больше нуля",IF(D268="","БЛОК: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вас",IF(COUNTIF(Акты!$B$5:$B$16,D268)=0,"БЛОК: такого акта нет на листе «Акты» — добавьте акт или исправьте идентификатор",IF(NOT(ISNUMBER(INDEX(Акты!$E$5:$E$16,MATCH(D268,Акты!$B$5:$B$16,0)))),"БЛОК: у этого акта на листе «Акты» не указан первый день просрочки",IF(A268&lt;INDEX(Акты!$E$5:$E$16,MATCH(D268,Акты!$B$5:$B$16,0)),"БЛОК: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сюда",IF(A268&gt;Ввод!$B$4,"БЛОК: оплата после последнего дня расчёта — продлите расчёт или уберите строку","ок"))))))))</f>
        <v/>
      </c>
    </row>
    <row r="269">
      <c r="A269" s="10" t="n"/>
      <c r="B269" s="15" t="n"/>
      <c r="C269" s="13" t="n"/>
      <c r="D269" s="13" t="n"/>
      <c r="E269" s="5">
        <f>IF(AND(A269="",B269="",C269="",D269=""),"",IF(OR(A269="",B269=""),"БЛОК: нужны и дата, и сумма",IF(B269&lt;=0,"БЛОК: сумма должна быть больше нуля",IF(D269="","БЛОК: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вас",IF(COUNTIF(Акты!$B$5:$B$16,D269)=0,"БЛОК: такого акта нет на листе «Акты» — добавьте акт или исправьте идентификатор",IF(NOT(ISNUMBER(INDEX(Акты!$E$5:$E$16,MATCH(D269,Акты!$B$5:$B$16,0)))),"БЛОК: у этого акта на листе «Акты» не указан первый день просрочки",IF(A269&lt;INDEX(Акты!$E$5:$E$16,MATCH(D269,Акты!$B$5:$B$16,0)),"БЛОК: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сюда",IF(A269&gt;Ввод!$B$4,"БЛОК: оплата после последнего дня расчёта — продлите расчёт или уберите строку","ок"))))))))</f>
        <v/>
      </c>
    </row>
    <row r="270">
      <c r="A270" s="10" t="n"/>
      <c r="B270" s="15" t="n"/>
      <c r="C270" s="13" t="n"/>
      <c r="D270" s="13" t="n"/>
      <c r="E270" s="5">
        <f>IF(AND(A270="",B270="",C270="",D270=""),"",IF(OR(A270="",B270=""),"БЛОК: нужны и дата, и сумма",IF(B270&lt;=0,"БЛОК: сумма должна быть больше нуля",IF(D270="","БЛОК: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вас",IF(COUNTIF(Акты!$B$5:$B$16,D270)=0,"БЛОК: такого акта нет на листе «Акты» — добавьте акт или исправьте идентификатор",IF(NOT(ISNUMBER(INDEX(Акты!$E$5:$E$16,MATCH(D270,Акты!$B$5:$B$16,0)))),"БЛОК: у этого акта на листе «Акты» не указан первый день просрочки",IF(A270&lt;INDEX(Акты!$E$5:$E$16,MATCH(D270,Акты!$B$5:$B$16,0)),"БЛОК: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сюда",IF(A270&gt;Ввод!$B$4,"БЛОК: оплата после последнего дня расчёта — продлите расчёт или уберите строку","ок"))))))))</f>
        <v/>
      </c>
    </row>
    <row r="271">
      <c r="A271" s="10" t="n"/>
      <c r="B271" s="15" t="n"/>
      <c r="C271" s="13" t="n"/>
      <c r="D271" s="13" t="n"/>
      <c r="E271" s="5">
        <f>IF(AND(A271="",B271="",C271="",D271=""),"",IF(OR(A271="",B271=""),"БЛОК: нужны и дата, и сумма",IF(B271&lt;=0,"БЛОК: сумма должна быть больше нуля",IF(D271="","БЛОК: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вас",IF(COUNTIF(Акты!$B$5:$B$16,D271)=0,"БЛОК: такого акта нет на листе «Акты» — добавьте акт или исправьте идентификатор",IF(NOT(ISNUMBER(INDEX(Акты!$E$5:$E$16,MATCH(D271,Акты!$B$5:$B$16,0)))),"БЛОК: у этого акта на листе «Акты» не указан первый день просрочки",IF(A271&lt;INDEX(Акты!$E$5:$E$16,MATCH(D271,Акты!$B$5:$B$16,0)),"БЛОК: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сюда",IF(A271&gt;Ввод!$B$4,"БЛОК: оплата после последнего дня расчёта — продлите расчёт или уберите строку","ок"))))))))</f>
        <v/>
      </c>
    </row>
    <row r="272">
      <c r="A272" s="10" t="n"/>
      <c r="B272" s="15" t="n"/>
      <c r="C272" s="13" t="n"/>
      <c r="D272" s="13" t="n"/>
      <c r="E272" s="5">
        <f>IF(AND(A272="",B272="",C272="",D272=""),"",IF(OR(A272="",B272=""),"БЛОК: нужны и дата, и сумма",IF(B272&lt;=0,"БЛОК: сумма должна быть больше нуля",IF(D272="","БЛОК: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вас",IF(COUNTIF(Акты!$B$5:$B$16,D272)=0,"БЛОК: такого акта нет на листе «Акты» — добавьте акт или исправьте идентификатор",IF(NOT(ISNUMBER(INDEX(Акты!$E$5:$E$16,MATCH(D272,Акты!$B$5:$B$16,0)))),"БЛОК: у этого акта на листе «Акты» не указан первый день просрочки",IF(A272&lt;INDEX(Акты!$E$5:$E$16,MATCH(D272,Акты!$B$5:$B$16,0)),"БЛОК: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сюда",IF(A272&gt;Ввод!$B$4,"БЛОК: оплата после последнего дня расчёта — продлите расчёт или уберите строку","ок"))))))))</f>
        <v/>
      </c>
    </row>
    <row r="273">
      <c r="A273" s="10" t="n"/>
      <c r="B273" s="15" t="n"/>
      <c r="C273" s="13" t="n"/>
      <c r="D273" s="13" t="n"/>
      <c r="E273" s="5">
        <f>IF(AND(A273="",B273="",C273="",D273=""),"",IF(OR(A273="",B273=""),"БЛОК: нужны и дата, и сумма",IF(B273&lt;=0,"БЛОК: сумма должна быть больше нуля",IF(D273="","БЛОК: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вас",IF(COUNTIF(Акты!$B$5:$B$16,D273)=0,"БЛОК: такого акта нет на листе «Акты» — добавьте акт или исправьте идентификатор",IF(NOT(ISNUMBER(INDEX(Акты!$E$5:$E$16,MATCH(D273,Акты!$B$5:$B$16,0)))),"БЛОК: у этого акта на листе «Акты» не указан первый день просрочки",IF(A273&lt;INDEX(Акты!$E$5:$E$16,MATCH(D273,Акты!$B$5:$B$16,0)),"БЛОК: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сюда",IF(A273&gt;Ввод!$B$4,"БЛОК: оплата после последнего дня расчёта — продлите расчёт или уберите строку","ок"))))))))</f>
        <v/>
      </c>
    </row>
    <row r="274">
      <c r="A274" s="10" t="n"/>
      <c r="B274" s="15" t="n"/>
      <c r="C274" s="13" t="n"/>
      <c r="D274" s="13" t="n"/>
      <c r="E274" s="5">
        <f>IF(AND(A274="",B274="",C274="",D274=""),"",IF(OR(A274="",B274=""),"БЛОК: нужны и дата, и сумма",IF(B274&lt;=0,"БЛОК: сумма должна быть больше нуля",IF(D274="","БЛОК: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вас",IF(COUNTIF(Акты!$B$5:$B$16,D274)=0,"БЛОК: такого акта нет на листе «Акты» — добавьте акт или исправьте идентификатор",IF(NOT(ISNUMBER(INDEX(Акты!$E$5:$E$16,MATCH(D274,Акты!$B$5:$B$16,0)))),"БЛОК: у этого акта на листе «Акты» не указан первый день просрочки",IF(A274&lt;INDEX(Акты!$E$5:$E$16,MATCH(D274,Акты!$B$5:$B$16,0)),"БЛОК: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сюда",IF(A274&gt;Ввод!$B$4,"БЛОК: оплата после последнего дня расчёта — продлите расчёт или уберите строку","ок"))))))))</f>
        <v/>
      </c>
    </row>
    <row r="275">
      <c r="A275" s="10" t="n"/>
      <c r="B275" s="15" t="n"/>
      <c r="C275" s="13" t="n"/>
      <c r="D275" s="13" t="n"/>
      <c r="E275" s="5">
        <f>IF(AND(A275="",B275="",C275="",D275=""),"",IF(OR(A275="",B275=""),"БЛОК: нужны и дата, и сумма",IF(B275&lt;=0,"БЛОК: сумма должна быть больше нуля",IF(D275="","БЛОК: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вас",IF(COUNTIF(Акты!$B$5:$B$16,D275)=0,"БЛОК: такого акта нет на листе «Акты» — добавьте акт или исправьте идентификатор",IF(NOT(ISNUMBER(INDEX(Акты!$E$5:$E$16,MATCH(D275,Акты!$B$5:$B$16,0)))),"БЛОК: у этого акта на листе «Акты» не указан первый день просрочки",IF(A275&lt;INDEX(Акты!$E$5:$E$16,MATCH(D275,Акты!$B$5:$B$16,0)),"БЛОК: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сюда",IF(A275&gt;Ввод!$B$4,"БЛОК: оплата после последнего дня расчёта — продлите расчёт или уберите строку","ок"))))))))</f>
        <v/>
      </c>
    </row>
    <row r="276">
      <c r="A276" s="10" t="n"/>
      <c r="B276" s="15" t="n"/>
      <c r="C276" s="13" t="n"/>
      <c r="D276" s="13" t="n"/>
      <c r="E276" s="5">
        <f>IF(AND(A276="",B276="",C276="",D276=""),"",IF(OR(A276="",B276=""),"БЛОК: нужны и дата, и сумма",IF(B276&lt;=0,"БЛОК: сумма должна быть больше нуля",IF(D276="","БЛОК: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вас",IF(COUNTIF(Акты!$B$5:$B$16,D276)=0,"БЛОК: такого акта нет на листе «Акты» — добавьте акт или исправьте идентификатор",IF(NOT(ISNUMBER(INDEX(Акты!$E$5:$E$16,MATCH(D276,Акты!$B$5:$B$16,0)))),"БЛОК: у этого акта на листе «Акты» не указан первый день просрочки",IF(A276&lt;INDEX(Акты!$E$5:$E$16,MATCH(D276,Акты!$B$5:$B$16,0)),"БЛОК: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сюда",IF(A276&gt;Ввод!$B$4,"БЛОК: оплата после последнего дня расчёта — продлите расчёт или уберите строку","ок"))))))))</f>
        <v/>
      </c>
    </row>
    <row r="277">
      <c r="A277" s="10" t="n"/>
      <c r="B277" s="15" t="n"/>
      <c r="C277" s="13" t="n"/>
      <c r="D277" s="13" t="n"/>
      <c r="E277" s="5">
        <f>IF(AND(A277="",B277="",C277="",D277=""),"",IF(OR(A277="",B277=""),"БЛОК: нужны и дата, и сумма",IF(B277&lt;=0,"БЛОК: сумма должна быть больше нуля",IF(D277="","БЛОК: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вас",IF(COUNTIF(Акты!$B$5:$B$16,D277)=0,"БЛОК: такого акта нет на листе «Акты» — добавьте акт или исправьте идентификатор",IF(NOT(ISNUMBER(INDEX(Акты!$E$5:$E$16,MATCH(D277,Акты!$B$5:$B$16,0)))),"БЛОК: у этого акта на листе «Акты» не указан первый день просрочки",IF(A277&lt;INDEX(Акты!$E$5:$E$16,MATCH(D277,Акты!$B$5:$B$16,0)),"БЛОК: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сюда",IF(A277&gt;Ввод!$B$4,"БЛОК: оплата после последнего дня расчёта — продлите расчёт или уберите строку","ок"))))))))</f>
        <v/>
      </c>
    </row>
    <row r="278">
      <c r="A278" s="10" t="n"/>
      <c r="B278" s="15" t="n"/>
      <c r="C278" s="13" t="n"/>
      <c r="D278" s="13" t="n"/>
      <c r="E278" s="5">
        <f>IF(AND(A278="",B278="",C278="",D278=""),"",IF(OR(A278="",B278=""),"БЛОК: нужны и дата, и сумма",IF(B278&lt;=0,"БЛОК: сумма должна быть больше нуля",IF(D278="","БЛОК: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вас",IF(COUNTIF(Акты!$B$5:$B$16,D278)=0,"БЛОК: такого акта нет на листе «Акты» — добавьте акт или исправьте идентификатор",IF(NOT(ISNUMBER(INDEX(Акты!$E$5:$E$16,MATCH(D278,Акты!$B$5:$B$16,0)))),"БЛОК: у этого акта на листе «Акты» не указан первый день просрочки",IF(A278&lt;INDEX(Акты!$E$5:$E$16,MATCH(D278,Акты!$B$5:$B$16,0)),"БЛОК: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сюда",IF(A278&gt;Ввод!$B$4,"БЛОК: оплата после последнего дня расчёта — продлите расчёт или уберите строку","ок"))))))))</f>
        <v/>
      </c>
    </row>
    <row r="279">
      <c r="A279" s="10" t="n"/>
      <c r="B279" s="15" t="n"/>
      <c r="C279" s="13" t="n"/>
      <c r="D279" s="13" t="n"/>
      <c r="E279" s="5">
        <f>IF(AND(A279="",B279="",C279="",D279=""),"",IF(OR(A279="",B279=""),"БЛОК: нужны и дата, и сумма",IF(B279&lt;=0,"БЛОК: сумма должна быть больше нуля",IF(D279="","БЛОК: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вас",IF(COUNTIF(Акты!$B$5:$B$16,D279)=0,"БЛОК: такого акта нет на листе «Акты» — добавьте акт или исправьте идентификатор",IF(NOT(ISNUMBER(INDEX(Акты!$E$5:$E$16,MATCH(D279,Акты!$B$5:$B$16,0)))),"БЛОК: у этого акта на листе «Акты» не указан первый день просрочки",IF(A279&lt;INDEX(Акты!$E$5:$E$16,MATCH(D279,Акты!$B$5:$B$16,0)),"БЛОК: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сюда",IF(A279&gt;Ввод!$B$4,"БЛОК: оплата после последнего дня расчёта — продлите расчёт или уберите строку","ок"))))))))</f>
        <v/>
      </c>
    </row>
    <row r="280">
      <c r="A280" s="10" t="n"/>
      <c r="B280" s="15" t="n"/>
      <c r="C280" s="13" t="n"/>
      <c r="D280" s="13" t="n"/>
      <c r="E280" s="5">
        <f>IF(AND(A280="",B280="",C280="",D280=""),"",IF(OR(A280="",B280=""),"БЛОК: нужны и дата, и сумма",IF(B280&lt;=0,"БЛОК: сумма должна быть больше нуля",IF(D280="","БЛОК: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вас",IF(COUNTIF(Акты!$B$5:$B$16,D280)=0,"БЛОК: такого акта нет на листе «Акты» — добавьте акт или исправьте идентификатор",IF(NOT(ISNUMBER(INDEX(Акты!$E$5:$E$16,MATCH(D280,Акты!$B$5:$B$16,0)))),"БЛОК: у этого акта на листе «Акты» не указан первый день просрочки",IF(A280&lt;INDEX(Акты!$E$5:$E$16,MATCH(D280,Акты!$B$5:$B$16,0)),"БЛОК: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сюда",IF(A280&gt;Ввод!$B$4,"БЛОК: оплата после последнего дня расчёта — продлите расчёт или уберите строку","ок"))))))))</f>
        <v/>
      </c>
    </row>
    <row r="281">
      <c r="A281" s="10" t="n"/>
      <c r="B281" s="15" t="n"/>
      <c r="C281" s="13" t="n"/>
      <c r="D281" s="13" t="n"/>
      <c r="E281" s="5">
        <f>IF(AND(A281="",B281="",C281="",D281=""),"",IF(OR(A281="",B281=""),"БЛОК: нужны и дата, и сумма",IF(B281&lt;=0,"БЛОК: сумма должна быть больше нуля",IF(D281="","БЛОК: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вас",IF(COUNTIF(Акты!$B$5:$B$16,D281)=0,"БЛОК: такого акта нет на листе «Акты» — добавьте акт или исправьте идентификатор",IF(NOT(ISNUMBER(INDEX(Акты!$E$5:$E$16,MATCH(D281,Акты!$B$5:$B$16,0)))),"БЛОК: у этого акта на листе «Акты» не указан первый день просрочки",IF(A281&lt;INDEX(Акты!$E$5:$E$16,MATCH(D281,Акты!$B$5:$B$16,0)),"БЛОК: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сюда",IF(A281&gt;Ввод!$B$4,"БЛОК: оплата после последнего дня расчёта — продлите расчёт или уберите строку","ок"))))))))</f>
        <v/>
      </c>
    </row>
    <row r="282">
      <c r="A282" s="10" t="n"/>
      <c r="B282" s="15" t="n"/>
      <c r="C282" s="13" t="n"/>
      <c r="D282" s="13" t="n"/>
      <c r="E282" s="5">
        <f>IF(AND(A282="",B282="",C282="",D282=""),"",IF(OR(A282="",B282=""),"БЛОК: нужны и дата, и сумма",IF(B282&lt;=0,"БЛОК: сумма должна быть больше нуля",IF(D282="","БЛОК: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вас",IF(COUNTIF(Акты!$B$5:$B$16,D282)=0,"БЛОК: такого акта нет на листе «Акты» — добавьте акт или исправьте идентификатор",IF(NOT(ISNUMBER(INDEX(Акты!$E$5:$E$16,MATCH(D282,Акты!$B$5:$B$16,0)))),"БЛОК: у этого акта на листе «Акты» не указан первый день просрочки",IF(A282&lt;INDEX(Акты!$E$5:$E$16,MATCH(D282,Акты!$B$5:$B$16,0)),"БЛОК: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сюда",IF(A282&gt;Ввод!$B$4,"БЛОК: оплата после последнего дня расчёта — продлите расчёт или уберите строку","ок"))))))))</f>
        <v/>
      </c>
    </row>
    <row r="283">
      <c r="A283" s="10" t="n"/>
      <c r="B283" s="15" t="n"/>
      <c r="C283" s="13" t="n"/>
      <c r="D283" s="13" t="n"/>
      <c r="E283" s="5">
        <f>IF(AND(A283="",B283="",C283="",D283=""),"",IF(OR(A283="",B283=""),"БЛОК: нужны и дата, и сумма",IF(B283&lt;=0,"БЛОК: сумма должна быть больше нуля",IF(D283="","БЛОК: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вас",IF(COUNTIF(Акты!$B$5:$B$16,D283)=0,"БЛОК: такого акта нет на листе «Акты» — добавьте акт или исправьте идентификатор",IF(NOT(ISNUMBER(INDEX(Акты!$E$5:$E$16,MATCH(D283,Акты!$B$5:$B$16,0)))),"БЛОК: у этого акта на листе «Акты» не указан первый день просрочки",IF(A283&lt;INDEX(Акты!$E$5:$E$16,MATCH(D283,Акты!$B$5:$B$16,0)),"БЛОК: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сюда",IF(A283&gt;Ввод!$B$4,"БЛОК: оплата после последнего дня расчёта — продлите расчёт или уберите строку","ок"))))))))</f>
        <v/>
      </c>
    </row>
    <row r="284">
      <c r="A284" s="10" t="n"/>
      <c r="B284" s="15" t="n"/>
      <c r="C284" s="13" t="n"/>
      <c r="D284" s="13" t="n"/>
      <c r="E284" s="5">
        <f>IF(AND(A284="",B284="",C284="",D284=""),"",IF(OR(A284="",B284=""),"БЛОК: нужны и дата, и сумма",IF(B284&lt;=0,"БЛОК: сумма должна быть больше нуля",IF(D284="","БЛОК: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вас",IF(COUNTIF(Акты!$B$5:$B$16,D284)=0,"БЛОК: такого акта нет на листе «Акты» — добавьте акт или исправьте идентификатор",IF(NOT(ISNUMBER(INDEX(Акты!$E$5:$E$16,MATCH(D284,Акты!$B$5:$B$16,0)))),"БЛОК: у этого акта на листе «Акты» не указан первый день просрочки",IF(A284&lt;INDEX(Акты!$E$5:$E$16,MATCH(D284,Акты!$B$5:$B$16,0)),"БЛОК: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сюда",IF(A284&gt;Ввод!$B$4,"БЛОК: оплата после последнего дня расчёта — продлите расчёт или уберите строку","ок"))))))))</f>
        <v/>
      </c>
    </row>
    <row r="285">
      <c r="A285" s="10" t="n"/>
      <c r="B285" s="15" t="n"/>
      <c r="C285" s="13" t="n"/>
      <c r="D285" s="13" t="n"/>
      <c r="E285" s="5">
        <f>IF(AND(A285="",B285="",C285="",D285=""),"",IF(OR(A285="",B285=""),"БЛОК: нужны и дата, и сумма",IF(B285&lt;=0,"БЛОК: сумма должна быть больше нуля",IF(D285="","БЛОК: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вас",IF(COUNTIF(Акты!$B$5:$B$16,D285)=0,"БЛОК: такого акта нет на листе «Акты» — добавьте акт или исправьте идентификатор",IF(NOT(ISNUMBER(INDEX(Акты!$E$5:$E$16,MATCH(D285,Акты!$B$5:$B$16,0)))),"БЛОК: у этого акта на листе «Акты» не указан первый день просрочки",IF(A285&lt;INDEX(Акты!$E$5:$E$16,MATCH(D285,Акты!$B$5:$B$16,0)),"БЛОК: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сюда",IF(A285&gt;Ввод!$B$4,"БЛОК: оплата после последнего дня расчёта — продлите расчёт или уберите строку","ок"))))))))</f>
        <v/>
      </c>
    </row>
    <row r="286">
      <c r="A286" s="10" t="n"/>
      <c r="B286" s="15" t="n"/>
      <c r="C286" s="13" t="n"/>
      <c r="D286" s="13" t="n"/>
      <c r="E286" s="5">
        <f>IF(AND(A286="",B286="",C286="",D286=""),"",IF(OR(A286="",B286=""),"БЛОК: нужны и дата, и сумма",IF(B286&lt;=0,"БЛОК: сумма должна быть больше нуля",IF(D286="","БЛОК: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вас",IF(COUNTIF(Акты!$B$5:$B$16,D286)=0,"БЛОК: такого акта нет на листе «Акты» — добавьте акт или исправьте идентификатор",IF(NOT(ISNUMBER(INDEX(Акты!$E$5:$E$16,MATCH(D286,Акты!$B$5:$B$16,0)))),"БЛОК: у этого акта на листе «Акты» не указан первый день просрочки",IF(A286&lt;INDEX(Акты!$E$5:$E$16,MATCH(D286,Акты!$B$5:$B$16,0)),"БЛОК: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сюда",IF(A286&gt;Ввод!$B$4,"БЛОК: оплата после последнего дня расчёта — продлите расчёт или уберите строку","ок"))))))))</f>
        <v/>
      </c>
    </row>
    <row r="287">
      <c r="A287" s="10" t="n"/>
      <c r="B287" s="15" t="n"/>
      <c r="C287" s="13" t="n"/>
      <c r="D287" s="13" t="n"/>
      <c r="E287" s="5">
        <f>IF(AND(A287="",B287="",C287="",D287=""),"",IF(OR(A287="",B287=""),"БЛОК: нужны и дата, и сумма",IF(B287&lt;=0,"БЛОК: сумма должна быть больше нуля",IF(D287="","БЛОК: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вас",IF(COUNTIF(Акты!$B$5:$B$16,D287)=0,"БЛОК: такого акта нет на листе «Акты» — добавьте акт или исправьте идентификатор",IF(NOT(ISNUMBER(INDEX(Акты!$E$5:$E$16,MATCH(D287,Акты!$B$5:$B$16,0)))),"БЛОК: у этого акта на листе «Акты» не указан первый день просрочки",IF(A287&lt;INDEX(Акты!$E$5:$E$16,MATCH(D287,Акты!$B$5:$B$16,0)),"БЛОК: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сюда",IF(A287&gt;Ввод!$B$4,"БЛОК: оплата после последнего дня расчёта — продлите расчёт или уберите строку","ок"))))))))</f>
        <v/>
      </c>
    </row>
    <row r="288">
      <c r="A288" s="10" t="n"/>
      <c r="B288" s="15" t="n"/>
      <c r="C288" s="13" t="n"/>
      <c r="D288" s="13" t="n"/>
      <c r="E288" s="5">
        <f>IF(AND(A288="",B288="",C288="",D288=""),"",IF(OR(A288="",B288=""),"БЛОК: нужны и дата, и сумма",IF(B288&lt;=0,"БЛОК: сумма должна быть больше нуля",IF(D288="","БЛОК: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вас",IF(COUNTIF(Акты!$B$5:$B$16,D288)=0,"БЛОК: такого акта нет на листе «Акты» — добавьте акт или исправьте идентификатор",IF(NOT(ISNUMBER(INDEX(Акты!$E$5:$E$16,MATCH(D288,Акты!$B$5:$B$16,0)))),"БЛОК: у этого акта на листе «Акты» не указан первый день просрочки",IF(A288&lt;INDEX(Акты!$E$5:$E$16,MATCH(D288,Акты!$B$5:$B$16,0)),"БЛОК: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сюда",IF(A288&gt;Ввод!$B$4,"БЛОК: оплата после последнего дня расчёта — продлите расчёт или уберите строку","ок"))))))))</f>
        <v/>
      </c>
    </row>
    <row r="289">
      <c r="A289" s="10" t="n"/>
      <c r="B289" s="15" t="n"/>
      <c r="C289" s="13" t="n"/>
      <c r="D289" s="13" t="n"/>
      <c r="E289" s="5">
        <f>IF(AND(A289="",B289="",C289="",D289=""),"",IF(OR(A289="",B289=""),"БЛОК: нужны и дата, и сумма",IF(B289&lt;=0,"БЛОК: сумма должна быть больше нуля",IF(D289="","БЛОК: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вас",IF(COUNTIF(Акты!$B$5:$B$16,D289)=0,"БЛОК: такого акта нет на листе «Акты» — добавьте акт или исправьте идентификатор",IF(NOT(ISNUMBER(INDEX(Акты!$E$5:$E$16,MATCH(D289,Акты!$B$5:$B$16,0)))),"БЛОК: у этого акта на листе «Акты» не указан первый день просрочки",IF(A289&lt;INDEX(Акты!$E$5:$E$16,MATCH(D289,Акты!$B$5:$B$16,0)),"БЛОК: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сюда",IF(A289&gt;Ввод!$B$4,"БЛОК: оплата после последнего дня расчёта — продлите расчёт или уберите строку","ок"))))))))</f>
        <v/>
      </c>
    </row>
    <row r="290">
      <c r="A290" s="10" t="n"/>
      <c r="B290" s="15" t="n"/>
      <c r="C290" s="13" t="n"/>
      <c r="D290" s="13" t="n"/>
      <c r="E290" s="5">
        <f>IF(AND(A290="",B290="",C290="",D290=""),"",IF(OR(A290="",B290=""),"БЛОК: нужны и дата, и сумма",IF(B290&lt;=0,"БЛОК: сумма должна быть больше нуля",IF(D290="","БЛОК: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вас",IF(COUNTIF(Акты!$B$5:$B$16,D290)=0,"БЛОК: такого акта нет на листе «Акты» — добавьте акт или исправьте идентификатор",IF(NOT(ISNUMBER(INDEX(Акты!$E$5:$E$16,MATCH(D290,Акты!$B$5:$B$16,0)))),"БЛОК: у этого акта на листе «Акты» не указан первый день просрочки",IF(A290&lt;INDEX(Акты!$E$5:$E$16,MATCH(D290,Акты!$B$5:$B$16,0)),"БЛОК: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сюда",IF(A290&gt;Ввод!$B$4,"БЛОК: оплата после последнего дня расчёта — продлите расчёт или уберите строку","ок"))))))))</f>
        <v/>
      </c>
    </row>
    <row r="291">
      <c r="A291" s="10" t="n"/>
      <c r="B291" s="15" t="n"/>
      <c r="C291" s="13" t="n"/>
      <c r="D291" s="13" t="n"/>
      <c r="E291" s="5">
        <f>IF(AND(A291="",B291="",C291="",D291=""),"",IF(OR(A291="",B291=""),"БЛОК: нужны и дата, и сумма",IF(B291&lt;=0,"БЛОК: сумма должна быть больше нуля",IF(D291="","БЛОК: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вас",IF(COUNTIF(Акты!$B$5:$B$16,D291)=0,"БЛОК: такого акта нет на листе «Акты» — добавьте акт или исправьте идентификатор",IF(NOT(ISNUMBER(INDEX(Акты!$E$5:$E$16,MATCH(D291,Акты!$B$5:$B$16,0)))),"БЛОК: у этого акта на листе «Акты» не указан первый день просрочки",IF(A291&lt;INDEX(Акты!$E$5:$E$16,MATCH(D291,Акты!$B$5:$B$16,0)),"БЛОК: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сюда",IF(A291&gt;Ввод!$B$4,"БЛОК: оплата после последнего дня расчёта — продлите расчёт или уберите строку","ок"))))))))</f>
        <v/>
      </c>
    </row>
    <row r="292">
      <c r="A292" s="10" t="n"/>
      <c r="B292" s="15" t="n"/>
      <c r="C292" s="13" t="n"/>
      <c r="D292" s="13" t="n"/>
      <c r="E292" s="5">
        <f>IF(AND(A292="",B292="",C292="",D292=""),"",IF(OR(A292="",B292=""),"БЛОК: нужны и дата, и сумма",IF(B292&lt;=0,"БЛОК: сумма должна быть больше нуля",IF(D292="","БЛОК: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вас",IF(COUNTIF(Акты!$B$5:$B$16,D292)=0,"БЛОК: такого акта нет на листе «Акты» — добавьте акт или исправьте идентификатор",IF(NOT(ISNUMBER(INDEX(Акты!$E$5:$E$16,MATCH(D292,Акты!$B$5:$B$16,0)))),"БЛОК: у этого акта на листе «Акты» не указан первый день просрочки",IF(A292&lt;INDEX(Акты!$E$5:$E$16,MATCH(D292,Акты!$B$5:$B$16,0)),"БЛОК: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сюда",IF(A292&gt;Ввод!$B$4,"БЛОК: оплата после последнего дня расчёта — продлите расчёт или уберите строку","ок"))))))))</f>
        <v/>
      </c>
    </row>
    <row r="293">
      <c r="A293" s="10" t="n"/>
      <c r="B293" s="15" t="n"/>
      <c r="C293" s="13" t="n"/>
      <c r="D293" s="13" t="n"/>
      <c r="E293" s="5">
        <f>IF(AND(A293="",B293="",C293="",D293=""),"",IF(OR(A293="",B293=""),"БЛОК: нужны и дата, и сумма",IF(B293&lt;=0,"БЛОК: сумма должна быть больше нуля",IF(D293="","БЛОК: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вас",IF(COUNTIF(Акты!$B$5:$B$16,D293)=0,"БЛОК: такого акта нет на листе «Акты» — добавьте акт или исправьте идентификатор",IF(NOT(ISNUMBER(INDEX(Акты!$E$5:$E$16,MATCH(D293,Акты!$B$5:$B$16,0)))),"БЛОК: у этого акта на листе «Акты» не указан первый день просрочки",IF(A293&lt;INDEX(Акты!$E$5:$E$16,MATCH(D293,Акты!$B$5:$B$16,0)),"БЛОК: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сюда",IF(A293&gt;Ввод!$B$4,"БЛОК: оплата после последнего дня расчёта — продлите расчёт или уберите строку","ок"))))))))</f>
        <v/>
      </c>
    </row>
    <row r="294">
      <c r="A294" s="10" t="n"/>
      <c r="B294" s="15" t="n"/>
      <c r="C294" s="13" t="n"/>
      <c r="D294" s="13" t="n"/>
      <c r="E294" s="5">
        <f>IF(AND(A294="",B294="",C294="",D294=""),"",IF(OR(A294="",B294=""),"БЛОК: нужны и дата, и сумма",IF(B294&lt;=0,"БЛОК: сумма должна быть больше нуля",IF(D294="","БЛОК: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вас",IF(COUNTIF(Акты!$B$5:$B$16,D294)=0,"БЛОК: такого акта нет на листе «Акты» — добавьте акт или исправьте идентификатор",IF(NOT(ISNUMBER(INDEX(Акты!$E$5:$E$16,MATCH(D294,Акты!$B$5:$B$16,0)))),"БЛОК: у этого акта на листе «Акты» не указан первый день просрочки",IF(A294&lt;INDEX(Акты!$E$5:$E$16,MATCH(D294,Акты!$B$5:$B$16,0)),"БЛОК: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сюда",IF(A294&gt;Ввод!$B$4,"БЛОК: оплата после последнего дня расчёта — продлите расчёт или уберите строку","ок"))))))))</f>
        <v/>
      </c>
    </row>
    <row r="295">
      <c r="A295" s="10" t="n"/>
      <c r="B295" s="15" t="n"/>
      <c r="C295" s="13" t="n"/>
      <c r="D295" s="13" t="n"/>
      <c r="E295" s="5">
        <f>IF(AND(A295="",B295="",C295="",D295=""),"",IF(OR(A295="",B295=""),"БЛОК: нужны и дата, и сумма",IF(B295&lt;=0,"БЛОК: сумма должна быть больше нуля",IF(D295="","БЛОК: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вас",IF(COUNTIF(Акты!$B$5:$B$16,D295)=0,"БЛОК: такого акта нет на листе «Акты» — добавьте акт или исправьте идентификатор",IF(NOT(ISNUMBER(INDEX(Акты!$E$5:$E$16,MATCH(D295,Акты!$B$5:$B$16,0)))),"БЛОК: у этого акта на листе «Акты» не указан первый день просрочки",IF(A295&lt;INDEX(Акты!$E$5:$E$16,MATCH(D295,Акты!$B$5:$B$16,0)),"БЛОК: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сюда",IF(A295&gt;Ввод!$B$4,"БЛОК: оплата после последнего дня расчёта — продлите расчёт или уберите строку","ок"))))))))</f>
        <v/>
      </c>
    </row>
    <row r="296">
      <c r="A296" s="10" t="n"/>
      <c r="B296" s="15" t="n"/>
      <c r="C296" s="13" t="n"/>
      <c r="D296" s="13" t="n"/>
      <c r="E296" s="5">
        <f>IF(AND(A296="",B296="",C296="",D296=""),"",IF(OR(A296="",B296=""),"БЛОК: нужны и дата, и сумма",IF(B296&lt;=0,"БЛОК: сумма должна быть больше нуля",IF(D296="","БЛОК: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вас",IF(COUNTIF(Акты!$B$5:$B$16,D296)=0,"БЛОК: такого акта нет на листе «Акты» — добавьте акт или исправьте идентификатор",IF(NOT(ISNUMBER(INDEX(Акты!$E$5:$E$16,MATCH(D296,Акты!$B$5:$B$16,0)))),"БЛОК: у этого акта на листе «Акты» не указан первый день просрочки",IF(A296&lt;INDEX(Акты!$E$5:$E$16,MATCH(D296,Акты!$B$5:$B$16,0)),"БЛОК: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сюда",IF(A296&gt;Ввод!$B$4,"БЛОК: оплата после последнего дня расчёта — продлите расчёт или уберите строку","ок"))))))))</f>
        <v/>
      </c>
    </row>
    <row r="297">
      <c r="A297" s="10" t="n"/>
      <c r="B297" s="15" t="n"/>
      <c r="C297" s="13" t="n"/>
      <c r="D297" s="13" t="n"/>
      <c r="E297" s="5">
        <f>IF(AND(A297="",B297="",C297="",D297=""),"",IF(OR(A297="",B297=""),"БЛОК: нужны и дата, и сумма",IF(B297&lt;=0,"БЛОК: сумма должна быть больше нуля",IF(D297="","БЛОК: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вас",IF(COUNTIF(Акты!$B$5:$B$16,D297)=0,"БЛОК: такого акта нет на листе «Акты» — добавьте акт или исправьте идентификатор",IF(NOT(ISNUMBER(INDEX(Акты!$E$5:$E$16,MATCH(D297,Акты!$B$5:$B$16,0)))),"БЛОК: у этого акта на листе «Акты» не указан первый день просрочки",IF(A297&lt;INDEX(Акты!$E$5:$E$16,MATCH(D297,Акты!$B$5:$B$16,0)),"БЛОК: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сюда",IF(A297&gt;Ввод!$B$4,"БЛОК: оплата после последнего дня расчёта — продлите расчёт или уберите строку","ок"))))))))</f>
        <v/>
      </c>
    </row>
    <row r="298">
      <c r="A298" s="10" t="n"/>
      <c r="B298" s="15" t="n"/>
      <c r="C298" s="13" t="n"/>
      <c r="D298" s="13" t="n"/>
      <c r="E298" s="5">
        <f>IF(AND(A298="",B298="",C298="",D298=""),"",IF(OR(A298="",B298=""),"БЛОК: нужны и дата, и сумма",IF(B298&lt;=0,"БЛОК: сумма должна быть больше нуля",IF(D298="","БЛОК: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вас",IF(COUNTIF(Акты!$B$5:$B$16,D298)=0,"БЛОК: такого акта нет на листе «Акты» — добавьте акт или исправьте идентификатор",IF(NOT(ISNUMBER(INDEX(Акты!$E$5:$E$16,MATCH(D298,Акты!$B$5:$B$16,0)))),"БЛОК: у этого акта на листе «Акты» не указан первый день просрочки",IF(A298&lt;INDEX(Акты!$E$5:$E$16,MATCH(D298,Акты!$B$5:$B$16,0)),"БЛОК: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сюда",IF(A298&gt;Ввод!$B$4,"БЛОК: оплата после последнего дня расчёта — продлите расчёт или уберите строку","ок"))))))))</f>
        <v/>
      </c>
    </row>
    <row r="299">
      <c r="A299" s="10" t="n"/>
      <c r="B299" s="15" t="n"/>
      <c r="C299" s="13" t="n"/>
      <c r="D299" s="13" t="n"/>
      <c r="E299" s="5">
        <f>IF(AND(A299="",B299="",C299="",D299=""),"",IF(OR(A299="",B299=""),"БЛОК: нужны и дата, и сумма",IF(B299&lt;=0,"БЛОК: сумма должна быть больше нуля",IF(D299="","БЛОК: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вас",IF(COUNTIF(Акты!$B$5:$B$16,D299)=0,"БЛОК: такого акта нет на листе «Акты» — добавьте акт или исправьте идентификатор",IF(NOT(ISNUMBER(INDEX(Акты!$E$5:$E$16,MATCH(D299,Акты!$B$5:$B$16,0)))),"БЛОК: у этого акта на листе «Акты» не указан первый день просрочки",IF(A299&lt;INDEX(Акты!$E$5:$E$16,MATCH(D299,Акты!$B$5:$B$16,0)),"БЛОК: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сюда",IF(A299&gt;Ввод!$B$4,"БЛОК: оплата после последнего дня расчёта — продлите расчёт или уберите строку","ок"))))))))</f>
        <v/>
      </c>
    </row>
    <row r="300">
      <c r="A300" s="10" t="n"/>
      <c r="B300" s="15" t="n"/>
      <c r="C300" s="13" t="n"/>
      <c r="D300" s="13" t="n"/>
      <c r="E300" s="5">
        <f>IF(AND(A300="",B300="",C300="",D300=""),"",IF(OR(A300="",B300=""),"БЛОК: нужны и дата, и сумма",IF(B300&lt;=0,"БЛОК: сумма должна быть больше нуля",IF(D300="","БЛОК: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вас",IF(COUNTIF(Акты!$B$5:$B$16,D300)=0,"БЛОК: такого акта нет на листе «Акты» — добавьте акт или исправьте идентификатор",IF(NOT(ISNUMBER(INDEX(Акты!$E$5:$E$16,MATCH(D300,Акты!$B$5:$B$16,0)))),"БЛОК: у этого акта на листе «Акты» не указан первый день просрочки",IF(A300&lt;INDEX(Акты!$E$5:$E$16,MATCH(D300,Акты!$B$5:$B$16,0)),"БЛОК: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сюда",IF(A300&gt;Ввод!$B$4,"БЛОК: оплата после последнего дня расчёта — продлите расчёт или уберите строку","ок"))))))))</f>
        <v/>
      </c>
    </row>
    <row r="301">
      <c r="A301" s="10" t="n"/>
      <c r="B301" s="15" t="n"/>
      <c r="C301" s="13" t="n"/>
      <c r="D301" s="13" t="n"/>
      <c r="E301" s="5">
        <f>IF(AND(A301="",B301="",C301="",D301=""),"",IF(OR(A301="",B301=""),"БЛОК: нужны и дата, и сумма",IF(B301&lt;=0,"БЛОК: сумма должна быть больше нуля",IF(D301="","БЛОК: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вас",IF(COUNTIF(Акты!$B$5:$B$16,D301)=0,"БЛОК: такого акта нет на листе «Акты» — добавьте акт или исправьте идентификатор",IF(NOT(ISNUMBER(INDEX(Акты!$E$5:$E$16,MATCH(D301,Акты!$B$5:$B$16,0)))),"БЛОК: у этого акта на листе «Акты» не указан первый день просрочки",IF(A301&lt;INDEX(Акты!$E$5:$E$16,MATCH(D301,Акты!$B$5:$B$16,0)),"БЛОК: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сюда",IF(A301&gt;Ввод!$B$4,"БЛОК: оплата после последнего дня расчёта — продлите расчёт или уберите строку","ок"))))))))</f>
        <v/>
      </c>
    </row>
    <row r="302">
      <c r="A302" s="10" t="n"/>
      <c r="B302" s="15" t="n"/>
      <c r="C302" s="13" t="n"/>
      <c r="D302" s="13" t="n"/>
      <c r="E302" s="5">
        <f>IF(AND(A302="",B302="",C302="",D302=""),"",IF(OR(A302="",B302=""),"БЛОК: нужны и дата, и сумма",IF(B302&lt;=0,"БЛОК: сумма должна быть больше нуля",IF(D302="","БЛОК: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вас",IF(COUNTIF(Акты!$B$5:$B$16,D302)=0,"БЛОК: такого акта нет на листе «Акты» — добавьте акт или исправьте идентификатор",IF(NOT(ISNUMBER(INDEX(Акты!$E$5:$E$16,MATCH(D302,Акты!$B$5:$B$16,0)))),"БЛОК: у этого акта на листе «Акты» не указан первый день просрочки",IF(A302&lt;INDEX(Акты!$E$5:$E$16,MATCH(D302,Акты!$B$5:$B$16,0)),"БЛОК: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сюда",IF(A302&gt;Ввод!$B$4,"БЛОК: оплата после последнего дня расчёта — продлите расчёт или уберите строку","ок"))))))))</f>
        <v/>
      </c>
    </row>
    <row r="303">
      <c r="A303" s="10" t="n"/>
      <c r="B303" s="15" t="n"/>
      <c r="C303" s="13" t="n"/>
      <c r="D303" s="13" t="n"/>
      <c r="E303" s="5">
        <f>IF(AND(A303="",B303="",C303="",D303=""),"",IF(OR(A303="",B303=""),"БЛОК: нужны и дата, и сумма",IF(B303&lt;=0,"БЛОК: сумма должна быть больше нуля",IF(D303="","БЛОК: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вас",IF(COUNTIF(Акты!$B$5:$B$16,D303)=0,"БЛОК: такого акта нет на листе «Акты» — добавьте акт или исправьте идентификатор",IF(NOT(ISNUMBER(INDEX(Акты!$E$5:$E$16,MATCH(D303,Акты!$B$5:$B$16,0)))),"БЛОК: у этого акта на листе «Акты» не указан первый день просрочки",IF(A303&lt;INDEX(Акты!$E$5:$E$16,MATCH(D303,Акты!$B$5:$B$16,0)),"БЛОК: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сюда",IF(A303&gt;Ввод!$B$4,"БЛОК: оплата после последнего дня расчёта — продлите расчёт или уберите строку","ок"))))))))</f>
        <v/>
      </c>
    </row>
    <row r="304">
      <c r="A304" s="10" t="n"/>
      <c r="B304" s="15" t="n"/>
      <c r="C304" s="13" t="n"/>
      <c r="D304" s="13" t="n"/>
      <c r="E304" s="5">
        <f>IF(AND(A304="",B304="",C304="",D304=""),"",IF(OR(A304="",B304=""),"БЛОК: нужны и дата, и сумма",IF(B304&lt;=0,"БЛОК: сумма должна быть больше нуля",IF(D304="","БЛОК: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вас",IF(COUNTIF(Акты!$B$5:$B$16,D304)=0,"БЛОК: такого акта нет на листе «Акты» — добавьте акт или исправьте идентификатор",IF(NOT(ISNUMBER(INDEX(Акты!$E$5:$E$16,MATCH(D304,Акты!$B$5:$B$16,0)))),"БЛОК: у этого акта на листе «Акты» не указан первый день просрочки",IF(A304&lt;INDEX(Акты!$E$5:$E$16,MATCH(D304,Акты!$B$5:$B$16,0)),"БЛОК: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сюда",IF(A304&gt;Ввод!$B$4,"БЛОК: оплата после последнего дня расчёта — продлите расчёт или уберите строку","ок"))))))))</f>
        <v/>
      </c>
    </row>
    <row r="305">
      <c r="A305" s="10" t="n"/>
      <c r="B305" s="15" t="n"/>
      <c r="C305" s="13" t="n"/>
      <c r="D305" s="13" t="n"/>
      <c r="E305" s="5">
        <f>IF(AND(A305="",B305="",C305="",D305=""),"",IF(OR(A305="",B305=""),"БЛОК: нужны и дата, и сумма",IF(B305&lt;=0,"БЛОК: сумма должна быть больше нуля",IF(D305="","БЛОК: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вас",IF(COUNTIF(Акты!$B$5:$B$16,D305)=0,"БЛОК: такого акта нет на листе «Акты» — добавьте акт или исправьте идентификатор",IF(NOT(ISNUMBER(INDEX(Акты!$E$5:$E$16,MATCH(D305,Акты!$B$5:$B$16,0)))),"БЛОК: у этого акта на листе «Акты» не указан первый день просрочки",IF(A305&lt;INDEX(Акты!$E$5:$E$16,MATCH(D305,Акты!$B$5:$B$16,0)),"БЛОК: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сюда",IF(A305&gt;Ввод!$B$4,"БЛОК: оплата после последнего дня расчёта — продлите расчёт или уберите строку","ок"))))))))</f>
        <v/>
      </c>
    </row>
    <row r="306">
      <c r="A306" s="10" t="n"/>
      <c r="B306" s="15" t="n"/>
      <c r="C306" s="13" t="n"/>
      <c r="D306" s="13" t="n"/>
      <c r="E306" s="5">
        <f>IF(AND(A306="",B306="",C306="",D306=""),"",IF(OR(A306="",B306=""),"БЛОК: нужны и дата, и сумма",IF(B306&lt;=0,"БЛОК: сумма должна быть больше нуля",IF(D306="","БЛОК: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вас",IF(COUNTIF(Акты!$B$5:$B$16,D306)=0,"БЛОК: такого акта нет на листе «Акты» — добавьте акт или исправьте идентификатор",IF(NOT(ISNUMBER(INDEX(Акты!$E$5:$E$16,MATCH(D306,Акты!$B$5:$B$16,0)))),"БЛОК: у этого акта на листе «Акты» не указан первый день просрочки",IF(A306&lt;INDEX(Акты!$E$5:$E$16,MATCH(D306,Акты!$B$5:$B$16,0)),"БЛОК: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сюда",IF(A306&gt;Ввод!$B$4,"БЛОК: оплата после последнего дня расчёта — продлите расчёт или уберите строку","ок"))))))))</f>
        <v/>
      </c>
    </row>
    <row r="307">
      <c r="A307" s="10" t="n"/>
      <c r="B307" s="15" t="n"/>
      <c r="C307" s="13" t="n"/>
      <c r="D307" s="13" t="n"/>
      <c r="E307" s="5">
        <f>IF(AND(A307="",B307="",C307="",D307=""),"",IF(OR(A307="",B307=""),"БЛОК: нужны и дата, и сумма",IF(B307&lt;=0,"БЛОК: сумма должна быть больше нуля",IF(D307="","БЛОК: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вас",IF(COUNTIF(Акты!$B$5:$B$16,D307)=0,"БЛОК: такого акта нет на листе «Акты» — добавьте акт или исправьте идентификатор",IF(NOT(ISNUMBER(INDEX(Акты!$E$5:$E$16,MATCH(D307,Акты!$B$5:$B$16,0)))),"БЛОК: у этого акта на листе «Акты» не указан первый день просрочки",IF(A307&lt;INDEX(Акты!$E$5:$E$16,MATCH(D307,Акты!$B$5:$B$16,0)),"БЛОК: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сюда",IF(A307&gt;Ввод!$B$4,"БЛОК: оплата после последнего дня расчёта — продлите расчёт или уберите строку","ок"))))))))</f>
        <v/>
      </c>
    </row>
    <row r="308">
      <c r="A308" s="10" t="n"/>
      <c r="B308" s="15" t="n"/>
      <c r="C308" s="13" t="n"/>
      <c r="D308" s="13" t="n"/>
      <c r="E308" s="5">
        <f>IF(AND(A308="",B308="",C308="",D308=""),"",IF(OR(A308="",B308=""),"БЛОК: нужны и дата, и сумма",IF(B308&lt;=0,"БЛОК: сумма должна быть больше нуля",IF(D308="","БЛОК: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вас",IF(COUNTIF(Акты!$B$5:$B$16,D308)=0,"БЛОК: такого акта нет на листе «Акты» — добавьте акт или исправьте идентификатор",IF(NOT(ISNUMBER(INDEX(Акты!$E$5:$E$16,MATCH(D308,Акты!$B$5:$B$16,0)))),"БЛОК: у этого акта на листе «Акты» не указан первый день просрочки",IF(A308&lt;INDEX(Акты!$E$5:$E$16,MATCH(D308,Акты!$B$5:$B$16,0)),"БЛОК: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сюда",IF(A308&gt;Ввод!$B$4,"БЛОК: оплата после последнего дня расчёта — продлите расчёт или уберите строку","ок"))))))))</f>
        <v/>
      </c>
    </row>
    <row r="309">
      <c r="A309" s="10" t="n"/>
      <c r="B309" s="15" t="n"/>
      <c r="C309" s="13" t="n"/>
      <c r="D309" s="13" t="n"/>
      <c r="E309" s="5">
        <f>IF(AND(A309="",B309="",C309="",D309=""),"",IF(OR(A309="",B309=""),"БЛОК: нужны и дата, и сумма",IF(B309&lt;=0,"БЛОК: сумма должна быть больше нуля",IF(D309="","БЛОК: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вас",IF(COUNTIF(Акты!$B$5:$B$16,D309)=0,"БЛОК: такого акта нет на листе «Акты» — добавьте акт или исправьте идентификатор",IF(NOT(ISNUMBER(INDEX(Акты!$E$5:$E$16,MATCH(D309,Акты!$B$5:$B$16,0)))),"БЛОК: у этого акта на листе «Акты» не указан первый день просрочки",IF(A309&lt;INDEX(Акты!$E$5:$E$16,MATCH(D309,Акты!$B$5:$B$16,0)),"БЛОК: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сюда",IF(A309&gt;Ввод!$B$4,"БЛОК: оплата после последнего дня расчёта — продлите расчёт или уберите строку","ок"))))))))</f>
        <v/>
      </c>
    </row>
    <row r="310">
      <c r="A310" s="10" t="n"/>
      <c r="B310" s="15" t="n"/>
      <c r="C310" s="13" t="n"/>
      <c r="D310" s="13" t="n"/>
      <c r="E310" s="5">
        <f>IF(AND(A310="",B310="",C310="",D310=""),"",IF(OR(A310="",B310=""),"БЛОК: нужны и дата, и сумма",IF(B310&lt;=0,"БЛОК: сумма должна быть больше нуля",IF(D310="","БЛОК: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вас",IF(COUNTIF(Акты!$B$5:$B$16,D310)=0,"БЛОК: такого акта нет на листе «Акты» — добавьте акт или исправьте идентификатор",IF(NOT(ISNUMBER(INDEX(Акты!$E$5:$E$16,MATCH(D310,Акты!$B$5:$B$16,0)))),"БЛОК: у этого акта на листе «Акты» не указан первый день просрочки",IF(A310&lt;INDEX(Акты!$E$5:$E$16,MATCH(D310,Акты!$B$5:$B$16,0)),"БЛОК: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сюда",IF(A310&gt;Ввод!$B$4,"БЛОК: оплата после последнего дня расчёта — продлите расчёт или уберите строку","ок"))))))))</f>
        <v/>
      </c>
    </row>
    <row r="311">
      <c r="A311" s="10" t="n"/>
      <c r="B311" s="15" t="n"/>
      <c r="C311" s="13" t="n"/>
      <c r="D311" s="13" t="n"/>
      <c r="E311" s="5">
        <f>IF(AND(A311="",B311="",C311="",D311=""),"",IF(OR(A311="",B311=""),"БЛОК: нужны и дата, и сумма",IF(B311&lt;=0,"БЛОК: сумма должна быть больше нуля",IF(D311="","БЛОК: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вас",IF(COUNTIF(Акты!$B$5:$B$16,D311)=0,"БЛОК: такого акта нет на листе «Акты» — добавьте акт или исправьте идентификатор",IF(NOT(ISNUMBER(INDEX(Акты!$E$5:$E$16,MATCH(D311,Акты!$B$5:$B$16,0)))),"БЛОК: у этого акта на листе «Акты» не указан первый день просрочки",IF(A311&lt;INDEX(Акты!$E$5:$E$16,MATCH(D311,Акты!$B$5:$B$16,0)),"БЛОК: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сюда",IF(A311&gt;Ввод!$B$4,"БЛОК: оплата после последнего дня расчёта — продлите расчёт или уберите строку","ок"))))))))</f>
        <v/>
      </c>
    </row>
    <row r="312">
      <c r="A312" s="10" t="n"/>
      <c r="B312" s="15" t="n"/>
      <c r="C312" s="13" t="n"/>
      <c r="D312" s="13" t="n"/>
      <c r="E312" s="5">
        <f>IF(AND(A312="",B312="",C312="",D312=""),"",IF(OR(A312="",B312=""),"БЛОК: нужны и дата, и сумма",IF(B312&lt;=0,"БЛОК: сумма должна быть больше нуля",IF(D312="","БЛОК: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вас",IF(COUNTIF(Акты!$B$5:$B$16,D312)=0,"БЛОК: такого акта нет на листе «Акты» — добавьте акт или исправьте идентификатор",IF(NOT(ISNUMBER(INDEX(Акты!$E$5:$E$16,MATCH(D312,Акты!$B$5:$B$16,0)))),"БЛОК: у этого акта на листе «Акты» не указан первый день просрочки",IF(A312&lt;INDEX(Акты!$E$5:$E$16,MATCH(D312,Акты!$B$5:$B$16,0)),"БЛОК: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сюда",IF(A312&gt;Ввод!$B$4,"БЛОК: оплата после последнего дня расчёта — продлите расчёт или уберите строку","ок"))))))))</f>
        <v/>
      </c>
    </row>
    <row r="313">
      <c r="A313" s="10" t="n"/>
      <c r="B313" s="15" t="n"/>
      <c r="C313" s="13" t="n"/>
      <c r="D313" s="13" t="n"/>
      <c r="E313" s="5">
        <f>IF(AND(A313="",B313="",C313="",D313=""),"",IF(OR(A313="",B313=""),"БЛОК: нужны и дата, и сумма",IF(B313&lt;=0,"БЛОК: сумма должна быть больше нуля",IF(D313="","БЛОК: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вас",IF(COUNTIF(Акты!$B$5:$B$16,D313)=0,"БЛОК: такого акта нет на листе «Акты» — добавьте акт или исправьте идентификатор",IF(NOT(ISNUMBER(INDEX(Акты!$E$5:$E$16,MATCH(D313,Акты!$B$5:$B$16,0)))),"БЛОК: у этого акта на листе «Акты» не указан первый день просрочки",IF(A313&lt;INDEX(Акты!$E$5:$E$16,MATCH(D313,Акты!$B$5:$B$16,0)),"БЛОК: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сюда",IF(A313&gt;Ввод!$B$4,"БЛОК: оплата после последнего дня расчёта — продлите расчёт или уберите строку","ок"))))))))</f>
        <v/>
      </c>
    </row>
    <row r="314">
      <c r="A314" s="10" t="n"/>
      <c r="B314" s="15" t="n"/>
      <c r="C314" s="13" t="n"/>
      <c r="D314" s="13" t="n"/>
      <c r="E314" s="5">
        <f>IF(AND(A314="",B314="",C314="",D314=""),"",IF(OR(A314="",B314=""),"БЛОК: нужны и дата, и сумма",IF(B314&lt;=0,"БЛОК: сумма должна быть больше нуля",IF(D314="","БЛОК: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вас",IF(COUNTIF(Акты!$B$5:$B$16,D314)=0,"БЛОК: такого акта нет на листе «Акты» — добавьте акт или исправьте идентификатор",IF(NOT(ISNUMBER(INDEX(Акты!$E$5:$E$16,MATCH(D314,Акты!$B$5:$B$16,0)))),"БЛОК: у этого акта на листе «Акты» не указан первый день просрочки",IF(A314&lt;INDEX(Акты!$E$5:$E$16,MATCH(D314,Акты!$B$5:$B$16,0)),"БЛОК: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сюда",IF(A314&gt;Ввод!$B$4,"БЛОК: оплата после последнего дня расчёта — продлите расчёт или уберите строку","ок"))))))))</f>
        <v/>
      </c>
    </row>
    <row r="315">
      <c r="A315" s="10" t="n"/>
      <c r="B315" s="15" t="n"/>
      <c r="C315" s="13" t="n"/>
      <c r="D315" s="13" t="n"/>
      <c r="E315" s="5">
        <f>IF(AND(A315="",B315="",C315="",D315=""),"",IF(OR(A315="",B315=""),"БЛОК: нужны и дата, и сумма",IF(B315&lt;=0,"БЛОК: сумма должна быть больше нуля",IF(D315="","БЛОК: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вас",IF(COUNTIF(Акты!$B$5:$B$16,D315)=0,"БЛОК: такого акта нет на листе «Акты» — добавьте акт или исправьте идентификатор",IF(NOT(ISNUMBER(INDEX(Акты!$E$5:$E$16,MATCH(D315,Акты!$B$5:$B$16,0)))),"БЛОК: у этого акта на листе «Акты» не указан первый день просрочки",IF(A315&lt;INDEX(Акты!$E$5:$E$16,MATCH(D315,Акты!$B$5:$B$16,0)),"БЛОК: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сюда",IF(A315&gt;Ввод!$B$4,"БЛОК: оплата после последнего дня расчёта — продлите расчёт или уберите строку","ок"))))))))</f>
        <v/>
      </c>
    </row>
    <row r="316">
      <c r="A316" s="10" t="n"/>
      <c r="B316" s="15" t="n"/>
      <c r="C316" s="13" t="n"/>
      <c r="D316" s="13" t="n"/>
      <c r="E316" s="5">
        <f>IF(AND(A316="",B316="",C316="",D316=""),"",IF(OR(A316="",B316=""),"БЛОК: нужны и дата, и сумма",IF(B316&lt;=0,"БЛОК: сумма должна быть больше нуля",IF(D316="","БЛОК: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вас",IF(COUNTIF(Акты!$B$5:$B$16,D316)=0,"БЛОК: такого акта нет на листе «Акты» — добавьте акт или исправьте идентификатор",IF(NOT(ISNUMBER(INDEX(Акты!$E$5:$E$16,MATCH(D316,Акты!$B$5:$B$16,0)))),"БЛОК: у этого акта на листе «Акты» не указан первый день просрочки",IF(A316&lt;INDEX(Акты!$E$5:$E$16,MATCH(D316,Акты!$B$5:$B$16,0)),"БЛОК: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сюда",IF(A316&gt;Ввод!$B$4,"БЛОК: оплата после последнего дня расчёта — продлите расчёт или уберите строку","ок"))))))))</f>
        <v/>
      </c>
    </row>
    <row r="317">
      <c r="A317" s="10" t="n"/>
      <c r="B317" s="15" t="n"/>
      <c r="C317" s="13" t="n"/>
      <c r="D317" s="13" t="n"/>
      <c r="E317" s="5">
        <f>IF(AND(A317="",B317="",C317="",D317=""),"",IF(OR(A317="",B317=""),"БЛОК: нужны и дата, и сумма",IF(B317&lt;=0,"БЛОК: сумма должна быть больше нуля",IF(D317="","БЛОК: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вас",IF(COUNTIF(Акты!$B$5:$B$16,D317)=0,"БЛОК: такого акта нет на листе «Акты» — добавьте акт или исправьте идентификатор",IF(NOT(ISNUMBER(INDEX(Акты!$E$5:$E$16,MATCH(D317,Акты!$B$5:$B$16,0)))),"БЛОК: у этого акта на листе «Акты» не указан первый день просрочки",IF(A317&lt;INDEX(Акты!$E$5:$E$16,MATCH(D317,Акты!$B$5:$B$16,0)),"БЛОК: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сюда",IF(A317&gt;Ввод!$B$4,"БЛОК: оплата после последнего дня расчёта — продлите расчёт или уберите строку","ок"))))))))</f>
        <v/>
      </c>
    </row>
    <row r="318">
      <c r="A318" s="10" t="n"/>
      <c r="B318" s="15" t="n"/>
      <c r="C318" s="13" t="n"/>
      <c r="D318" s="13" t="n"/>
      <c r="E318" s="5">
        <f>IF(AND(A318="",B318="",C318="",D318=""),"",IF(OR(A318="",B318=""),"БЛОК: нужны и дата, и сумма",IF(B318&lt;=0,"БЛОК: сумма должна быть больше нуля",IF(D318="","БЛОК: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вас",IF(COUNTIF(Акты!$B$5:$B$16,D318)=0,"БЛОК: такого акта нет на листе «Акты» — добавьте акт или исправьте идентификатор",IF(NOT(ISNUMBER(INDEX(Акты!$E$5:$E$16,MATCH(D318,Акты!$B$5:$B$16,0)))),"БЛОК: у этого акта на листе «Акты» не указан первый день просрочки",IF(A318&lt;INDEX(Акты!$E$5:$E$16,MATCH(D318,Акты!$B$5:$B$16,0)),"БЛОК: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сюда",IF(A318&gt;Ввод!$B$4,"БЛОК: оплата после последнего дня расчёта — продлите расчёт или уберите строку","ок"))))))))</f>
        <v/>
      </c>
    </row>
    <row r="319">
      <c r="A319" s="10" t="n"/>
      <c r="B319" s="15" t="n"/>
      <c r="C319" s="13" t="n"/>
      <c r="D319" s="13" t="n"/>
      <c r="E319" s="5">
        <f>IF(AND(A319="",B319="",C319="",D319=""),"",IF(OR(A319="",B319=""),"БЛОК: нужны и дата, и сумма",IF(B319&lt;=0,"БЛОК: сумма должна быть больше нуля",IF(D319="","БЛОК: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вас",IF(COUNTIF(Акты!$B$5:$B$16,D319)=0,"БЛОК: такого акта нет на листе «Акты» — добавьте акт или исправьте идентификатор",IF(NOT(ISNUMBER(INDEX(Акты!$E$5:$E$16,MATCH(D319,Акты!$B$5:$B$16,0)))),"БЛОК: у этого акта на листе «Акты» не указан первый день просрочки",IF(A319&lt;INDEX(Акты!$E$5:$E$16,MATCH(D319,Акты!$B$5:$B$16,0)),"БЛОК: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сюда",IF(A319&gt;Ввод!$B$4,"БЛОК: оплата после последнего дня расчёта — продлите расчёт или уберите строку","ок"))))))))</f>
        <v/>
      </c>
    </row>
    <row r="320">
      <c r="A320" s="10" t="n"/>
      <c r="B320" s="15" t="n"/>
      <c r="C320" s="13" t="n"/>
      <c r="D320" s="13" t="n"/>
      <c r="E320" s="5">
        <f>IF(AND(A320="",B320="",C320="",D320=""),"",IF(OR(A320="",B320=""),"БЛОК: нужны и дата, и сумма",IF(B320&lt;=0,"БЛОК: сумма должна быть больше нуля",IF(D320="","БЛОК: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вас",IF(COUNTIF(Акты!$B$5:$B$16,D320)=0,"БЛОК: такого акта нет на листе «Акты» — добавьте акт или исправьте идентификатор",IF(NOT(ISNUMBER(INDEX(Акты!$E$5:$E$16,MATCH(D320,Акты!$B$5:$B$16,0)))),"БЛОК: у этого акта на листе «Акты» не указан первый день просрочки",IF(A320&lt;INDEX(Акты!$E$5:$E$16,MATCH(D320,Акты!$B$5:$B$16,0)),"БЛОК: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сюда",IF(A320&gt;Ввод!$B$4,"БЛОК: оплата после последнего дня расчёта — продлите расчёт или уберите строку","ок"))))))))</f>
        <v/>
      </c>
    </row>
    <row r="321">
      <c r="A321" s="10" t="n"/>
      <c r="B321" s="15" t="n"/>
      <c r="C321" s="13" t="n"/>
      <c r="D321" s="13" t="n"/>
      <c r="E321" s="5">
        <f>IF(AND(A321="",B321="",C321="",D321=""),"",IF(OR(A321="",B321=""),"БЛОК: нужны и дата, и сумма",IF(B321&lt;=0,"БЛОК: сумма должна быть больше нуля",IF(D321="","БЛОК: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вас",IF(COUNTIF(Акты!$B$5:$B$16,D321)=0,"БЛОК: такого акта нет на листе «Акты» — добавьте акт или исправьте идентификатор",IF(NOT(ISNUMBER(INDEX(Акты!$E$5:$E$16,MATCH(D321,Акты!$B$5:$B$16,0)))),"БЛОК: у этого акта на листе «Акты» не указан первый день просрочки",IF(A321&lt;INDEX(Акты!$E$5:$E$16,MATCH(D321,Акты!$B$5:$B$16,0)),"БЛОК: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сюда",IF(A321&gt;Ввод!$B$4,"БЛОК: оплата после последнего дня расчёта — продлите расчёт или уберите строку","ок"))))))))</f>
        <v/>
      </c>
    </row>
    <row r="322">
      <c r="A322" s="10" t="n"/>
      <c r="B322" s="15" t="n"/>
      <c r="C322" s="13" t="n"/>
      <c r="D322" s="13" t="n"/>
      <c r="E322" s="5">
        <f>IF(AND(A322="",B322="",C322="",D322=""),"",IF(OR(A322="",B322=""),"БЛОК: нужны и дата, и сумма",IF(B322&lt;=0,"БЛОК: сумма должна быть больше нуля",IF(D322="","БЛОК: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вас",IF(COUNTIF(Акты!$B$5:$B$16,D322)=0,"БЛОК: такого акта нет на листе «Акты» — добавьте акт или исправьте идентификатор",IF(NOT(ISNUMBER(INDEX(Акты!$E$5:$E$16,MATCH(D322,Акты!$B$5:$B$16,0)))),"БЛОК: у этого акта на листе «Акты» не указан первый день просрочки",IF(A322&lt;INDEX(Акты!$E$5:$E$16,MATCH(D322,Акты!$B$5:$B$16,0)),"БЛОК: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сюда",IF(A322&gt;Ввод!$B$4,"БЛОК: оплата после последнего дня расчёта — продлите расчёт или уберите строку","ок"))))))))</f>
        <v/>
      </c>
    </row>
    <row r="323">
      <c r="A323" s="10" t="n"/>
      <c r="B323" s="15" t="n"/>
      <c r="C323" s="13" t="n"/>
      <c r="D323" s="13" t="n"/>
      <c r="E323" s="5">
        <f>IF(AND(A323="",B323="",C323="",D323=""),"",IF(OR(A323="",B323=""),"БЛОК: нужны и дата, и сумма",IF(B323&lt;=0,"БЛОК: сумма должна быть больше нуля",IF(D323="","БЛОК: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вас",IF(COUNTIF(Акты!$B$5:$B$16,D323)=0,"БЛОК: такого акта нет на листе «Акты» — добавьте акт или исправьте идентификатор",IF(NOT(ISNUMBER(INDEX(Акты!$E$5:$E$16,MATCH(D323,Акты!$B$5:$B$16,0)))),"БЛОК: у этого акта на листе «Акты» не указан первый день просрочки",IF(A323&lt;INDEX(Акты!$E$5:$E$16,MATCH(D323,Акты!$B$5:$B$16,0)),"БЛОК: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сюда",IF(A323&gt;Ввод!$B$4,"БЛОК: оплата после последнего дня расчёта — продлите расчёт или уберите строку","ок"))))))))</f>
        <v/>
      </c>
    </row>
    <row r="324">
      <c r="A324" s="10" t="n"/>
      <c r="B324" s="15" t="n"/>
      <c r="C324" s="13" t="n"/>
      <c r="D324" s="13" t="n"/>
      <c r="E324" s="5">
        <f>IF(AND(A324="",B324="",C324="",D324=""),"",IF(OR(A324="",B324=""),"БЛОК: нужны и дата, и сумма",IF(B324&lt;=0,"БЛОК: сумма должна быть больше нуля",IF(D324="","БЛОК: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вас",IF(COUNTIF(Акты!$B$5:$B$16,D324)=0,"БЛОК: такого акта нет на листе «Акты» — добавьте акт или исправьте идентификатор",IF(NOT(ISNUMBER(INDEX(Акты!$E$5:$E$16,MATCH(D324,Акты!$B$5:$B$16,0)))),"БЛОК: у этого акта на листе «Акты» не указан первый день просрочки",IF(A324&lt;INDEX(Акты!$E$5:$E$16,MATCH(D324,Акты!$B$5:$B$16,0)),"БЛОК: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сюда",IF(A324&gt;Ввод!$B$4,"БЛОК: оплата после последнего дня расчёта — продлите расчёт или уберите строку","ок"))))))))</f>
        <v/>
      </c>
    </row>
    <row r="325">
      <c r="A325" s="10" t="n"/>
      <c r="B325" s="15" t="n"/>
      <c r="C325" s="13" t="n"/>
      <c r="D325" s="13" t="n"/>
      <c r="E325" s="5">
        <f>IF(AND(A325="",B325="",C325="",D325=""),"",IF(OR(A325="",B325=""),"БЛОК: нужны и дата, и сумма",IF(B325&lt;=0,"БЛОК: сумма должна быть больше нуля",IF(D325="","БЛОК: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вас",IF(COUNTIF(Акты!$B$5:$B$16,D325)=0,"БЛОК: такого акта нет на листе «Акты» — добавьте акт или исправьте идентификатор",IF(NOT(ISNUMBER(INDEX(Акты!$E$5:$E$16,MATCH(D325,Акты!$B$5:$B$16,0)))),"БЛОК: у этого акта на листе «Акты» не указан первый день просрочки",IF(A325&lt;INDEX(Акты!$E$5:$E$16,MATCH(D325,Акты!$B$5:$B$16,0)),"БЛОК: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сюда",IF(A325&gt;Ввод!$B$4,"БЛОК: оплата после последнего дня расчёта — продлите расчёт или уберите строку","ок"))))))))</f>
        <v/>
      </c>
    </row>
    <row r="326">
      <c r="A326" s="10" t="n"/>
      <c r="B326" s="15" t="n"/>
      <c r="C326" s="13" t="n"/>
      <c r="D326" s="13" t="n"/>
      <c r="E326" s="5">
        <f>IF(AND(A326="",B326="",C326="",D326=""),"",IF(OR(A326="",B326=""),"БЛОК: нужны и дата, и сумма",IF(B326&lt;=0,"БЛОК: сумма должна быть больше нуля",IF(D326="","БЛОК: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вас",IF(COUNTIF(Акты!$B$5:$B$16,D326)=0,"БЛОК: такого акта нет на листе «Акты» — добавьте акт или исправьте идентификатор",IF(NOT(ISNUMBER(INDEX(Акты!$E$5:$E$16,MATCH(D326,Акты!$B$5:$B$16,0)))),"БЛОК: у этого акта на листе «Акты» не указан первый день просрочки",IF(A326&lt;INDEX(Акты!$E$5:$E$16,MATCH(D326,Акты!$B$5:$B$16,0)),"БЛОК: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сюда",IF(A326&gt;Ввод!$B$4,"БЛОК: оплата после последнего дня расчёта — продлите расчёт или уберите строку","ок"))))))))</f>
        <v/>
      </c>
    </row>
    <row r="327">
      <c r="A327" s="10" t="n"/>
      <c r="B327" s="15" t="n"/>
      <c r="C327" s="13" t="n"/>
      <c r="D327" s="13" t="n"/>
      <c r="E327" s="5">
        <f>IF(AND(A327="",B327="",C327="",D327=""),"",IF(OR(A327="",B327=""),"БЛОК: нужны и дата, и сумма",IF(B327&lt;=0,"БЛОК: сумма должна быть больше нуля",IF(D327="","БЛОК: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вас",IF(COUNTIF(Акты!$B$5:$B$16,D327)=0,"БЛОК: такого акта нет на листе «Акты» — добавьте акт или исправьте идентификатор",IF(NOT(ISNUMBER(INDEX(Акты!$E$5:$E$16,MATCH(D327,Акты!$B$5:$B$16,0)))),"БЛОК: у этого акта на листе «Акты» не указан первый день просрочки",IF(A327&lt;INDEX(Акты!$E$5:$E$16,MATCH(D327,Акты!$B$5:$B$16,0)),"БЛОК: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сюда",IF(A327&gt;Ввод!$B$4,"БЛОК: оплата после последнего дня расчёта — продлите расчёт или уберите строку","ок"))))))))</f>
        <v/>
      </c>
    </row>
    <row r="328">
      <c r="A328" s="10" t="n"/>
      <c r="B328" s="15" t="n"/>
      <c r="C328" s="13" t="n"/>
      <c r="D328" s="13" t="n"/>
      <c r="E328" s="5">
        <f>IF(AND(A328="",B328="",C328="",D328=""),"",IF(OR(A328="",B328=""),"БЛОК: нужны и дата, и сумма",IF(B328&lt;=0,"БЛОК: сумма должна быть больше нуля",IF(D328="","БЛОК: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вас",IF(COUNTIF(Акты!$B$5:$B$16,D328)=0,"БЛОК: такого акта нет на листе «Акты» — добавьте акт или исправьте идентификатор",IF(NOT(ISNUMBER(INDEX(Акты!$E$5:$E$16,MATCH(D328,Акты!$B$5:$B$16,0)))),"БЛОК: у этого акта на листе «Акты» не указан первый день просрочки",IF(A328&lt;INDEX(Акты!$E$5:$E$16,MATCH(D328,Акты!$B$5:$B$16,0)),"БЛОК: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сюда",IF(A328&gt;Ввод!$B$4,"БЛОК: оплата после последнего дня расчёта — продлите расчёт или уберите строку","ок"))))))))</f>
        <v/>
      </c>
    </row>
    <row r="329">
      <c r="A329" s="10" t="n"/>
      <c r="B329" s="15" t="n"/>
      <c r="C329" s="13" t="n"/>
      <c r="D329" s="13" t="n"/>
      <c r="E329" s="5">
        <f>IF(AND(A329="",B329="",C329="",D329=""),"",IF(OR(A329="",B329=""),"БЛОК: нужны и дата, и сумма",IF(B329&lt;=0,"БЛОК: сумма должна быть больше нуля",IF(D329="","БЛОК: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вас",IF(COUNTIF(Акты!$B$5:$B$16,D329)=0,"БЛОК: такого акта нет на листе «Акты» — добавьте акт или исправьте идентификатор",IF(NOT(ISNUMBER(INDEX(Акты!$E$5:$E$16,MATCH(D329,Акты!$B$5:$B$16,0)))),"БЛОК: у этого акта на листе «Акты» не указан первый день просрочки",IF(A329&lt;INDEX(Акты!$E$5:$E$16,MATCH(D329,Акты!$B$5:$B$16,0)),"БЛОК: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сюда",IF(A329&gt;Ввод!$B$4,"БЛОК: оплата после последнего дня расчёта — продлите расчёт или уберите строку","ок"))))))))</f>
        <v/>
      </c>
    </row>
    <row r="330">
      <c r="A330" s="10" t="n"/>
      <c r="B330" s="15" t="n"/>
      <c r="C330" s="13" t="n"/>
      <c r="D330" s="13" t="n"/>
      <c r="E330" s="5">
        <f>IF(AND(A330="",B330="",C330="",D330=""),"",IF(OR(A330="",B330=""),"БЛОК: нужны и дата, и сумма",IF(B330&lt;=0,"БЛОК: сумма должна быть больше нуля",IF(D330="","БЛОК: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вас",IF(COUNTIF(Акты!$B$5:$B$16,D330)=0,"БЛОК: такого акта нет на листе «Акты» — добавьте акт или исправьте идентификатор",IF(NOT(ISNUMBER(INDEX(Акты!$E$5:$E$16,MATCH(D330,Акты!$B$5:$B$16,0)))),"БЛОК: у этого акта на листе «Акты» не указан первый день просрочки",IF(A330&lt;INDEX(Акты!$E$5:$E$16,MATCH(D330,Акты!$B$5:$B$16,0)),"БЛОК: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сюда",IF(A330&gt;Ввод!$B$4,"БЛОК: оплата после последнего дня расчёта — продлите расчёт или уберите строку","ок"))))))))</f>
        <v/>
      </c>
    </row>
    <row r="331">
      <c r="A331" s="10" t="n"/>
      <c r="B331" s="15" t="n"/>
      <c r="C331" s="13" t="n"/>
      <c r="D331" s="13" t="n"/>
      <c r="E331" s="5">
        <f>IF(AND(A331="",B331="",C331="",D331=""),"",IF(OR(A331="",B331=""),"БЛОК: нужны и дата, и сумма",IF(B331&lt;=0,"БЛОК: сумма должна быть больше нуля",IF(D331="","БЛОК: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вас",IF(COUNTIF(Акты!$B$5:$B$16,D331)=0,"БЛОК: такого акта нет на листе «Акты» — добавьте акт или исправьте идентификатор",IF(NOT(ISNUMBER(INDEX(Акты!$E$5:$E$16,MATCH(D331,Акты!$B$5:$B$16,0)))),"БЛОК: у этого акта на листе «Акты» не указан первый день просрочки",IF(A331&lt;INDEX(Акты!$E$5:$E$16,MATCH(D331,Акты!$B$5:$B$16,0)),"БЛОК: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сюда",IF(A331&gt;Ввод!$B$4,"БЛОК: оплата после последнего дня расчёта — продлите расчёт или уберите строку","ок"))))))))</f>
        <v/>
      </c>
    </row>
    <row r="332">
      <c r="A332" s="10" t="n"/>
      <c r="B332" s="15" t="n"/>
      <c r="C332" s="13" t="n"/>
      <c r="D332" s="13" t="n"/>
      <c r="E332" s="5">
        <f>IF(AND(A332="",B332="",C332="",D332=""),"",IF(OR(A332="",B332=""),"БЛОК: нужны и дата, и сумма",IF(B332&lt;=0,"БЛОК: сумма должна быть больше нуля",IF(D332="","БЛОК: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вас",IF(COUNTIF(Акты!$B$5:$B$16,D332)=0,"БЛОК: такого акта нет на листе «Акты» — добавьте акт или исправьте идентификатор",IF(NOT(ISNUMBER(INDEX(Акты!$E$5:$E$16,MATCH(D332,Акты!$B$5:$B$16,0)))),"БЛОК: у этого акта на листе «Акты» не указан первый день просрочки",IF(A332&lt;INDEX(Акты!$E$5:$E$16,MATCH(D332,Акты!$B$5:$B$16,0)),"БЛОК: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сюда",IF(A332&gt;Ввод!$B$4,"БЛОК: оплата после последнего дня расчёта — продлите расчёт или уберите строку","ок"))))))))</f>
        <v/>
      </c>
    </row>
    <row r="333">
      <c r="A333" s="10" t="n"/>
      <c r="B333" s="15" t="n"/>
      <c r="C333" s="13" t="n"/>
      <c r="D333" s="13" t="n"/>
      <c r="E333" s="5">
        <f>IF(AND(A333="",B333="",C333="",D333=""),"",IF(OR(A333="",B333=""),"БЛОК: нужны и дата, и сумма",IF(B333&lt;=0,"БЛОК: сумма должна быть больше нуля",IF(D333="","БЛОК: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вас",IF(COUNTIF(Акты!$B$5:$B$16,D333)=0,"БЛОК: такого акта нет на листе «Акты» — добавьте акт или исправьте идентификатор",IF(NOT(ISNUMBER(INDEX(Акты!$E$5:$E$16,MATCH(D333,Акты!$B$5:$B$16,0)))),"БЛОК: у этого акта на листе «Акты» не указан первый день просрочки",IF(A333&lt;INDEX(Акты!$E$5:$E$16,MATCH(D333,Акты!$B$5:$B$16,0)),"БЛОК: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сюда",IF(A333&gt;Ввод!$B$4,"БЛОК: оплата после последнего дня расчёта — продлите расчёт или уберите строку","ок"))))))))</f>
        <v/>
      </c>
    </row>
    <row r="334">
      <c r="A334" s="10" t="n"/>
      <c r="B334" s="15" t="n"/>
      <c r="C334" s="13" t="n"/>
      <c r="D334" s="13" t="n"/>
      <c r="E334" s="5">
        <f>IF(AND(A334="",B334="",C334="",D334=""),"",IF(OR(A334="",B334=""),"БЛОК: нужны и дата, и сумма",IF(B334&lt;=0,"БЛОК: сумма должна быть больше нуля",IF(D334="","БЛОК: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вас",IF(COUNTIF(Акты!$B$5:$B$16,D334)=0,"БЛОК: такого акта нет на листе «Акты» — добавьте акт или исправьте идентификатор",IF(NOT(ISNUMBER(INDEX(Акты!$E$5:$E$16,MATCH(D334,Акты!$B$5:$B$16,0)))),"БЛОК: у этого акта на листе «Акты» не указан первый день просрочки",IF(A334&lt;INDEX(Акты!$E$5:$E$16,MATCH(D334,Акты!$B$5:$B$16,0)),"БЛОК: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сюда",IF(A334&gt;Ввод!$B$4,"БЛОК: оплата после последнего дня расчёта — продлите расчёт или уберите строку","ок"))))))))</f>
        <v/>
      </c>
    </row>
    <row r="335">
      <c r="A335" s="10" t="n"/>
      <c r="B335" s="15" t="n"/>
      <c r="C335" s="13" t="n"/>
      <c r="D335" s="13" t="n"/>
      <c r="E335" s="5">
        <f>IF(AND(A335="",B335="",C335="",D335=""),"",IF(OR(A335="",B335=""),"БЛОК: нужны и дата, и сумма",IF(B335&lt;=0,"БЛОК: сумма должна быть больше нуля",IF(D335="","БЛОК: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вас",IF(COUNTIF(Акты!$B$5:$B$16,D335)=0,"БЛОК: такого акта нет на листе «Акты» — добавьте акт или исправьте идентификатор",IF(NOT(ISNUMBER(INDEX(Акты!$E$5:$E$16,MATCH(D335,Акты!$B$5:$B$16,0)))),"БЛОК: у этого акта на листе «Акты» не указан первый день просрочки",IF(A335&lt;INDEX(Акты!$E$5:$E$16,MATCH(D335,Акты!$B$5:$B$16,0)),"БЛОК: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сюда",IF(A335&gt;Ввод!$B$4,"БЛОК: оплата после последнего дня расчёта — продлите расчёт или уберите строку","ок"))))))))</f>
        <v/>
      </c>
    </row>
    <row r="336">
      <c r="A336" s="10" t="n"/>
      <c r="B336" s="15" t="n"/>
      <c r="C336" s="13" t="n"/>
      <c r="D336" s="13" t="n"/>
      <c r="E336" s="5">
        <f>IF(AND(A336="",B336="",C336="",D336=""),"",IF(OR(A336="",B336=""),"БЛОК: нужны и дата, и сумма",IF(B336&lt;=0,"БЛОК: сумма должна быть больше нуля",IF(D336="","БЛОК: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вас",IF(COUNTIF(Акты!$B$5:$B$16,D336)=0,"БЛОК: такого акта нет на листе «Акты» — добавьте акт или исправьте идентификатор",IF(NOT(ISNUMBER(INDEX(Акты!$E$5:$E$16,MATCH(D336,Акты!$B$5:$B$16,0)))),"БЛОК: у этого акта на листе «Акты» не указан первый день просрочки",IF(A336&lt;INDEX(Акты!$E$5:$E$16,MATCH(D336,Акты!$B$5:$B$16,0)),"БЛОК: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сюда",IF(A336&gt;Ввод!$B$4,"БЛОК: оплата после последнего дня расчёта — продлите расчёт или уберите строку","ок"))))))))</f>
        <v/>
      </c>
    </row>
    <row r="337">
      <c r="A337" s="10" t="n"/>
      <c r="B337" s="15" t="n"/>
      <c r="C337" s="13" t="n"/>
      <c r="D337" s="13" t="n"/>
      <c r="E337" s="5">
        <f>IF(AND(A337="",B337="",C337="",D337=""),"",IF(OR(A337="",B337=""),"БЛОК: нужны и дата, и сумма",IF(B337&lt;=0,"БЛОК: сумма должна быть больше нуля",IF(D337="","БЛОК: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вас",IF(COUNTIF(Акты!$B$5:$B$16,D337)=0,"БЛОК: такого акта нет на листе «Акты» — добавьте акт или исправьте идентификатор",IF(NOT(ISNUMBER(INDEX(Акты!$E$5:$E$16,MATCH(D337,Акты!$B$5:$B$16,0)))),"БЛОК: у этого акта на листе «Акты» не указан первый день просрочки",IF(A337&lt;INDEX(Акты!$E$5:$E$16,MATCH(D337,Акты!$B$5:$B$16,0)),"БЛОК: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сюда",IF(A337&gt;Ввод!$B$4,"БЛОК: оплата после последнего дня расчёта — продлите расчёт или уберите строку","ок"))))))))</f>
        <v/>
      </c>
    </row>
    <row r="338">
      <c r="A338" s="10" t="n"/>
      <c r="B338" s="15" t="n"/>
      <c r="C338" s="13" t="n"/>
      <c r="D338" s="13" t="n"/>
      <c r="E338" s="5">
        <f>IF(AND(A338="",B338="",C338="",D338=""),"",IF(OR(A338="",B338=""),"БЛОК: нужны и дата, и сумма",IF(B338&lt;=0,"БЛОК: сумма должна быть больше нуля",IF(D338="","БЛОК: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вас",IF(COUNTIF(Акты!$B$5:$B$16,D338)=0,"БЛОК: такого акта нет на листе «Акты» — добавьте акт или исправьте идентификатор",IF(NOT(ISNUMBER(INDEX(Акты!$E$5:$E$16,MATCH(D338,Акты!$B$5:$B$16,0)))),"БЛОК: у этого акта на листе «Акты» не указан первый день просрочки",IF(A338&lt;INDEX(Акты!$E$5:$E$16,MATCH(D338,Акты!$B$5:$B$16,0)),"БЛОК: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сюда",IF(A338&gt;Ввод!$B$4,"БЛОК: оплата после последнего дня расчёта — продлите расчёт или уберите строку","ок"))))))))</f>
        <v/>
      </c>
    </row>
    <row r="339">
      <c r="A339" s="10" t="n"/>
      <c r="B339" s="15" t="n"/>
      <c r="C339" s="13" t="n"/>
      <c r="D339" s="13" t="n"/>
      <c r="E339" s="5">
        <f>IF(AND(A339="",B339="",C339="",D339=""),"",IF(OR(A339="",B339=""),"БЛОК: нужны и дата, и сумма",IF(B339&lt;=0,"БЛОК: сумма должна быть больше нуля",IF(D339="","БЛОК: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вас",IF(COUNTIF(Акты!$B$5:$B$16,D339)=0,"БЛОК: такого акта нет на листе «Акты» — добавьте акт или исправьте идентификатор",IF(NOT(ISNUMBER(INDEX(Акты!$E$5:$E$16,MATCH(D339,Акты!$B$5:$B$16,0)))),"БЛОК: у этого акта на листе «Акты» не указан первый день просрочки",IF(A339&lt;INDEX(Акты!$E$5:$E$16,MATCH(D339,Акты!$B$5:$B$16,0)),"БЛОК: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сюда",IF(A339&gt;Ввод!$B$4,"БЛОК: оплата после последнего дня расчёта — продлите расчёт или уберите строку","ок"))))))))</f>
        <v/>
      </c>
    </row>
    <row r="340">
      <c r="A340" s="10" t="n"/>
      <c r="B340" s="15" t="n"/>
      <c r="C340" s="13" t="n"/>
      <c r="D340" s="13" t="n"/>
      <c r="E340" s="5">
        <f>IF(AND(A340="",B340="",C340="",D340=""),"",IF(OR(A340="",B340=""),"БЛОК: нужны и дата, и сумма",IF(B340&lt;=0,"БЛОК: сумма должна быть больше нуля",IF(D340="","БЛОК: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вас",IF(COUNTIF(Акты!$B$5:$B$16,D340)=0,"БЛОК: такого акта нет на листе «Акты» — добавьте акт или исправьте идентификатор",IF(NOT(ISNUMBER(INDEX(Акты!$E$5:$E$16,MATCH(D340,Акты!$B$5:$B$16,0)))),"БЛОК: у этого акта на листе «Акты» не указан первый день просрочки",IF(A340&lt;INDEX(Акты!$E$5:$E$16,MATCH(D340,Акты!$B$5:$B$16,0)),"БЛОК: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сюда",IF(A340&gt;Ввод!$B$4,"БЛОК: оплата после последнего дня расчёта — продлите расчёт или уберите строку","ок"))))))))</f>
        <v/>
      </c>
    </row>
    <row r="341">
      <c r="A341" s="10" t="n"/>
      <c r="B341" s="15" t="n"/>
      <c r="C341" s="13" t="n"/>
      <c r="D341" s="13" t="n"/>
      <c r="E341" s="5">
        <f>IF(AND(A341="",B341="",C341="",D341=""),"",IF(OR(A341="",B341=""),"БЛОК: нужны и дата, и сумма",IF(B341&lt;=0,"БЛОК: сумма должна быть больше нуля",IF(D341="","БЛОК: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вас",IF(COUNTIF(Акты!$B$5:$B$16,D341)=0,"БЛОК: такого акта нет на листе «Акты» — добавьте акт или исправьте идентификатор",IF(NOT(ISNUMBER(INDEX(Акты!$E$5:$E$16,MATCH(D341,Акты!$B$5:$B$16,0)))),"БЛОК: у этого акта на листе «Акты» не указан первый день просрочки",IF(A341&lt;INDEX(Акты!$E$5:$E$16,MATCH(D341,Акты!$B$5:$B$16,0)),"БЛОК: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сюда",IF(A341&gt;Ввод!$B$4,"БЛОК: оплата после последнего дня расчёта — продлите расчёт или уберите строку","ок"))))))))</f>
        <v/>
      </c>
    </row>
    <row r="342">
      <c r="A342" s="10" t="n"/>
      <c r="B342" s="15" t="n"/>
      <c r="C342" s="13" t="n"/>
      <c r="D342" s="13" t="n"/>
      <c r="E342" s="5">
        <f>IF(AND(A342="",B342="",C342="",D342=""),"",IF(OR(A342="",B342=""),"БЛОК: нужны и дата, и сумма",IF(B342&lt;=0,"БЛОК: сумма должна быть больше нуля",IF(D342="","БЛОК: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вас",IF(COUNTIF(Акты!$B$5:$B$16,D342)=0,"БЛОК: такого акта нет на листе «Акты» — добавьте акт или исправьте идентификатор",IF(NOT(ISNUMBER(INDEX(Акты!$E$5:$E$16,MATCH(D342,Акты!$B$5:$B$16,0)))),"БЛОК: у этого акта на листе «Акты» не указан первый день просрочки",IF(A342&lt;INDEX(Акты!$E$5:$E$16,MATCH(D342,Акты!$B$5:$B$16,0)),"БЛОК: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сюда",IF(A342&gt;Ввод!$B$4,"БЛОК: оплата после последнего дня расчёта — продлите расчёт или уберите строку","ок"))))))))</f>
        <v/>
      </c>
    </row>
    <row r="343">
      <c r="A343" s="10" t="n"/>
      <c r="B343" s="15" t="n"/>
      <c r="C343" s="13" t="n"/>
      <c r="D343" s="13" t="n"/>
      <c r="E343" s="5">
        <f>IF(AND(A343="",B343="",C343="",D343=""),"",IF(OR(A343="",B343=""),"БЛОК: нужны и дата, и сумма",IF(B343&lt;=0,"БЛОК: сумма должна быть больше нуля",IF(D343="","БЛОК: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вас",IF(COUNTIF(Акты!$B$5:$B$16,D343)=0,"БЛОК: такого акта нет на листе «Акты» — добавьте акт или исправьте идентификатор",IF(NOT(ISNUMBER(INDEX(Акты!$E$5:$E$16,MATCH(D343,Акты!$B$5:$B$16,0)))),"БЛОК: у этого акта на листе «Акты» не указан первый день просрочки",IF(A343&lt;INDEX(Акты!$E$5:$E$16,MATCH(D343,Акты!$B$5:$B$16,0)),"БЛОК: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сюда",IF(A343&gt;Ввод!$B$4,"БЛОК: оплата после последнего дня расчёта — продлите расчёт или уберите строку","ок"))))))))</f>
        <v/>
      </c>
    </row>
    <row r="344">
      <c r="A344" s="10" t="n"/>
      <c r="B344" s="15" t="n"/>
      <c r="C344" s="13" t="n"/>
      <c r="D344" s="13" t="n"/>
      <c r="E344" s="5">
        <f>IF(AND(A344="",B344="",C344="",D344=""),"",IF(OR(A344="",B344=""),"БЛОК: нужны и дата, и сумма",IF(B344&lt;=0,"БЛОК: сумма должна быть больше нуля",IF(D344="","БЛОК: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вас",IF(COUNTIF(Акты!$B$5:$B$16,D344)=0,"БЛОК: такого акта нет на листе «Акты» — добавьте акт или исправьте идентификатор",IF(NOT(ISNUMBER(INDEX(Акты!$E$5:$E$16,MATCH(D344,Акты!$B$5:$B$16,0)))),"БЛОК: у этого акта на листе «Акты» не указан первый день просрочки",IF(A344&lt;INDEX(Акты!$E$5:$E$16,MATCH(D344,Акты!$B$5:$B$16,0)),"БЛОК: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сюда",IF(A344&gt;Ввод!$B$4,"БЛОК: оплата после последнего дня расчёта — продлите расчёт или уберите строку","ок"))))))))</f>
        <v/>
      </c>
    </row>
    <row r="345">
      <c r="A345" s="10" t="n"/>
      <c r="B345" s="15" t="n"/>
      <c r="C345" s="13" t="n"/>
      <c r="D345" s="13" t="n"/>
      <c r="E345" s="5">
        <f>IF(AND(A345="",B345="",C345="",D345=""),"",IF(OR(A345="",B345=""),"БЛОК: нужны и дата, и сумма",IF(B345&lt;=0,"БЛОК: сумма должна быть больше нуля",IF(D345="","БЛОК: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вас",IF(COUNTIF(Акты!$B$5:$B$16,D345)=0,"БЛОК: такого акта нет на листе «Акты» — добавьте акт или исправьте идентификатор",IF(NOT(ISNUMBER(INDEX(Акты!$E$5:$E$16,MATCH(D345,Акты!$B$5:$B$16,0)))),"БЛОК: у этого акта на листе «Акты» не указан первый день просрочки",IF(A345&lt;INDEX(Акты!$E$5:$E$16,MATCH(D345,Акты!$B$5:$B$16,0)),"БЛОК: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сюда",IF(A345&gt;Ввод!$B$4,"БЛОК: оплата после последнего дня расчёта — продлите расчёт или уберите строку","ок"))))))))</f>
        <v/>
      </c>
    </row>
    <row r="346">
      <c r="A346" s="10" t="n"/>
      <c r="B346" s="15" t="n"/>
      <c r="C346" s="13" t="n"/>
      <c r="D346" s="13" t="n"/>
      <c r="E346" s="5">
        <f>IF(AND(A346="",B346="",C346="",D346=""),"",IF(OR(A346="",B346=""),"БЛОК: нужны и дата, и сумма",IF(B346&lt;=0,"БЛОК: сумма должна быть больше нуля",IF(D346="","БЛОК: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вас",IF(COUNTIF(Акты!$B$5:$B$16,D346)=0,"БЛОК: такого акта нет на листе «Акты» — добавьте акт или исправьте идентификатор",IF(NOT(ISNUMBER(INDEX(Акты!$E$5:$E$16,MATCH(D346,Акты!$B$5:$B$16,0)))),"БЛОК: у этого акта на листе «Акты» не указан первый день просрочки",IF(A346&lt;INDEX(Акты!$E$5:$E$16,MATCH(D346,Акты!$B$5:$B$16,0)),"БЛОК: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сюда",IF(A346&gt;Ввод!$B$4,"БЛОК: оплата после последнего дня расчёта — продлите расчёт или уберите строку","ок"))))))))</f>
        <v/>
      </c>
    </row>
    <row r="347">
      <c r="A347" s="10" t="n"/>
      <c r="B347" s="15" t="n"/>
      <c r="C347" s="13" t="n"/>
      <c r="D347" s="13" t="n"/>
      <c r="E347" s="5">
        <f>IF(AND(A347="",B347="",C347="",D347=""),"",IF(OR(A347="",B347=""),"БЛОК: нужны и дата, и сумма",IF(B347&lt;=0,"БЛОК: сумма должна быть больше нуля",IF(D347="","БЛОК: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вас",IF(COUNTIF(Акты!$B$5:$B$16,D347)=0,"БЛОК: такого акта нет на листе «Акты» — добавьте акт или исправьте идентификатор",IF(NOT(ISNUMBER(INDEX(Акты!$E$5:$E$16,MATCH(D347,Акты!$B$5:$B$16,0)))),"БЛОК: у этого акта на листе «Акты» не указан первый день просрочки",IF(A347&lt;INDEX(Акты!$E$5:$E$16,MATCH(D347,Акты!$B$5:$B$16,0)),"БЛОК: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сюда",IF(A347&gt;Ввод!$B$4,"БЛОК: оплата после последнего дня расчёта — продлите расчёт или уберите строку","ок"))))))))</f>
        <v/>
      </c>
    </row>
    <row r="348">
      <c r="A348" s="10" t="n"/>
      <c r="B348" s="15" t="n"/>
      <c r="C348" s="13" t="n"/>
      <c r="D348" s="13" t="n"/>
      <c r="E348" s="5">
        <f>IF(AND(A348="",B348="",C348="",D348=""),"",IF(OR(A348="",B348=""),"БЛОК: нужны и дата, и сумма",IF(B348&lt;=0,"БЛОК: сумма должна быть больше нуля",IF(D348="","БЛОК: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вас",IF(COUNTIF(Акты!$B$5:$B$16,D348)=0,"БЛОК: такого акта нет на листе «Акты» — добавьте акт или исправьте идентификатор",IF(NOT(ISNUMBER(INDEX(Акты!$E$5:$E$16,MATCH(D348,Акты!$B$5:$B$16,0)))),"БЛОК: у этого акта на листе «Акты» не указан первый день просрочки",IF(A348&lt;INDEX(Акты!$E$5:$E$16,MATCH(D348,Акты!$B$5:$B$16,0)),"БЛОК: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сюда",IF(A348&gt;Ввод!$B$4,"БЛОК: оплата после последнего дня расчёта — продлите расчёт или уберите строку","ок"))))))))</f>
        <v/>
      </c>
    </row>
    <row r="349">
      <c r="A349" s="10" t="n"/>
      <c r="B349" s="15" t="n"/>
      <c r="C349" s="13" t="n"/>
      <c r="D349" s="13" t="n"/>
      <c r="E349" s="5">
        <f>IF(AND(A349="",B349="",C349="",D349=""),"",IF(OR(A349="",B349=""),"БЛОК: нужны и дата, и сумма",IF(B349&lt;=0,"БЛОК: сумма должна быть больше нуля",IF(D349="","БЛОК: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вас",IF(COUNTIF(Акты!$B$5:$B$16,D349)=0,"БЛОК: такого акта нет на листе «Акты» — добавьте акт или исправьте идентификатор",IF(NOT(ISNUMBER(INDEX(Акты!$E$5:$E$16,MATCH(D349,Акты!$B$5:$B$16,0)))),"БЛОК: у этого акта на листе «Акты» не указан первый день просрочки",IF(A349&lt;INDEX(Акты!$E$5:$E$16,MATCH(D349,Акты!$B$5:$B$16,0)),"БЛОК: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сюда",IF(A349&gt;Ввод!$B$4,"БЛОК: оплата после последнего дня расчёта — продлите расчёт или уберите строку","ок"))))))))</f>
        <v/>
      </c>
    </row>
    <row r="350">
      <c r="A350" s="10" t="n"/>
      <c r="B350" s="15" t="n"/>
      <c r="C350" s="13" t="n"/>
      <c r="D350" s="13" t="n"/>
      <c r="E350" s="5">
        <f>IF(AND(A350="",B350="",C350="",D350=""),"",IF(OR(A350="",B350=""),"БЛОК: нужны и дата, и сумма",IF(B350&lt;=0,"БЛОК: сумма должна быть больше нуля",IF(D350="","БЛОК: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вас",IF(COUNTIF(Акты!$B$5:$B$16,D350)=0,"БЛОК: такого акта нет на листе «Акты» — добавьте акт или исправьте идентификатор",IF(NOT(ISNUMBER(INDEX(Акты!$E$5:$E$16,MATCH(D350,Акты!$B$5:$B$16,0)))),"БЛОК: у этого акта на листе «Акты» не указан первый день просрочки",IF(A350&lt;INDEX(Акты!$E$5:$E$16,MATCH(D350,Акты!$B$5:$B$16,0)),"БЛОК: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сюда",IF(A350&gt;Ввод!$B$4,"БЛОК: оплата после последнего дня расчёта — продлите расчёт или уберите строку","ок"))))))))</f>
        <v/>
      </c>
    </row>
    <row r="351">
      <c r="A351" s="10" t="n"/>
      <c r="B351" s="15" t="n"/>
      <c r="C351" s="13" t="n"/>
      <c r="D351" s="13" t="n"/>
      <c r="E351" s="5">
        <f>IF(AND(A351="",B351="",C351="",D351=""),"",IF(OR(A351="",B351=""),"БЛОК: нужны и дата, и сумма",IF(B351&lt;=0,"БЛОК: сумма должна быть больше нуля",IF(D351="","БЛОК: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вас",IF(COUNTIF(Акты!$B$5:$B$16,D351)=0,"БЛОК: такого акта нет на листе «Акты» — добавьте акт или исправьте идентификатор",IF(NOT(ISNUMBER(INDEX(Акты!$E$5:$E$16,MATCH(D351,Акты!$B$5:$B$16,0)))),"БЛОК: у этого акта на листе «Акты» не указан первый день просрочки",IF(A351&lt;INDEX(Акты!$E$5:$E$16,MATCH(D351,Акты!$B$5:$B$16,0)),"БЛОК: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сюда",IF(A351&gt;Ввод!$B$4,"БЛОК: оплата после последнего дня расчёта — продлите расчёт или уберите строку","ок"))))))))</f>
        <v/>
      </c>
    </row>
    <row r="352">
      <c r="A352" s="10" t="n"/>
      <c r="B352" s="15" t="n"/>
      <c r="C352" s="13" t="n"/>
      <c r="D352" s="13" t="n"/>
      <c r="E352" s="5">
        <f>IF(AND(A352="",B352="",C352="",D352=""),"",IF(OR(A352="",B352=""),"БЛОК: нужны и дата, и сумма",IF(B352&lt;=0,"БЛОК: сумма должна быть больше нуля",IF(D352="","БЛОК: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вас",IF(COUNTIF(Акты!$B$5:$B$16,D352)=0,"БЛОК: такого акта нет на листе «Акты» — добавьте акт или исправьте идентификатор",IF(NOT(ISNUMBER(INDEX(Акты!$E$5:$E$16,MATCH(D352,Акты!$B$5:$B$16,0)))),"БЛОК: у этого акта на листе «Акты» не указан первый день просрочки",IF(A352&lt;INDEX(Акты!$E$5:$E$16,MATCH(D352,Акты!$B$5:$B$16,0)),"БЛОК: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сюда",IF(A352&gt;Ввод!$B$4,"БЛОК: оплата после последнего дня расчёта — продлите расчёт или уберите строку","ок"))))))))</f>
        <v/>
      </c>
    </row>
    <row r="353">
      <c r="A353" s="10" t="n"/>
      <c r="B353" s="15" t="n"/>
      <c r="C353" s="13" t="n"/>
      <c r="D353" s="13" t="n"/>
      <c r="E353" s="5">
        <f>IF(AND(A353="",B353="",C353="",D353=""),"",IF(OR(A353="",B353=""),"БЛОК: нужны и дата, и сумма",IF(B353&lt;=0,"БЛОК: сумма должна быть больше нуля",IF(D353="","БЛОК: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вас",IF(COUNTIF(Акты!$B$5:$B$16,D353)=0,"БЛОК: такого акта нет на листе «Акты» — добавьте акт или исправьте идентификатор",IF(NOT(ISNUMBER(INDEX(Акты!$E$5:$E$16,MATCH(D353,Акты!$B$5:$B$16,0)))),"БЛОК: у этого акта на листе «Акты» не указан первый день просрочки",IF(A353&lt;INDEX(Акты!$E$5:$E$16,MATCH(D353,Акты!$B$5:$B$16,0)),"БЛОК: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сюда",IF(A353&gt;Ввод!$B$4,"БЛОК: оплата после последнего дня расчёта — продлите расчёт или уберите строку","ок"))))))))</f>
        <v/>
      </c>
    </row>
    <row r="354">
      <c r="A354" s="10" t="n"/>
      <c r="B354" s="15" t="n"/>
      <c r="C354" s="13" t="n"/>
      <c r="D354" s="13" t="n"/>
      <c r="E354" s="5">
        <f>IF(AND(A354="",B354="",C354="",D354=""),"",IF(OR(A354="",B354=""),"БЛОК: нужны и дата, и сумма",IF(B354&lt;=0,"БЛОК: сумма должна быть больше нуля",IF(D354="","БЛОК: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вас",IF(COUNTIF(Акты!$B$5:$B$16,D354)=0,"БЛОК: такого акта нет на листе «Акты» — добавьте акт или исправьте идентификатор",IF(NOT(ISNUMBER(INDEX(Акты!$E$5:$E$16,MATCH(D354,Акты!$B$5:$B$16,0)))),"БЛОК: у этого акта на листе «Акты» не указан первый день просрочки",IF(A354&lt;INDEX(Акты!$E$5:$E$16,MATCH(D354,Акты!$B$5:$B$16,0)),"БЛОК: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сюда",IF(A354&gt;Ввод!$B$4,"БЛОК: оплата после последнего дня расчёта — продлите расчёт или уберите строку","ок"))))))))</f>
        <v/>
      </c>
    </row>
    <row r="355">
      <c r="A355" s="10" t="n"/>
      <c r="B355" s="15" t="n"/>
      <c r="C355" s="13" t="n"/>
      <c r="D355" s="13" t="n"/>
      <c r="E355" s="5">
        <f>IF(AND(A355="",B355="",C355="",D355=""),"",IF(OR(A355="",B355=""),"БЛОК: нужны и дата, и сумма",IF(B355&lt;=0,"БЛОК: сумма должна быть больше нуля",IF(D355="","БЛОК: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вас",IF(COUNTIF(Акты!$B$5:$B$16,D355)=0,"БЛОК: такого акта нет на листе «Акты» — добавьте акт или исправьте идентификатор",IF(NOT(ISNUMBER(INDEX(Акты!$E$5:$E$16,MATCH(D355,Акты!$B$5:$B$16,0)))),"БЛОК: у этого акта на листе «Акты» не указан первый день просрочки",IF(A355&lt;INDEX(Акты!$E$5:$E$16,MATCH(D355,Акты!$B$5:$B$16,0)),"БЛОК: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сюда",IF(A355&gt;Ввод!$B$4,"БЛОК: оплата после последнего дня расчёта — продлите расчёт или уберите строку","ок"))))))))</f>
        <v/>
      </c>
    </row>
    <row r="356">
      <c r="A356" s="10" t="n"/>
      <c r="B356" s="15" t="n"/>
      <c r="C356" s="13" t="n"/>
      <c r="D356" s="13" t="n"/>
      <c r="E356" s="5">
        <f>IF(AND(A356="",B356="",C356="",D356=""),"",IF(OR(A356="",B356=""),"БЛОК: нужны и дата, и сумма",IF(B356&lt;=0,"БЛОК: сумма должна быть больше нуля",IF(D356="","БЛОК: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вас",IF(COUNTIF(Акты!$B$5:$B$16,D356)=0,"БЛОК: такого акта нет на листе «Акты» — добавьте акт или исправьте идентификатор",IF(NOT(ISNUMBER(INDEX(Акты!$E$5:$E$16,MATCH(D356,Акты!$B$5:$B$16,0)))),"БЛОК: у этого акта на листе «Акты» не указан первый день просрочки",IF(A356&lt;INDEX(Акты!$E$5:$E$16,MATCH(D356,Акты!$B$5:$B$16,0)),"БЛОК: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сюда",IF(A356&gt;Ввод!$B$4,"БЛОК: оплата после последнего дня расчёта — продлите расчёт или уберите строку","ок"))))))))</f>
        <v/>
      </c>
    </row>
    <row r="357">
      <c r="A357" s="10" t="n"/>
      <c r="B357" s="15" t="n"/>
      <c r="C357" s="13" t="n"/>
      <c r="D357" s="13" t="n"/>
      <c r="E357" s="5">
        <f>IF(AND(A357="",B357="",C357="",D357=""),"",IF(OR(A357="",B357=""),"БЛОК: нужны и дата, и сумма",IF(B357&lt;=0,"БЛОК: сумма должна быть больше нуля",IF(D357="","БЛОК: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вас",IF(COUNTIF(Акты!$B$5:$B$16,D357)=0,"БЛОК: такого акта нет на листе «Акты» — добавьте акт или исправьте идентификатор",IF(NOT(ISNUMBER(INDEX(Акты!$E$5:$E$16,MATCH(D357,Акты!$B$5:$B$16,0)))),"БЛОК: у этого акта на листе «Акты» не указан первый день просрочки",IF(A357&lt;INDEX(Акты!$E$5:$E$16,MATCH(D357,Акты!$B$5:$B$16,0)),"БЛОК: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сюда",IF(A357&gt;Ввод!$B$4,"БЛОК: оплата после последнего дня расчёта — продлите расчёт или уберите строку","ок"))))))))</f>
        <v/>
      </c>
    </row>
    <row r="358">
      <c r="A358" s="10" t="n"/>
      <c r="B358" s="15" t="n"/>
      <c r="C358" s="13" t="n"/>
      <c r="D358" s="13" t="n"/>
      <c r="E358" s="5">
        <f>IF(AND(A358="",B358="",C358="",D358=""),"",IF(OR(A358="",B358=""),"БЛОК: нужны и дата, и сумма",IF(B358&lt;=0,"БЛОК: сумма должна быть больше нуля",IF(D358="","БЛОК: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вас",IF(COUNTIF(Акты!$B$5:$B$16,D358)=0,"БЛОК: такого акта нет на листе «Акты» — добавьте акт или исправьте идентификатор",IF(NOT(ISNUMBER(INDEX(Акты!$E$5:$E$16,MATCH(D358,Акты!$B$5:$B$16,0)))),"БЛОК: у этого акта на листе «Акты» не указан первый день просрочки",IF(A358&lt;INDEX(Акты!$E$5:$E$16,MATCH(D358,Акты!$B$5:$B$16,0)),"БЛОК: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сюда",IF(A358&gt;Ввод!$B$4,"БЛОК: оплата после последнего дня расчёта — продлите расчёт или уберите строку","ок"))))))))</f>
        <v/>
      </c>
    </row>
    <row r="359">
      <c r="A359" s="10" t="n"/>
      <c r="B359" s="15" t="n"/>
      <c r="C359" s="13" t="n"/>
      <c r="D359" s="13" t="n"/>
      <c r="E359" s="5">
        <f>IF(AND(A359="",B359="",C359="",D359=""),"",IF(OR(A359="",B359=""),"БЛОК: нужны и дата, и сумма",IF(B359&lt;=0,"БЛОК: сумма должна быть больше нуля",IF(D359="","БЛОК: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вас",IF(COUNTIF(Акты!$B$5:$B$16,D359)=0,"БЛОК: такого акта нет на листе «Акты» — добавьте акт или исправьте идентификатор",IF(NOT(ISNUMBER(INDEX(Акты!$E$5:$E$16,MATCH(D359,Акты!$B$5:$B$16,0)))),"БЛОК: у этого акта на листе «Акты» не указан первый день просрочки",IF(A359&lt;INDEX(Акты!$E$5:$E$16,MATCH(D359,Акты!$B$5:$B$16,0)),"БЛОК: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сюда",IF(A359&gt;Ввод!$B$4,"БЛОК: оплата после последнего дня расчёта — продлите расчёт или уберите строку","ок"))))))))</f>
        <v/>
      </c>
    </row>
    <row r="360">
      <c r="A360" s="10" t="n"/>
      <c r="B360" s="15" t="n"/>
      <c r="C360" s="13" t="n"/>
      <c r="D360" s="13" t="n"/>
      <c r="E360" s="5">
        <f>IF(AND(A360="",B360="",C360="",D360=""),"",IF(OR(A360="",B360=""),"БЛОК: нужны и дата, и сумма",IF(B360&lt;=0,"БЛОК: сумма должна быть больше нуля",IF(D360="","БЛОК: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вас",IF(COUNTIF(Акты!$B$5:$B$16,D360)=0,"БЛОК: такого акта нет на листе «Акты» — добавьте акт или исправьте идентификатор",IF(NOT(ISNUMBER(INDEX(Акты!$E$5:$E$16,MATCH(D360,Акты!$B$5:$B$16,0)))),"БЛОК: у этого акта на листе «Акты» не указан первый день просрочки",IF(A360&lt;INDEX(Акты!$E$5:$E$16,MATCH(D360,Акты!$B$5:$B$16,0)),"БЛОК: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сюда",IF(A360&gt;Ввод!$B$4,"БЛОК: оплата после последнего дня расчёта — продлите расчёт или уберите строку","ок"))))))))</f>
        <v/>
      </c>
    </row>
    <row r="361">
      <c r="A361" s="10" t="n"/>
      <c r="B361" s="15" t="n"/>
      <c r="C361" s="13" t="n"/>
      <c r="D361" s="13" t="n"/>
      <c r="E361" s="5">
        <f>IF(AND(A361="",B361="",C361="",D361=""),"",IF(OR(A361="",B361=""),"БЛОК: нужны и дата, и сумма",IF(B361&lt;=0,"БЛОК: сумма должна быть больше нуля",IF(D361="","БЛОК: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вас",IF(COUNTIF(Акты!$B$5:$B$16,D361)=0,"БЛОК: такого акта нет на листе «Акты» — добавьте акт или исправьте идентификатор",IF(NOT(ISNUMBER(INDEX(Акты!$E$5:$E$16,MATCH(D361,Акты!$B$5:$B$16,0)))),"БЛОК: у этого акта на листе «Акты» не указан первый день просрочки",IF(A361&lt;INDEX(Акты!$E$5:$E$16,MATCH(D361,Акты!$B$5:$B$16,0)),"БЛОК: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сюда",IF(A361&gt;Ввод!$B$4,"БЛОК: оплата после последнего дня расчёта — продлите расчёт или уберите строку","ок"))))))))</f>
        <v/>
      </c>
    </row>
    <row r="362">
      <c r="A362" s="10" t="n"/>
      <c r="B362" s="15" t="n"/>
      <c r="C362" s="13" t="n"/>
      <c r="D362" s="13" t="n"/>
      <c r="E362" s="5">
        <f>IF(AND(A362="",B362="",C362="",D362=""),"",IF(OR(A362="",B362=""),"БЛОК: нужны и дата, и сумма",IF(B362&lt;=0,"БЛОК: сумма должна быть больше нуля",IF(D362="","БЛОК: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вас",IF(COUNTIF(Акты!$B$5:$B$16,D362)=0,"БЛОК: такого акта нет на листе «Акты» — добавьте акт или исправьте идентификатор",IF(NOT(ISNUMBER(INDEX(Акты!$E$5:$E$16,MATCH(D362,Акты!$B$5:$B$16,0)))),"БЛОК: у этого акта на листе «Акты» не указан первый день просрочки",IF(A362&lt;INDEX(Акты!$E$5:$E$16,MATCH(D362,Акты!$B$5:$B$16,0)),"БЛОК: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сюда",IF(A362&gt;Ввод!$B$4,"БЛОК: оплата после последнего дня расчёта — продлите расчёт или уберите строку","ок"))))))))</f>
        <v/>
      </c>
    </row>
    <row r="363">
      <c r="A363" s="10" t="n"/>
      <c r="B363" s="15" t="n"/>
      <c r="C363" s="13" t="n"/>
      <c r="D363" s="13" t="n"/>
      <c r="E363" s="5">
        <f>IF(AND(A363="",B363="",C363="",D363=""),"",IF(OR(A363="",B363=""),"БЛОК: нужны и дата, и сумма",IF(B363&lt;=0,"БЛОК: сумма должна быть больше нуля",IF(D363="","БЛОК: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вас",IF(COUNTIF(Акты!$B$5:$B$16,D363)=0,"БЛОК: такого акта нет на листе «Акты» — добавьте акт или исправьте идентификатор",IF(NOT(ISNUMBER(INDEX(Акты!$E$5:$E$16,MATCH(D363,Акты!$B$5:$B$16,0)))),"БЛОК: у этого акта на листе «Акты» не указан первый день просрочки",IF(A363&lt;INDEX(Акты!$E$5:$E$16,MATCH(D363,Акты!$B$5:$B$16,0)),"БЛОК: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сюда",IF(A363&gt;Ввод!$B$4,"БЛОК: оплата после последнего дня расчёта — продлите расчёт или уберите строку","ок"))))))))</f>
        <v/>
      </c>
    </row>
    <row r="364">
      <c r="A364" s="10" t="n"/>
      <c r="B364" s="15" t="n"/>
      <c r="C364" s="13" t="n"/>
      <c r="D364" s="13" t="n"/>
      <c r="E364" s="5">
        <f>IF(AND(A364="",B364="",C364="",D364=""),"",IF(OR(A364="",B364=""),"БЛОК: нужны и дата, и сумма",IF(B364&lt;=0,"БЛОК: сумма должна быть больше нуля",IF(D364="","БЛОК: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вас",IF(COUNTIF(Акты!$B$5:$B$16,D364)=0,"БЛОК: такого акта нет на листе «Акты» — добавьте акт или исправьте идентификатор",IF(NOT(ISNUMBER(INDEX(Акты!$E$5:$E$16,MATCH(D364,Акты!$B$5:$B$16,0)))),"БЛОК: у этого акта на листе «Акты» не указан первый день просрочки",IF(A364&lt;INDEX(Акты!$E$5:$E$16,MATCH(D364,Акты!$B$5:$B$16,0)),"БЛОК: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сюда",IF(A364&gt;Ввод!$B$4,"БЛОК: оплата после последнего дня расчёта — продлите расчёт или уберите строку","ок"))))))))</f>
        <v/>
      </c>
    </row>
    <row r="365">
      <c r="A365" s="10" t="n"/>
      <c r="B365" s="15" t="n"/>
      <c r="C365" s="13" t="n"/>
      <c r="D365" s="13" t="n"/>
      <c r="E365" s="5">
        <f>IF(AND(A365="",B365="",C365="",D365=""),"",IF(OR(A365="",B365=""),"БЛОК: нужны и дата, и сумма",IF(B365&lt;=0,"БЛОК: сумма должна быть больше нуля",IF(D365="","БЛОК: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вас",IF(COUNTIF(Акты!$B$5:$B$16,D365)=0,"БЛОК: такого акта нет на листе «Акты» — добавьте акт или исправьте идентификатор",IF(NOT(ISNUMBER(INDEX(Акты!$E$5:$E$16,MATCH(D365,Акты!$B$5:$B$16,0)))),"БЛОК: у этого акта на листе «Акты» не указан первый день просрочки",IF(A365&lt;INDEX(Акты!$E$5:$E$16,MATCH(D365,Акты!$B$5:$B$16,0)),"БЛОК: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сюда",IF(A365&gt;Ввод!$B$4,"БЛОК: оплата после последнего дня расчёта — продлите расчёт или уберите строку","ок"))))))))</f>
        <v/>
      </c>
    </row>
    <row r="366">
      <c r="A366" s="10" t="n"/>
      <c r="B366" s="15" t="n"/>
      <c r="C366" s="13" t="n"/>
      <c r="D366" s="13" t="n"/>
      <c r="E366" s="5">
        <f>IF(AND(A366="",B366="",C366="",D366=""),"",IF(OR(A366="",B366=""),"БЛОК: нужны и дата, и сумма",IF(B366&lt;=0,"БЛОК: сумма должна быть больше нуля",IF(D366="","БЛОК: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вас",IF(COUNTIF(Акты!$B$5:$B$16,D366)=0,"БЛОК: такого акта нет на листе «Акты» — добавьте акт или исправьте идентификатор",IF(NOT(ISNUMBER(INDEX(Акты!$E$5:$E$16,MATCH(D366,Акты!$B$5:$B$16,0)))),"БЛОК: у этого акта на листе «Акты» не указан первый день просрочки",IF(A366&lt;INDEX(Акты!$E$5:$E$16,MATCH(D366,Акты!$B$5:$B$16,0)),"БЛОК: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сюда",IF(A366&gt;Ввод!$B$4,"БЛОК: оплата после последнего дня расчёта — продлите расчёт или уберите строку","ок"))))))))</f>
        <v/>
      </c>
    </row>
    <row r="367">
      <c r="A367" s="10" t="n"/>
      <c r="B367" s="15" t="n"/>
      <c r="C367" s="13" t="n"/>
      <c r="D367" s="13" t="n"/>
      <c r="E367" s="5">
        <f>IF(AND(A367="",B367="",C367="",D367=""),"",IF(OR(A367="",B367=""),"БЛОК: нужны и дата, и сумма",IF(B367&lt;=0,"БЛОК: сумма должна быть больше нуля",IF(D367="","БЛОК: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вас",IF(COUNTIF(Акты!$B$5:$B$16,D367)=0,"БЛОК: такого акта нет на листе «Акты» — добавьте акт или исправьте идентификатор",IF(NOT(ISNUMBER(INDEX(Акты!$E$5:$E$16,MATCH(D367,Акты!$B$5:$B$16,0)))),"БЛОК: у этого акта на листе «Акты» не указан первый день просрочки",IF(A367&lt;INDEX(Акты!$E$5:$E$16,MATCH(D367,Акты!$B$5:$B$16,0)),"БЛОК: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сюда",IF(A367&gt;Ввод!$B$4,"БЛОК: оплата после последнего дня расчёта — продлите расчёт или уберите строку","ок"))))))))</f>
        <v/>
      </c>
    </row>
    <row r="368">
      <c r="A368" s="10" t="n"/>
      <c r="B368" s="15" t="n"/>
      <c r="C368" s="13" t="n"/>
      <c r="D368" s="13" t="n"/>
      <c r="E368" s="5">
        <f>IF(AND(A368="",B368="",C368="",D368=""),"",IF(OR(A368="",B368=""),"БЛОК: нужны и дата, и сумма",IF(B368&lt;=0,"БЛОК: сумма должна быть больше нуля",IF(D368="","БЛОК: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вас",IF(COUNTIF(Акты!$B$5:$B$16,D368)=0,"БЛОК: такого акта нет на листе «Акты» — добавьте акт или исправьте идентификатор",IF(NOT(ISNUMBER(INDEX(Акты!$E$5:$E$16,MATCH(D368,Акты!$B$5:$B$16,0)))),"БЛОК: у этого акта на листе «Акты» не указан первый день просрочки",IF(A368&lt;INDEX(Акты!$E$5:$E$16,MATCH(D368,Акты!$B$5:$B$16,0)),"БЛОК: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сюда",IF(A368&gt;Ввод!$B$4,"БЛОК: оплата после последнего дня расчёта — продлите расчёт или уберите строку","ок"))))))))</f>
        <v/>
      </c>
    </row>
    <row r="369">
      <c r="A369" s="10" t="n"/>
      <c r="B369" s="15" t="n"/>
      <c r="C369" s="13" t="n"/>
      <c r="D369" s="13" t="n"/>
      <c r="E369" s="5">
        <f>IF(AND(A369="",B369="",C369="",D369=""),"",IF(OR(A369="",B369=""),"БЛОК: нужны и дата, и сумма",IF(B369&lt;=0,"БЛОК: сумма должна быть больше нуля",IF(D369="","БЛОК: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вас",IF(COUNTIF(Акты!$B$5:$B$16,D369)=0,"БЛОК: такого акта нет на листе «Акты» — добавьте акт или исправьте идентификатор",IF(NOT(ISNUMBER(INDEX(Акты!$E$5:$E$16,MATCH(D369,Акты!$B$5:$B$16,0)))),"БЛОК: у этого акта на листе «Акты» не указан первый день просрочки",IF(A369&lt;INDEX(Акты!$E$5:$E$16,MATCH(D369,Акты!$B$5:$B$16,0)),"БЛОК: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сюда",IF(A369&gt;Ввод!$B$4,"БЛОК: оплата после последнего дня расчёта — продлите расчёт или уберите строку","ок"))))))))</f>
        <v/>
      </c>
    </row>
    <row r="370">
      <c r="A370" s="10" t="n"/>
      <c r="B370" s="15" t="n"/>
      <c r="C370" s="13" t="n"/>
      <c r="D370" s="13" t="n"/>
      <c r="E370" s="5">
        <f>IF(AND(A370="",B370="",C370="",D370=""),"",IF(OR(A370="",B370=""),"БЛОК: нужны и дата, и сумма",IF(B370&lt;=0,"БЛОК: сумма должна быть больше нуля",IF(D370="","БЛОК: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вас",IF(COUNTIF(Акты!$B$5:$B$16,D370)=0,"БЛОК: такого акта нет на листе «Акты» — добавьте акт или исправьте идентификатор",IF(NOT(ISNUMBER(INDEX(Акты!$E$5:$E$16,MATCH(D370,Акты!$B$5:$B$16,0)))),"БЛОК: у этого акта на листе «Акты» не указан первый день просрочки",IF(A370&lt;INDEX(Акты!$E$5:$E$16,MATCH(D370,Акты!$B$5:$B$16,0)),"БЛОК: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сюда",IF(A370&gt;Ввод!$B$4,"БЛОК: оплата после последнего дня расчёта — продлите расчёт или уберите строку","ок"))))))))</f>
        <v/>
      </c>
    </row>
    <row r="371">
      <c r="A371" s="10" t="n"/>
      <c r="B371" s="15" t="n"/>
      <c r="C371" s="13" t="n"/>
      <c r="D371" s="13" t="n"/>
      <c r="E371" s="5">
        <f>IF(AND(A371="",B371="",C371="",D371=""),"",IF(OR(A371="",B371=""),"БЛОК: нужны и дата, и сумма",IF(B371&lt;=0,"БЛОК: сумма должна быть больше нуля",IF(D371="","БЛОК: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вас",IF(COUNTIF(Акты!$B$5:$B$16,D371)=0,"БЛОК: такого акта нет на листе «Акты» — добавьте акт или исправьте идентификатор",IF(NOT(ISNUMBER(INDEX(Акты!$E$5:$E$16,MATCH(D371,Акты!$B$5:$B$16,0)))),"БЛОК: у этого акта на листе «Акты» не указан первый день просрочки",IF(A371&lt;INDEX(Акты!$E$5:$E$16,MATCH(D371,Акты!$B$5:$B$16,0)),"БЛОК: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сюда",IF(A371&gt;Ввод!$B$4,"БЛОК: оплата после последнего дня расчёта — продлите расчёт или уберите строку","ок"))))))))</f>
        <v/>
      </c>
    </row>
    <row r="372">
      <c r="A372" s="10" t="n"/>
      <c r="B372" s="15" t="n"/>
      <c r="C372" s="13" t="n"/>
      <c r="D372" s="13" t="n"/>
      <c r="E372" s="5">
        <f>IF(AND(A372="",B372="",C372="",D372=""),"",IF(OR(A372="",B372=""),"БЛОК: нужны и дата, и сумма",IF(B372&lt;=0,"БЛОК: сумма должна быть больше нуля",IF(D372="","БЛОК: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вас",IF(COUNTIF(Акты!$B$5:$B$16,D372)=0,"БЛОК: такого акта нет на листе «Акты» — добавьте акт или исправьте идентификатор",IF(NOT(ISNUMBER(INDEX(Акты!$E$5:$E$16,MATCH(D372,Акты!$B$5:$B$16,0)))),"БЛОК: у этого акта на листе «Акты» не указан первый день просрочки",IF(A372&lt;INDEX(Акты!$E$5:$E$16,MATCH(D372,Акты!$B$5:$B$16,0)),"БЛОК: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сюда",IF(A372&gt;Ввод!$B$4,"БЛОК: оплата после последнего дня расчёта — продлите расчёт или уберите строку","ок"))))))))</f>
        <v/>
      </c>
    </row>
    <row r="373">
      <c r="A373" s="10" t="n"/>
      <c r="B373" s="15" t="n"/>
      <c r="C373" s="13" t="n"/>
      <c r="D373" s="13" t="n"/>
      <c r="E373" s="5">
        <f>IF(AND(A373="",B373="",C373="",D373=""),"",IF(OR(A373="",B373=""),"БЛОК: нужны и дата, и сумма",IF(B373&lt;=0,"БЛОК: сумма должна быть больше нуля",IF(D373="","БЛОК: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вас",IF(COUNTIF(Акты!$B$5:$B$16,D373)=0,"БЛОК: такого акта нет на листе «Акты» — добавьте акт или исправьте идентификатор",IF(NOT(ISNUMBER(INDEX(Акты!$E$5:$E$16,MATCH(D373,Акты!$B$5:$B$16,0)))),"БЛОК: у этого акта на листе «Акты» не указан первый день просрочки",IF(A373&lt;INDEX(Акты!$E$5:$E$16,MATCH(D373,Акты!$B$5:$B$16,0)),"БЛОК: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сюда",IF(A373&gt;Ввод!$B$4,"БЛОК: оплата после последнего дня расчёта — продлите расчёт или уберите строку","ок"))))))))</f>
        <v/>
      </c>
    </row>
    <row r="374">
      <c r="A374" s="10" t="n"/>
      <c r="B374" s="15" t="n"/>
      <c r="C374" s="13" t="n"/>
      <c r="D374" s="13" t="n"/>
      <c r="E374" s="5">
        <f>IF(AND(A374="",B374="",C374="",D374=""),"",IF(OR(A374="",B374=""),"БЛОК: нужны и дата, и сумма",IF(B374&lt;=0,"БЛОК: сумма должна быть больше нуля",IF(D374="","БЛОК: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вас",IF(COUNTIF(Акты!$B$5:$B$16,D374)=0,"БЛОК: такого акта нет на листе «Акты» — добавьте акт или исправьте идентификатор",IF(NOT(ISNUMBER(INDEX(Акты!$E$5:$E$16,MATCH(D374,Акты!$B$5:$B$16,0)))),"БЛОК: у этого акта на листе «Акты» не указан первый день просрочки",IF(A374&lt;INDEX(Акты!$E$5:$E$16,MATCH(D374,Акты!$B$5:$B$16,0)),"БЛОК: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сюда",IF(A374&gt;Ввод!$B$4,"БЛОК: оплата после последнего дня расчёта — продлите расчёт или уберите строку","ок"))))))))</f>
        <v/>
      </c>
    </row>
    <row r="375">
      <c r="A375" s="10" t="n"/>
      <c r="B375" s="15" t="n"/>
      <c r="C375" s="13" t="n"/>
      <c r="D375" s="13" t="n"/>
      <c r="E375" s="5">
        <f>IF(AND(A375="",B375="",C375="",D375=""),"",IF(OR(A375="",B375=""),"БЛОК: нужны и дата, и сумма",IF(B375&lt;=0,"БЛОК: сумма должна быть больше нуля",IF(D375="","БЛОК: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вас",IF(COUNTIF(Акты!$B$5:$B$16,D375)=0,"БЛОК: такого акта нет на листе «Акты» — добавьте акт или исправьте идентификатор",IF(NOT(ISNUMBER(INDEX(Акты!$E$5:$E$16,MATCH(D375,Акты!$B$5:$B$16,0)))),"БЛОК: у этого акта на листе «Акты» не указан первый день просрочки",IF(A375&lt;INDEX(Акты!$E$5:$E$16,MATCH(D375,Акты!$B$5:$B$16,0)),"БЛОК: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сюда",IF(A375&gt;Ввод!$B$4,"БЛОК: оплата после последнего дня расчёта — продлите расчёт или уберите строку","ок"))))))))</f>
        <v/>
      </c>
    </row>
    <row r="376">
      <c r="A376" s="10" t="n"/>
      <c r="B376" s="15" t="n"/>
      <c r="C376" s="13" t="n"/>
      <c r="D376" s="13" t="n"/>
      <c r="E376" s="5">
        <f>IF(AND(A376="",B376="",C376="",D376=""),"",IF(OR(A376="",B376=""),"БЛОК: нужны и дата, и сумма",IF(B376&lt;=0,"БЛОК: сумма должна быть больше нуля",IF(D376="","БЛОК: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вас",IF(COUNTIF(Акты!$B$5:$B$16,D376)=0,"БЛОК: такого акта нет на листе «Акты» — добавьте акт или исправьте идентификатор",IF(NOT(ISNUMBER(INDEX(Акты!$E$5:$E$16,MATCH(D376,Акты!$B$5:$B$16,0)))),"БЛОК: у этого акта на листе «Акты» не указан первый день просрочки",IF(A376&lt;INDEX(Акты!$E$5:$E$16,MATCH(D376,Акты!$B$5:$B$16,0)),"БЛОК: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сюда",IF(A376&gt;Ввод!$B$4,"БЛОК: оплата после последнего дня расчёта — продлите расчёт или уберите строку","ок"))))))))</f>
        <v/>
      </c>
    </row>
    <row r="377">
      <c r="A377" s="10" t="n"/>
      <c r="B377" s="15" t="n"/>
      <c r="C377" s="13" t="n"/>
      <c r="D377" s="13" t="n"/>
      <c r="E377" s="5">
        <f>IF(AND(A377="",B377="",C377="",D377=""),"",IF(OR(A377="",B377=""),"БЛОК: нужны и дата, и сумма",IF(B377&lt;=0,"БЛОК: сумма должна быть больше нуля",IF(D377="","БЛОК: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вас",IF(COUNTIF(Акты!$B$5:$B$16,D377)=0,"БЛОК: такого акта нет на листе «Акты» — добавьте акт или исправьте идентификатор",IF(NOT(ISNUMBER(INDEX(Акты!$E$5:$E$16,MATCH(D377,Акты!$B$5:$B$16,0)))),"БЛОК: у этого акта на листе «Акты» не указан первый день просрочки",IF(A377&lt;INDEX(Акты!$E$5:$E$16,MATCH(D377,Акты!$B$5:$B$16,0)),"БЛОК: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сюда",IF(A377&gt;Ввод!$B$4,"БЛОК: оплата после последнего дня расчёта — продлите расчёт или уберите строку","ок"))))))))</f>
        <v/>
      </c>
    </row>
    <row r="378">
      <c r="A378" s="10" t="n"/>
      <c r="B378" s="15" t="n"/>
      <c r="C378" s="13" t="n"/>
      <c r="D378" s="13" t="n"/>
      <c r="E378" s="5">
        <f>IF(AND(A378="",B378="",C378="",D378=""),"",IF(OR(A378="",B378=""),"БЛОК: нужны и дата, и сумма",IF(B378&lt;=0,"БЛОК: сумма должна быть больше нуля",IF(D378="","БЛОК: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вас",IF(COUNTIF(Акты!$B$5:$B$16,D378)=0,"БЛОК: такого акта нет на листе «Акты» — добавьте акт или исправьте идентификатор",IF(NOT(ISNUMBER(INDEX(Акты!$E$5:$E$16,MATCH(D378,Акты!$B$5:$B$16,0)))),"БЛОК: у этого акта на листе «Акты» не указан первый день просрочки",IF(A378&lt;INDEX(Акты!$E$5:$E$16,MATCH(D378,Акты!$B$5:$B$16,0)),"БЛОК: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сюда",IF(A378&gt;Ввод!$B$4,"БЛОК: оплата после последнего дня расчёта — продлите расчёт или уберите строку","ок"))))))))</f>
        <v/>
      </c>
    </row>
    <row r="379">
      <c r="A379" s="10" t="n"/>
      <c r="B379" s="15" t="n"/>
      <c r="C379" s="13" t="n"/>
      <c r="D379" s="13" t="n"/>
      <c r="E379" s="5">
        <f>IF(AND(A379="",B379="",C379="",D379=""),"",IF(OR(A379="",B379=""),"БЛОК: нужны и дата, и сумма",IF(B379&lt;=0,"БЛОК: сумма должна быть больше нуля",IF(D379="","БЛОК: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вас",IF(COUNTIF(Акты!$B$5:$B$16,D379)=0,"БЛОК: такого акта нет на листе «Акты» — добавьте акт или исправьте идентификатор",IF(NOT(ISNUMBER(INDEX(Акты!$E$5:$E$16,MATCH(D379,Акты!$B$5:$B$16,0)))),"БЛОК: у этого акта на листе «Акты» не указан первый день просрочки",IF(A379&lt;INDEX(Акты!$E$5:$E$16,MATCH(D379,Акты!$B$5:$B$16,0)),"БЛОК: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сюда",IF(A379&gt;Ввод!$B$4,"БЛОК: оплата после последнего дня расчёта — продлите расчёт или уберите строку","ок"))))))))</f>
        <v/>
      </c>
    </row>
    <row r="380">
      <c r="A380" s="10" t="n"/>
      <c r="B380" s="15" t="n"/>
      <c r="C380" s="13" t="n"/>
      <c r="D380" s="13" t="n"/>
      <c r="E380" s="5">
        <f>IF(AND(A380="",B380="",C380="",D380=""),"",IF(OR(A380="",B380=""),"БЛОК: нужны и дата, и сумма",IF(B380&lt;=0,"БЛОК: сумма должна быть больше нуля",IF(D380="","БЛОК: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вас",IF(COUNTIF(Акты!$B$5:$B$16,D380)=0,"БЛОК: такого акта нет на листе «Акты» — добавьте акт или исправьте идентификатор",IF(NOT(ISNUMBER(INDEX(Акты!$E$5:$E$16,MATCH(D380,Акты!$B$5:$B$16,0)))),"БЛОК: у этого акта на листе «Акты» не указан первый день просрочки",IF(A380&lt;INDEX(Акты!$E$5:$E$16,MATCH(D380,Акты!$B$5:$B$16,0)),"БЛОК: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сюда",IF(A380&gt;Ввод!$B$4,"БЛОК: оплата после последнего дня расчёта — продлите расчёт или уберите строку","ок"))))))))</f>
        <v/>
      </c>
    </row>
    <row r="381">
      <c r="A381" s="10" t="n"/>
      <c r="B381" s="15" t="n"/>
      <c r="C381" s="13" t="n"/>
      <c r="D381" s="13" t="n"/>
      <c r="E381" s="5">
        <f>IF(AND(A381="",B381="",C381="",D381=""),"",IF(OR(A381="",B381=""),"БЛОК: нужны и дата, и сумма",IF(B381&lt;=0,"БЛОК: сумма должна быть больше нуля",IF(D381="","БЛОК: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вас",IF(COUNTIF(Акты!$B$5:$B$16,D381)=0,"БЛОК: такого акта нет на листе «Акты» — добавьте акт или исправьте идентификатор",IF(NOT(ISNUMBER(INDEX(Акты!$E$5:$E$16,MATCH(D381,Акты!$B$5:$B$16,0)))),"БЛОК: у этого акта на листе «Акты» не указан первый день просрочки",IF(A381&lt;INDEX(Акты!$E$5:$E$16,MATCH(D381,Акты!$B$5:$B$16,0)),"БЛОК: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сюда",IF(A381&gt;Ввод!$B$4,"БЛОК: оплата после последнего дня расчёта — продлите расчёт или уберите строку","ок"))))))))</f>
        <v/>
      </c>
    </row>
    <row r="382">
      <c r="A382" s="10" t="n"/>
      <c r="B382" s="15" t="n"/>
      <c r="C382" s="13" t="n"/>
      <c r="D382" s="13" t="n"/>
      <c r="E382" s="5">
        <f>IF(AND(A382="",B382="",C382="",D382=""),"",IF(OR(A382="",B382=""),"БЛОК: нужны и дата, и сумма",IF(B382&lt;=0,"БЛОК: сумма должна быть больше нуля",IF(D382="","БЛОК: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вас",IF(COUNTIF(Акты!$B$5:$B$16,D382)=0,"БЛОК: такого акта нет на листе «Акты» — добавьте акт или исправьте идентификатор",IF(NOT(ISNUMBER(INDEX(Акты!$E$5:$E$16,MATCH(D382,Акты!$B$5:$B$16,0)))),"БЛОК: у этого акта на листе «Акты» не указан первый день просрочки",IF(A382&lt;INDEX(Акты!$E$5:$E$16,MATCH(D382,Акты!$B$5:$B$16,0)),"БЛОК: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сюда",IF(A382&gt;Ввод!$B$4,"БЛОК: оплата после последнего дня расчёта — продлите расчёт или уберите строку","ок"))))))))</f>
        <v/>
      </c>
    </row>
    <row r="383">
      <c r="A383" s="10" t="n"/>
      <c r="B383" s="15" t="n"/>
      <c r="C383" s="13" t="n"/>
      <c r="D383" s="13" t="n"/>
      <c r="E383" s="5">
        <f>IF(AND(A383="",B383="",C383="",D383=""),"",IF(OR(A383="",B383=""),"БЛОК: нужны и дата, и сумма",IF(B383&lt;=0,"БЛОК: сумма должна быть больше нуля",IF(D383="","БЛОК: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вас",IF(COUNTIF(Акты!$B$5:$B$16,D383)=0,"БЛОК: такого акта нет на листе «Акты» — добавьте акт или исправьте идентификатор",IF(NOT(ISNUMBER(INDEX(Акты!$E$5:$E$16,MATCH(D383,Акты!$B$5:$B$16,0)))),"БЛОК: у этого акта на листе «Акты» не указан первый день просрочки",IF(A383&lt;INDEX(Акты!$E$5:$E$16,MATCH(D383,Акты!$B$5:$B$16,0)),"БЛОК: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сюда",IF(A383&gt;Ввод!$B$4,"БЛОК: оплата после последнего дня расчёта — продлите расчёт или уберите строку","ок"))))))))</f>
        <v/>
      </c>
    </row>
    <row r="384">
      <c r="A384" s="10" t="n"/>
      <c r="B384" s="15" t="n"/>
      <c r="C384" s="13" t="n"/>
      <c r="D384" s="13" t="n"/>
      <c r="E384" s="5">
        <f>IF(AND(A384="",B384="",C384="",D384=""),"",IF(OR(A384="",B384=""),"БЛОК: нужны и дата, и сумма",IF(B384&lt;=0,"БЛОК: сумма должна быть больше нуля",IF(D384="","БЛОК: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вас",IF(COUNTIF(Акты!$B$5:$B$16,D384)=0,"БЛОК: такого акта нет на листе «Акты» — добавьте акт или исправьте идентификатор",IF(NOT(ISNUMBER(INDEX(Акты!$E$5:$E$16,MATCH(D384,Акты!$B$5:$B$16,0)))),"БЛОК: у этого акта на листе «Акты» не указан первый день просрочки",IF(A384&lt;INDEX(Акты!$E$5:$E$16,MATCH(D384,Акты!$B$5:$B$16,0)),"БЛОК: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сюда",IF(A384&gt;Ввод!$B$4,"БЛОК: оплата после последнего дня расчёта — продлите расчёт или уберите строку","ок"))))))))</f>
        <v/>
      </c>
    </row>
    <row r="385">
      <c r="A385" s="10" t="n"/>
      <c r="B385" s="15" t="n"/>
      <c r="C385" s="13" t="n"/>
      <c r="D385" s="13" t="n"/>
      <c r="E385" s="5">
        <f>IF(AND(A385="",B385="",C385="",D385=""),"",IF(OR(A385="",B385=""),"БЛОК: нужны и дата, и сумма",IF(B385&lt;=0,"БЛОК: сумма должна быть больше нуля",IF(D385="","БЛОК: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вас",IF(COUNTIF(Акты!$B$5:$B$16,D385)=0,"БЛОК: такого акта нет на листе «Акты» — добавьте акт или исправьте идентификатор",IF(NOT(ISNUMBER(INDEX(Акты!$E$5:$E$16,MATCH(D385,Акты!$B$5:$B$16,0)))),"БЛОК: у этого акта на листе «Акты» не указан первый день просрочки",IF(A385&lt;INDEX(Акты!$E$5:$E$16,MATCH(D385,Акты!$B$5:$B$16,0)),"БЛОК: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сюда",IF(A385&gt;Ввод!$B$4,"БЛОК: оплата после последнего дня расчёта — продлите расчёт или уберите строку","ок"))))))))</f>
        <v/>
      </c>
    </row>
    <row r="386">
      <c r="A386" s="10" t="n"/>
      <c r="B386" s="15" t="n"/>
      <c r="C386" s="13" t="n"/>
      <c r="D386" s="13" t="n"/>
      <c r="E386" s="5">
        <f>IF(AND(A386="",B386="",C386="",D386=""),"",IF(OR(A386="",B386=""),"БЛОК: нужны и дата, и сумма",IF(B386&lt;=0,"БЛОК: сумма должна быть больше нуля",IF(D386="","БЛОК: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вас",IF(COUNTIF(Акты!$B$5:$B$16,D386)=0,"БЛОК: такого акта нет на листе «Акты» — добавьте акт или исправьте идентификатор",IF(NOT(ISNUMBER(INDEX(Акты!$E$5:$E$16,MATCH(D386,Акты!$B$5:$B$16,0)))),"БЛОК: у этого акта на листе «Акты» не указан первый день просрочки",IF(A386&lt;INDEX(Акты!$E$5:$E$16,MATCH(D386,Акты!$B$5:$B$16,0)),"БЛОК: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сюда",IF(A386&gt;Ввод!$B$4,"БЛОК: оплата после последнего дня расчёта — продлите расчёт или уберите строку","ок"))))))))</f>
        <v/>
      </c>
    </row>
    <row r="387">
      <c r="A387" s="10" t="n"/>
      <c r="B387" s="15" t="n"/>
      <c r="C387" s="13" t="n"/>
      <c r="D387" s="13" t="n"/>
      <c r="E387" s="5">
        <f>IF(AND(A387="",B387="",C387="",D387=""),"",IF(OR(A387="",B387=""),"БЛОК: нужны и дата, и сумма",IF(B387&lt;=0,"БЛОК: сумма должна быть больше нуля",IF(D387="","БЛОК: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вас",IF(COUNTIF(Акты!$B$5:$B$16,D387)=0,"БЛОК: такого акта нет на листе «Акты» — добавьте акт или исправьте идентификатор",IF(NOT(ISNUMBER(INDEX(Акты!$E$5:$E$16,MATCH(D387,Акты!$B$5:$B$16,0)))),"БЛОК: у этого акта на листе «Акты» не указан первый день просрочки",IF(A387&lt;INDEX(Акты!$E$5:$E$16,MATCH(D387,Акты!$B$5:$B$16,0)),"БЛОК: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сюда",IF(A387&gt;Ввод!$B$4,"БЛОК: оплата после последнего дня расчёта — продлите расчёт или уберите строку","ок"))))))))</f>
        <v/>
      </c>
    </row>
    <row r="388">
      <c r="A388" s="10" t="n"/>
      <c r="B388" s="15" t="n"/>
      <c r="C388" s="13" t="n"/>
      <c r="D388" s="13" t="n"/>
      <c r="E388" s="5">
        <f>IF(AND(A388="",B388="",C388="",D388=""),"",IF(OR(A388="",B388=""),"БЛОК: нужны и дата, и сумма",IF(B388&lt;=0,"БЛОК: сумма должна быть больше нуля",IF(D388="","БЛОК: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вас",IF(COUNTIF(Акты!$B$5:$B$16,D388)=0,"БЛОК: такого акта нет на листе «Акты» — добавьте акт или исправьте идентификатор",IF(NOT(ISNUMBER(INDEX(Акты!$E$5:$E$16,MATCH(D388,Акты!$B$5:$B$16,0)))),"БЛОК: у этого акта на листе «Акты» не указан первый день просрочки",IF(A388&lt;INDEX(Акты!$E$5:$E$16,MATCH(D388,Акты!$B$5:$B$16,0)),"БЛОК: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сюда",IF(A388&gt;Ввод!$B$4,"БЛОК: оплата после последнего дня расчёта — продлите расчёт или уберите строку","ок"))))))))</f>
        <v/>
      </c>
    </row>
    <row r="389">
      <c r="A389" s="10" t="n"/>
      <c r="B389" s="15" t="n"/>
      <c r="C389" s="13" t="n"/>
      <c r="D389" s="13" t="n"/>
      <c r="E389" s="5">
        <f>IF(AND(A389="",B389="",C389="",D389=""),"",IF(OR(A389="",B389=""),"БЛОК: нужны и дата, и сумма",IF(B389&lt;=0,"БЛОК: сумма должна быть больше нуля",IF(D389="","БЛОК: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вас",IF(COUNTIF(Акты!$B$5:$B$16,D389)=0,"БЛОК: такого акта нет на листе «Акты» — добавьте акт или исправьте идентификатор",IF(NOT(ISNUMBER(INDEX(Акты!$E$5:$E$16,MATCH(D389,Акты!$B$5:$B$16,0)))),"БЛОК: у этого акта на листе «Акты» не указан первый день просрочки",IF(A389&lt;INDEX(Акты!$E$5:$E$16,MATCH(D389,Акты!$B$5:$B$16,0)),"БЛОК: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сюда",IF(A389&gt;Ввод!$B$4,"БЛОК: оплата после последнего дня расчёта — продлите расчёт или уберите строку","ок"))))))))</f>
        <v/>
      </c>
    </row>
    <row r="390">
      <c r="A390" s="10" t="n"/>
      <c r="B390" s="15" t="n"/>
      <c r="C390" s="13" t="n"/>
      <c r="D390" s="13" t="n"/>
      <c r="E390" s="5">
        <f>IF(AND(A390="",B390="",C390="",D390=""),"",IF(OR(A390="",B390=""),"БЛОК: нужны и дата, и сумма",IF(B390&lt;=0,"БЛОК: сумма должна быть больше нуля",IF(D390="","БЛОК: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вас",IF(COUNTIF(Акты!$B$5:$B$16,D390)=0,"БЛОК: такого акта нет на листе «Акты» — добавьте акт или исправьте идентификатор",IF(NOT(ISNUMBER(INDEX(Акты!$E$5:$E$16,MATCH(D390,Акты!$B$5:$B$16,0)))),"БЛОК: у этого акта на листе «Акты» не указан первый день просрочки",IF(A390&lt;INDEX(Акты!$E$5:$E$16,MATCH(D390,Акты!$B$5:$B$16,0)),"БЛОК: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сюда",IF(A390&gt;Ввод!$B$4,"БЛОК: оплата после последнего дня расчёта — продлите расчёт или уберите строку","ок"))))))))</f>
        <v/>
      </c>
    </row>
    <row r="391">
      <c r="A391" s="10" t="n"/>
      <c r="B391" s="15" t="n"/>
      <c r="C391" s="13" t="n"/>
      <c r="D391" s="13" t="n"/>
      <c r="E391" s="5">
        <f>IF(AND(A391="",B391="",C391="",D391=""),"",IF(OR(A391="",B391=""),"БЛОК: нужны и дата, и сумма",IF(B391&lt;=0,"БЛОК: сумма должна быть больше нуля",IF(D391="","БЛОК: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вас",IF(COUNTIF(Акты!$B$5:$B$16,D391)=0,"БЛОК: такого акта нет на листе «Акты» — добавьте акт или исправьте идентификатор",IF(NOT(ISNUMBER(INDEX(Акты!$E$5:$E$16,MATCH(D391,Акты!$B$5:$B$16,0)))),"БЛОК: у этого акта на листе «Акты» не указан первый день просрочки",IF(A391&lt;INDEX(Акты!$E$5:$E$16,MATCH(D391,Акты!$B$5:$B$16,0)),"БЛОК: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сюда",IF(A391&gt;Ввод!$B$4,"БЛОК: оплата после последнего дня расчёта — продлите расчёт или уберите строку","ок"))))))))</f>
        <v/>
      </c>
    </row>
    <row r="392">
      <c r="A392" s="10" t="n"/>
      <c r="B392" s="15" t="n"/>
      <c r="C392" s="13" t="n"/>
      <c r="D392" s="13" t="n"/>
      <c r="E392" s="5">
        <f>IF(AND(A392="",B392="",C392="",D392=""),"",IF(OR(A392="",B392=""),"БЛОК: нужны и дата, и сумма",IF(B392&lt;=0,"БЛОК: сумма должна быть больше нуля",IF(D392="","БЛОК: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вас",IF(COUNTIF(Акты!$B$5:$B$16,D392)=0,"БЛОК: такого акта нет на листе «Акты» — добавьте акт или исправьте идентификатор",IF(NOT(ISNUMBER(INDEX(Акты!$E$5:$E$16,MATCH(D392,Акты!$B$5:$B$16,0)))),"БЛОК: у этого акта на листе «Акты» не указан первый день просрочки",IF(A392&lt;INDEX(Акты!$E$5:$E$16,MATCH(D392,Акты!$B$5:$B$16,0)),"БЛОК: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сюда",IF(A392&gt;Ввод!$B$4,"БЛОК: оплата после последнего дня расчёта — продлите расчёт или уберите строку","ок"))))))))</f>
        <v/>
      </c>
    </row>
    <row r="393">
      <c r="A393" s="10" t="n"/>
      <c r="B393" s="15" t="n"/>
      <c r="C393" s="13" t="n"/>
      <c r="D393" s="13" t="n"/>
      <c r="E393" s="5">
        <f>IF(AND(A393="",B393="",C393="",D393=""),"",IF(OR(A393="",B393=""),"БЛОК: нужны и дата, и сумма",IF(B393&lt;=0,"БЛОК: сумма должна быть больше нуля",IF(D393="","БЛОК: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вас",IF(COUNTIF(Акты!$B$5:$B$16,D393)=0,"БЛОК: такого акта нет на листе «Акты» — добавьте акт или исправьте идентификатор",IF(NOT(ISNUMBER(INDEX(Акты!$E$5:$E$16,MATCH(D393,Акты!$B$5:$B$16,0)))),"БЛОК: у этого акта на листе «Акты» не указан первый день просрочки",IF(A393&lt;INDEX(Акты!$E$5:$E$16,MATCH(D393,Акты!$B$5:$B$16,0)),"БЛОК: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сюда",IF(A393&gt;Ввод!$B$4,"БЛОК: оплата после последнего дня расчёта — продлите расчёт или уберите строку","ок"))))))))</f>
        <v/>
      </c>
    </row>
    <row r="394">
      <c r="A394" s="10" t="n"/>
      <c r="B394" s="15" t="n"/>
      <c r="C394" s="13" t="n"/>
      <c r="D394" s="13" t="n"/>
      <c r="E394" s="5">
        <f>IF(AND(A394="",B394="",C394="",D394=""),"",IF(OR(A394="",B394=""),"БЛОК: нужны и дата, и сумма",IF(B394&lt;=0,"БЛОК: сумма должна быть больше нуля",IF(D394="","БЛОК: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вас",IF(COUNTIF(Акты!$B$5:$B$16,D394)=0,"БЛОК: такого акта нет на листе «Акты» — добавьте акт или исправьте идентификатор",IF(NOT(ISNUMBER(INDEX(Акты!$E$5:$E$16,MATCH(D394,Акты!$B$5:$B$16,0)))),"БЛОК: у этого акта на листе «Акты» не указан первый день просрочки",IF(A394&lt;INDEX(Акты!$E$5:$E$16,MATCH(D394,Акты!$B$5:$B$16,0)),"БЛОК: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сюда",IF(A394&gt;Ввод!$B$4,"БЛОК: оплата после последнего дня расчёта — продлите расчёт или уберите строку","ок"))))))))</f>
        <v/>
      </c>
    </row>
    <row r="395">
      <c r="A395" s="10" t="n"/>
      <c r="B395" s="15" t="n"/>
      <c r="C395" s="13" t="n"/>
      <c r="D395" s="13" t="n"/>
      <c r="E395" s="5">
        <f>IF(AND(A395="",B395="",C395="",D395=""),"",IF(OR(A395="",B395=""),"БЛОК: нужны и дата, и сумма",IF(B395&lt;=0,"БЛОК: сумма должна быть больше нуля",IF(D395="","БЛОК: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вас",IF(COUNTIF(Акты!$B$5:$B$16,D395)=0,"БЛОК: такого акта нет на листе «Акты» — добавьте акт или исправьте идентификатор",IF(NOT(ISNUMBER(INDEX(Акты!$E$5:$E$16,MATCH(D395,Акты!$B$5:$B$16,0)))),"БЛОК: у этого акта на листе «Акты» не указан первый день просрочки",IF(A395&lt;INDEX(Акты!$E$5:$E$16,MATCH(D395,Акты!$B$5:$B$16,0)),"БЛОК: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сюда",IF(A395&gt;Ввод!$B$4,"БЛОК: оплата после последнего дня расчёта — продлите расчёт или уберите строку","ок"))))))))</f>
        <v/>
      </c>
    </row>
    <row r="396">
      <c r="A396" s="10" t="n"/>
      <c r="B396" s="15" t="n"/>
      <c r="C396" s="13" t="n"/>
      <c r="D396" s="13" t="n"/>
      <c r="E396" s="5">
        <f>IF(AND(A396="",B396="",C396="",D396=""),"",IF(OR(A396="",B396=""),"БЛОК: нужны и дата, и сумма",IF(B396&lt;=0,"БЛОК: сумма должна быть больше нуля",IF(D396="","БЛОК: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вас",IF(COUNTIF(Акты!$B$5:$B$16,D396)=0,"БЛОК: такого акта нет на листе «Акты» — добавьте акт или исправьте идентификатор",IF(NOT(ISNUMBER(INDEX(Акты!$E$5:$E$16,MATCH(D396,Акты!$B$5:$B$16,0)))),"БЛОК: у этого акта на листе «Акты» не указан первый день просрочки",IF(A396&lt;INDEX(Акты!$E$5:$E$16,MATCH(D396,Акты!$B$5:$B$16,0)),"БЛОК: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сюда",IF(A396&gt;Ввод!$B$4,"БЛОК: оплата после последнего дня расчёта — продлите расчёт или уберите строку","ок"))))))))</f>
        <v/>
      </c>
    </row>
    <row r="397">
      <c r="A397" s="10" t="n"/>
      <c r="B397" s="15" t="n"/>
      <c r="C397" s="13" t="n"/>
      <c r="D397" s="13" t="n"/>
      <c r="E397" s="5">
        <f>IF(AND(A397="",B397="",C397="",D397=""),"",IF(OR(A397="",B397=""),"БЛОК: нужны и дата, и сумма",IF(B397&lt;=0,"БЛОК: сумма должна быть больше нуля",IF(D397="","БЛОК: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вас",IF(COUNTIF(Акты!$B$5:$B$16,D397)=0,"БЛОК: такого акта нет на листе «Акты» — добавьте акт или исправьте идентификатор",IF(NOT(ISNUMBER(INDEX(Акты!$E$5:$E$16,MATCH(D397,Акты!$B$5:$B$16,0)))),"БЛОК: у этого акта на листе «Акты» не указан первый день просрочки",IF(A397&lt;INDEX(Акты!$E$5:$E$16,MATCH(D397,Акты!$B$5:$B$16,0)),"БЛОК: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сюда",IF(A397&gt;Ввод!$B$4,"БЛОК: оплата после последнего дня расчёта — продлите расчёт или уберите строку","ок"))))))))</f>
        <v/>
      </c>
    </row>
    <row r="398">
      <c r="A398" s="10" t="n"/>
      <c r="B398" s="15" t="n"/>
      <c r="C398" s="13" t="n"/>
      <c r="D398" s="13" t="n"/>
      <c r="E398" s="5">
        <f>IF(AND(A398="",B398="",C398="",D398=""),"",IF(OR(A398="",B398=""),"БЛОК: нужны и дата, и сумма",IF(B398&lt;=0,"БЛОК: сумма должна быть больше нуля",IF(D398="","БЛОК: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вас",IF(COUNTIF(Акты!$B$5:$B$16,D398)=0,"БЛОК: такого акта нет на листе «Акты» — добавьте акт или исправьте идентификатор",IF(NOT(ISNUMBER(INDEX(Акты!$E$5:$E$16,MATCH(D398,Акты!$B$5:$B$16,0)))),"БЛОК: у этого акта на листе «Акты» не указан первый день просрочки",IF(A398&lt;INDEX(Акты!$E$5:$E$16,MATCH(D398,Акты!$B$5:$B$16,0)),"БЛОК: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сюда",IF(A398&gt;Ввод!$B$4,"БЛОК: оплата после последнего дня расчёта — продлите расчёт или уберите строку","ок"))))))))</f>
        <v/>
      </c>
    </row>
    <row r="399">
      <c r="A399" s="10" t="n"/>
      <c r="B399" s="15" t="n"/>
      <c r="C399" s="13" t="n"/>
      <c r="D399" s="13" t="n"/>
      <c r="E399" s="5">
        <f>IF(AND(A399="",B399="",C399="",D399=""),"",IF(OR(A399="",B399=""),"БЛОК: нужны и дата, и сумма",IF(B399&lt;=0,"БЛОК: сумма должна быть больше нуля",IF(D399="","БЛОК: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вас",IF(COUNTIF(Акты!$B$5:$B$16,D399)=0,"БЛОК: такого акта нет на листе «Акты» — добавьте акт или исправьте идентификатор",IF(NOT(ISNUMBER(INDEX(Акты!$E$5:$E$16,MATCH(D399,Акты!$B$5:$B$16,0)))),"БЛОК: у этого акта на листе «Акты» не указан первый день просрочки",IF(A399&lt;INDEX(Акты!$E$5:$E$16,MATCH(D399,Акты!$B$5:$B$16,0)),"БЛОК: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сюда",IF(A399&gt;Ввод!$B$4,"БЛОК: оплата после последнего дня расчёта — продлите расчёт или уберите строку","ок"))))))))</f>
        <v/>
      </c>
    </row>
    <row r="400">
      <c r="A400" s="10" t="n"/>
      <c r="B400" s="15" t="n"/>
      <c r="C400" s="13" t="n"/>
      <c r="D400" s="13" t="n"/>
      <c r="E400" s="5">
        <f>IF(AND(A400="",B400="",C400="",D400=""),"",IF(OR(A400="",B400=""),"БЛОК: нужны и дата, и сумма",IF(B400&lt;=0,"БЛОК: сумма должна быть больше нуля",IF(D400="","БЛОК: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вас",IF(COUNTIF(Акты!$B$5:$B$16,D400)=0,"БЛОК: такого акта нет на листе «Акты» — добавьте акт или исправьте идентификатор",IF(NOT(ISNUMBER(INDEX(Акты!$E$5:$E$16,MATCH(D400,Акты!$B$5:$B$16,0)))),"БЛОК: у этого акта на листе «Акты» не указан первый день просрочки",IF(A400&lt;INDEX(Акты!$E$5:$E$16,MATCH(D400,Акты!$B$5:$B$16,0)),"БЛОК: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сюда",IF(A400&gt;Ввод!$B$4,"БЛОК: оплата после последнего дня расчёта — продлите расчёт или уберите строку","ок"))))))))</f>
        <v/>
      </c>
    </row>
    <row r="401">
      <c r="A401" s="10" t="n"/>
      <c r="B401" s="15" t="n"/>
      <c r="C401" s="13" t="n"/>
      <c r="D401" s="13" t="n"/>
      <c r="E401" s="5">
        <f>IF(AND(A401="",B401="",C401="",D401=""),"",IF(OR(A401="",B401=""),"БЛОК: нужны и дата, и сумма",IF(B401&lt;=0,"БЛОК: сумма должна быть больше нуля",IF(D401="","БЛОК: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вас",IF(COUNTIF(Акты!$B$5:$B$16,D401)=0,"БЛОК: такого акта нет на листе «Акты» — добавьте акт или исправьте идентификатор",IF(NOT(ISNUMBER(INDEX(Акты!$E$5:$E$16,MATCH(D401,Акты!$B$5:$B$16,0)))),"БЛОК: у этого акта на листе «Акты» не указан первый день просрочки",IF(A401&lt;INDEX(Акты!$E$5:$E$16,MATCH(D401,Акты!$B$5:$B$16,0)),"БЛОК: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сюда",IF(A401&gt;Ввод!$B$4,"БЛОК: оплата после последнего дня расчёта — продлите расчёт или уберите строку","ок"))))))))</f>
        <v/>
      </c>
    </row>
    <row r="402">
      <c r="A402" s="10" t="n"/>
      <c r="B402" s="15" t="n"/>
      <c r="C402" s="13" t="n"/>
      <c r="D402" s="13" t="n"/>
      <c r="E402" s="5">
        <f>IF(AND(A402="",B402="",C402="",D402=""),"",IF(OR(A402="",B402=""),"БЛОК: нужны и дата, и сумма",IF(B402&lt;=0,"БЛОК: сумма должна быть больше нуля",IF(D402="","БЛОК: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вас",IF(COUNTIF(Акты!$B$5:$B$16,D402)=0,"БЛОК: такого акта нет на листе «Акты» — добавьте акт или исправьте идентификатор",IF(NOT(ISNUMBER(INDEX(Акты!$E$5:$E$16,MATCH(D402,Акты!$B$5:$B$16,0)))),"БЛОК: у этого акта на листе «Акты» не указан первый день просрочки",IF(A402&lt;INDEX(Акты!$E$5:$E$16,MATCH(D402,Акты!$B$5:$B$16,0)),"БЛОК: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сюда",IF(A402&gt;Ввод!$B$4,"БЛОК: оплата после последнего дня расчёта — продлите расчёт или уберите строку","ок"))))))))</f>
        <v/>
      </c>
    </row>
    <row r="403">
      <c r="A403" s="10" t="n"/>
      <c r="B403" s="15" t="n"/>
      <c r="C403" s="13" t="n"/>
      <c r="D403" s="13" t="n"/>
      <c r="E403" s="5">
        <f>IF(AND(A403="",B403="",C403="",D403=""),"",IF(OR(A403="",B403=""),"БЛОК: нужны и дата, и сумма",IF(B403&lt;=0,"БЛОК: сумма должна быть больше нуля",IF(D403="","БЛОК: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вас",IF(COUNTIF(Акты!$B$5:$B$16,D403)=0,"БЛОК: такого акта нет на листе «Акты» — добавьте акт или исправьте идентификатор",IF(NOT(ISNUMBER(INDEX(Акты!$E$5:$E$16,MATCH(D403,Акты!$B$5:$B$16,0)))),"БЛОК: у этого акта на листе «Акты» не указан первый день просрочки",IF(A403&lt;INDEX(Акты!$E$5:$E$16,MATCH(D403,Акты!$B$5:$B$16,0)),"БЛОК: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сюда",IF(A403&gt;Ввод!$B$4,"БЛОК: оплата после последнего дня расчёта — продлите расчёт или уберите строку","ок"))))))))</f>
        <v/>
      </c>
    </row>
    <row r="404">
      <c r="A404" s="10" t="n"/>
      <c r="B404" s="15" t="n"/>
      <c r="C404" s="13" t="n"/>
      <c r="D404" s="13" t="n"/>
      <c r="E404" s="5">
        <f>IF(AND(A404="",B404="",C404="",D404=""),"",IF(OR(A404="",B404=""),"БЛОК: нужны и дата, и сумма",IF(B404&lt;=0,"БЛОК: сумма должна быть больше нуля",IF(D404="","БЛОК: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вас",IF(COUNTIF(Акты!$B$5:$B$16,D404)=0,"БЛОК: такого акта нет на листе «Акты» — добавьте акт или исправьте идентификатор",IF(NOT(ISNUMBER(INDEX(Акты!$E$5:$E$16,MATCH(D404,Акты!$B$5:$B$16,0)))),"БЛОК: у этого акта на листе «Акты» не указан первый день просрочки",IF(A404&lt;INDEX(Акты!$E$5:$E$16,MATCH(D404,Акты!$B$5:$B$16,0)),"БЛОК: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сюда",IF(A404&gt;Ввод!$B$4,"БЛОК: оплата после последнего дня расчёта — продлите расчёт или уберите строку","ок"))))))))</f>
        <v/>
      </c>
    </row>
    <row r="405">
      <c r="A405" s="10" t="n"/>
      <c r="B405" s="15" t="n"/>
      <c r="C405" s="13" t="n"/>
      <c r="D405" s="13" t="n"/>
      <c r="E405" s="5">
        <f>IF(AND(A405="",B405="",C405="",D405=""),"",IF(OR(A405="",B405=""),"БЛОК: нужны и дата, и сумма",IF(B405&lt;=0,"БЛОК: сумма должна быть больше нуля",IF(D405="","БЛОК: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вас",IF(COUNTIF(Акты!$B$5:$B$16,D405)=0,"БЛОК: такого акта нет на листе «Акты» — добавьте акт или исправьте идентификатор",IF(NOT(ISNUMBER(INDEX(Акты!$E$5:$E$16,MATCH(D405,Акты!$B$5:$B$16,0)))),"БЛОК: у этого акта на листе «Акты» не указан первый день просрочки",IF(A405&lt;INDEX(Акты!$E$5:$E$16,MATCH(D405,Акты!$B$5:$B$16,0)),"БЛОК: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сюда",IF(A405&gt;Ввод!$B$4,"БЛОК: оплата после последнего дня расчёта — продлите расчёт или уберите строку","ок"))))))))</f>
        <v/>
      </c>
    </row>
    <row r="406">
      <c r="A406" s="10" t="n"/>
      <c r="B406" s="15" t="n"/>
      <c r="C406" s="13" t="n"/>
      <c r="D406" s="13" t="n"/>
      <c r="E406" s="5">
        <f>IF(AND(A406="",B406="",C406="",D406=""),"",IF(OR(A406="",B406=""),"БЛОК: нужны и дата, и сумма",IF(B406&lt;=0,"БЛОК: сумма должна быть больше нуля",IF(D406="","БЛОК: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вас",IF(COUNTIF(Акты!$B$5:$B$16,D406)=0,"БЛОК: такого акта нет на листе «Акты» — добавьте акт или исправьте идентификатор",IF(NOT(ISNUMBER(INDEX(Акты!$E$5:$E$16,MATCH(D406,Акты!$B$5:$B$16,0)))),"БЛОК: у этого акта на листе «Акты» не указан первый день просрочки",IF(A406&lt;INDEX(Акты!$E$5:$E$16,MATCH(D406,Акты!$B$5:$B$16,0)),"БЛОК: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сюда",IF(A406&gt;Ввод!$B$4,"БЛОК: оплата после последнего дня расчёта — продлите расчёт или уберите строку","ок"))))))))</f>
        <v/>
      </c>
    </row>
    <row r="407">
      <c r="A407" s="10" t="n"/>
      <c r="B407" s="15" t="n"/>
      <c r="C407" s="13" t="n"/>
      <c r="D407" s="13" t="n"/>
      <c r="E407" s="5">
        <f>IF(AND(A407="",B407="",C407="",D407=""),"",IF(OR(A407="",B407=""),"БЛОК: нужны и дата, и сумма",IF(B407&lt;=0,"БЛОК: сумма должна быть больше нуля",IF(D407="","БЛОК: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вас",IF(COUNTIF(Акты!$B$5:$B$16,D407)=0,"БЛОК: такого акта нет на листе «Акты» — добавьте акт или исправьте идентификатор",IF(NOT(ISNUMBER(INDEX(Акты!$E$5:$E$16,MATCH(D407,Акты!$B$5:$B$16,0)))),"БЛОК: у этого акта на листе «Акты» не указан первый день просрочки",IF(A407&lt;INDEX(Акты!$E$5:$E$16,MATCH(D407,Акты!$B$5:$B$16,0)),"БЛОК: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сюда",IF(A407&gt;Ввод!$B$4,"БЛОК: оплата после последнего дня расчёта — продлите расчёт или уберите строку","ок"))))))))</f>
        <v/>
      </c>
    </row>
    <row r="408">
      <c r="A408" s="10" t="n"/>
      <c r="B408" s="15" t="n"/>
      <c r="C408" s="13" t="n"/>
      <c r="D408" s="13" t="n"/>
      <c r="E408" s="5">
        <f>IF(AND(A408="",B408="",C408="",D408=""),"",IF(OR(A408="",B408=""),"БЛОК: нужны и дата, и сумма",IF(B408&lt;=0,"БЛОК: сумма должна быть больше нуля",IF(D408="","БЛОК: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вас",IF(COUNTIF(Акты!$B$5:$B$16,D408)=0,"БЛОК: такого акта нет на листе «Акты» — добавьте акт или исправьте идентификатор",IF(NOT(ISNUMBER(INDEX(Акты!$E$5:$E$16,MATCH(D408,Акты!$B$5:$B$16,0)))),"БЛОК: у этого акта на листе «Акты» не указан первый день просрочки",IF(A408&lt;INDEX(Акты!$E$5:$E$16,MATCH(D408,Акты!$B$5:$B$16,0)),"БЛОК: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сюда",IF(A408&gt;Ввод!$B$4,"БЛОК: оплата после последнего дня расчёта — продлите расчёт или уберите строку","ок"))))))))</f>
        <v/>
      </c>
    </row>
    <row r="409">
      <c r="A409" s="10" t="n"/>
      <c r="B409" s="15" t="n"/>
      <c r="C409" s="13" t="n"/>
      <c r="D409" s="13" t="n"/>
      <c r="E409" s="5">
        <f>IF(AND(A409="",B409="",C409="",D409=""),"",IF(OR(A409="",B409=""),"БЛОК: нужны и дата, и сумма",IF(B409&lt;=0,"БЛОК: сумма должна быть больше нуля",IF(D409="","БЛОК: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вас",IF(COUNTIF(Акты!$B$5:$B$16,D409)=0,"БЛОК: такого акта нет на листе «Акты» — добавьте акт или исправьте идентификатор",IF(NOT(ISNUMBER(INDEX(Акты!$E$5:$E$16,MATCH(D409,Акты!$B$5:$B$16,0)))),"БЛОК: у этого акта на листе «Акты» не указан первый день просрочки",IF(A409&lt;INDEX(Акты!$E$5:$E$16,MATCH(D409,Акты!$B$5:$B$16,0)),"БЛОК: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сюда",IF(A409&gt;Ввод!$B$4,"БЛОК: оплата после последнего дня расчёта — продлите расчёт или уберите строку","ок"))))))))</f>
        <v/>
      </c>
    </row>
    <row r="410">
      <c r="A410" s="10" t="n"/>
      <c r="B410" s="15" t="n"/>
      <c r="C410" s="13" t="n"/>
      <c r="D410" s="13" t="n"/>
      <c r="E410" s="5">
        <f>IF(AND(A410="",B410="",C410="",D410=""),"",IF(OR(A410="",B410=""),"БЛОК: нужны и дата, и сумма",IF(B410&lt;=0,"БЛОК: сумма должна быть больше нуля",IF(D410="","БЛОК: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вас",IF(COUNTIF(Акты!$B$5:$B$16,D410)=0,"БЛОК: такого акта нет на листе «Акты» — добавьте акт или исправьте идентификатор",IF(NOT(ISNUMBER(INDEX(Акты!$E$5:$E$16,MATCH(D410,Акты!$B$5:$B$16,0)))),"БЛОК: у этого акта на листе «Акты» не указан первый день просрочки",IF(A410&lt;INDEX(Акты!$E$5:$E$16,MATCH(D410,Акты!$B$5:$B$16,0)),"БЛОК: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сюда",IF(A410&gt;Ввод!$B$4,"БЛОК: оплата после последнего дня расчёта — продлите расчёт или уберите строку","ок"))))))))</f>
        <v/>
      </c>
    </row>
    <row r="411">
      <c r="A411" s="10" t="n"/>
      <c r="B411" s="15" t="n"/>
      <c r="C411" s="13" t="n"/>
      <c r="D411" s="13" t="n"/>
      <c r="E411" s="5">
        <f>IF(AND(A411="",B411="",C411="",D411=""),"",IF(OR(A411="",B411=""),"БЛОК: нужны и дата, и сумма",IF(B411&lt;=0,"БЛОК: сумма должна быть больше нуля",IF(D411="","БЛОК: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вас",IF(COUNTIF(Акты!$B$5:$B$16,D411)=0,"БЛОК: такого акта нет на листе «Акты» — добавьте акт или исправьте идентификатор",IF(NOT(ISNUMBER(INDEX(Акты!$E$5:$E$16,MATCH(D411,Акты!$B$5:$B$16,0)))),"БЛОК: у этого акта на листе «Акты» не указан первый день просрочки",IF(A411&lt;INDEX(Акты!$E$5:$E$16,MATCH(D411,Акты!$B$5:$B$16,0)),"БЛОК: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сюда",IF(A411&gt;Ввод!$B$4,"БЛОК: оплата после последнего дня расчёта — продлите расчёт или уберите строку","ок"))))))))</f>
        <v/>
      </c>
    </row>
    <row r="412">
      <c r="A412" s="10" t="n"/>
      <c r="B412" s="15" t="n"/>
      <c r="C412" s="13" t="n"/>
      <c r="D412" s="13" t="n"/>
      <c r="E412" s="5">
        <f>IF(AND(A412="",B412="",C412="",D412=""),"",IF(OR(A412="",B412=""),"БЛОК: нужны и дата, и сумма",IF(B412&lt;=0,"БЛОК: сумма должна быть больше нуля",IF(D412="","БЛОК: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вас",IF(COUNTIF(Акты!$B$5:$B$16,D412)=0,"БЛОК: такого акта нет на листе «Акты» — добавьте акт или исправьте идентификатор",IF(NOT(ISNUMBER(INDEX(Акты!$E$5:$E$16,MATCH(D412,Акты!$B$5:$B$16,0)))),"БЛОК: у этого акта на листе «Акты» не указан первый день просрочки",IF(A412&lt;INDEX(Акты!$E$5:$E$16,MATCH(D412,Акты!$B$5:$B$16,0)),"БЛОК: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сюда",IF(A412&gt;Ввод!$B$4,"БЛОК: оплата после последнего дня расчёта — продлите расчёт или уберите строку","ок"))))))))</f>
        <v/>
      </c>
    </row>
    <row r="413">
      <c r="A413" s="10" t="n"/>
      <c r="B413" s="15" t="n"/>
      <c r="C413" s="13" t="n"/>
      <c r="D413" s="13" t="n"/>
      <c r="E413" s="5">
        <f>IF(AND(A413="",B413="",C413="",D413=""),"",IF(OR(A413="",B413=""),"БЛОК: нужны и дата, и сумма",IF(B413&lt;=0,"БЛОК: сумма должна быть больше нуля",IF(D413="","БЛОК: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вас",IF(COUNTIF(Акты!$B$5:$B$16,D413)=0,"БЛОК: такого акта нет на листе «Акты» — добавьте акт или исправьте идентификатор",IF(NOT(ISNUMBER(INDEX(Акты!$E$5:$E$16,MATCH(D413,Акты!$B$5:$B$16,0)))),"БЛОК: у этого акта на листе «Акты» не указан первый день просрочки",IF(A413&lt;INDEX(Акты!$E$5:$E$16,MATCH(D413,Акты!$B$5:$B$16,0)),"БЛОК: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сюда",IF(A413&gt;Ввод!$B$4,"БЛОК: оплата после последнего дня расчёта — продлите расчёт или уберите строку","ок"))))))))</f>
        <v/>
      </c>
    </row>
    <row r="414">
      <c r="A414" s="10" t="n"/>
      <c r="B414" s="15" t="n"/>
      <c r="C414" s="13" t="n"/>
      <c r="D414" s="13" t="n"/>
      <c r="E414" s="5">
        <f>IF(AND(A414="",B414="",C414="",D414=""),"",IF(OR(A414="",B414=""),"БЛОК: нужны и дата, и сумма",IF(B414&lt;=0,"БЛОК: сумма должна быть больше нуля",IF(D414="","БЛОК: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вас",IF(COUNTIF(Акты!$B$5:$B$16,D414)=0,"БЛОК: такого акта нет на листе «Акты» — добавьте акт или исправьте идентификатор",IF(NOT(ISNUMBER(INDEX(Акты!$E$5:$E$16,MATCH(D414,Акты!$B$5:$B$16,0)))),"БЛОК: у этого акта на листе «Акты» не указан первый день просрочки",IF(A414&lt;INDEX(Акты!$E$5:$E$16,MATCH(D414,Акты!$B$5:$B$16,0)),"БЛОК: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сюда",IF(A414&gt;Ввод!$B$4,"БЛОК: оплата после последнего дня расчёта — продлите расчёт или уберите строку","ок"))))))))</f>
        <v/>
      </c>
    </row>
    <row r="415">
      <c r="A415" s="10" t="n"/>
      <c r="B415" s="15" t="n"/>
      <c r="C415" s="13" t="n"/>
      <c r="D415" s="13" t="n"/>
      <c r="E415" s="5">
        <f>IF(AND(A415="",B415="",C415="",D415=""),"",IF(OR(A415="",B415=""),"БЛОК: нужны и дата, и сумма",IF(B415&lt;=0,"БЛОК: сумма должна быть больше нуля",IF(D415="","БЛОК: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вас",IF(COUNTIF(Акты!$B$5:$B$16,D415)=0,"БЛОК: такого акта нет на листе «Акты» — добавьте акт или исправьте идентификатор",IF(NOT(ISNUMBER(INDEX(Акты!$E$5:$E$16,MATCH(D415,Акты!$B$5:$B$16,0)))),"БЛОК: у этого акта на листе «Акты» не указан первый день просрочки",IF(A415&lt;INDEX(Акты!$E$5:$E$16,MATCH(D415,Акты!$B$5:$B$16,0)),"БЛОК: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сюда",IF(A415&gt;Ввод!$B$4,"БЛОК: оплата после последнего дня расчёта — продлите расчёт или уберите строку","ок"))))))))</f>
        <v/>
      </c>
    </row>
    <row r="416">
      <c r="A416" s="10" t="n"/>
      <c r="B416" s="15" t="n"/>
      <c r="C416" s="13" t="n"/>
      <c r="D416" s="13" t="n"/>
      <c r="E416" s="5">
        <f>IF(AND(A416="",B416="",C416="",D416=""),"",IF(OR(A416="",B416=""),"БЛОК: нужны и дата, и сумма",IF(B416&lt;=0,"БЛОК: сумма должна быть больше нуля",IF(D416="","БЛОК: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вас",IF(COUNTIF(Акты!$B$5:$B$16,D416)=0,"БЛОК: такого акта нет на листе «Акты» — добавьте акт или исправьте идентификатор",IF(NOT(ISNUMBER(INDEX(Акты!$E$5:$E$16,MATCH(D416,Акты!$B$5:$B$16,0)))),"БЛОК: у этого акта на листе «Акты» не указан первый день просрочки",IF(A416&lt;INDEX(Акты!$E$5:$E$16,MATCH(D416,Акты!$B$5:$B$16,0)),"БЛОК: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сюда",IF(A416&gt;Ввод!$B$4,"БЛОК: оплата после последнего дня расчёта — продлите расчёт или уберите строку","ок"))))))))</f>
        <v/>
      </c>
    </row>
    <row r="417">
      <c r="A417" s="10" t="n"/>
      <c r="B417" s="15" t="n"/>
      <c r="C417" s="13" t="n"/>
      <c r="D417" s="13" t="n"/>
      <c r="E417" s="5">
        <f>IF(AND(A417="",B417="",C417="",D417=""),"",IF(OR(A417="",B417=""),"БЛОК: нужны и дата, и сумма",IF(B417&lt;=0,"БЛОК: сумма должна быть больше нуля",IF(D417="","БЛОК: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вас",IF(COUNTIF(Акты!$B$5:$B$16,D417)=0,"БЛОК: такого акта нет на листе «Акты» — добавьте акт или исправьте идентификатор",IF(NOT(ISNUMBER(INDEX(Акты!$E$5:$E$16,MATCH(D417,Акты!$B$5:$B$16,0)))),"БЛОК: у этого акта на листе «Акты» не указан первый день просрочки",IF(A417&lt;INDEX(Акты!$E$5:$E$16,MATCH(D417,Акты!$B$5:$B$16,0)),"БЛОК: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сюда",IF(A417&gt;Ввод!$B$4,"БЛОК: оплата после последнего дня расчёта — продлите расчёт или уберите строку","ок"))))))))</f>
        <v/>
      </c>
    </row>
    <row r="418">
      <c r="A418" s="10" t="n"/>
      <c r="B418" s="15" t="n"/>
      <c r="C418" s="13" t="n"/>
      <c r="D418" s="13" t="n"/>
      <c r="E418" s="5">
        <f>IF(AND(A418="",B418="",C418="",D418=""),"",IF(OR(A418="",B418=""),"БЛОК: нужны и дата, и сумма",IF(B418&lt;=0,"БЛОК: сумма должна быть больше нуля",IF(D418="","БЛОК: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вас",IF(COUNTIF(Акты!$B$5:$B$16,D418)=0,"БЛОК: такого акта нет на листе «Акты» — добавьте акт или исправьте идентификатор",IF(NOT(ISNUMBER(INDEX(Акты!$E$5:$E$16,MATCH(D418,Акты!$B$5:$B$16,0)))),"БЛОК: у этого акта на листе «Акты» не указан первый день просрочки",IF(A418&lt;INDEX(Акты!$E$5:$E$16,MATCH(D418,Акты!$B$5:$B$16,0)),"БЛОК: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сюда",IF(A418&gt;Ввод!$B$4,"БЛОК: оплата после последнего дня расчёта — продлите расчёт или уберите строку","ок"))))))))</f>
        <v/>
      </c>
    </row>
    <row r="419">
      <c r="A419" s="10" t="n"/>
      <c r="B419" s="15" t="n"/>
      <c r="C419" s="13" t="n"/>
      <c r="D419" s="13" t="n"/>
      <c r="E419" s="5">
        <f>IF(AND(A419="",B419="",C419="",D419=""),"",IF(OR(A419="",B419=""),"БЛОК: нужны и дата, и сумма",IF(B419&lt;=0,"БЛОК: сумма должна быть больше нуля",IF(D419="","БЛОК: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вас",IF(COUNTIF(Акты!$B$5:$B$16,D419)=0,"БЛОК: такого акта нет на листе «Акты» — добавьте акт или исправьте идентификатор",IF(NOT(ISNUMBER(INDEX(Акты!$E$5:$E$16,MATCH(D419,Акты!$B$5:$B$16,0)))),"БЛОК: у этого акта на листе «Акты» не указан первый день просрочки",IF(A419&lt;INDEX(Акты!$E$5:$E$16,MATCH(D419,Акты!$B$5:$B$16,0)),"БЛОК: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сюда",IF(A419&gt;Ввод!$B$4,"БЛОК: оплата после последнего дня расчёта — продлите расчёт или уберите строку","ок"))))))))</f>
        <v/>
      </c>
    </row>
    <row r="420">
      <c r="A420" s="10" t="n"/>
      <c r="B420" s="15" t="n"/>
      <c r="C420" s="13" t="n"/>
      <c r="D420" s="13" t="n"/>
      <c r="E420" s="5">
        <f>IF(AND(A420="",B420="",C420="",D420=""),"",IF(OR(A420="",B420=""),"БЛОК: нужны и дата, и сумма",IF(B420&lt;=0,"БЛОК: сумма должна быть больше нуля",IF(D420="","БЛОК: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вас",IF(COUNTIF(Акты!$B$5:$B$16,D420)=0,"БЛОК: такого акта нет на листе «Акты» — добавьте акт или исправьте идентификатор",IF(NOT(ISNUMBER(INDEX(Акты!$E$5:$E$16,MATCH(D420,Акты!$B$5:$B$16,0)))),"БЛОК: у этого акта на листе «Акты» не указан первый день просрочки",IF(A420&lt;INDEX(Акты!$E$5:$E$16,MATCH(D420,Акты!$B$5:$B$16,0)),"БЛОК: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сюда",IF(A420&gt;Ввод!$B$4,"БЛОК: оплата после последнего дня расчёта — продлите расчёт или уберите строку","ок"))))))))</f>
        <v/>
      </c>
    </row>
    <row r="421">
      <c r="A421" s="10" t="n"/>
      <c r="B421" s="15" t="n"/>
      <c r="C421" s="13" t="n"/>
      <c r="D421" s="13" t="n"/>
      <c r="E421" s="5">
        <f>IF(AND(A421="",B421="",C421="",D421=""),"",IF(OR(A421="",B421=""),"БЛОК: нужны и дата, и сумма",IF(B421&lt;=0,"БЛОК: сумма должна быть больше нуля",IF(D421="","БЛОК: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вас",IF(COUNTIF(Акты!$B$5:$B$16,D421)=0,"БЛОК: такого акта нет на листе «Акты» — добавьте акт или исправьте идентификатор",IF(NOT(ISNUMBER(INDEX(Акты!$E$5:$E$16,MATCH(D421,Акты!$B$5:$B$16,0)))),"БЛОК: у этого акта на листе «Акты» не указан первый день просрочки",IF(A421&lt;INDEX(Акты!$E$5:$E$16,MATCH(D421,Акты!$B$5:$B$16,0)),"БЛОК: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сюда",IF(A421&gt;Ввод!$B$4,"БЛОК: оплата после последнего дня расчёта — продлите расчёт или уберите строку","ок"))))))))</f>
        <v/>
      </c>
    </row>
    <row r="422">
      <c r="A422" s="10" t="n"/>
      <c r="B422" s="15" t="n"/>
      <c r="C422" s="13" t="n"/>
      <c r="D422" s="13" t="n"/>
      <c r="E422" s="5">
        <f>IF(AND(A422="",B422="",C422="",D422=""),"",IF(OR(A422="",B422=""),"БЛОК: нужны и дата, и сумма",IF(B422&lt;=0,"БЛОК: сумма должна быть больше нуля",IF(D422="","БЛОК: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вас",IF(COUNTIF(Акты!$B$5:$B$16,D422)=0,"БЛОК: такого акта нет на листе «Акты» — добавьте акт или исправьте идентификатор",IF(NOT(ISNUMBER(INDEX(Акты!$E$5:$E$16,MATCH(D422,Акты!$B$5:$B$16,0)))),"БЛОК: у этого акта на листе «Акты» не указан первый день просрочки",IF(A422&lt;INDEX(Акты!$E$5:$E$16,MATCH(D422,Акты!$B$5:$B$16,0)),"БЛОК: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сюда",IF(A422&gt;Ввод!$B$4,"БЛОК: оплата после последнего дня расчёта — продлите расчёт или уберите строку","ок"))))))))</f>
        <v/>
      </c>
    </row>
    <row r="423">
      <c r="A423" s="10" t="n"/>
      <c r="B423" s="15" t="n"/>
      <c r="C423" s="13" t="n"/>
      <c r="D423" s="13" t="n"/>
      <c r="E423" s="5">
        <f>IF(AND(A423="",B423="",C423="",D423=""),"",IF(OR(A423="",B423=""),"БЛОК: нужны и дата, и сумма",IF(B423&lt;=0,"БЛОК: сумма должна быть больше нуля",IF(D423="","БЛОК: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вас",IF(COUNTIF(Акты!$B$5:$B$16,D423)=0,"БЛОК: такого акта нет на листе «Акты» — добавьте акт или исправьте идентификатор",IF(NOT(ISNUMBER(INDEX(Акты!$E$5:$E$16,MATCH(D423,Акты!$B$5:$B$16,0)))),"БЛОК: у этого акта на листе «Акты» не указан первый день просрочки",IF(A423&lt;INDEX(Акты!$E$5:$E$16,MATCH(D423,Акты!$B$5:$B$16,0)),"БЛОК: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сюда",IF(A423&gt;Ввод!$B$4,"БЛОК: оплата после последнего дня расчёта — продлите расчёт или уберите строку","ок"))))))))</f>
        <v/>
      </c>
    </row>
    <row r="424">
      <c r="A424" s="10" t="n"/>
      <c r="B424" s="15" t="n"/>
      <c r="C424" s="13" t="n"/>
      <c r="D424" s="13" t="n"/>
      <c r="E424" s="5">
        <f>IF(AND(A424="",B424="",C424="",D424=""),"",IF(OR(A424="",B424=""),"БЛОК: нужны и дата, и сумма",IF(B424&lt;=0,"БЛОК: сумма должна быть больше нуля",IF(D424="","БЛОК: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вас",IF(COUNTIF(Акты!$B$5:$B$16,D424)=0,"БЛОК: такого акта нет на листе «Акты» — добавьте акт или исправьте идентификатор",IF(NOT(ISNUMBER(INDEX(Акты!$E$5:$E$16,MATCH(D424,Акты!$B$5:$B$16,0)))),"БЛОК: у этого акта на листе «Акты» не указан первый день просрочки",IF(A424&lt;INDEX(Акты!$E$5:$E$16,MATCH(D424,Акты!$B$5:$B$16,0)),"БЛОК: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сюда",IF(A424&gt;Ввод!$B$4,"БЛОК: оплата после последнего дня расчёта — продлите расчёт или уберите строку","ок"))))))))</f>
        <v/>
      </c>
    </row>
    <row r="425">
      <c r="A425" s="10" t="n"/>
      <c r="B425" s="15" t="n"/>
      <c r="C425" s="13" t="n"/>
      <c r="D425" s="13" t="n"/>
      <c r="E425" s="5">
        <f>IF(AND(A425="",B425="",C425="",D425=""),"",IF(OR(A425="",B425=""),"БЛОК: нужны и дата, и сумма",IF(B425&lt;=0,"БЛОК: сумма должна быть больше нуля",IF(D425="","БЛОК: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вас",IF(COUNTIF(Акты!$B$5:$B$16,D425)=0,"БЛОК: такого акта нет на листе «Акты» — добавьте акт или исправьте идентификатор",IF(NOT(ISNUMBER(INDEX(Акты!$E$5:$E$16,MATCH(D425,Акты!$B$5:$B$16,0)))),"БЛОК: у этого акта на листе «Акты» не указан первый день просрочки",IF(A425&lt;INDEX(Акты!$E$5:$E$16,MATCH(D425,Акты!$B$5:$B$16,0)),"БЛОК: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сюда",IF(A425&gt;Ввод!$B$4,"БЛОК: оплата после последнего дня расчёта — продлите расчёт или уберите строку","ок"))))))))</f>
        <v/>
      </c>
    </row>
    <row r="426">
      <c r="A426" s="10" t="n"/>
      <c r="B426" s="15" t="n"/>
      <c r="C426" s="13" t="n"/>
      <c r="D426" s="13" t="n"/>
      <c r="E426" s="5">
        <f>IF(AND(A426="",B426="",C426="",D426=""),"",IF(OR(A426="",B426=""),"БЛОК: нужны и дата, и сумма",IF(B426&lt;=0,"БЛОК: сумма должна быть больше нуля",IF(D426="","БЛОК: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вас",IF(COUNTIF(Акты!$B$5:$B$16,D426)=0,"БЛОК: такого акта нет на листе «Акты» — добавьте акт или исправьте идентификатор",IF(NOT(ISNUMBER(INDEX(Акты!$E$5:$E$16,MATCH(D426,Акты!$B$5:$B$16,0)))),"БЛОК: у этого акта на листе «Акты» не указан первый день просрочки",IF(A426&lt;INDEX(Акты!$E$5:$E$16,MATCH(D426,Акты!$B$5:$B$16,0)),"БЛОК: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сюда",IF(A426&gt;Ввод!$B$4,"БЛОК: оплата после последнего дня расчёта — продлите расчёт или уберите строку","ок"))))))))</f>
        <v/>
      </c>
    </row>
    <row r="427">
      <c r="A427" s="10" t="n"/>
      <c r="B427" s="15" t="n"/>
      <c r="C427" s="13" t="n"/>
      <c r="D427" s="13" t="n"/>
      <c r="E427" s="5">
        <f>IF(AND(A427="",B427="",C427="",D427=""),"",IF(OR(A427="",B427=""),"БЛОК: нужны и дата, и сумма",IF(B427&lt;=0,"БЛОК: сумма должна быть больше нуля",IF(D427="","БЛОК: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вас",IF(COUNTIF(Акты!$B$5:$B$16,D427)=0,"БЛОК: такого акта нет на листе «Акты» — добавьте акт или исправьте идентификатор",IF(NOT(ISNUMBER(INDEX(Акты!$E$5:$E$16,MATCH(D427,Акты!$B$5:$B$16,0)))),"БЛОК: у этого акта на листе «Акты» не указан первый день просрочки",IF(A427&lt;INDEX(Акты!$E$5:$E$16,MATCH(D427,Акты!$B$5:$B$16,0)),"БЛОК: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сюда",IF(A427&gt;Ввод!$B$4,"БЛОК: оплата после последнего дня расчёта — продлите расчёт или уберите строку","ок"))))))))</f>
        <v/>
      </c>
    </row>
    <row r="428">
      <c r="A428" s="10" t="n"/>
      <c r="B428" s="15" t="n"/>
      <c r="C428" s="13" t="n"/>
      <c r="D428" s="13" t="n"/>
      <c r="E428" s="5">
        <f>IF(AND(A428="",B428="",C428="",D428=""),"",IF(OR(A428="",B428=""),"БЛОК: нужны и дата, и сумма",IF(B428&lt;=0,"БЛОК: сумма должна быть больше нуля",IF(D428="","БЛОК: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вас",IF(COUNTIF(Акты!$B$5:$B$16,D428)=0,"БЛОК: такого акта нет на листе «Акты» — добавьте акт или исправьте идентификатор",IF(NOT(ISNUMBER(INDEX(Акты!$E$5:$E$16,MATCH(D428,Акты!$B$5:$B$16,0)))),"БЛОК: у этого акта на листе «Акты» не указан первый день просрочки",IF(A428&lt;INDEX(Акты!$E$5:$E$16,MATCH(D428,Акты!$B$5:$B$16,0)),"БЛОК: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сюда",IF(A428&gt;Ввод!$B$4,"БЛОК: оплата после последнего дня расчёта — продлите расчёт или уберите строку","ок"))))))))</f>
        <v/>
      </c>
    </row>
    <row r="429">
      <c r="A429" s="10" t="n"/>
      <c r="B429" s="15" t="n"/>
      <c r="C429" s="13" t="n"/>
      <c r="D429" s="13" t="n"/>
      <c r="E429" s="5">
        <f>IF(AND(A429="",B429="",C429="",D429=""),"",IF(OR(A429="",B429=""),"БЛОК: нужны и дата, и сумма",IF(B429&lt;=0,"БЛОК: сумма должна быть больше нуля",IF(D429="","БЛОК: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вас",IF(COUNTIF(Акты!$B$5:$B$16,D429)=0,"БЛОК: такого акта нет на листе «Акты» — добавьте акт или исправьте идентификатор",IF(NOT(ISNUMBER(INDEX(Акты!$E$5:$E$16,MATCH(D429,Акты!$B$5:$B$16,0)))),"БЛОК: у этого акта на листе «Акты» не указан первый день просрочки",IF(A429&lt;INDEX(Акты!$E$5:$E$16,MATCH(D429,Акты!$B$5:$B$16,0)),"БЛОК: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сюда",IF(A429&gt;Ввод!$B$4,"БЛОК: оплата после последнего дня расчёта — продлите расчёт или уберите строку","ок"))))))))</f>
        <v/>
      </c>
    </row>
    <row r="430">
      <c r="A430" s="10" t="n"/>
      <c r="B430" s="15" t="n"/>
      <c r="C430" s="13" t="n"/>
      <c r="D430" s="13" t="n"/>
      <c r="E430" s="5">
        <f>IF(AND(A430="",B430="",C430="",D430=""),"",IF(OR(A430="",B430=""),"БЛОК: нужны и дата, и сумма",IF(B430&lt;=0,"БЛОК: сумма должна быть больше нуля",IF(D430="","БЛОК: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вас",IF(COUNTIF(Акты!$B$5:$B$16,D430)=0,"БЛОК: такого акта нет на листе «Акты» — добавьте акт или исправьте идентификатор",IF(NOT(ISNUMBER(INDEX(Акты!$E$5:$E$16,MATCH(D430,Акты!$B$5:$B$16,0)))),"БЛОК: у этого акта на листе «Акты» не указан первый день просрочки",IF(A430&lt;INDEX(Акты!$E$5:$E$16,MATCH(D430,Акты!$B$5:$B$16,0)),"БЛОК: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сюда",IF(A430&gt;Ввод!$B$4,"БЛОК: оплата после последнего дня расчёта — продлите расчёт или уберите строку","ок"))))))))</f>
        <v/>
      </c>
    </row>
    <row r="431">
      <c r="A431" s="10" t="n"/>
      <c r="B431" s="15" t="n"/>
      <c r="C431" s="13" t="n"/>
      <c r="D431" s="13" t="n"/>
      <c r="E431" s="5">
        <f>IF(AND(A431="",B431="",C431="",D431=""),"",IF(OR(A431="",B431=""),"БЛОК: нужны и дата, и сумма",IF(B431&lt;=0,"БЛОК: сумма должна быть больше нуля",IF(D431="","БЛОК: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вас",IF(COUNTIF(Акты!$B$5:$B$16,D431)=0,"БЛОК: такого акта нет на листе «Акты» — добавьте акт или исправьте идентификатор",IF(NOT(ISNUMBER(INDEX(Акты!$E$5:$E$16,MATCH(D431,Акты!$B$5:$B$16,0)))),"БЛОК: у этого акта на листе «Акты» не указан первый день просрочки",IF(A431&lt;INDEX(Акты!$E$5:$E$16,MATCH(D431,Акты!$B$5:$B$16,0)),"БЛОК: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сюда",IF(A431&gt;Ввод!$B$4,"БЛОК: оплата после последнего дня расчёта — продлите расчёт или уберите строку","ок"))))))))</f>
        <v/>
      </c>
    </row>
    <row r="432">
      <c r="A432" s="10" t="n"/>
      <c r="B432" s="15" t="n"/>
      <c r="C432" s="13" t="n"/>
      <c r="D432" s="13" t="n"/>
      <c r="E432" s="5">
        <f>IF(AND(A432="",B432="",C432="",D432=""),"",IF(OR(A432="",B432=""),"БЛОК: нужны и дата, и сумма",IF(B432&lt;=0,"БЛОК: сумма должна быть больше нуля",IF(D432="","БЛОК: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вас",IF(COUNTIF(Акты!$B$5:$B$16,D432)=0,"БЛОК: такого акта нет на листе «Акты» — добавьте акт или исправьте идентификатор",IF(NOT(ISNUMBER(INDEX(Акты!$E$5:$E$16,MATCH(D432,Акты!$B$5:$B$16,0)))),"БЛОК: у этого акта на листе «Акты» не указан первый день просрочки",IF(A432&lt;INDEX(Акты!$E$5:$E$16,MATCH(D432,Акты!$B$5:$B$16,0)),"БЛОК: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сюда",IF(A432&gt;Ввод!$B$4,"БЛОК: оплата после последнего дня расчёта — продлите расчёт или уберите строку","ок"))))))))</f>
        <v/>
      </c>
    </row>
    <row r="433">
      <c r="A433" s="10" t="n"/>
      <c r="B433" s="15" t="n"/>
      <c r="C433" s="13" t="n"/>
      <c r="D433" s="13" t="n"/>
      <c r="E433" s="5">
        <f>IF(AND(A433="",B433="",C433="",D433=""),"",IF(OR(A433="",B433=""),"БЛОК: нужны и дата, и сумма",IF(B433&lt;=0,"БЛОК: сумма должна быть больше нуля",IF(D433="","БЛОК: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вас",IF(COUNTIF(Акты!$B$5:$B$16,D433)=0,"БЛОК: такого акта нет на листе «Акты» — добавьте акт или исправьте идентификатор",IF(NOT(ISNUMBER(INDEX(Акты!$E$5:$E$16,MATCH(D433,Акты!$B$5:$B$16,0)))),"БЛОК: у этого акта на листе «Акты» не указан первый день просрочки",IF(A433&lt;INDEX(Акты!$E$5:$E$16,MATCH(D433,Акты!$B$5:$B$16,0)),"БЛОК: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сюда",IF(A433&gt;Ввод!$B$4,"БЛОК: оплата после последнего дня расчёта — продлите расчёт или уберите строку","ок"))))))))</f>
        <v/>
      </c>
    </row>
    <row r="434">
      <c r="A434" s="10" t="n"/>
      <c r="B434" s="15" t="n"/>
      <c r="C434" s="13" t="n"/>
      <c r="D434" s="13" t="n"/>
      <c r="E434" s="5">
        <f>IF(AND(A434="",B434="",C434="",D434=""),"",IF(OR(A434="",B434=""),"БЛОК: нужны и дата, и сумма",IF(B434&lt;=0,"БЛОК: сумма должна быть больше нуля",IF(D434="","БЛОК: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вас",IF(COUNTIF(Акты!$B$5:$B$16,D434)=0,"БЛОК: такого акта нет на листе «Акты» — добавьте акт или исправьте идентификатор",IF(NOT(ISNUMBER(INDEX(Акты!$E$5:$E$16,MATCH(D434,Акты!$B$5:$B$16,0)))),"БЛОК: у этого акта на листе «Акты» не указан первый день просрочки",IF(A434&lt;INDEX(Акты!$E$5:$E$16,MATCH(D434,Акты!$B$5:$B$16,0)),"БЛОК: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сюда",IF(A434&gt;Ввод!$B$4,"БЛОК: оплата после последнего дня расчёта — продлите расчёт или уберите строку","ок"))))))))</f>
        <v/>
      </c>
    </row>
    <row r="435">
      <c r="A435" s="10" t="n"/>
      <c r="B435" s="15" t="n"/>
      <c r="C435" s="13" t="n"/>
      <c r="D435" s="13" t="n"/>
      <c r="E435" s="5">
        <f>IF(AND(A435="",B435="",C435="",D435=""),"",IF(OR(A435="",B435=""),"БЛОК: нужны и дата, и сумма",IF(B435&lt;=0,"БЛОК: сумма должна быть больше нуля",IF(D435="","БЛОК: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вас",IF(COUNTIF(Акты!$B$5:$B$16,D435)=0,"БЛОК: такого акта нет на листе «Акты» — добавьте акт или исправьте идентификатор",IF(NOT(ISNUMBER(INDEX(Акты!$E$5:$E$16,MATCH(D435,Акты!$B$5:$B$16,0)))),"БЛОК: у этого акта на листе «Акты» не указан первый день просрочки",IF(A435&lt;INDEX(Акты!$E$5:$E$16,MATCH(D435,Акты!$B$5:$B$16,0)),"БЛОК: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сюда",IF(A435&gt;Ввод!$B$4,"БЛОК: оплата после последнего дня расчёта — продлите расчёт или уберите строку","ок"))))))))</f>
        <v/>
      </c>
    </row>
    <row r="436">
      <c r="A436" s="10" t="n"/>
      <c r="B436" s="15" t="n"/>
      <c r="C436" s="13" t="n"/>
      <c r="D436" s="13" t="n"/>
      <c r="E436" s="5">
        <f>IF(AND(A436="",B436="",C436="",D436=""),"",IF(OR(A436="",B436=""),"БЛОК: нужны и дата, и сумма",IF(B436&lt;=0,"БЛОК: сумма должна быть больше нуля",IF(D436="","БЛОК: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вас",IF(COUNTIF(Акты!$B$5:$B$16,D436)=0,"БЛОК: такого акта нет на листе «Акты» — добавьте акт или исправьте идентификатор",IF(NOT(ISNUMBER(INDEX(Акты!$E$5:$E$16,MATCH(D436,Акты!$B$5:$B$16,0)))),"БЛОК: у этого акта на листе «Акты» не указан первый день просрочки",IF(A436&lt;INDEX(Акты!$E$5:$E$16,MATCH(D436,Акты!$B$5:$B$16,0)),"БЛОК: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сюда",IF(A436&gt;Ввод!$B$4,"БЛОК: оплата после последнего дня расчёта — продлите расчёт или уберите строку","ок"))))))))</f>
        <v/>
      </c>
    </row>
    <row r="437">
      <c r="A437" s="10" t="n"/>
      <c r="B437" s="15" t="n"/>
      <c r="C437" s="13" t="n"/>
      <c r="D437" s="13" t="n"/>
      <c r="E437" s="5">
        <f>IF(AND(A437="",B437="",C437="",D437=""),"",IF(OR(A437="",B437=""),"БЛОК: нужны и дата, и сумма",IF(B437&lt;=0,"БЛОК: сумма должна быть больше нуля",IF(D437="","БЛОК: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вас",IF(COUNTIF(Акты!$B$5:$B$16,D437)=0,"БЛОК: такого акта нет на листе «Акты» — добавьте акт или исправьте идентификатор",IF(NOT(ISNUMBER(INDEX(Акты!$E$5:$E$16,MATCH(D437,Акты!$B$5:$B$16,0)))),"БЛОК: у этого акта на листе «Акты» не указан первый день просрочки",IF(A437&lt;INDEX(Акты!$E$5:$E$16,MATCH(D437,Акты!$B$5:$B$16,0)),"БЛОК: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сюда",IF(A437&gt;Ввод!$B$4,"БЛОК: оплата после последнего дня расчёта — продлите расчёт или уберите строку","ок"))))))))</f>
        <v/>
      </c>
    </row>
    <row r="438">
      <c r="A438" s="10" t="n"/>
      <c r="B438" s="15" t="n"/>
      <c r="C438" s="13" t="n"/>
      <c r="D438" s="13" t="n"/>
      <c r="E438" s="5">
        <f>IF(AND(A438="",B438="",C438="",D438=""),"",IF(OR(A438="",B438=""),"БЛОК: нужны и дата, и сумма",IF(B438&lt;=0,"БЛОК: сумма должна быть больше нуля",IF(D438="","БЛОК: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вас",IF(COUNTIF(Акты!$B$5:$B$16,D438)=0,"БЛОК: такого акта нет на листе «Акты» — добавьте акт или исправьте идентификатор",IF(NOT(ISNUMBER(INDEX(Акты!$E$5:$E$16,MATCH(D438,Акты!$B$5:$B$16,0)))),"БЛОК: у этого акта на листе «Акты» не указан первый день просрочки",IF(A438&lt;INDEX(Акты!$E$5:$E$16,MATCH(D438,Акты!$B$5:$B$16,0)),"БЛОК: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сюда",IF(A438&gt;Ввод!$B$4,"БЛОК: оплата после последнего дня расчёта — продлите расчёт или уберите строку","ок"))))))))</f>
        <v/>
      </c>
    </row>
    <row r="439">
      <c r="A439" s="10" t="n"/>
      <c r="B439" s="15" t="n"/>
      <c r="C439" s="13" t="n"/>
      <c r="D439" s="13" t="n"/>
      <c r="E439" s="5">
        <f>IF(AND(A439="",B439="",C439="",D439=""),"",IF(OR(A439="",B439=""),"БЛОК: нужны и дата, и сумма",IF(B439&lt;=0,"БЛОК: сумма должна быть больше нуля",IF(D439="","БЛОК: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вас",IF(COUNTIF(Акты!$B$5:$B$16,D439)=0,"БЛОК: такого акта нет на листе «Акты» — добавьте акт или исправьте идентификатор",IF(NOT(ISNUMBER(INDEX(Акты!$E$5:$E$16,MATCH(D439,Акты!$B$5:$B$16,0)))),"БЛОК: у этого акта на листе «Акты» не указан первый день просрочки",IF(A439&lt;INDEX(Акты!$E$5:$E$16,MATCH(D439,Акты!$B$5:$B$16,0)),"БЛОК: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сюда",IF(A439&gt;Ввод!$B$4,"БЛОК: оплата после последнего дня расчёта — продлите расчёт или уберите строку","ок"))))))))</f>
        <v/>
      </c>
    </row>
    <row r="440">
      <c r="A440" s="10" t="n"/>
      <c r="B440" s="15" t="n"/>
      <c r="C440" s="13" t="n"/>
      <c r="D440" s="13" t="n"/>
      <c r="E440" s="5">
        <f>IF(AND(A440="",B440="",C440="",D440=""),"",IF(OR(A440="",B440=""),"БЛОК: нужны и дата, и сумма",IF(B440&lt;=0,"БЛОК: сумма должна быть больше нуля",IF(D440="","БЛОК: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вас",IF(COUNTIF(Акты!$B$5:$B$16,D440)=0,"БЛОК: такого акта нет на листе «Акты» — добавьте акт или исправьте идентификатор",IF(NOT(ISNUMBER(INDEX(Акты!$E$5:$E$16,MATCH(D440,Акты!$B$5:$B$16,0)))),"БЛОК: у этого акта на листе «Акты» не указан первый день просрочки",IF(A440&lt;INDEX(Акты!$E$5:$E$16,MATCH(D440,Акты!$B$5:$B$16,0)),"БЛОК: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сюда",IF(A440&gt;Ввод!$B$4,"БЛОК: оплата после последнего дня расчёта — продлите расчёт или уберите строку","ок"))))))))</f>
        <v/>
      </c>
    </row>
    <row r="441">
      <c r="A441" s="10" t="n"/>
      <c r="B441" s="15" t="n"/>
      <c r="C441" s="13" t="n"/>
      <c r="D441" s="13" t="n"/>
      <c r="E441" s="5">
        <f>IF(AND(A441="",B441="",C441="",D441=""),"",IF(OR(A441="",B441=""),"БЛОК: нужны и дата, и сумма",IF(B441&lt;=0,"БЛОК: сумма должна быть больше нуля",IF(D441="","БЛОК: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вас",IF(COUNTIF(Акты!$B$5:$B$16,D441)=0,"БЛОК: такого акта нет на листе «Акты» — добавьте акт или исправьте идентификатор",IF(NOT(ISNUMBER(INDEX(Акты!$E$5:$E$16,MATCH(D441,Акты!$B$5:$B$16,0)))),"БЛОК: у этого акта на листе «Акты» не указан первый день просрочки",IF(A441&lt;INDEX(Акты!$E$5:$E$16,MATCH(D441,Акты!$B$5:$B$16,0)),"БЛОК: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сюда",IF(A441&gt;Ввод!$B$4,"БЛОК: оплата после последнего дня расчёта — продлите расчёт или уберите строку","ок"))))))))</f>
        <v/>
      </c>
    </row>
    <row r="442">
      <c r="A442" s="10" t="n"/>
      <c r="B442" s="15" t="n"/>
      <c r="C442" s="13" t="n"/>
      <c r="D442" s="13" t="n"/>
      <c r="E442" s="5">
        <f>IF(AND(A442="",B442="",C442="",D442=""),"",IF(OR(A442="",B442=""),"БЛОК: нужны и дата, и сумма",IF(B442&lt;=0,"БЛОК: сумма должна быть больше нуля",IF(D442="","БЛОК: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вас",IF(COUNTIF(Акты!$B$5:$B$16,D442)=0,"БЛОК: такого акта нет на листе «Акты» — добавьте акт или исправьте идентификатор",IF(NOT(ISNUMBER(INDEX(Акты!$E$5:$E$16,MATCH(D442,Акты!$B$5:$B$16,0)))),"БЛОК: у этого акта на листе «Акты» не указан первый день просрочки",IF(A442&lt;INDEX(Акты!$E$5:$E$16,MATCH(D442,Акты!$B$5:$B$16,0)),"БЛОК: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сюда",IF(A442&gt;Ввод!$B$4,"БЛОК: оплата после последнего дня расчёта — продлите расчёт или уберите строку","ок"))))))))</f>
        <v/>
      </c>
    </row>
    <row r="443">
      <c r="A443" s="10" t="n"/>
      <c r="B443" s="15" t="n"/>
      <c r="C443" s="13" t="n"/>
      <c r="D443" s="13" t="n"/>
      <c r="E443" s="5">
        <f>IF(AND(A443="",B443="",C443="",D443=""),"",IF(OR(A443="",B443=""),"БЛОК: нужны и дата, и сумма",IF(B443&lt;=0,"БЛОК: сумма должна быть больше нуля",IF(D443="","БЛОК: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вас",IF(COUNTIF(Акты!$B$5:$B$16,D443)=0,"БЛОК: такого акта нет на листе «Акты» — добавьте акт или исправьте идентификатор",IF(NOT(ISNUMBER(INDEX(Акты!$E$5:$E$16,MATCH(D443,Акты!$B$5:$B$16,0)))),"БЛОК: у этого акта на листе «Акты» не указан первый день просрочки",IF(A443&lt;INDEX(Акты!$E$5:$E$16,MATCH(D443,Акты!$B$5:$B$16,0)),"БЛОК: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сюда",IF(A443&gt;Ввод!$B$4,"БЛОК: оплата после последнего дня расчёта — продлите расчёт или уберите строку","ок"))))))))</f>
        <v/>
      </c>
    </row>
    <row r="444">
      <c r="A444" s="10" t="n"/>
      <c r="B444" s="15" t="n"/>
      <c r="C444" s="13" t="n"/>
      <c r="D444" s="13" t="n"/>
      <c r="E444" s="5">
        <f>IF(AND(A444="",B444="",C444="",D444=""),"",IF(OR(A444="",B444=""),"БЛОК: нужны и дата, и сумма",IF(B444&lt;=0,"БЛОК: сумма должна быть больше нуля",IF(D444="","БЛОК: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вас",IF(COUNTIF(Акты!$B$5:$B$16,D444)=0,"БЛОК: такого акта нет на листе «Акты» — добавьте акт или исправьте идентификатор",IF(NOT(ISNUMBER(INDEX(Акты!$E$5:$E$16,MATCH(D444,Акты!$B$5:$B$16,0)))),"БЛОК: у этого акта на листе «Акты» не указан первый день просрочки",IF(A444&lt;INDEX(Акты!$E$5:$E$16,MATCH(D444,Акты!$B$5:$B$16,0)),"БЛОК: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сюда",IF(A444&gt;Ввод!$B$4,"БЛОК: оплата после последнего дня расчёта — продлите расчёт или уберите строку","ок"))))))))</f>
        <v/>
      </c>
    </row>
    <row r="445">
      <c r="A445" s="10" t="n"/>
      <c r="B445" s="15" t="n"/>
      <c r="C445" s="13" t="n"/>
      <c r="D445" s="13" t="n"/>
      <c r="E445" s="5">
        <f>IF(AND(A445="",B445="",C445="",D445=""),"",IF(OR(A445="",B445=""),"БЛОК: нужны и дата, и сумма",IF(B445&lt;=0,"БЛОК: сумма должна быть больше нуля",IF(D445="","БЛОК: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вас",IF(COUNTIF(Акты!$B$5:$B$16,D445)=0,"БЛОК: такого акта нет на листе «Акты» — добавьте акт или исправьте идентификатор",IF(NOT(ISNUMBER(INDEX(Акты!$E$5:$E$16,MATCH(D445,Акты!$B$5:$B$16,0)))),"БЛОК: у этого акта на листе «Акты» не указан первый день просрочки",IF(A445&lt;INDEX(Акты!$E$5:$E$16,MATCH(D445,Акты!$B$5:$B$16,0)),"БЛОК: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сюда",IF(A445&gt;Ввод!$B$4,"БЛОК: оплата после последнего дня расчёта — продлите расчёт или уберите строку","ок"))))))))</f>
        <v/>
      </c>
    </row>
    <row r="446">
      <c r="A446" s="10" t="n"/>
      <c r="B446" s="15" t="n"/>
      <c r="C446" s="13" t="n"/>
      <c r="D446" s="13" t="n"/>
      <c r="E446" s="5">
        <f>IF(AND(A446="",B446="",C446="",D446=""),"",IF(OR(A446="",B446=""),"БЛОК: нужны и дата, и сумма",IF(B446&lt;=0,"БЛОК: сумма должна быть больше нуля",IF(D446="","БЛОК: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вас",IF(COUNTIF(Акты!$B$5:$B$16,D446)=0,"БЛОК: такого акта нет на листе «Акты» — добавьте акт или исправьте идентификатор",IF(NOT(ISNUMBER(INDEX(Акты!$E$5:$E$16,MATCH(D446,Акты!$B$5:$B$16,0)))),"БЛОК: у этого акта на листе «Акты» не указан первый день просрочки",IF(A446&lt;INDEX(Акты!$E$5:$E$16,MATCH(D446,Акты!$B$5:$B$16,0)),"БЛОК: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сюда",IF(A446&gt;Ввод!$B$4,"БЛОК: оплата после последнего дня расчёта — продлите расчёт или уберите строку","ок"))))))))</f>
        <v/>
      </c>
    </row>
    <row r="447">
      <c r="A447" s="10" t="n"/>
      <c r="B447" s="15" t="n"/>
      <c r="C447" s="13" t="n"/>
      <c r="D447" s="13" t="n"/>
      <c r="E447" s="5">
        <f>IF(AND(A447="",B447="",C447="",D447=""),"",IF(OR(A447="",B447=""),"БЛОК: нужны и дата, и сумма",IF(B447&lt;=0,"БЛОК: сумма должна быть больше нуля",IF(D447="","БЛОК: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вас",IF(COUNTIF(Акты!$B$5:$B$16,D447)=0,"БЛОК: такого акта нет на листе «Акты» — добавьте акт или исправьте идентификатор",IF(NOT(ISNUMBER(INDEX(Акты!$E$5:$E$16,MATCH(D447,Акты!$B$5:$B$16,0)))),"БЛОК: у этого акта на листе «Акты» не указан первый день просрочки",IF(A447&lt;INDEX(Акты!$E$5:$E$16,MATCH(D447,Акты!$B$5:$B$16,0)),"БЛОК: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сюда",IF(A447&gt;Ввод!$B$4,"БЛОК: оплата после последнего дня расчёта — продлите расчёт или уберите строку","ок"))))))))</f>
        <v/>
      </c>
    </row>
    <row r="448">
      <c r="A448" s="10" t="n"/>
      <c r="B448" s="15" t="n"/>
      <c r="C448" s="13" t="n"/>
      <c r="D448" s="13" t="n"/>
      <c r="E448" s="5">
        <f>IF(AND(A448="",B448="",C448="",D448=""),"",IF(OR(A448="",B448=""),"БЛОК: нужны и дата, и сумма",IF(B448&lt;=0,"БЛОК: сумма должна быть больше нуля",IF(D448="","БЛОК: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вас",IF(COUNTIF(Акты!$B$5:$B$16,D448)=0,"БЛОК: такого акта нет на листе «Акты» — добавьте акт или исправьте идентификатор",IF(NOT(ISNUMBER(INDEX(Акты!$E$5:$E$16,MATCH(D448,Акты!$B$5:$B$16,0)))),"БЛОК: у этого акта на листе «Акты» не указан первый день просрочки",IF(A448&lt;INDEX(Акты!$E$5:$E$16,MATCH(D448,Акты!$B$5:$B$16,0)),"БЛОК: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сюда",IF(A448&gt;Ввод!$B$4,"БЛОК: оплата после последнего дня расчёта — продлите расчёт или уберите строку","ок"))))))))</f>
        <v/>
      </c>
    </row>
    <row r="449">
      <c r="A449" s="10" t="n"/>
      <c r="B449" s="15" t="n"/>
      <c r="C449" s="13" t="n"/>
      <c r="D449" s="13" t="n"/>
      <c r="E449" s="5">
        <f>IF(AND(A449="",B449="",C449="",D449=""),"",IF(OR(A449="",B449=""),"БЛОК: нужны и дата, и сумма",IF(B449&lt;=0,"БЛОК: сумма должна быть больше нуля",IF(D449="","БЛОК: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вас",IF(COUNTIF(Акты!$B$5:$B$16,D449)=0,"БЛОК: такого акта нет на листе «Акты» — добавьте акт или исправьте идентификатор",IF(NOT(ISNUMBER(INDEX(Акты!$E$5:$E$16,MATCH(D449,Акты!$B$5:$B$16,0)))),"БЛОК: у этого акта на листе «Акты» не указан первый день просрочки",IF(A449&lt;INDEX(Акты!$E$5:$E$16,MATCH(D449,Акты!$B$5:$B$16,0)),"БЛОК: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сюда",IF(A449&gt;Ввод!$B$4,"БЛОК: оплата после последнего дня расчёта — продлите расчёт или уберите строку","ок"))))))))</f>
        <v/>
      </c>
    </row>
    <row r="450">
      <c r="A450" s="10" t="n"/>
      <c r="B450" s="15" t="n"/>
      <c r="C450" s="13" t="n"/>
      <c r="D450" s="13" t="n"/>
      <c r="E450" s="5">
        <f>IF(AND(A450="",B450="",C450="",D450=""),"",IF(OR(A450="",B450=""),"БЛОК: нужны и дата, и сумма",IF(B450&lt;=0,"БЛОК: сумма должна быть больше нуля",IF(D450="","БЛОК: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вас",IF(COUNTIF(Акты!$B$5:$B$16,D450)=0,"БЛОК: такого акта нет на листе «Акты» — добавьте акт или исправьте идентификатор",IF(NOT(ISNUMBER(INDEX(Акты!$E$5:$E$16,MATCH(D450,Акты!$B$5:$B$16,0)))),"БЛОК: у этого акта на листе «Акты» не указан первый день просрочки",IF(A450&lt;INDEX(Акты!$E$5:$E$16,MATCH(D450,Акты!$B$5:$B$16,0)),"БЛОК: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сюда",IF(A450&gt;Ввод!$B$4,"БЛОК: оплата после последнего дня расчёта — продлите расчёт или уберите строку","ок"))))))))</f>
        <v/>
      </c>
    </row>
    <row r="451">
      <c r="A451" s="10" t="n"/>
      <c r="B451" s="15" t="n"/>
      <c r="C451" s="13" t="n"/>
      <c r="D451" s="13" t="n"/>
      <c r="E451" s="5">
        <f>IF(AND(A451="",B451="",C451="",D451=""),"",IF(OR(A451="",B451=""),"БЛОК: нужны и дата, и сумма",IF(B451&lt;=0,"БЛОК: сумма должна быть больше нуля",IF(D451="","БЛОК: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вас",IF(COUNTIF(Акты!$B$5:$B$16,D451)=0,"БЛОК: такого акта нет на листе «Акты» — добавьте акт или исправьте идентификатор",IF(NOT(ISNUMBER(INDEX(Акты!$E$5:$E$16,MATCH(D451,Акты!$B$5:$B$16,0)))),"БЛОК: у этого акта на листе «Акты» не указан первый день просрочки",IF(A451&lt;INDEX(Акты!$E$5:$E$16,MATCH(D451,Акты!$B$5:$B$16,0)),"БЛОК: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сюда",IF(A451&gt;Ввод!$B$4,"БЛОК: оплата после последнего дня расчёта — продлите расчёт или уберите строку","ок"))))))))</f>
        <v/>
      </c>
    </row>
    <row r="452">
      <c r="A452" s="10" t="n"/>
      <c r="B452" s="15" t="n"/>
      <c r="C452" s="13" t="n"/>
      <c r="D452" s="13" t="n"/>
      <c r="E452" s="5">
        <f>IF(AND(A452="",B452="",C452="",D452=""),"",IF(OR(A452="",B452=""),"БЛОК: нужны и дата, и сумма",IF(B452&lt;=0,"БЛОК: сумма должна быть больше нуля",IF(D452="","БЛОК: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вас",IF(COUNTIF(Акты!$B$5:$B$16,D452)=0,"БЛОК: такого акта нет на листе «Акты» — добавьте акт или исправьте идентификатор",IF(NOT(ISNUMBER(INDEX(Акты!$E$5:$E$16,MATCH(D452,Акты!$B$5:$B$16,0)))),"БЛОК: у этого акта на листе «Акты» не указан первый день просрочки",IF(A452&lt;INDEX(Акты!$E$5:$E$16,MATCH(D452,Акты!$B$5:$B$16,0)),"БЛОК: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сюда",IF(A452&gt;Ввод!$B$4,"БЛОК: оплата после последнего дня расчёта — продлите расчёт или уберите строку","ок"))))))))</f>
        <v/>
      </c>
    </row>
    <row r="453">
      <c r="A453" s="10" t="n"/>
      <c r="B453" s="15" t="n"/>
      <c r="C453" s="13" t="n"/>
      <c r="D453" s="13" t="n"/>
      <c r="E453" s="5">
        <f>IF(AND(A453="",B453="",C453="",D453=""),"",IF(OR(A453="",B453=""),"БЛОК: нужны и дата, и сумма",IF(B453&lt;=0,"БЛОК: сумма должна быть больше нуля",IF(D453="","БЛОК: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вас",IF(COUNTIF(Акты!$B$5:$B$16,D453)=0,"БЛОК: такого акта нет на листе «Акты» — добавьте акт или исправьте идентификатор",IF(NOT(ISNUMBER(INDEX(Акты!$E$5:$E$16,MATCH(D453,Акты!$B$5:$B$16,0)))),"БЛОК: у этого акта на листе «Акты» не указан первый день просрочки",IF(A453&lt;INDEX(Акты!$E$5:$E$16,MATCH(D453,Акты!$B$5:$B$16,0)),"БЛОК: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сюда",IF(A453&gt;Ввод!$B$4,"БЛОК: оплата после последнего дня расчёта — продлите расчёт или уберите строку","ок"))))))))</f>
        <v/>
      </c>
    </row>
    <row r="454">
      <c r="A454" s="10" t="n"/>
      <c r="B454" s="15" t="n"/>
      <c r="C454" s="13" t="n"/>
      <c r="D454" s="13" t="n"/>
      <c r="E454" s="5">
        <f>IF(AND(A454="",B454="",C454="",D454=""),"",IF(OR(A454="",B454=""),"БЛОК: нужны и дата, и сумма",IF(B454&lt;=0,"БЛОК: сумма должна быть больше нуля",IF(D454="","БЛОК: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вас",IF(COUNTIF(Акты!$B$5:$B$16,D454)=0,"БЛОК: такого акта нет на листе «Акты» — добавьте акт или исправьте идентификатор",IF(NOT(ISNUMBER(INDEX(Акты!$E$5:$E$16,MATCH(D454,Акты!$B$5:$B$16,0)))),"БЛОК: у этого акта на листе «Акты» не указан первый день просрочки",IF(A454&lt;INDEX(Акты!$E$5:$E$16,MATCH(D454,Акты!$B$5:$B$16,0)),"БЛОК: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сюда",IF(A454&gt;Ввод!$B$4,"БЛОК: оплата после последнего дня расчёта — продлите расчёт или уберите строку","ок"))))))))</f>
        <v/>
      </c>
    </row>
    <row r="455">
      <c r="A455" s="10" t="n"/>
      <c r="B455" s="15" t="n"/>
      <c r="C455" s="13" t="n"/>
      <c r="D455" s="13" t="n"/>
      <c r="E455" s="5">
        <f>IF(AND(A455="",B455="",C455="",D455=""),"",IF(OR(A455="",B455=""),"БЛОК: нужны и дата, и сумма",IF(B455&lt;=0,"БЛОК: сумма должна быть больше нуля",IF(D455="","БЛОК: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вас",IF(COUNTIF(Акты!$B$5:$B$16,D455)=0,"БЛОК: такого акта нет на листе «Акты» — добавьте акт или исправьте идентификатор",IF(NOT(ISNUMBER(INDEX(Акты!$E$5:$E$16,MATCH(D455,Акты!$B$5:$B$16,0)))),"БЛОК: у этого акта на листе «Акты» не указан первый день просрочки",IF(A455&lt;INDEX(Акты!$E$5:$E$16,MATCH(D455,Акты!$B$5:$B$16,0)),"БЛОК: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сюда",IF(A455&gt;Ввод!$B$4,"БЛОК: оплата после последнего дня расчёта — продлите расчёт или уберите строку","ок"))))))))</f>
        <v/>
      </c>
    </row>
    <row r="456">
      <c r="A456" s="10" t="n"/>
      <c r="B456" s="15" t="n"/>
      <c r="C456" s="13" t="n"/>
      <c r="D456" s="13" t="n"/>
      <c r="E456" s="5">
        <f>IF(AND(A456="",B456="",C456="",D456=""),"",IF(OR(A456="",B456=""),"БЛОК: нужны и дата, и сумма",IF(B456&lt;=0,"БЛОК: сумма должна быть больше нуля",IF(D456="","БЛОК: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вас",IF(COUNTIF(Акты!$B$5:$B$16,D456)=0,"БЛОК: такого акта нет на листе «Акты» — добавьте акт или исправьте идентификатор",IF(NOT(ISNUMBER(INDEX(Акты!$E$5:$E$16,MATCH(D456,Акты!$B$5:$B$16,0)))),"БЛОК: у этого акта на листе «Акты» не указан первый день просрочки",IF(A456&lt;INDEX(Акты!$E$5:$E$16,MATCH(D456,Акты!$B$5:$B$16,0)),"БЛОК: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сюда",IF(A456&gt;Ввод!$B$4,"БЛОК: оплата после последнего дня расчёта — продлите расчёт или уберите строку","ок"))))))))</f>
        <v/>
      </c>
    </row>
    <row r="457">
      <c r="A457" s="10" t="n"/>
      <c r="B457" s="15" t="n"/>
      <c r="C457" s="13" t="n"/>
      <c r="D457" s="13" t="n"/>
      <c r="E457" s="5">
        <f>IF(AND(A457="",B457="",C457="",D457=""),"",IF(OR(A457="",B457=""),"БЛОК: нужны и дата, и сумма",IF(B457&lt;=0,"БЛОК: сумма должна быть больше нуля",IF(D457="","БЛОК: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вас",IF(COUNTIF(Акты!$B$5:$B$16,D457)=0,"БЛОК: такого акта нет на листе «Акты» — добавьте акт или исправьте идентификатор",IF(NOT(ISNUMBER(INDEX(Акты!$E$5:$E$16,MATCH(D457,Акты!$B$5:$B$16,0)))),"БЛОК: у этого акта на листе «Акты» не указан первый день просрочки",IF(A457&lt;INDEX(Акты!$E$5:$E$16,MATCH(D457,Акты!$B$5:$B$16,0)),"БЛОК: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сюда",IF(A457&gt;Ввод!$B$4,"БЛОК: оплата после последнего дня расчёта — продлите расчёт или уберите строку","ок"))))))))</f>
        <v/>
      </c>
    </row>
    <row r="458">
      <c r="A458" s="10" t="n"/>
      <c r="B458" s="15" t="n"/>
      <c r="C458" s="13" t="n"/>
      <c r="D458" s="13" t="n"/>
      <c r="E458" s="5">
        <f>IF(AND(A458="",B458="",C458="",D458=""),"",IF(OR(A458="",B458=""),"БЛОК: нужны и дата, и сумма",IF(B458&lt;=0,"БЛОК: сумма должна быть больше нуля",IF(D458="","БЛОК: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вас",IF(COUNTIF(Акты!$B$5:$B$16,D458)=0,"БЛОК: такого акта нет на листе «Акты» — добавьте акт или исправьте идентификатор",IF(NOT(ISNUMBER(INDEX(Акты!$E$5:$E$16,MATCH(D458,Акты!$B$5:$B$16,0)))),"БЛОК: у этого акта на листе «Акты» не указан первый день просрочки",IF(A458&lt;INDEX(Акты!$E$5:$E$16,MATCH(D458,Акты!$B$5:$B$16,0)),"БЛОК: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сюда",IF(A458&gt;Ввод!$B$4,"БЛОК: оплата после последнего дня расчёта — продлите расчёт или уберите строку","ок"))))))))</f>
        <v/>
      </c>
    </row>
    <row r="459">
      <c r="A459" s="10" t="n"/>
      <c r="B459" s="15" t="n"/>
      <c r="C459" s="13" t="n"/>
      <c r="D459" s="13" t="n"/>
      <c r="E459" s="5">
        <f>IF(AND(A459="",B459="",C459="",D459=""),"",IF(OR(A459="",B459=""),"БЛОК: нужны и дата, и сумма",IF(B459&lt;=0,"БЛОК: сумма должна быть больше нуля",IF(D459="","БЛОК: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вас",IF(COUNTIF(Акты!$B$5:$B$16,D459)=0,"БЛОК: такого акта нет на листе «Акты» — добавьте акт или исправьте идентификатор",IF(NOT(ISNUMBER(INDEX(Акты!$E$5:$E$16,MATCH(D459,Акты!$B$5:$B$16,0)))),"БЛОК: у этого акта на листе «Акты» не указан первый день просрочки",IF(A459&lt;INDEX(Акты!$E$5:$E$16,MATCH(D459,Акты!$B$5:$B$16,0)),"БЛОК: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сюда",IF(A459&gt;Ввод!$B$4,"БЛОК: оплата после последнего дня расчёта — продлите расчёт или уберите строку","ок"))))))))</f>
        <v/>
      </c>
    </row>
    <row r="460">
      <c r="A460" s="10" t="n"/>
      <c r="B460" s="15" t="n"/>
      <c r="C460" s="13" t="n"/>
      <c r="D460" s="13" t="n"/>
      <c r="E460" s="5">
        <f>IF(AND(A460="",B460="",C460="",D460=""),"",IF(OR(A460="",B460=""),"БЛОК: нужны и дата, и сумма",IF(B460&lt;=0,"БЛОК: сумма должна быть больше нуля",IF(D460="","БЛОК: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вас",IF(COUNTIF(Акты!$B$5:$B$16,D460)=0,"БЛОК: такого акта нет на листе «Акты» — добавьте акт или исправьте идентификатор",IF(NOT(ISNUMBER(INDEX(Акты!$E$5:$E$16,MATCH(D460,Акты!$B$5:$B$16,0)))),"БЛОК: у этого акта на листе «Акты» не указан первый день просрочки",IF(A460&lt;INDEX(Акты!$E$5:$E$16,MATCH(D460,Акты!$B$5:$B$16,0)),"БЛОК: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сюда",IF(A460&gt;Ввод!$B$4,"БЛОК: оплата после последнего дня расчёта — продлите расчёт или уберите строку","ок"))))))))</f>
        <v/>
      </c>
    </row>
    <row r="461">
      <c r="A461" s="10" t="n"/>
      <c r="B461" s="15" t="n"/>
      <c r="C461" s="13" t="n"/>
      <c r="D461" s="13" t="n"/>
      <c r="E461" s="5">
        <f>IF(AND(A461="",B461="",C461="",D461=""),"",IF(OR(A461="",B461=""),"БЛОК: нужны и дата, и сумма",IF(B461&lt;=0,"БЛОК: сумма должна быть больше нуля",IF(D461="","БЛОК: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вас",IF(COUNTIF(Акты!$B$5:$B$16,D461)=0,"БЛОК: такого акта нет на листе «Акты» — добавьте акт или исправьте идентификатор",IF(NOT(ISNUMBER(INDEX(Акты!$E$5:$E$16,MATCH(D461,Акты!$B$5:$B$16,0)))),"БЛОК: у этого акта на листе «Акты» не указан первый день просрочки",IF(A461&lt;INDEX(Акты!$E$5:$E$16,MATCH(D461,Акты!$B$5:$B$16,0)),"БЛОК: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сюда",IF(A461&gt;Ввод!$B$4,"БЛОК: оплата после последнего дня расчёта — продлите расчёт или уберите строку","ок"))))))))</f>
        <v/>
      </c>
    </row>
    <row r="462">
      <c r="A462" s="10" t="n"/>
      <c r="B462" s="15" t="n"/>
      <c r="C462" s="13" t="n"/>
      <c r="D462" s="13" t="n"/>
      <c r="E462" s="5">
        <f>IF(AND(A462="",B462="",C462="",D462=""),"",IF(OR(A462="",B462=""),"БЛОК: нужны и дата, и сумма",IF(B462&lt;=0,"БЛОК: сумма должна быть больше нуля",IF(D462="","БЛОК: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вас",IF(COUNTIF(Акты!$B$5:$B$16,D462)=0,"БЛОК: такого акта нет на листе «Акты» — добавьте акт или исправьте идентификатор",IF(NOT(ISNUMBER(INDEX(Акты!$E$5:$E$16,MATCH(D462,Акты!$B$5:$B$16,0)))),"БЛОК: у этого акта на листе «Акты» не указан первый день просрочки",IF(A462&lt;INDEX(Акты!$E$5:$E$16,MATCH(D462,Акты!$B$5:$B$16,0)),"БЛОК: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сюда",IF(A462&gt;Ввод!$B$4,"БЛОК: оплата после последнего дня расчёта — продлите расчёт или уберите строку","ок"))))))))</f>
        <v/>
      </c>
    </row>
    <row r="463">
      <c r="A463" s="10" t="n"/>
      <c r="B463" s="15" t="n"/>
      <c r="C463" s="13" t="n"/>
      <c r="D463" s="13" t="n"/>
      <c r="E463" s="5">
        <f>IF(AND(A463="",B463="",C463="",D463=""),"",IF(OR(A463="",B463=""),"БЛОК: нужны и дата, и сумма",IF(B463&lt;=0,"БЛОК: сумма должна быть больше нуля",IF(D463="","БЛОК: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вас",IF(COUNTIF(Акты!$B$5:$B$16,D463)=0,"БЛОК: такого акта нет на листе «Акты» — добавьте акт или исправьте идентификатор",IF(NOT(ISNUMBER(INDEX(Акты!$E$5:$E$16,MATCH(D463,Акты!$B$5:$B$16,0)))),"БЛОК: у этого акта на листе «Акты» не указан первый день просрочки",IF(A463&lt;INDEX(Акты!$E$5:$E$16,MATCH(D463,Акты!$B$5:$B$16,0)),"БЛОК: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сюда",IF(A463&gt;Ввод!$B$4,"БЛОК: оплата после последнего дня расчёта — продлите расчёт или уберите строку","ок"))))))))</f>
        <v/>
      </c>
    </row>
    <row r="464">
      <c r="A464" s="10" t="n"/>
      <c r="B464" s="15" t="n"/>
      <c r="C464" s="13" t="n"/>
      <c r="D464" s="13" t="n"/>
      <c r="E464" s="5">
        <f>IF(AND(A464="",B464="",C464="",D464=""),"",IF(OR(A464="",B464=""),"БЛОК: нужны и дата, и сумма",IF(B464&lt;=0,"БЛОК: сумма должна быть больше нуля",IF(D464="","БЛОК: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вас",IF(COUNTIF(Акты!$B$5:$B$16,D464)=0,"БЛОК: такого акта нет на листе «Акты» — добавьте акт или исправьте идентификатор",IF(NOT(ISNUMBER(INDEX(Акты!$E$5:$E$16,MATCH(D464,Акты!$B$5:$B$16,0)))),"БЛОК: у этого акта на листе «Акты» не указан первый день просрочки",IF(A464&lt;INDEX(Акты!$E$5:$E$16,MATCH(D464,Акты!$B$5:$B$16,0)),"БЛОК: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сюда",IF(A464&gt;Ввод!$B$4,"БЛОК: оплата после последнего дня расчёта — продлите расчёт или уберите строку","ок"))))))))</f>
        <v/>
      </c>
    </row>
    <row r="465">
      <c r="A465" s="10" t="n"/>
      <c r="B465" s="15" t="n"/>
      <c r="C465" s="13" t="n"/>
      <c r="D465" s="13" t="n"/>
      <c r="E465" s="5">
        <f>IF(AND(A465="",B465="",C465="",D465=""),"",IF(OR(A465="",B465=""),"БЛОК: нужны и дата, и сумма",IF(B465&lt;=0,"БЛОК: сумма должна быть больше нуля",IF(D465="","БЛОК: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вас",IF(COUNTIF(Акты!$B$5:$B$16,D465)=0,"БЛОК: такого акта нет на листе «Акты» — добавьте акт или исправьте идентификатор",IF(NOT(ISNUMBER(INDEX(Акты!$E$5:$E$16,MATCH(D465,Акты!$B$5:$B$16,0)))),"БЛОК: у этого акта на листе «Акты» не указан первый день просрочки",IF(A465&lt;INDEX(Акты!$E$5:$E$16,MATCH(D465,Акты!$B$5:$B$16,0)),"БЛОК: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сюда",IF(A465&gt;Ввод!$B$4,"БЛОК: оплата после последнего дня расчёта — продлите расчёт или уберите строку","ок"))))))))</f>
        <v/>
      </c>
    </row>
    <row r="466">
      <c r="A466" s="10" t="n"/>
      <c r="B466" s="15" t="n"/>
      <c r="C466" s="13" t="n"/>
      <c r="D466" s="13" t="n"/>
      <c r="E466" s="5">
        <f>IF(AND(A466="",B466="",C466="",D466=""),"",IF(OR(A466="",B466=""),"БЛОК: нужны и дата, и сумма",IF(B466&lt;=0,"БЛОК: сумма должна быть больше нуля",IF(D466="","БЛОК: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вас",IF(COUNTIF(Акты!$B$5:$B$16,D466)=0,"БЛОК: такого акта нет на листе «Акты» — добавьте акт или исправьте идентификатор",IF(NOT(ISNUMBER(INDEX(Акты!$E$5:$E$16,MATCH(D466,Акты!$B$5:$B$16,0)))),"БЛОК: у этого акта на листе «Акты» не указан первый день просрочки",IF(A466&lt;INDEX(Акты!$E$5:$E$16,MATCH(D466,Акты!$B$5:$B$16,0)),"БЛОК: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сюда",IF(A466&gt;Ввод!$B$4,"БЛОК: оплата после последнего дня расчёта — продлите расчёт или уберите строку","ок"))))))))</f>
        <v/>
      </c>
    </row>
    <row r="467">
      <c r="A467" s="10" t="n"/>
      <c r="B467" s="15" t="n"/>
      <c r="C467" s="13" t="n"/>
      <c r="D467" s="13" t="n"/>
      <c r="E467" s="5">
        <f>IF(AND(A467="",B467="",C467="",D467=""),"",IF(OR(A467="",B467=""),"БЛОК: нужны и дата, и сумма",IF(B467&lt;=0,"БЛОК: сумма должна быть больше нуля",IF(D467="","БЛОК: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вас",IF(COUNTIF(Акты!$B$5:$B$16,D467)=0,"БЛОК: такого акта нет на листе «Акты» — добавьте акт или исправьте идентификатор",IF(NOT(ISNUMBER(INDEX(Акты!$E$5:$E$16,MATCH(D467,Акты!$B$5:$B$16,0)))),"БЛОК: у этого акта на листе «Акты» не указан первый день просрочки",IF(A467&lt;INDEX(Акты!$E$5:$E$16,MATCH(D467,Акты!$B$5:$B$16,0)),"БЛОК: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сюда",IF(A467&gt;Ввод!$B$4,"БЛОК: оплата после последнего дня расчёта — продлите расчёт или уберите строку","ок"))))))))</f>
        <v/>
      </c>
    </row>
    <row r="468">
      <c r="A468" s="10" t="n"/>
      <c r="B468" s="15" t="n"/>
      <c r="C468" s="13" t="n"/>
      <c r="D468" s="13" t="n"/>
      <c r="E468" s="5">
        <f>IF(AND(A468="",B468="",C468="",D468=""),"",IF(OR(A468="",B468=""),"БЛОК: нужны и дата, и сумма",IF(B468&lt;=0,"БЛОК: сумма должна быть больше нуля",IF(D468="","БЛОК: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вас",IF(COUNTIF(Акты!$B$5:$B$16,D468)=0,"БЛОК: такого акта нет на листе «Акты» — добавьте акт или исправьте идентификатор",IF(NOT(ISNUMBER(INDEX(Акты!$E$5:$E$16,MATCH(D468,Акты!$B$5:$B$16,0)))),"БЛОК: у этого акта на листе «Акты» не указан первый день просрочки",IF(A468&lt;INDEX(Акты!$E$5:$E$16,MATCH(D468,Акты!$B$5:$B$16,0)),"БЛОК: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сюда",IF(A468&gt;Ввод!$B$4,"БЛОК: оплата после последнего дня расчёта — продлите расчёт или уберите строку","ок"))))))))</f>
        <v/>
      </c>
    </row>
    <row r="469">
      <c r="A469" s="10" t="n"/>
      <c r="B469" s="15" t="n"/>
      <c r="C469" s="13" t="n"/>
      <c r="D469" s="13" t="n"/>
      <c r="E469" s="5">
        <f>IF(AND(A469="",B469="",C469="",D469=""),"",IF(OR(A469="",B469=""),"БЛОК: нужны и дата, и сумма",IF(B469&lt;=0,"БЛОК: сумма должна быть больше нуля",IF(D469="","БЛОК: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вас",IF(COUNTIF(Акты!$B$5:$B$16,D469)=0,"БЛОК: такого акта нет на листе «Акты» — добавьте акт или исправьте идентификатор",IF(NOT(ISNUMBER(INDEX(Акты!$E$5:$E$16,MATCH(D469,Акты!$B$5:$B$16,0)))),"БЛОК: у этого акта на листе «Акты» не указан первый день просрочки",IF(A469&lt;INDEX(Акты!$E$5:$E$16,MATCH(D469,Акты!$B$5:$B$16,0)),"БЛОК: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сюда",IF(A469&gt;Ввод!$B$4,"БЛОК: оплата после последнего дня расчёта — продлите расчёт или уберите строку","ок"))))))))</f>
        <v/>
      </c>
    </row>
    <row r="470">
      <c r="A470" s="10" t="n"/>
      <c r="B470" s="15" t="n"/>
      <c r="C470" s="13" t="n"/>
      <c r="D470" s="13" t="n"/>
      <c r="E470" s="5">
        <f>IF(AND(A470="",B470="",C470="",D470=""),"",IF(OR(A470="",B470=""),"БЛОК: нужны и дата, и сумма",IF(B470&lt;=0,"БЛОК: сумма должна быть больше нуля",IF(D470="","БЛОК: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вас",IF(COUNTIF(Акты!$B$5:$B$16,D470)=0,"БЛОК: такого акта нет на листе «Акты» — добавьте акт или исправьте идентификатор",IF(NOT(ISNUMBER(INDEX(Акты!$E$5:$E$16,MATCH(D470,Акты!$B$5:$B$16,0)))),"БЛОК: у этого акта на листе «Акты» не указан первый день просрочки",IF(A470&lt;INDEX(Акты!$E$5:$E$16,MATCH(D470,Акты!$B$5:$B$16,0)),"БЛОК: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сюда",IF(A470&gt;Ввод!$B$4,"БЛОК: оплата после последнего дня расчёта — продлите расчёт или уберите строку","ок"))))))))</f>
        <v/>
      </c>
    </row>
    <row r="471">
      <c r="A471" s="10" t="n"/>
      <c r="B471" s="15" t="n"/>
      <c r="C471" s="13" t="n"/>
      <c r="D471" s="13" t="n"/>
      <c r="E471" s="5">
        <f>IF(AND(A471="",B471="",C471="",D471=""),"",IF(OR(A471="",B471=""),"БЛОК: нужны и дата, и сумма",IF(B471&lt;=0,"БЛОК: сумма должна быть больше нуля",IF(D471="","БЛОК: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вас",IF(COUNTIF(Акты!$B$5:$B$16,D471)=0,"БЛОК: такого акта нет на листе «Акты» — добавьте акт или исправьте идентификатор",IF(NOT(ISNUMBER(INDEX(Акты!$E$5:$E$16,MATCH(D471,Акты!$B$5:$B$16,0)))),"БЛОК: у этого акта на листе «Акты» не указан первый день просрочки",IF(A471&lt;INDEX(Акты!$E$5:$E$16,MATCH(D471,Акты!$B$5:$B$16,0)),"БЛОК: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сюда",IF(A471&gt;Ввод!$B$4,"БЛОК: оплата после последнего дня расчёта — продлите расчёт или уберите строку","ок"))))))))</f>
        <v/>
      </c>
    </row>
    <row r="472">
      <c r="A472" s="10" t="n"/>
      <c r="B472" s="15" t="n"/>
      <c r="C472" s="13" t="n"/>
      <c r="D472" s="13" t="n"/>
      <c r="E472" s="5">
        <f>IF(AND(A472="",B472="",C472="",D472=""),"",IF(OR(A472="",B472=""),"БЛОК: нужны и дата, и сумма",IF(B472&lt;=0,"БЛОК: сумма должна быть больше нуля",IF(D472="","БЛОК: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вас",IF(COUNTIF(Акты!$B$5:$B$16,D472)=0,"БЛОК: такого акта нет на листе «Акты» — добавьте акт или исправьте идентификатор",IF(NOT(ISNUMBER(INDEX(Акты!$E$5:$E$16,MATCH(D472,Акты!$B$5:$B$16,0)))),"БЛОК: у этого акта на листе «Акты» не указан первый день просрочки",IF(A472&lt;INDEX(Акты!$E$5:$E$16,MATCH(D472,Акты!$B$5:$B$16,0)),"БЛОК: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сюда",IF(A472&gt;Ввод!$B$4,"БЛОК: оплата после последнего дня расчёта — продлите расчёт или уберите строку","ок"))))))))</f>
        <v/>
      </c>
    </row>
    <row r="473">
      <c r="A473" s="10" t="n"/>
      <c r="B473" s="15" t="n"/>
      <c r="C473" s="13" t="n"/>
      <c r="D473" s="13" t="n"/>
      <c r="E473" s="5">
        <f>IF(AND(A473="",B473="",C473="",D473=""),"",IF(OR(A473="",B473=""),"БЛОК: нужны и дата, и сумма",IF(B473&lt;=0,"БЛОК: сумма должна быть больше нуля",IF(D473="","БЛОК: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вас",IF(COUNTIF(Акты!$B$5:$B$16,D473)=0,"БЛОК: такого акта нет на листе «Акты» — добавьте акт или исправьте идентификатор",IF(NOT(ISNUMBER(INDEX(Акты!$E$5:$E$16,MATCH(D473,Акты!$B$5:$B$16,0)))),"БЛОК: у этого акта на листе «Акты» не указан первый день просрочки",IF(A473&lt;INDEX(Акты!$E$5:$E$16,MATCH(D473,Акты!$B$5:$B$16,0)),"БЛОК: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сюда",IF(A473&gt;Ввод!$B$4,"БЛОК: оплата после последнего дня расчёта — продлите расчёт или уберите строку","ок"))))))))</f>
        <v/>
      </c>
    </row>
    <row r="474">
      <c r="A474" s="10" t="n"/>
      <c r="B474" s="15" t="n"/>
      <c r="C474" s="13" t="n"/>
      <c r="D474" s="13" t="n"/>
      <c r="E474" s="5">
        <f>IF(AND(A474="",B474="",C474="",D474=""),"",IF(OR(A474="",B474=""),"БЛОК: нужны и дата, и сумма",IF(B474&lt;=0,"БЛОК: сумма должна быть больше нуля",IF(D474="","БЛОК: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вас",IF(COUNTIF(Акты!$B$5:$B$16,D474)=0,"БЛОК: такого акта нет на листе «Акты» — добавьте акт или исправьте идентификатор",IF(NOT(ISNUMBER(INDEX(Акты!$E$5:$E$16,MATCH(D474,Акты!$B$5:$B$16,0)))),"БЛОК: у этого акта на листе «Акты» не указан первый день просрочки",IF(A474&lt;INDEX(Акты!$E$5:$E$16,MATCH(D474,Акты!$B$5:$B$16,0)),"БЛОК: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сюда",IF(A474&gt;Ввод!$B$4,"БЛОК: оплата после последнего дня расчёта — продлите расчёт или уберите строку","ок"))))))))</f>
        <v/>
      </c>
    </row>
    <row r="475">
      <c r="A475" s="10" t="n"/>
      <c r="B475" s="15" t="n"/>
      <c r="C475" s="13" t="n"/>
      <c r="D475" s="13" t="n"/>
      <c r="E475" s="5">
        <f>IF(AND(A475="",B475="",C475="",D475=""),"",IF(OR(A475="",B475=""),"БЛОК: нужны и дата, и сумма",IF(B475&lt;=0,"БЛОК: сумма должна быть больше нуля",IF(D475="","БЛОК: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вас",IF(COUNTIF(Акты!$B$5:$B$16,D475)=0,"БЛОК: такого акта нет на листе «Акты» — добавьте акт или исправьте идентификатор",IF(NOT(ISNUMBER(INDEX(Акты!$E$5:$E$16,MATCH(D475,Акты!$B$5:$B$16,0)))),"БЛОК: у этого акта на листе «Акты» не указан первый день просрочки",IF(A475&lt;INDEX(Акты!$E$5:$E$16,MATCH(D475,Акты!$B$5:$B$16,0)),"БЛОК: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сюда",IF(A475&gt;Ввод!$B$4,"БЛОК: оплата после последнего дня расчёта — продлите расчёт или уберите строку","ок"))))))))</f>
        <v/>
      </c>
    </row>
    <row r="476">
      <c r="A476" s="10" t="n"/>
      <c r="B476" s="15" t="n"/>
      <c r="C476" s="13" t="n"/>
      <c r="D476" s="13" t="n"/>
      <c r="E476" s="5">
        <f>IF(AND(A476="",B476="",C476="",D476=""),"",IF(OR(A476="",B476=""),"БЛОК: нужны и дата, и сумма",IF(B476&lt;=0,"БЛОК: сумма должна быть больше нуля",IF(D476="","БЛОК: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вас",IF(COUNTIF(Акты!$B$5:$B$16,D476)=0,"БЛОК: такого акта нет на листе «Акты» — добавьте акт или исправьте идентификатор",IF(NOT(ISNUMBER(INDEX(Акты!$E$5:$E$16,MATCH(D476,Акты!$B$5:$B$16,0)))),"БЛОК: у этого акта на листе «Акты» не указан первый день просрочки",IF(A476&lt;INDEX(Акты!$E$5:$E$16,MATCH(D476,Акты!$B$5:$B$16,0)),"БЛОК: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сюда",IF(A476&gt;Ввод!$B$4,"БЛОК: оплата после последнего дня расчёта — продлите расчёт или уберите строку","ок"))))))))</f>
        <v/>
      </c>
    </row>
    <row r="477">
      <c r="A477" s="10" t="n"/>
      <c r="B477" s="15" t="n"/>
      <c r="C477" s="13" t="n"/>
      <c r="D477" s="13" t="n"/>
      <c r="E477" s="5">
        <f>IF(AND(A477="",B477="",C477="",D477=""),"",IF(OR(A477="",B477=""),"БЛОК: нужны и дата, и сумма",IF(B477&lt;=0,"БЛОК: сумма должна быть больше нуля",IF(D477="","БЛОК: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вас",IF(COUNTIF(Акты!$B$5:$B$16,D477)=0,"БЛОК: такого акта нет на листе «Акты» — добавьте акт или исправьте идентификатор",IF(NOT(ISNUMBER(INDEX(Акты!$E$5:$E$16,MATCH(D477,Акты!$B$5:$B$16,0)))),"БЛОК: у этого акта на листе «Акты» не указан первый день просрочки",IF(A477&lt;INDEX(Акты!$E$5:$E$16,MATCH(D477,Акты!$B$5:$B$16,0)),"БЛОК: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сюда",IF(A477&gt;Ввод!$B$4,"БЛОК: оплата после последнего дня расчёта — продлите расчёт или уберите строку","ок"))))))))</f>
        <v/>
      </c>
    </row>
    <row r="478">
      <c r="A478" s="10" t="n"/>
      <c r="B478" s="15" t="n"/>
      <c r="C478" s="13" t="n"/>
      <c r="D478" s="13" t="n"/>
      <c r="E478" s="5">
        <f>IF(AND(A478="",B478="",C478="",D478=""),"",IF(OR(A478="",B478=""),"БЛОК: нужны и дата, и сумма",IF(B478&lt;=0,"БЛОК: сумма должна быть больше нуля",IF(D478="","БЛОК: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вас",IF(COUNTIF(Акты!$B$5:$B$16,D478)=0,"БЛОК: такого акта нет на листе «Акты» — добавьте акт или исправьте идентификатор",IF(NOT(ISNUMBER(INDEX(Акты!$E$5:$E$16,MATCH(D478,Акты!$B$5:$B$16,0)))),"БЛОК: у этого акта на листе «Акты» не указан первый день просрочки",IF(A478&lt;INDEX(Акты!$E$5:$E$16,MATCH(D478,Акты!$B$5:$B$16,0)),"БЛОК: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сюда",IF(A478&gt;Ввод!$B$4,"БЛОК: оплата после последнего дня расчёта — продлите расчёт или уберите строку","ок"))))))))</f>
        <v/>
      </c>
    </row>
    <row r="479">
      <c r="A479" s="10" t="n"/>
      <c r="B479" s="15" t="n"/>
      <c r="C479" s="13" t="n"/>
      <c r="D479" s="13" t="n"/>
      <c r="E479" s="5">
        <f>IF(AND(A479="",B479="",C479="",D479=""),"",IF(OR(A479="",B479=""),"БЛОК: нужны и дата, и сумма",IF(B479&lt;=0,"БЛОК: сумма должна быть больше нуля",IF(D479="","БЛОК: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вас",IF(COUNTIF(Акты!$B$5:$B$16,D479)=0,"БЛОК: такого акта нет на листе «Акты» — добавьте акт или исправьте идентификатор",IF(NOT(ISNUMBER(INDEX(Акты!$E$5:$E$16,MATCH(D479,Акты!$B$5:$B$16,0)))),"БЛОК: у этого акта на листе «Акты» не указан первый день просрочки",IF(A479&lt;INDEX(Акты!$E$5:$E$16,MATCH(D479,Акты!$B$5:$B$16,0)),"БЛОК: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сюда",IF(A479&gt;Ввод!$B$4,"БЛОК: оплата после последнего дня расчёта — продлите расчёт или уберите строку","ок"))))))))</f>
        <v/>
      </c>
    </row>
    <row r="480">
      <c r="A480" s="10" t="n"/>
      <c r="B480" s="15" t="n"/>
      <c r="C480" s="13" t="n"/>
      <c r="D480" s="13" t="n"/>
      <c r="E480" s="5">
        <f>IF(AND(A480="",B480="",C480="",D480=""),"",IF(OR(A480="",B480=""),"БЛОК: нужны и дата, и сумма",IF(B480&lt;=0,"БЛОК: сумма должна быть больше нуля",IF(D480="","БЛОК: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вас",IF(COUNTIF(Акты!$B$5:$B$16,D480)=0,"БЛОК: такого акта нет на листе «Акты» — добавьте акт или исправьте идентификатор",IF(NOT(ISNUMBER(INDEX(Акты!$E$5:$E$16,MATCH(D480,Акты!$B$5:$B$16,0)))),"БЛОК: у этого акта на листе «Акты» не указан первый день просрочки",IF(A480&lt;INDEX(Акты!$E$5:$E$16,MATCH(D480,Акты!$B$5:$B$16,0)),"БЛОК: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сюда",IF(A480&gt;Ввод!$B$4,"БЛОК: оплата после последнего дня расчёта — продлите расчёт или уберите строку","ок"))))))))</f>
        <v/>
      </c>
    </row>
    <row r="481">
      <c r="A481" s="10" t="n"/>
      <c r="B481" s="15" t="n"/>
      <c r="C481" s="13" t="n"/>
      <c r="D481" s="13" t="n"/>
      <c r="E481" s="5">
        <f>IF(AND(A481="",B481="",C481="",D481=""),"",IF(OR(A481="",B481=""),"БЛОК: нужны и дата, и сумма",IF(B481&lt;=0,"БЛОК: сумма должна быть больше нуля",IF(D481="","БЛОК: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вас",IF(COUNTIF(Акты!$B$5:$B$16,D481)=0,"БЛОК: такого акта нет на листе «Акты» — добавьте акт или исправьте идентификатор",IF(NOT(ISNUMBER(INDEX(Акты!$E$5:$E$16,MATCH(D481,Акты!$B$5:$B$16,0)))),"БЛОК: у этого акта на листе «Акты» не указан первый день просрочки",IF(A481&lt;INDEX(Акты!$E$5:$E$16,MATCH(D481,Акты!$B$5:$B$16,0)),"БЛОК: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сюда",IF(A481&gt;Ввод!$B$4,"БЛОК: оплата после последнего дня расчёта — продлите расчёт или уберите строку","ок"))))))))</f>
        <v/>
      </c>
    </row>
    <row r="482">
      <c r="A482" s="10" t="n"/>
      <c r="B482" s="15" t="n"/>
      <c r="C482" s="13" t="n"/>
      <c r="D482" s="13" t="n"/>
      <c r="E482" s="5">
        <f>IF(AND(A482="",B482="",C482="",D482=""),"",IF(OR(A482="",B482=""),"БЛОК: нужны и дата, и сумма",IF(B482&lt;=0,"БЛОК: сумма должна быть больше нуля",IF(D482="","БЛОК: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вас",IF(COUNTIF(Акты!$B$5:$B$16,D482)=0,"БЛОК: такого акта нет на листе «Акты» — добавьте акт или исправьте идентификатор",IF(NOT(ISNUMBER(INDEX(Акты!$E$5:$E$16,MATCH(D482,Акты!$B$5:$B$16,0)))),"БЛОК: у этого акта на листе «Акты» не указан первый день просрочки",IF(A482&lt;INDEX(Акты!$E$5:$E$16,MATCH(D482,Акты!$B$5:$B$16,0)),"БЛОК: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сюда",IF(A482&gt;Ввод!$B$4,"БЛОК: оплата после последнего дня расчёта — продлите расчёт или уберите строку","ок"))))))))</f>
        <v/>
      </c>
    </row>
    <row r="483">
      <c r="A483" s="10" t="n"/>
      <c r="B483" s="15" t="n"/>
      <c r="C483" s="13" t="n"/>
      <c r="D483" s="13" t="n"/>
      <c r="E483" s="5">
        <f>IF(AND(A483="",B483="",C483="",D483=""),"",IF(OR(A483="",B483=""),"БЛОК: нужны и дата, и сумма",IF(B483&lt;=0,"БЛОК: сумма должна быть больше нуля",IF(D483="","БЛОК: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вас",IF(COUNTIF(Акты!$B$5:$B$16,D483)=0,"БЛОК: такого акта нет на листе «Акты» — добавьте акт или исправьте идентификатор",IF(NOT(ISNUMBER(INDEX(Акты!$E$5:$E$16,MATCH(D483,Акты!$B$5:$B$16,0)))),"БЛОК: у этого акта на листе «Акты» не указан первый день просрочки",IF(A483&lt;INDEX(Акты!$E$5:$E$16,MATCH(D483,Акты!$B$5:$B$16,0)),"БЛОК: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сюда",IF(A483&gt;Ввод!$B$4,"БЛОК: оплата после последнего дня расчёта — продлите расчёт или уберите строку","ок"))))))))</f>
        <v/>
      </c>
    </row>
    <row r="484">
      <c r="A484" s="10" t="n"/>
      <c r="B484" s="15" t="n"/>
      <c r="C484" s="13" t="n"/>
      <c r="D484" s="13" t="n"/>
      <c r="E484" s="5">
        <f>IF(AND(A484="",B484="",C484="",D484=""),"",IF(OR(A484="",B484=""),"БЛОК: нужны и дата, и сумма",IF(B484&lt;=0,"БЛОК: сумма должна быть больше нуля",IF(D484="","БЛОК: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вас",IF(COUNTIF(Акты!$B$5:$B$16,D484)=0,"БЛОК: такого акта нет на листе «Акты» — добавьте акт или исправьте идентификатор",IF(NOT(ISNUMBER(INDEX(Акты!$E$5:$E$16,MATCH(D484,Акты!$B$5:$B$16,0)))),"БЛОК: у этого акта на листе «Акты» не указан первый день просрочки",IF(A484&lt;INDEX(Акты!$E$5:$E$16,MATCH(D484,Акты!$B$5:$B$16,0)),"БЛОК: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сюда",IF(A484&gt;Ввод!$B$4,"БЛОК: оплата после последнего дня расчёта — продлите расчёт или уберите строку","ок"))))))))</f>
        <v/>
      </c>
    </row>
    <row r="485">
      <c r="A485" s="10" t="n"/>
      <c r="B485" s="15" t="n"/>
      <c r="C485" s="13" t="n"/>
      <c r="D485" s="13" t="n"/>
      <c r="E485" s="5">
        <f>IF(AND(A485="",B485="",C485="",D485=""),"",IF(OR(A485="",B485=""),"БЛОК: нужны и дата, и сумма",IF(B485&lt;=0,"БЛОК: сумма должна быть больше нуля",IF(D485="","БЛОК: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вас",IF(COUNTIF(Акты!$B$5:$B$16,D485)=0,"БЛОК: такого акта нет на листе «Акты» — добавьте акт или исправьте идентификатор",IF(NOT(ISNUMBER(INDEX(Акты!$E$5:$E$16,MATCH(D485,Акты!$B$5:$B$16,0)))),"БЛОК: у этого акта на листе «Акты» не указан первый день просрочки",IF(A485&lt;INDEX(Акты!$E$5:$E$16,MATCH(D485,Акты!$B$5:$B$16,0)),"БЛОК: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сюда",IF(A485&gt;Ввод!$B$4,"БЛОК: оплата после последнего дня расчёта — продлите расчёт или уберите строку","ок"))))))))</f>
        <v/>
      </c>
    </row>
    <row r="486">
      <c r="A486" s="10" t="n"/>
      <c r="B486" s="15" t="n"/>
      <c r="C486" s="13" t="n"/>
      <c r="D486" s="13" t="n"/>
      <c r="E486" s="5">
        <f>IF(AND(A486="",B486="",C486="",D486=""),"",IF(OR(A486="",B486=""),"БЛОК: нужны и дата, и сумма",IF(B486&lt;=0,"БЛОК: сумма должна быть больше нуля",IF(D486="","БЛОК: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вас",IF(COUNTIF(Акты!$B$5:$B$16,D486)=0,"БЛОК: такого акта нет на листе «Акты» — добавьте акт или исправьте идентификатор",IF(NOT(ISNUMBER(INDEX(Акты!$E$5:$E$16,MATCH(D486,Акты!$B$5:$B$16,0)))),"БЛОК: у этого акта на листе «Акты» не указан первый день просрочки",IF(A486&lt;INDEX(Акты!$E$5:$E$16,MATCH(D486,Акты!$B$5:$B$16,0)),"БЛОК: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сюда",IF(A486&gt;Ввод!$B$4,"БЛОК: оплата после последнего дня расчёта — продлите расчёт или уберите строку","ок"))))))))</f>
        <v/>
      </c>
    </row>
    <row r="487">
      <c r="A487" s="10" t="n"/>
      <c r="B487" s="15" t="n"/>
      <c r="C487" s="13" t="n"/>
      <c r="D487" s="13" t="n"/>
      <c r="E487" s="5">
        <f>IF(AND(A487="",B487="",C487="",D487=""),"",IF(OR(A487="",B487=""),"БЛОК: нужны и дата, и сумма",IF(B487&lt;=0,"БЛОК: сумма должна быть больше нуля",IF(D487="","БЛОК: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вас",IF(COUNTIF(Акты!$B$5:$B$16,D487)=0,"БЛОК: такого акта нет на листе «Акты» — добавьте акт или исправьте идентификатор",IF(NOT(ISNUMBER(INDEX(Акты!$E$5:$E$16,MATCH(D487,Акты!$B$5:$B$16,0)))),"БЛОК: у этого акта на листе «Акты» не указан первый день просрочки",IF(A487&lt;INDEX(Акты!$E$5:$E$16,MATCH(D487,Акты!$B$5:$B$16,0)),"БЛОК: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сюда",IF(A487&gt;Ввод!$B$4,"БЛОК: оплата после последнего дня расчёта — продлите расчёт или уберите строку","ок"))))))))</f>
        <v/>
      </c>
    </row>
    <row r="488">
      <c r="A488" s="10" t="n"/>
      <c r="B488" s="15" t="n"/>
      <c r="C488" s="13" t="n"/>
      <c r="D488" s="13" t="n"/>
      <c r="E488" s="5">
        <f>IF(AND(A488="",B488="",C488="",D488=""),"",IF(OR(A488="",B488=""),"БЛОК: нужны и дата, и сумма",IF(B488&lt;=0,"БЛОК: сумма должна быть больше нуля",IF(D488="","БЛОК: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вас",IF(COUNTIF(Акты!$B$5:$B$16,D488)=0,"БЛОК: такого акта нет на листе «Акты» — добавьте акт или исправьте идентификатор",IF(NOT(ISNUMBER(INDEX(Акты!$E$5:$E$16,MATCH(D488,Акты!$B$5:$B$16,0)))),"БЛОК: у этого акта на листе «Акты» не указан первый день просрочки",IF(A488&lt;INDEX(Акты!$E$5:$E$16,MATCH(D488,Акты!$B$5:$B$16,0)),"БЛОК: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сюда",IF(A488&gt;Ввод!$B$4,"БЛОК: оплата после последнего дня расчёта — продлите расчёт или уберите строку","ок"))))))))</f>
        <v/>
      </c>
    </row>
    <row r="489">
      <c r="A489" s="10" t="n"/>
      <c r="B489" s="15" t="n"/>
      <c r="C489" s="13" t="n"/>
      <c r="D489" s="13" t="n"/>
      <c r="E489" s="5">
        <f>IF(AND(A489="",B489="",C489="",D489=""),"",IF(OR(A489="",B489=""),"БЛОК: нужны и дата, и сумма",IF(B489&lt;=0,"БЛОК: сумма должна быть больше нуля",IF(D489="","БЛОК: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вас",IF(COUNTIF(Акты!$B$5:$B$16,D489)=0,"БЛОК: такого акта нет на листе «Акты» — добавьте акт или исправьте идентификатор",IF(NOT(ISNUMBER(INDEX(Акты!$E$5:$E$16,MATCH(D489,Акты!$B$5:$B$16,0)))),"БЛОК: у этого акта на листе «Акты» не указан первый день просрочки",IF(A489&lt;INDEX(Акты!$E$5:$E$16,MATCH(D489,Акты!$B$5:$B$16,0)),"БЛОК: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сюда",IF(A489&gt;Ввод!$B$4,"БЛОК: оплата после последнего дня расчёта — продлите расчёт или уберите строку","ок"))))))))</f>
        <v/>
      </c>
    </row>
    <row r="490">
      <c r="A490" s="10" t="n"/>
      <c r="B490" s="15" t="n"/>
      <c r="C490" s="13" t="n"/>
      <c r="D490" s="13" t="n"/>
      <c r="E490" s="5">
        <f>IF(AND(A490="",B490="",C490="",D490=""),"",IF(OR(A490="",B490=""),"БЛОК: нужны и дата, и сумма",IF(B490&lt;=0,"БЛОК: сумма должна быть больше нуля",IF(D490="","БЛОК: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вас",IF(COUNTIF(Акты!$B$5:$B$16,D490)=0,"БЛОК: такого акта нет на листе «Акты» — добавьте акт или исправьте идентификатор",IF(NOT(ISNUMBER(INDEX(Акты!$E$5:$E$16,MATCH(D490,Акты!$B$5:$B$16,0)))),"БЛОК: у этого акта на листе «Акты» не указан первый день просрочки",IF(A490&lt;INDEX(Акты!$E$5:$E$16,MATCH(D490,Акты!$B$5:$B$16,0)),"БЛОК: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сюда",IF(A490&gt;Ввод!$B$4,"БЛОК: оплата после последнего дня расчёта — продлите расчёт или уберите строку","ок"))))))))</f>
        <v/>
      </c>
    </row>
    <row r="491">
      <c r="A491" s="10" t="n"/>
      <c r="B491" s="15" t="n"/>
      <c r="C491" s="13" t="n"/>
      <c r="D491" s="13" t="n"/>
      <c r="E491" s="5">
        <f>IF(AND(A491="",B491="",C491="",D491=""),"",IF(OR(A491="",B491=""),"БЛОК: нужны и дата, и сумма",IF(B491&lt;=0,"БЛОК: сумма должна быть больше нуля",IF(D491="","БЛОК: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вас",IF(COUNTIF(Акты!$B$5:$B$16,D491)=0,"БЛОК: такого акта нет на листе «Акты» — добавьте акт или исправьте идентификатор",IF(NOT(ISNUMBER(INDEX(Акты!$E$5:$E$16,MATCH(D491,Акты!$B$5:$B$16,0)))),"БЛОК: у этого акта на листе «Акты» не указан первый день просрочки",IF(A491&lt;INDEX(Акты!$E$5:$E$16,MATCH(D491,Акты!$B$5:$B$16,0)),"БЛОК: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сюда",IF(A491&gt;Ввод!$B$4,"БЛОК: оплата после последнего дня расчёта — продлите расчёт или уберите строку","ок"))))))))</f>
        <v/>
      </c>
    </row>
    <row r="492">
      <c r="A492" s="10" t="n"/>
      <c r="B492" s="15" t="n"/>
      <c r="C492" s="13" t="n"/>
      <c r="D492" s="13" t="n"/>
      <c r="E492" s="5">
        <f>IF(AND(A492="",B492="",C492="",D492=""),"",IF(OR(A492="",B492=""),"БЛОК: нужны и дата, и сумма",IF(B492&lt;=0,"БЛОК: сумма должна быть больше нуля",IF(D492="","БЛОК: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вас",IF(COUNTIF(Акты!$B$5:$B$16,D492)=0,"БЛОК: такого акта нет на листе «Акты» — добавьте акт или исправьте идентификатор",IF(NOT(ISNUMBER(INDEX(Акты!$E$5:$E$16,MATCH(D492,Акты!$B$5:$B$16,0)))),"БЛОК: у этого акта на листе «Акты» не указан первый день просрочки",IF(A492&lt;INDEX(Акты!$E$5:$E$16,MATCH(D492,Акты!$B$5:$B$16,0)),"БЛОК: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сюда",IF(A492&gt;Ввод!$B$4,"БЛОК: оплата после последнего дня расчёта — продлите расчёт или уберите строку","ок"))))))))</f>
        <v/>
      </c>
    </row>
    <row r="493">
      <c r="A493" s="10" t="n"/>
      <c r="B493" s="15" t="n"/>
      <c r="C493" s="13" t="n"/>
      <c r="D493" s="13" t="n"/>
      <c r="E493" s="5">
        <f>IF(AND(A493="",B493="",C493="",D493=""),"",IF(OR(A493="",B493=""),"БЛОК: нужны и дата, и сумма",IF(B493&lt;=0,"БЛОК: сумма должна быть больше нуля",IF(D493="","БЛОК: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вас",IF(COUNTIF(Акты!$B$5:$B$16,D493)=0,"БЛОК: такого акта нет на листе «Акты» — добавьте акт или исправьте идентификатор",IF(NOT(ISNUMBER(INDEX(Акты!$E$5:$E$16,MATCH(D493,Акты!$B$5:$B$16,0)))),"БЛОК: у этого акта на листе «Акты» не указан первый день просрочки",IF(A493&lt;INDEX(Акты!$E$5:$E$16,MATCH(D493,Акты!$B$5:$B$16,0)),"БЛОК: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сюда",IF(A493&gt;Ввод!$B$4,"БЛОК: оплата после последнего дня расчёта — продлите расчёт или уберите строку","ок"))))))))</f>
        <v/>
      </c>
    </row>
    <row r="494">
      <c r="A494" s="10" t="n"/>
      <c r="B494" s="15" t="n"/>
      <c r="C494" s="13" t="n"/>
      <c r="D494" s="13" t="n"/>
      <c r="E494" s="5">
        <f>IF(AND(A494="",B494="",C494="",D494=""),"",IF(OR(A494="",B494=""),"БЛОК: нужны и дата, и сумма",IF(B494&lt;=0,"БЛОК: сумма должна быть больше нуля",IF(D494="","БЛОК: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вас",IF(COUNTIF(Акты!$B$5:$B$16,D494)=0,"БЛОК: такого акта нет на листе «Акты» — добавьте акт или исправьте идентификатор",IF(NOT(ISNUMBER(INDEX(Акты!$E$5:$E$16,MATCH(D494,Акты!$B$5:$B$16,0)))),"БЛОК: у этого акта на листе «Акты» не указан первый день просрочки",IF(A494&lt;INDEX(Акты!$E$5:$E$16,MATCH(D494,Акты!$B$5:$B$16,0)),"БЛОК: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сюда",IF(A494&gt;Ввод!$B$4,"БЛОК: оплата после последнего дня расчёта — продлите расчёт или уберите строку","ок"))))))))</f>
        <v/>
      </c>
    </row>
    <row r="495">
      <c r="A495" s="10" t="n"/>
      <c r="B495" s="15" t="n"/>
      <c r="C495" s="13" t="n"/>
      <c r="D495" s="13" t="n"/>
      <c r="E495" s="5">
        <f>IF(AND(A495="",B495="",C495="",D495=""),"",IF(OR(A495="",B495=""),"БЛОК: нужны и дата, и сумма",IF(B495&lt;=0,"БЛОК: сумма должна быть больше нуля",IF(D495="","БЛОК: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вас",IF(COUNTIF(Акты!$B$5:$B$16,D495)=0,"БЛОК: такого акта нет на листе «Акты» — добавьте акт или исправьте идентификатор",IF(NOT(ISNUMBER(INDEX(Акты!$E$5:$E$16,MATCH(D495,Акты!$B$5:$B$16,0)))),"БЛОК: у этого акта на листе «Акты» не указан первый день просрочки",IF(A495&lt;INDEX(Акты!$E$5:$E$16,MATCH(D495,Акты!$B$5:$B$16,0)),"БЛОК: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сюда",IF(A495&gt;Ввод!$B$4,"БЛОК: оплата после последнего дня расчёта — продлите расчёт или уберите строку","ок"))))))))</f>
        <v/>
      </c>
    </row>
    <row r="496">
      <c r="A496" s="10" t="n"/>
      <c r="B496" s="15" t="n"/>
      <c r="C496" s="13" t="n"/>
      <c r="D496" s="13" t="n"/>
      <c r="E496" s="5">
        <f>IF(AND(A496="",B496="",C496="",D496=""),"",IF(OR(A496="",B496=""),"БЛОК: нужны и дата, и сумма",IF(B496&lt;=0,"БЛОК: сумма должна быть больше нуля",IF(D496="","БЛОК: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вас",IF(COUNTIF(Акты!$B$5:$B$16,D496)=0,"БЛОК: такого акта нет на листе «Акты» — добавьте акт или исправьте идентификатор",IF(NOT(ISNUMBER(INDEX(Акты!$E$5:$E$16,MATCH(D496,Акты!$B$5:$B$16,0)))),"БЛОК: у этого акта на листе «Акты» не указан первый день просрочки",IF(A496&lt;INDEX(Акты!$E$5:$E$16,MATCH(D496,Акты!$B$5:$B$16,0)),"БЛОК: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сюда",IF(A496&gt;Ввод!$B$4,"БЛОК: оплата после последнего дня расчёта — продлите расчёт или уберите строку","ок"))))))))</f>
        <v/>
      </c>
    </row>
    <row r="497">
      <c r="A497" s="10" t="n"/>
      <c r="B497" s="15" t="n"/>
      <c r="C497" s="13" t="n"/>
      <c r="D497" s="13" t="n"/>
      <c r="E497" s="5">
        <f>IF(AND(A497="",B497="",C497="",D497=""),"",IF(OR(A497="",B497=""),"БЛОК: нужны и дата, и сумма",IF(B497&lt;=0,"БЛОК: сумма должна быть больше нуля",IF(D497="","БЛОК: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вас",IF(COUNTIF(Акты!$B$5:$B$16,D497)=0,"БЛОК: такого акта нет на листе «Акты» — добавьте акт или исправьте идентификатор",IF(NOT(ISNUMBER(INDEX(Акты!$E$5:$E$16,MATCH(D497,Акты!$B$5:$B$16,0)))),"БЛОК: у этого акта на листе «Акты» не указан первый день просрочки",IF(A497&lt;INDEX(Акты!$E$5:$E$16,MATCH(D497,Акты!$B$5:$B$16,0)),"БЛОК: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сюда",IF(A497&gt;Ввод!$B$4,"БЛОК: оплата после последнего дня расчёта — продлите расчёт или уберите строку","ок"))))))))</f>
        <v/>
      </c>
    </row>
    <row r="498">
      <c r="A498" s="10" t="n"/>
      <c r="B498" s="15" t="n"/>
      <c r="C498" s="13" t="n"/>
      <c r="D498" s="13" t="n"/>
      <c r="E498" s="5">
        <f>IF(AND(A498="",B498="",C498="",D498=""),"",IF(OR(A498="",B498=""),"БЛОК: нужны и дата, и сумма",IF(B498&lt;=0,"БЛОК: сумма должна быть больше нуля",IF(D498="","БЛОК: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вас",IF(COUNTIF(Акты!$B$5:$B$16,D498)=0,"БЛОК: такого акта нет на листе «Акты» — добавьте акт или исправьте идентификатор",IF(NOT(ISNUMBER(INDEX(Акты!$E$5:$E$16,MATCH(D498,Акты!$B$5:$B$16,0)))),"БЛОК: у этого акта на листе «Акты» не указан первый день просрочки",IF(A498&lt;INDEX(Акты!$E$5:$E$16,MATCH(D498,Акты!$B$5:$B$16,0)),"БЛОК: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сюда",IF(A498&gt;Ввод!$B$4,"БЛОК: оплата после последнего дня расчёта — продлите расчёт или уберите строку","ок"))))))))</f>
        <v/>
      </c>
    </row>
    <row r="499">
      <c r="A499" s="10" t="n"/>
      <c r="B499" s="15" t="n"/>
      <c r="C499" s="13" t="n"/>
      <c r="D499" s="13" t="n"/>
      <c r="E499" s="5">
        <f>IF(AND(A499="",B499="",C499="",D499=""),"",IF(OR(A499="",B499=""),"БЛОК: нужны и дата, и сумма",IF(B499&lt;=0,"БЛОК: сумма должна быть больше нуля",IF(D499="","БЛОК: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вас",IF(COUNTIF(Акты!$B$5:$B$16,D499)=0,"БЛОК: такого акта нет на листе «Акты» — добавьте акт или исправьте идентификатор",IF(NOT(ISNUMBER(INDEX(Акты!$E$5:$E$16,MATCH(D499,Акты!$B$5:$B$16,0)))),"БЛОК: у этого акта на листе «Акты» не указан первый день просрочки",IF(A499&lt;INDEX(Акты!$E$5:$E$16,MATCH(D499,Акты!$B$5:$B$16,0)),"БЛОК: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сюда",IF(A499&gt;Ввод!$B$4,"БЛОК: оплата после последнего дня расчёта — продлите расчёт или уберите строку","ок"))))))))</f>
        <v/>
      </c>
    </row>
    <row r="500">
      <c r="A500" s="10" t="n"/>
      <c r="B500" s="15" t="n"/>
      <c r="C500" s="13" t="n"/>
      <c r="D500" s="13" t="n"/>
      <c r="E500" s="5">
        <f>IF(AND(A500="",B500="",C500="",D500=""),"",IF(OR(A500="",B500=""),"БЛОК: нужны и дата, и сумма",IF(B500&lt;=0,"БЛОК: сумма должна быть больше нуля",IF(D500="","БЛОК: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вас",IF(COUNTIF(Акты!$B$5:$B$16,D500)=0,"БЛОК: такого акта нет на листе «Акты» — добавьте акт или исправьте идентификатор",IF(NOT(ISNUMBER(INDEX(Акты!$E$5:$E$16,MATCH(D500,Акты!$B$5:$B$16,0)))),"БЛОК: у этого акта на листе «Акты» не указан первый день просрочки",IF(A500&lt;INDEX(Акты!$E$5:$E$16,MATCH(D500,Акты!$B$5:$B$16,0)),"БЛОК: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сюда",IF(A500&gt;Ввод!$B$4,"БЛОК: оплата после последнего дня расчёта — продлите расчёт или уберите строку","ок"))))))))</f>
        <v/>
      </c>
    </row>
    <row r="501">
      <c r="A501" s="10" t="n"/>
      <c r="B501" s="15" t="n"/>
      <c r="C501" s="13" t="n"/>
      <c r="D501" s="13" t="n"/>
      <c r="E501" s="5">
        <f>IF(AND(A501="",B501="",C501="",D501=""),"",IF(OR(A501="",B501=""),"БЛОК: нужны и дата, и сумма",IF(B501&lt;=0,"БЛОК: сумма должна быть больше нуля",IF(D501="","БЛОК: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вас",IF(COUNTIF(Акты!$B$5:$B$16,D501)=0,"БЛОК: такого акта нет на листе «Акты» — добавьте акт или исправьте идентификатор",IF(NOT(ISNUMBER(INDEX(Акты!$E$5:$E$16,MATCH(D501,Акты!$B$5:$B$16,0)))),"БЛОК: у этого акта на листе «Акты» не указан первый день просрочки",IF(A501&lt;INDEX(Акты!$E$5:$E$16,MATCH(D501,Акты!$B$5:$B$16,0)),"БЛОК: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сюда",IF(A501&gt;Ввод!$B$4,"БЛОК: оплата после последнего дня расчёта — продлите расчёт или уберите строку","ок"))))))))</f>
        <v/>
      </c>
    </row>
    <row r="502">
      <c r="A502" s="10" t="n"/>
      <c r="B502" s="15" t="n"/>
      <c r="C502" s="13" t="n"/>
      <c r="D502" s="13" t="n"/>
      <c r="E502" s="5">
        <f>IF(AND(A502="",B502="",C502="",D502=""),"",IF(OR(A502="",B502=""),"БЛОК: нужны и дата, и сумма",IF(B502&lt;=0,"БЛОК: сумма должна быть больше нуля",IF(D502="","БЛОК: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вас",IF(COUNTIF(Акты!$B$5:$B$16,D502)=0,"БЛОК: такого акта нет на листе «Акты» — добавьте акт или исправьте идентификатор",IF(NOT(ISNUMBER(INDEX(Акты!$E$5:$E$16,MATCH(D502,Акты!$B$5:$B$16,0)))),"БЛОК: у этого акта на листе «Акты» не указан первый день просрочки",IF(A502&lt;INDEX(Акты!$E$5:$E$16,MATCH(D502,Акты!$B$5:$B$16,0)),"БЛОК: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сюда",IF(A502&gt;Ввод!$B$4,"БЛОК: оплата после последнего дня расчёта — продлите расчёт или уберите строку","ок"))))))))</f>
        <v/>
      </c>
    </row>
    <row r="503">
      <c r="A503" s="10" t="n"/>
      <c r="B503" s="15" t="n"/>
      <c r="C503" s="13" t="n"/>
      <c r="D503" s="13" t="n"/>
      <c r="E503" s="5">
        <f>IF(AND(A503="",B503="",C503="",D503=""),"",IF(OR(A503="",B503=""),"БЛОК: нужны и дата, и сумма",IF(B503&lt;=0,"БЛОК: сумма должна быть больше нуля",IF(D503="","БЛОК: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вас",IF(COUNTIF(Акты!$B$5:$B$16,D503)=0,"БЛОК: такого акта нет на листе «Акты» — добавьте акт или исправьте идентификатор",IF(NOT(ISNUMBER(INDEX(Акты!$E$5:$E$16,MATCH(D503,Акты!$B$5:$B$16,0)))),"БЛОК: у этого акта на листе «Акты» не указан первый день просрочки",IF(A503&lt;INDEX(Акты!$E$5:$E$16,MATCH(D503,Акты!$B$5:$B$16,0)),"БЛОК: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сюда",IF(A503&gt;Ввод!$B$4,"БЛОК: оплата после последнего дня расчёта — продлите расчёт или уберите строку","ок"))))))))</f>
        <v/>
      </c>
    </row>
    <row r="504">
      <c r="A504" s="10" t="n"/>
      <c r="B504" s="15" t="n"/>
      <c r="C504" s="13" t="n"/>
      <c r="D504" s="13" t="n"/>
      <c r="E504" s="5">
        <f>IF(AND(A504="",B504="",C504="",D504=""),"",IF(OR(A504="",B504=""),"БЛОК: нужны и дата, и сумма",IF(B504&lt;=0,"БЛОК: сумма должна быть больше нуля",IF(D504="","БЛОК: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вас",IF(COUNTIF(Акты!$B$5:$B$16,D504)=0,"БЛОК: такого акта нет на листе «Акты» — добавьте акт или исправьте идентификатор",IF(NOT(ISNUMBER(INDEX(Акты!$E$5:$E$16,MATCH(D504,Акты!$B$5:$B$16,0)))),"БЛОК: у этого акта на листе «Акты» не указан первый день просрочки",IF(A504&lt;INDEX(Акты!$E$5:$E$16,MATCH(D504,Акты!$B$5:$B$16,0)),"БЛОК: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сюда",IF(A504&gt;Ввод!$B$4,"БЛОК: оплата после последнего дня расчёта — продлите расчёт или уберите строку","ок"))))))))</f>
        <v/>
      </c>
    </row>
    <row r="505">
      <c r="A505" s="10" t="n"/>
      <c r="B505" s="15" t="n"/>
      <c r="C505" s="13" t="n"/>
      <c r="D505" s="13" t="n"/>
      <c r="E505" s="5">
        <f>IF(AND(A505="",B505="",C505="",D505=""),"",IF(OR(A505="",B505=""),"БЛОК: нужны и дата, и сумма",IF(B505&lt;=0,"БЛОК: сумма должна быть больше нуля",IF(D505="","БЛОК: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вас",IF(COUNTIF(Акты!$B$5:$B$16,D505)=0,"БЛОК: такого акта нет на листе «Акты» — добавьте акт или исправьте идентификатор",IF(NOT(ISNUMBER(INDEX(Акты!$E$5:$E$16,MATCH(D505,Акты!$B$5:$B$16,0)))),"БЛОК: у этого акта на листе «Акты» не указан первый день просрочки",IF(A505&lt;INDEX(Акты!$E$5:$E$16,MATCH(D505,Акты!$B$5:$B$16,0)),"БЛОК: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сюда",IF(A505&gt;Ввод!$B$4,"БЛОК: оплата после последнего дня расчёта — продлите расчёт или уберите строку","ок"))))))))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5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8" customWidth="1" min="5" max="5"/>
    <col width="16" customWidth="1" min="6" max="6"/>
    <col width="12" customWidth="1" min="7" max="7"/>
    <col width="10" customWidth="1" min="8" max="8"/>
    <col width="16" customWidth="1" min="9" max="9"/>
    <col width="16" customWidth="1" min="10" max="10"/>
    <col width="4" customWidth="1" min="11" max="11"/>
    <col width="4" customWidth="1" min="12" max="12"/>
    <col width="22" customWidth="1" min="13" max="13"/>
    <col width="16" customWidth="1" min="14" max="14"/>
    <col width="20" customWidth="1" min="15" max="15"/>
    <col width="18" customWidth="1" min="16" max="16"/>
    <col width="20" customWidth="1" min="17" max="17"/>
  </cols>
  <sheetData>
    <row r="1">
      <c r="A1" s="1" t="inlineStr">
        <is>
          <t>Расчёт процентов по ст. 395 ГК РФ</t>
        </is>
      </c>
    </row>
    <row r="2">
      <c r="A2" t="inlineStr">
        <is>
          <t>Статус</t>
        </is>
      </c>
      <c r="D2" s="16">
        <f>Проверки!C19</f>
        <v/>
      </c>
    </row>
    <row r="3">
      <c r="A3" t="inlineStr">
        <is>
          <t>Проценты итого, руб.</t>
        </is>
      </c>
      <c r="D3" s="16">
        <f>IF(D2="ГОТОВ",SUM(P7:P18),"РАСЧЁТ НЕ ВЫПОЛНЕН — см. лист «Проверки»")</f>
        <v/>
      </c>
    </row>
    <row r="4">
      <c r="A4" t="inlineStr">
        <is>
          <t>Долг на последний день расчёта, руб.</t>
        </is>
      </c>
      <c r="D4" s="16">
        <f>IF(D2="ГОТОВ",SUM(Акты!G5:G16),"")</f>
        <v/>
      </c>
    </row>
    <row r="5">
      <c r="A5" s="2" t="inlineStr">
        <is>
          <t>Каждый акт считается отдельно. Строка — отрезок, на котором долг акта не меняется; её проценты — сумма по периодам ставки, каждый округлён до копейки. Итог по акту — сумма его строк, «Проценты итого» — сумма итогов по актам (свод справа).</t>
        </is>
      </c>
      <c r="M5" s="11" t="inlineStr">
        <is>
          <t>Свод по актам: итог — сумма строк</t>
        </is>
      </c>
    </row>
    <row r="6">
      <c r="A6" s="4" t="inlineStr">
        <is>
          <t>№</t>
        </is>
      </c>
      <c r="B6" s="4" t="inlineStr">
        <is>
          <t>Акт</t>
        </is>
      </c>
      <c r="C6" s="4" t="inlineStr">
        <is>
          <t>С</t>
        </is>
      </c>
      <c r="D6" s="4" t="inlineStr">
        <is>
          <t>По</t>
        </is>
      </c>
      <c r="E6" s="4" t="inlineStr">
        <is>
          <t>Дней</t>
        </is>
      </c>
      <c r="F6" s="4" t="inlineStr">
        <is>
          <t>Долг акта, руб.</t>
        </is>
      </c>
      <c r="G6" s="4" t="inlineStr">
        <is>
          <t>Ставка, %</t>
        </is>
      </c>
      <c r="H6" s="4" t="inlineStr">
        <is>
          <t>Периодов ставки</t>
        </is>
      </c>
      <c r="I6" s="4" t="inlineStr">
        <is>
          <t>Проценты, руб.</t>
        </is>
      </c>
      <c r="J6" s="4" t="inlineStr">
        <is>
          <t>Оплата по акту в последний день, руб.</t>
        </is>
      </c>
      <c r="K6" s="4" t="inlineStr">
        <is>
          <t>служ.</t>
        </is>
      </c>
      <c r="L6" s="4" t="inlineStr">
        <is>
          <t>служ.</t>
        </is>
      </c>
      <c r="M6" s="4" t="inlineStr">
        <is>
          <t>Акт</t>
        </is>
      </c>
      <c r="N6" s="4" t="inlineStr">
        <is>
          <t>Первый день просрочки</t>
        </is>
      </c>
      <c r="O6" s="4" t="inlineStr">
        <is>
          <t>Долг на первый день просрочки, руб.</t>
        </is>
      </c>
      <c r="P6" s="4" t="inlineStr">
        <is>
          <t>Проценты по акту, руб.</t>
        </is>
      </c>
      <c r="Q6" s="4" t="inlineStr">
        <is>
          <t>Остаток на последний день, руб.</t>
        </is>
      </c>
    </row>
    <row r="7">
      <c r="A7" s="5">
        <f>IF(K7="","",1)</f>
        <v/>
      </c>
      <c r="B7" s="5">
        <f>IF(K7="","",INDEX(Интервалы!$A$2:$A$513,MATCH(K7,Интервалы!$G$2:$G$513,0)))</f>
        <v/>
      </c>
      <c r="C7" s="17">
        <f>IF(K7="","",INDEX(Интервалы!$C$2:$C$513,MATCH(K7,Интервалы!$G$2:$G$513,0)))</f>
        <v/>
      </c>
      <c r="D7" s="17">
        <f>IF(K7="","",INDEX(Интервалы!$D$2:$D$513,MATCH(K7,Интервалы!$G$2:$G$513,0)))</f>
        <v/>
      </c>
      <c r="E7" s="5">
        <f>IF(K7="","",D7-C7+1)</f>
        <v/>
      </c>
      <c r="F7" s="9">
        <f>IF(K7="","",INDEX(Интервалы!$E$2:$E$513,MATCH(K7,Интервалы!$G$2:$G$513,0)))</f>
        <v/>
      </c>
      <c r="G7" s="5">
        <f>IF(K7="","",IF(H7=1,INDEX('По дням'!$B$2:$B$4000,MATCH(C7,'По дням'!$A$2:$A$4000,0)),"по периодам ставки"))</f>
        <v/>
      </c>
      <c r="H7" s="5">
        <f>IF(K7="","",INDEX(Интервалы!$I$2:$I$513,MATCH(K7,Интервалы!$G$2:$G$513,0)))</f>
        <v/>
      </c>
      <c r="I7" s="9">
        <f>IF(K7="","",INDEX(Интервалы!$F$2:$F$513,MATCH(K7,Интервалы!$G$2:$G$513,0)))</f>
        <v/>
      </c>
      <c r="J7" s="9">
        <f>IF(K7="","",INDEX(Интервалы!$H$2:$H$513,MATCH(K7,Интервалы!$G$2:$G$513,0)))</f>
        <v/>
      </c>
      <c r="K7">
        <f>IFERROR(SMALL(Интервалы!$G$2:$G$513,1),"")</f>
        <v/>
      </c>
      <c r="L7">
        <f>IF(K7="","",INDEX(Интервалы!$B$2:$B$513,MATCH(K7,Интервалы!$G$2:$G$513,0)))</f>
        <v/>
      </c>
      <c r="M7" s="5">
        <f>IF(Акты!$B$5="","",Акты!$B$5)</f>
        <v/>
      </c>
      <c r="N7" s="17">
        <f>IF(M7="","",Акты!$E$5)</f>
        <v/>
      </c>
      <c r="O7" s="9">
        <f>IF(M7="","",Акты!$D$5)</f>
        <v/>
      </c>
      <c r="P7" s="9">
        <f>IF(M7="","",SUMIF($L$7:$L$518,1,$I$7:$I$518))</f>
        <v/>
      </c>
      <c r="Q7" s="9">
        <f>IF(M7="","",Акты!$G$5)</f>
        <v/>
      </c>
    </row>
    <row r="8">
      <c r="A8" s="5">
        <f>IF(K8="","",2)</f>
        <v/>
      </c>
      <c r="B8" s="5">
        <f>IF(K8="","",INDEX(Интервалы!$A$2:$A$513,MATCH(K8,Интервалы!$G$2:$G$513,0)))</f>
        <v/>
      </c>
      <c r="C8" s="17">
        <f>IF(K8="","",INDEX(Интервалы!$C$2:$C$513,MATCH(K8,Интервалы!$G$2:$G$513,0)))</f>
        <v/>
      </c>
      <c r="D8" s="17">
        <f>IF(K8="","",INDEX(Интервалы!$D$2:$D$513,MATCH(K8,Интервалы!$G$2:$G$513,0)))</f>
        <v/>
      </c>
      <c r="E8" s="5">
        <f>IF(K8="","",D8-C8+1)</f>
        <v/>
      </c>
      <c r="F8" s="9">
        <f>IF(K8="","",INDEX(Интервалы!$E$2:$E$513,MATCH(K8,Интервалы!$G$2:$G$513,0)))</f>
        <v/>
      </c>
      <c r="G8" s="5">
        <f>IF(K8="","",IF(H8=1,INDEX('По дням'!$B$2:$B$4000,MATCH(C8,'По дням'!$A$2:$A$4000,0)),"по периодам ставки"))</f>
        <v/>
      </c>
      <c r="H8" s="5">
        <f>IF(K8="","",INDEX(Интервалы!$I$2:$I$513,MATCH(K8,Интервалы!$G$2:$G$513,0)))</f>
        <v/>
      </c>
      <c r="I8" s="9">
        <f>IF(K8="","",INDEX(Интервалы!$F$2:$F$513,MATCH(K8,Интервалы!$G$2:$G$513,0)))</f>
        <v/>
      </c>
      <c r="J8" s="9">
        <f>IF(K8="","",INDEX(Интервалы!$H$2:$H$513,MATCH(K8,Интервалы!$G$2:$G$513,0)))</f>
        <v/>
      </c>
      <c r="K8">
        <f>IFERROR(SMALL(Интервалы!$G$2:$G$513,2),"")</f>
        <v/>
      </c>
      <c r="L8">
        <f>IF(K8="","",INDEX(Интервалы!$B$2:$B$513,MATCH(K8,Интервалы!$G$2:$G$513,0)))</f>
        <v/>
      </c>
      <c r="M8" s="5">
        <f>IF(Акты!$B$6="","",Акты!$B$6)</f>
        <v/>
      </c>
      <c r="N8" s="17">
        <f>IF(M8="","",Акты!$E$6)</f>
        <v/>
      </c>
      <c r="O8" s="9">
        <f>IF(M8="","",Акты!$D$6)</f>
        <v/>
      </c>
      <c r="P8" s="9">
        <f>IF(M8="","",SUMIF($L$7:$L$518,2,$I$7:$I$518))</f>
        <v/>
      </c>
      <c r="Q8" s="9">
        <f>IF(M8="","",Акты!$G$6)</f>
        <v/>
      </c>
    </row>
    <row r="9">
      <c r="A9" s="5">
        <f>IF(K9="","",3)</f>
        <v/>
      </c>
      <c r="B9" s="5">
        <f>IF(K9="","",INDEX(Интервалы!$A$2:$A$513,MATCH(K9,Интервалы!$G$2:$G$513,0)))</f>
        <v/>
      </c>
      <c r="C9" s="17">
        <f>IF(K9="","",INDEX(Интервалы!$C$2:$C$513,MATCH(K9,Интервалы!$G$2:$G$513,0)))</f>
        <v/>
      </c>
      <c r="D9" s="17">
        <f>IF(K9="","",INDEX(Интервалы!$D$2:$D$513,MATCH(K9,Интервалы!$G$2:$G$513,0)))</f>
        <v/>
      </c>
      <c r="E9" s="5">
        <f>IF(K9="","",D9-C9+1)</f>
        <v/>
      </c>
      <c r="F9" s="9">
        <f>IF(K9="","",INDEX(Интервалы!$E$2:$E$513,MATCH(K9,Интервалы!$G$2:$G$513,0)))</f>
        <v/>
      </c>
      <c r="G9" s="5">
        <f>IF(K9="","",IF(H9=1,INDEX('По дням'!$B$2:$B$4000,MATCH(C9,'По дням'!$A$2:$A$4000,0)),"по периодам ставки"))</f>
        <v/>
      </c>
      <c r="H9" s="5">
        <f>IF(K9="","",INDEX(Интервалы!$I$2:$I$513,MATCH(K9,Интервалы!$G$2:$G$513,0)))</f>
        <v/>
      </c>
      <c r="I9" s="9">
        <f>IF(K9="","",INDEX(Интервалы!$F$2:$F$513,MATCH(K9,Интервалы!$G$2:$G$513,0)))</f>
        <v/>
      </c>
      <c r="J9" s="9">
        <f>IF(K9="","",INDEX(Интервалы!$H$2:$H$513,MATCH(K9,Интервалы!$G$2:$G$513,0)))</f>
        <v/>
      </c>
      <c r="K9">
        <f>IFERROR(SMALL(Интервалы!$G$2:$G$513,3),"")</f>
        <v/>
      </c>
      <c r="L9">
        <f>IF(K9="","",INDEX(Интервалы!$B$2:$B$513,MATCH(K9,Интервалы!$G$2:$G$513,0)))</f>
        <v/>
      </c>
      <c r="M9" s="5">
        <f>IF(Акты!$B$7="","",Акты!$B$7)</f>
        <v/>
      </c>
      <c r="N9" s="17">
        <f>IF(M9="","",Акты!$E$7)</f>
        <v/>
      </c>
      <c r="O9" s="9">
        <f>IF(M9="","",Акты!$D$7)</f>
        <v/>
      </c>
      <c r="P9" s="9">
        <f>IF(M9="","",SUMIF($L$7:$L$518,3,$I$7:$I$518))</f>
        <v/>
      </c>
      <c r="Q9" s="9">
        <f>IF(M9="","",Акты!$G$7)</f>
        <v/>
      </c>
    </row>
    <row r="10">
      <c r="A10" s="5">
        <f>IF(K10="","",4)</f>
        <v/>
      </c>
      <c r="B10" s="5">
        <f>IF(K10="","",INDEX(Интервалы!$A$2:$A$513,MATCH(K10,Интервалы!$G$2:$G$513,0)))</f>
        <v/>
      </c>
      <c r="C10" s="17">
        <f>IF(K10="","",INDEX(Интервалы!$C$2:$C$513,MATCH(K10,Интервалы!$G$2:$G$513,0)))</f>
        <v/>
      </c>
      <c r="D10" s="17">
        <f>IF(K10="","",INDEX(Интервалы!$D$2:$D$513,MATCH(K10,Интервалы!$G$2:$G$513,0)))</f>
        <v/>
      </c>
      <c r="E10" s="5">
        <f>IF(K10="","",D10-C10+1)</f>
        <v/>
      </c>
      <c r="F10" s="9">
        <f>IF(K10="","",INDEX(Интервалы!$E$2:$E$513,MATCH(K10,Интервалы!$G$2:$G$513,0)))</f>
        <v/>
      </c>
      <c r="G10" s="5">
        <f>IF(K10="","",IF(H10=1,INDEX('По дням'!$B$2:$B$4000,MATCH(C10,'По дням'!$A$2:$A$4000,0)),"по периодам ставки"))</f>
        <v/>
      </c>
      <c r="H10" s="5">
        <f>IF(K10="","",INDEX(Интервалы!$I$2:$I$513,MATCH(K10,Интервалы!$G$2:$G$513,0)))</f>
        <v/>
      </c>
      <c r="I10" s="9">
        <f>IF(K10="","",INDEX(Интервалы!$F$2:$F$513,MATCH(K10,Интервалы!$G$2:$G$513,0)))</f>
        <v/>
      </c>
      <c r="J10" s="9">
        <f>IF(K10="","",INDEX(Интервалы!$H$2:$H$513,MATCH(K10,Интервалы!$G$2:$G$513,0)))</f>
        <v/>
      </c>
      <c r="K10">
        <f>IFERROR(SMALL(Интервалы!$G$2:$G$513,4),"")</f>
        <v/>
      </c>
      <c r="L10">
        <f>IF(K10="","",INDEX(Интервалы!$B$2:$B$513,MATCH(K10,Интервалы!$G$2:$G$513,0)))</f>
        <v/>
      </c>
      <c r="M10" s="5">
        <f>IF(Акты!$B$8="","",Акты!$B$8)</f>
        <v/>
      </c>
      <c r="N10" s="17">
        <f>IF(M10="","",Акты!$E$8)</f>
        <v/>
      </c>
      <c r="O10" s="9">
        <f>IF(M10="","",Акты!$D$8)</f>
        <v/>
      </c>
      <c r="P10" s="9">
        <f>IF(M10="","",SUMIF($L$7:$L$518,4,$I$7:$I$518))</f>
        <v/>
      </c>
      <c r="Q10" s="9">
        <f>IF(M10="","",Акты!$G$8)</f>
        <v/>
      </c>
    </row>
    <row r="11">
      <c r="A11" s="5">
        <f>IF(K11="","",5)</f>
        <v/>
      </c>
      <c r="B11" s="5">
        <f>IF(K11="","",INDEX(Интервалы!$A$2:$A$513,MATCH(K11,Интервалы!$G$2:$G$513,0)))</f>
        <v/>
      </c>
      <c r="C11" s="17">
        <f>IF(K11="","",INDEX(Интервалы!$C$2:$C$513,MATCH(K11,Интервалы!$G$2:$G$513,0)))</f>
        <v/>
      </c>
      <c r="D11" s="17">
        <f>IF(K11="","",INDEX(Интервалы!$D$2:$D$513,MATCH(K11,Интервалы!$G$2:$G$513,0)))</f>
        <v/>
      </c>
      <c r="E11" s="5">
        <f>IF(K11="","",D11-C11+1)</f>
        <v/>
      </c>
      <c r="F11" s="9">
        <f>IF(K11="","",INDEX(Интервалы!$E$2:$E$513,MATCH(K11,Интервалы!$G$2:$G$513,0)))</f>
        <v/>
      </c>
      <c r="G11" s="5">
        <f>IF(K11="","",IF(H11=1,INDEX('По дням'!$B$2:$B$4000,MATCH(C11,'По дням'!$A$2:$A$4000,0)),"по периодам ставки"))</f>
        <v/>
      </c>
      <c r="H11" s="5">
        <f>IF(K11="","",INDEX(Интервалы!$I$2:$I$513,MATCH(K11,Интервалы!$G$2:$G$513,0)))</f>
        <v/>
      </c>
      <c r="I11" s="9">
        <f>IF(K11="","",INDEX(Интервалы!$F$2:$F$513,MATCH(K11,Интервалы!$G$2:$G$513,0)))</f>
        <v/>
      </c>
      <c r="J11" s="9">
        <f>IF(K11="","",INDEX(Интервалы!$H$2:$H$513,MATCH(K11,Интервалы!$G$2:$G$513,0)))</f>
        <v/>
      </c>
      <c r="K11">
        <f>IFERROR(SMALL(Интервалы!$G$2:$G$513,5),"")</f>
        <v/>
      </c>
      <c r="L11">
        <f>IF(K11="","",INDEX(Интервалы!$B$2:$B$513,MATCH(K11,Интервалы!$G$2:$G$513,0)))</f>
        <v/>
      </c>
      <c r="M11" s="5">
        <f>IF(Акты!$B$9="","",Акты!$B$9)</f>
        <v/>
      </c>
      <c r="N11" s="17">
        <f>IF(M11="","",Акты!$E$9)</f>
        <v/>
      </c>
      <c r="O11" s="9">
        <f>IF(M11="","",Акты!$D$9)</f>
        <v/>
      </c>
      <c r="P11" s="9">
        <f>IF(M11="","",SUMIF($L$7:$L$518,5,$I$7:$I$518))</f>
        <v/>
      </c>
      <c r="Q11" s="9">
        <f>IF(M11="","",Акты!$G$9)</f>
        <v/>
      </c>
    </row>
    <row r="12">
      <c r="A12" s="5">
        <f>IF(K12="","",6)</f>
        <v/>
      </c>
      <c r="B12" s="5">
        <f>IF(K12="","",INDEX(Интервалы!$A$2:$A$513,MATCH(K12,Интервалы!$G$2:$G$513,0)))</f>
        <v/>
      </c>
      <c r="C12" s="17">
        <f>IF(K12="","",INDEX(Интервалы!$C$2:$C$513,MATCH(K12,Интервалы!$G$2:$G$513,0)))</f>
        <v/>
      </c>
      <c r="D12" s="17">
        <f>IF(K12="","",INDEX(Интервалы!$D$2:$D$513,MATCH(K12,Интервалы!$G$2:$G$513,0)))</f>
        <v/>
      </c>
      <c r="E12" s="5">
        <f>IF(K12="","",D12-C12+1)</f>
        <v/>
      </c>
      <c r="F12" s="9">
        <f>IF(K12="","",INDEX(Интервалы!$E$2:$E$513,MATCH(K12,Интервалы!$G$2:$G$513,0)))</f>
        <v/>
      </c>
      <c r="G12" s="5">
        <f>IF(K12="","",IF(H12=1,INDEX('По дням'!$B$2:$B$4000,MATCH(C12,'По дням'!$A$2:$A$4000,0)),"по периодам ставки"))</f>
        <v/>
      </c>
      <c r="H12" s="5">
        <f>IF(K12="","",INDEX(Интервалы!$I$2:$I$513,MATCH(K12,Интервалы!$G$2:$G$513,0)))</f>
        <v/>
      </c>
      <c r="I12" s="9">
        <f>IF(K12="","",INDEX(Интервалы!$F$2:$F$513,MATCH(K12,Интервалы!$G$2:$G$513,0)))</f>
        <v/>
      </c>
      <c r="J12" s="9">
        <f>IF(K12="","",INDEX(Интервалы!$H$2:$H$513,MATCH(K12,Интервалы!$G$2:$G$513,0)))</f>
        <v/>
      </c>
      <c r="K12">
        <f>IFERROR(SMALL(Интервалы!$G$2:$G$513,6),"")</f>
        <v/>
      </c>
      <c r="L12">
        <f>IF(K12="","",INDEX(Интервалы!$B$2:$B$513,MATCH(K12,Интервалы!$G$2:$G$513,0)))</f>
        <v/>
      </c>
      <c r="M12" s="5">
        <f>IF(Акты!$B$10="","",Акты!$B$10)</f>
        <v/>
      </c>
      <c r="N12" s="17">
        <f>IF(M12="","",Акты!$E$10)</f>
        <v/>
      </c>
      <c r="O12" s="9">
        <f>IF(M12="","",Акты!$D$10)</f>
        <v/>
      </c>
      <c r="P12" s="9">
        <f>IF(M12="","",SUMIF($L$7:$L$518,6,$I$7:$I$518))</f>
        <v/>
      </c>
      <c r="Q12" s="9">
        <f>IF(M12="","",Акты!$G$10)</f>
        <v/>
      </c>
    </row>
    <row r="13">
      <c r="A13" s="5">
        <f>IF(K13="","",7)</f>
        <v/>
      </c>
      <c r="B13" s="5">
        <f>IF(K13="","",INDEX(Интервалы!$A$2:$A$513,MATCH(K13,Интервалы!$G$2:$G$513,0)))</f>
        <v/>
      </c>
      <c r="C13" s="17">
        <f>IF(K13="","",INDEX(Интервалы!$C$2:$C$513,MATCH(K13,Интервалы!$G$2:$G$513,0)))</f>
        <v/>
      </c>
      <c r="D13" s="17">
        <f>IF(K13="","",INDEX(Интервалы!$D$2:$D$513,MATCH(K13,Интервалы!$G$2:$G$513,0)))</f>
        <v/>
      </c>
      <c r="E13" s="5">
        <f>IF(K13="","",D13-C13+1)</f>
        <v/>
      </c>
      <c r="F13" s="9">
        <f>IF(K13="","",INDEX(Интервалы!$E$2:$E$513,MATCH(K13,Интервалы!$G$2:$G$513,0)))</f>
        <v/>
      </c>
      <c r="G13" s="5">
        <f>IF(K13="","",IF(H13=1,INDEX('По дням'!$B$2:$B$4000,MATCH(C13,'По дням'!$A$2:$A$4000,0)),"по периодам ставки"))</f>
        <v/>
      </c>
      <c r="H13" s="5">
        <f>IF(K13="","",INDEX(Интервалы!$I$2:$I$513,MATCH(K13,Интервалы!$G$2:$G$513,0)))</f>
        <v/>
      </c>
      <c r="I13" s="9">
        <f>IF(K13="","",INDEX(Интервалы!$F$2:$F$513,MATCH(K13,Интервалы!$G$2:$G$513,0)))</f>
        <v/>
      </c>
      <c r="J13" s="9">
        <f>IF(K13="","",INDEX(Интервалы!$H$2:$H$513,MATCH(K13,Интервалы!$G$2:$G$513,0)))</f>
        <v/>
      </c>
      <c r="K13">
        <f>IFERROR(SMALL(Интервалы!$G$2:$G$513,7),"")</f>
        <v/>
      </c>
      <c r="L13">
        <f>IF(K13="","",INDEX(Интервалы!$B$2:$B$513,MATCH(K13,Интервалы!$G$2:$G$513,0)))</f>
        <v/>
      </c>
      <c r="M13" s="5">
        <f>IF(Акты!$B$11="","",Акты!$B$11)</f>
        <v/>
      </c>
      <c r="N13" s="17">
        <f>IF(M13="","",Акты!$E$11)</f>
        <v/>
      </c>
      <c r="O13" s="9">
        <f>IF(M13="","",Акты!$D$11)</f>
        <v/>
      </c>
      <c r="P13" s="9">
        <f>IF(M13="","",SUMIF($L$7:$L$518,7,$I$7:$I$518))</f>
        <v/>
      </c>
      <c r="Q13" s="9">
        <f>IF(M13="","",Акты!$G$11)</f>
        <v/>
      </c>
    </row>
    <row r="14">
      <c r="A14" s="5">
        <f>IF(K14="","",8)</f>
        <v/>
      </c>
      <c r="B14" s="5">
        <f>IF(K14="","",INDEX(Интервалы!$A$2:$A$513,MATCH(K14,Интервалы!$G$2:$G$513,0)))</f>
        <v/>
      </c>
      <c r="C14" s="17">
        <f>IF(K14="","",INDEX(Интервалы!$C$2:$C$513,MATCH(K14,Интервалы!$G$2:$G$513,0)))</f>
        <v/>
      </c>
      <c r="D14" s="17">
        <f>IF(K14="","",INDEX(Интервалы!$D$2:$D$513,MATCH(K14,Интервалы!$G$2:$G$513,0)))</f>
        <v/>
      </c>
      <c r="E14" s="5">
        <f>IF(K14="","",D14-C14+1)</f>
        <v/>
      </c>
      <c r="F14" s="9">
        <f>IF(K14="","",INDEX(Интервалы!$E$2:$E$513,MATCH(K14,Интервалы!$G$2:$G$513,0)))</f>
        <v/>
      </c>
      <c r="G14" s="5">
        <f>IF(K14="","",IF(H14=1,INDEX('По дням'!$B$2:$B$4000,MATCH(C14,'По дням'!$A$2:$A$4000,0)),"по периодам ставки"))</f>
        <v/>
      </c>
      <c r="H14" s="5">
        <f>IF(K14="","",INDEX(Интервалы!$I$2:$I$513,MATCH(K14,Интервалы!$G$2:$G$513,0)))</f>
        <v/>
      </c>
      <c r="I14" s="9">
        <f>IF(K14="","",INDEX(Интервалы!$F$2:$F$513,MATCH(K14,Интервалы!$G$2:$G$513,0)))</f>
        <v/>
      </c>
      <c r="J14" s="9">
        <f>IF(K14="","",INDEX(Интервалы!$H$2:$H$513,MATCH(K14,Интервалы!$G$2:$G$513,0)))</f>
        <v/>
      </c>
      <c r="K14">
        <f>IFERROR(SMALL(Интервалы!$G$2:$G$513,8),"")</f>
        <v/>
      </c>
      <c r="L14">
        <f>IF(K14="","",INDEX(Интервалы!$B$2:$B$513,MATCH(K14,Интервалы!$G$2:$G$513,0)))</f>
        <v/>
      </c>
      <c r="M14" s="5">
        <f>IF(Акты!$B$12="","",Акты!$B$12)</f>
        <v/>
      </c>
      <c r="N14" s="17">
        <f>IF(M14="","",Акты!$E$12)</f>
        <v/>
      </c>
      <c r="O14" s="9">
        <f>IF(M14="","",Акты!$D$12)</f>
        <v/>
      </c>
      <c r="P14" s="9">
        <f>IF(M14="","",SUMIF($L$7:$L$518,8,$I$7:$I$518))</f>
        <v/>
      </c>
      <c r="Q14" s="9">
        <f>IF(M14="","",Акты!$G$12)</f>
        <v/>
      </c>
    </row>
    <row r="15">
      <c r="A15" s="5">
        <f>IF(K15="","",9)</f>
        <v/>
      </c>
      <c r="B15" s="5">
        <f>IF(K15="","",INDEX(Интервалы!$A$2:$A$513,MATCH(K15,Интервалы!$G$2:$G$513,0)))</f>
        <v/>
      </c>
      <c r="C15" s="17">
        <f>IF(K15="","",INDEX(Интервалы!$C$2:$C$513,MATCH(K15,Интервалы!$G$2:$G$513,0)))</f>
        <v/>
      </c>
      <c r="D15" s="17">
        <f>IF(K15="","",INDEX(Интервалы!$D$2:$D$513,MATCH(K15,Интервалы!$G$2:$G$513,0)))</f>
        <v/>
      </c>
      <c r="E15" s="5">
        <f>IF(K15="","",D15-C15+1)</f>
        <v/>
      </c>
      <c r="F15" s="9">
        <f>IF(K15="","",INDEX(Интервалы!$E$2:$E$513,MATCH(K15,Интервалы!$G$2:$G$513,0)))</f>
        <v/>
      </c>
      <c r="G15" s="5">
        <f>IF(K15="","",IF(H15=1,INDEX('По дням'!$B$2:$B$4000,MATCH(C15,'По дням'!$A$2:$A$4000,0)),"по периодам ставки"))</f>
        <v/>
      </c>
      <c r="H15" s="5">
        <f>IF(K15="","",INDEX(Интервалы!$I$2:$I$513,MATCH(K15,Интервалы!$G$2:$G$513,0)))</f>
        <v/>
      </c>
      <c r="I15" s="9">
        <f>IF(K15="","",INDEX(Интервалы!$F$2:$F$513,MATCH(K15,Интервалы!$G$2:$G$513,0)))</f>
        <v/>
      </c>
      <c r="J15" s="9">
        <f>IF(K15="","",INDEX(Интервалы!$H$2:$H$513,MATCH(K15,Интервалы!$G$2:$G$513,0)))</f>
        <v/>
      </c>
      <c r="K15">
        <f>IFERROR(SMALL(Интервалы!$G$2:$G$513,9),"")</f>
        <v/>
      </c>
      <c r="L15">
        <f>IF(K15="","",INDEX(Интервалы!$B$2:$B$513,MATCH(K15,Интервалы!$G$2:$G$513,0)))</f>
        <v/>
      </c>
      <c r="M15" s="5">
        <f>IF(Акты!$B$13="","",Акты!$B$13)</f>
        <v/>
      </c>
      <c r="N15" s="17">
        <f>IF(M15="","",Акты!$E$13)</f>
        <v/>
      </c>
      <c r="O15" s="9">
        <f>IF(M15="","",Акты!$D$13)</f>
        <v/>
      </c>
      <c r="P15" s="9">
        <f>IF(M15="","",SUMIF($L$7:$L$518,9,$I$7:$I$518))</f>
        <v/>
      </c>
      <c r="Q15" s="9">
        <f>IF(M15="","",Акты!$G$13)</f>
        <v/>
      </c>
    </row>
    <row r="16">
      <c r="A16" s="5">
        <f>IF(K16="","",10)</f>
        <v/>
      </c>
      <c r="B16" s="5">
        <f>IF(K16="","",INDEX(Интервалы!$A$2:$A$513,MATCH(K16,Интервалы!$G$2:$G$513,0)))</f>
        <v/>
      </c>
      <c r="C16" s="17">
        <f>IF(K16="","",INDEX(Интервалы!$C$2:$C$513,MATCH(K16,Интервалы!$G$2:$G$513,0)))</f>
        <v/>
      </c>
      <c r="D16" s="17">
        <f>IF(K16="","",INDEX(Интервалы!$D$2:$D$513,MATCH(K16,Интервалы!$G$2:$G$513,0)))</f>
        <v/>
      </c>
      <c r="E16" s="5">
        <f>IF(K16="","",D16-C16+1)</f>
        <v/>
      </c>
      <c r="F16" s="9">
        <f>IF(K16="","",INDEX(Интервалы!$E$2:$E$513,MATCH(K16,Интервалы!$G$2:$G$513,0)))</f>
        <v/>
      </c>
      <c r="G16" s="5">
        <f>IF(K16="","",IF(H16=1,INDEX('По дням'!$B$2:$B$4000,MATCH(C16,'По дням'!$A$2:$A$4000,0)),"по периодам ставки"))</f>
        <v/>
      </c>
      <c r="H16" s="5">
        <f>IF(K16="","",INDEX(Интервалы!$I$2:$I$513,MATCH(K16,Интервалы!$G$2:$G$513,0)))</f>
        <v/>
      </c>
      <c r="I16" s="9">
        <f>IF(K16="","",INDEX(Интервалы!$F$2:$F$513,MATCH(K16,Интервалы!$G$2:$G$513,0)))</f>
        <v/>
      </c>
      <c r="J16" s="9">
        <f>IF(K16="","",INDEX(Интервалы!$H$2:$H$513,MATCH(K16,Интервалы!$G$2:$G$513,0)))</f>
        <v/>
      </c>
      <c r="K16">
        <f>IFERROR(SMALL(Интервалы!$G$2:$G$513,10),"")</f>
        <v/>
      </c>
      <c r="L16">
        <f>IF(K16="","",INDEX(Интервалы!$B$2:$B$513,MATCH(K16,Интервалы!$G$2:$G$513,0)))</f>
        <v/>
      </c>
      <c r="M16" s="5">
        <f>IF(Акты!$B$14="","",Акты!$B$14)</f>
        <v/>
      </c>
      <c r="N16" s="17">
        <f>IF(M16="","",Акты!$E$14)</f>
        <v/>
      </c>
      <c r="O16" s="9">
        <f>IF(M16="","",Акты!$D$14)</f>
        <v/>
      </c>
      <c r="P16" s="9">
        <f>IF(M16="","",SUMIF($L$7:$L$518,10,$I$7:$I$518))</f>
        <v/>
      </c>
      <c r="Q16" s="9">
        <f>IF(M16="","",Акты!$G$14)</f>
        <v/>
      </c>
    </row>
    <row r="17">
      <c r="A17" s="5">
        <f>IF(K17="","",11)</f>
        <v/>
      </c>
      <c r="B17" s="5">
        <f>IF(K17="","",INDEX(Интервалы!$A$2:$A$513,MATCH(K17,Интервалы!$G$2:$G$513,0)))</f>
        <v/>
      </c>
      <c r="C17" s="17">
        <f>IF(K17="","",INDEX(Интервалы!$C$2:$C$513,MATCH(K17,Интервалы!$G$2:$G$513,0)))</f>
        <v/>
      </c>
      <c r="D17" s="17">
        <f>IF(K17="","",INDEX(Интервалы!$D$2:$D$513,MATCH(K17,Интервалы!$G$2:$G$513,0)))</f>
        <v/>
      </c>
      <c r="E17" s="5">
        <f>IF(K17="","",D17-C17+1)</f>
        <v/>
      </c>
      <c r="F17" s="9">
        <f>IF(K17="","",INDEX(Интервалы!$E$2:$E$513,MATCH(K17,Интервалы!$G$2:$G$513,0)))</f>
        <v/>
      </c>
      <c r="G17" s="5">
        <f>IF(K17="","",IF(H17=1,INDEX('По дням'!$B$2:$B$4000,MATCH(C17,'По дням'!$A$2:$A$4000,0)),"по периодам ставки"))</f>
        <v/>
      </c>
      <c r="H17" s="5">
        <f>IF(K17="","",INDEX(Интервалы!$I$2:$I$513,MATCH(K17,Интервалы!$G$2:$G$513,0)))</f>
        <v/>
      </c>
      <c r="I17" s="9">
        <f>IF(K17="","",INDEX(Интервалы!$F$2:$F$513,MATCH(K17,Интервалы!$G$2:$G$513,0)))</f>
        <v/>
      </c>
      <c r="J17" s="9">
        <f>IF(K17="","",INDEX(Интервалы!$H$2:$H$513,MATCH(K17,Интервалы!$G$2:$G$513,0)))</f>
        <v/>
      </c>
      <c r="K17">
        <f>IFERROR(SMALL(Интервалы!$G$2:$G$513,11),"")</f>
        <v/>
      </c>
      <c r="L17">
        <f>IF(K17="","",INDEX(Интервалы!$B$2:$B$513,MATCH(K17,Интервалы!$G$2:$G$513,0)))</f>
        <v/>
      </c>
      <c r="M17" s="5">
        <f>IF(Акты!$B$15="","",Акты!$B$15)</f>
        <v/>
      </c>
      <c r="N17" s="17">
        <f>IF(M17="","",Акты!$E$15)</f>
        <v/>
      </c>
      <c r="O17" s="9">
        <f>IF(M17="","",Акты!$D$15)</f>
        <v/>
      </c>
      <c r="P17" s="9">
        <f>IF(M17="","",SUMIF($L$7:$L$518,11,$I$7:$I$518))</f>
        <v/>
      </c>
      <c r="Q17" s="9">
        <f>IF(M17="","",Акты!$G$15)</f>
        <v/>
      </c>
    </row>
    <row r="18">
      <c r="A18" s="5">
        <f>IF(K18="","",12)</f>
        <v/>
      </c>
      <c r="B18" s="5">
        <f>IF(K18="","",INDEX(Интервалы!$A$2:$A$513,MATCH(K18,Интервалы!$G$2:$G$513,0)))</f>
        <v/>
      </c>
      <c r="C18" s="17">
        <f>IF(K18="","",INDEX(Интервалы!$C$2:$C$513,MATCH(K18,Интервалы!$G$2:$G$513,0)))</f>
        <v/>
      </c>
      <c r="D18" s="17">
        <f>IF(K18="","",INDEX(Интервалы!$D$2:$D$513,MATCH(K18,Интервалы!$G$2:$G$513,0)))</f>
        <v/>
      </c>
      <c r="E18" s="5">
        <f>IF(K18="","",D18-C18+1)</f>
        <v/>
      </c>
      <c r="F18" s="9">
        <f>IF(K18="","",INDEX(Интервалы!$E$2:$E$513,MATCH(K18,Интервалы!$G$2:$G$513,0)))</f>
        <v/>
      </c>
      <c r="G18" s="5">
        <f>IF(K18="","",IF(H18=1,INDEX('По дням'!$B$2:$B$4000,MATCH(C18,'По дням'!$A$2:$A$4000,0)),"по периодам ставки"))</f>
        <v/>
      </c>
      <c r="H18" s="5">
        <f>IF(K18="","",INDEX(Интервалы!$I$2:$I$513,MATCH(K18,Интервалы!$G$2:$G$513,0)))</f>
        <v/>
      </c>
      <c r="I18" s="9">
        <f>IF(K18="","",INDEX(Интервалы!$F$2:$F$513,MATCH(K18,Интервалы!$G$2:$G$513,0)))</f>
        <v/>
      </c>
      <c r="J18" s="9">
        <f>IF(K18="","",INDEX(Интервалы!$H$2:$H$513,MATCH(K18,Интервалы!$G$2:$G$513,0)))</f>
        <v/>
      </c>
      <c r="K18">
        <f>IFERROR(SMALL(Интервалы!$G$2:$G$513,12),"")</f>
        <v/>
      </c>
      <c r="L18">
        <f>IF(K18="","",INDEX(Интервалы!$B$2:$B$513,MATCH(K18,Интервалы!$G$2:$G$513,0)))</f>
        <v/>
      </c>
      <c r="M18" s="5">
        <f>IF(Акты!$B$16="","",Акты!$B$16)</f>
        <v/>
      </c>
      <c r="N18" s="17">
        <f>IF(M18="","",Акты!$E$16)</f>
        <v/>
      </c>
      <c r="O18" s="9">
        <f>IF(M18="","",Акты!$D$16)</f>
        <v/>
      </c>
      <c r="P18" s="9">
        <f>IF(M18="","",SUMIF($L$7:$L$518,12,$I$7:$I$518))</f>
        <v/>
      </c>
      <c r="Q18" s="9">
        <f>IF(M18="","",Акты!$G$16)</f>
        <v/>
      </c>
    </row>
    <row r="19">
      <c r="A19" s="5">
        <f>IF(K19="","",13)</f>
        <v/>
      </c>
      <c r="B19" s="5">
        <f>IF(K19="","",INDEX(Интервалы!$A$2:$A$513,MATCH(K19,Интервалы!$G$2:$G$513,0)))</f>
        <v/>
      </c>
      <c r="C19" s="17">
        <f>IF(K19="","",INDEX(Интервалы!$C$2:$C$513,MATCH(K19,Интервалы!$G$2:$G$513,0)))</f>
        <v/>
      </c>
      <c r="D19" s="17">
        <f>IF(K19="","",INDEX(Интервалы!$D$2:$D$513,MATCH(K19,Интервалы!$G$2:$G$513,0)))</f>
        <v/>
      </c>
      <c r="E19" s="5">
        <f>IF(K19="","",D19-C19+1)</f>
        <v/>
      </c>
      <c r="F19" s="9">
        <f>IF(K19="","",INDEX(Интервалы!$E$2:$E$513,MATCH(K19,Интервалы!$G$2:$G$513,0)))</f>
        <v/>
      </c>
      <c r="G19" s="5">
        <f>IF(K19="","",IF(H19=1,INDEX('По дням'!$B$2:$B$4000,MATCH(C19,'По дням'!$A$2:$A$4000,0)),"по периодам ставки"))</f>
        <v/>
      </c>
      <c r="H19" s="5">
        <f>IF(K19="","",INDEX(Интервалы!$I$2:$I$513,MATCH(K19,Интервалы!$G$2:$G$513,0)))</f>
        <v/>
      </c>
      <c r="I19" s="9">
        <f>IF(K19="","",INDEX(Интервалы!$F$2:$F$513,MATCH(K19,Интервалы!$G$2:$G$513,0)))</f>
        <v/>
      </c>
      <c r="J19" s="9">
        <f>IF(K19="","",INDEX(Интервалы!$H$2:$H$513,MATCH(K19,Интервалы!$G$2:$G$513,0)))</f>
        <v/>
      </c>
      <c r="K19">
        <f>IFERROR(SMALL(Интервалы!$G$2:$G$513,13),"")</f>
        <v/>
      </c>
      <c r="L19">
        <f>IF(K19="","",INDEX(Интервалы!$B$2:$B$513,MATCH(K19,Интервалы!$G$2:$G$513,0)))</f>
        <v/>
      </c>
      <c r="M19" s="18" t="inlineStr">
        <is>
          <t>Итого по акта́м</t>
        </is>
      </c>
      <c r="N19" s="5" t="n"/>
      <c r="O19" s="5" t="n"/>
      <c r="P19" s="19">
        <f>SUM(P7:P18)</f>
        <v/>
      </c>
      <c r="Q19" s="19">
        <f>SUM(Q7:Q18)</f>
        <v/>
      </c>
    </row>
    <row r="20">
      <c r="A20" s="5">
        <f>IF(K20="","",14)</f>
        <v/>
      </c>
      <c r="B20" s="5">
        <f>IF(K20="","",INDEX(Интервалы!$A$2:$A$513,MATCH(K20,Интервалы!$G$2:$G$513,0)))</f>
        <v/>
      </c>
      <c r="C20" s="17">
        <f>IF(K20="","",INDEX(Интервалы!$C$2:$C$513,MATCH(K20,Интервалы!$G$2:$G$513,0)))</f>
        <v/>
      </c>
      <c r="D20" s="17">
        <f>IF(K20="","",INDEX(Интервалы!$D$2:$D$513,MATCH(K20,Интервалы!$G$2:$G$513,0)))</f>
        <v/>
      </c>
      <c r="E20" s="5">
        <f>IF(K20="","",D20-C20+1)</f>
        <v/>
      </c>
      <c r="F20" s="9">
        <f>IF(K20="","",INDEX(Интервалы!$E$2:$E$513,MATCH(K20,Интервалы!$G$2:$G$513,0)))</f>
        <v/>
      </c>
      <c r="G20" s="5">
        <f>IF(K20="","",IF(H20=1,INDEX('По дням'!$B$2:$B$4000,MATCH(C20,'По дням'!$A$2:$A$4000,0)),"по периодам ставки"))</f>
        <v/>
      </c>
      <c r="H20" s="5">
        <f>IF(K20="","",INDEX(Интервалы!$I$2:$I$513,MATCH(K20,Интервалы!$G$2:$G$513,0)))</f>
        <v/>
      </c>
      <c r="I20" s="9">
        <f>IF(K20="","",INDEX(Интервалы!$F$2:$F$513,MATCH(K20,Интервалы!$G$2:$G$513,0)))</f>
        <v/>
      </c>
      <c r="J20" s="9">
        <f>IF(K20="","",INDEX(Интервалы!$H$2:$H$513,MATCH(K20,Интервалы!$G$2:$G$513,0)))</f>
        <v/>
      </c>
      <c r="K20">
        <f>IFERROR(SMALL(Интервалы!$G$2:$G$513,14),"")</f>
        <v/>
      </c>
      <c r="L20">
        <f>IF(K20="","",INDEX(Интервалы!$B$2:$B$513,MATCH(K20,Интервалы!$G$2:$G$513,0)))</f>
        <v/>
      </c>
    </row>
    <row r="21">
      <c r="A21" s="5">
        <f>IF(K21="","",15)</f>
        <v/>
      </c>
      <c r="B21" s="5">
        <f>IF(K21="","",INDEX(Интервалы!$A$2:$A$513,MATCH(K21,Интервалы!$G$2:$G$513,0)))</f>
        <v/>
      </c>
      <c r="C21" s="17">
        <f>IF(K21="","",INDEX(Интервалы!$C$2:$C$513,MATCH(K21,Интервалы!$G$2:$G$513,0)))</f>
        <v/>
      </c>
      <c r="D21" s="17">
        <f>IF(K21="","",INDEX(Интервалы!$D$2:$D$513,MATCH(K21,Интервалы!$G$2:$G$513,0)))</f>
        <v/>
      </c>
      <c r="E21" s="5">
        <f>IF(K21="","",D21-C21+1)</f>
        <v/>
      </c>
      <c r="F21" s="9">
        <f>IF(K21="","",INDEX(Интервалы!$E$2:$E$513,MATCH(K21,Интервалы!$G$2:$G$513,0)))</f>
        <v/>
      </c>
      <c r="G21" s="5">
        <f>IF(K21="","",IF(H21=1,INDEX('По дням'!$B$2:$B$4000,MATCH(C21,'По дням'!$A$2:$A$4000,0)),"по периодам ставки"))</f>
        <v/>
      </c>
      <c r="H21" s="5">
        <f>IF(K21="","",INDEX(Интервалы!$I$2:$I$513,MATCH(K21,Интервалы!$G$2:$G$513,0)))</f>
        <v/>
      </c>
      <c r="I21" s="9">
        <f>IF(K21="","",INDEX(Интервалы!$F$2:$F$513,MATCH(K21,Интервалы!$G$2:$G$513,0)))</f>
        <v/>
      </c>
      <c r="J21" s="9">
        <f>IF(K21="","",INDEX(Интервалы!$H$2:$H$513,MATCH(K21,Интервалы!$G$2:$G$513,0)))</f>
        <v/>
      </c>
      <c r="K21">
        <f>IFERROR(SMALL(Интервалы!$G$2:$G$513,15),"")</f>
        <v/>
      </c>
      <c r="L21">
        <f>IF(K21="","",INDEX(Интервалы!$B$2:$B$513,MATCH(K21,Интервалы!$G$2:$G$513,0)))</f>
        <v/>
      </c>
    </row>
    <row r="22">
      <c r="A22" s="5">
        <f>IF(K22="","",16)</f>
        <v/>
      </c>
      <c r="B22" s="5">
        <f>IF(K22="","",INDEX(Интервалы!$A$2:$A$513,MATCH(K22,Интервалы!$G$2:$G$513,0)))</f>
        <v/>
      </c>
      <c r="C22" s="17">
        <f>IF(K22="","",INDEX(Интервалы!$C$2:$C$513,MATCH(K22,Интервалы!$G$2:$G$513,0)))</f>
        <v/>
      </c>
      <c r="D22" s="17">
        <f>IF(K22="","",INDEX(Интервалы!$D$2:$D$513,MATCH(K22,Интервалы!$G$2:$G$513,0)))</f>
        <v/>
      </c>
      <c r="E22" s="5">
        <f>IF(K22="","",D22-C22+1)</f>
        <v/>
      </c>
      <c r="F22" s="9">
        <f>IF(K22="","",INDEX(Интервалы!$E$2:$E$513,MATCH(K22,Интервалы!$G$2:$G$513,0)))</f>
        <v/>
      </c>
      <c r="G22" s="5">
        <f>IF(K22="","",IF(H22=1,INDEX('По дням'!$B$2:$B$4000,MATCH(C22,'По дням'!$A$2:$A$4000,0)),"по периодам ставки"))</f>
        <v/>
      </c>
      <c r="H22" s="5">
        <f>IF(K22="","",INDEX(Интервалы!$I$2:$I$513,MATCH(K22,Интервалы!$G$2:$G$513,0)))</f>
        <v/>
      </c>
      <c r="I22" s="9">
        <f>IF(K22="","",INDEX(Интервалы!$F$2:$F$513,MATCH(K22,Интервалы!$G$2:$G$513,0)))</f>
        <v/>
      </c>
      <c r="J22" s="9">
        <f>IF(K22="","",INDEX(Интервалы!$H$2:$H$513,MATCH(K22,Интервалы!$G$2:$G$513,0)))</f>
        <v/>
      </c>
      <c r="K22">
        <f>IFERROR(SMALL(Интервалы!$G$2:$G$513,16),"")</f>
        <v/>
      </c>
      <c r="L22">
        <f>IF(K22="","",INDEX(Интервалы!$B$2:$B$513,MATCH(K22,Интервалы!$G$2:$G$513,0)))</f>
        <v/>
      </c>
    </row>
    <row r="23">
      <c r="A23" s="5">
        <f>IF(K23="","",17)</f>
        <v/>
      </c>
      <c r="B23" s="5">
        <f>IF(K23="","",INDEX(Интервалы!$A$2:$A$513,MATCH(K23,Интервалы!$G$2:$G$513,0)))</f>
        <v/>
      </c>
      <c r="C23" s="17">
        <f>IF(K23="","",INDEX(Интервалы!$C$2:$C$513,MATCH(K23,Интервалы!$G$2:$G$513,0)))</f>
        <v/>
      </c>
      <c r="D23" s="17">
        <f>IF(K23="","",INDEX(Интервалы!$D$2:$D$513,MATCH(K23,Интервалы!$G$2:$G$513,0)))</f>
        <v/>
      </c>
      <c r="E23" s="5">
        <f>IF(K23="","",D23-C23+1)</f>
        <v/>
      </c>
      <c r="F23" s="9">
        <f>IF(K23="","",INDEX(Интервалы!$E$2:$E$513,MATCH(K23,Интервалы!$G$2:$G$513,0)))</f>
        <v/>
      </c>
      <c r="G23" s="5">
        <f>IF(K23="","",IF(H23=1,INDEX('По дням'!$B$2:$B$4000,MATCH(C23,'По дням'!$A$2:$A$4000,0)),"по периодам ставки"))</f>
        <v/>
      </c>
      <c r="H23" s="5">
        <f>IF(K23="","",INDEX(Интервалы!$I$2:$I$513,MATCH(K23,Интервалы!$G$2:$G$513,0)))</f>
        <v/>
      </c>
      <c r="I23" s="9">
        <f>IF(K23="","",INDEX(Интервалы!$F$2:$F$513,MATCH(K23,Интервалы!$G$2:$G$513,0)))</f>
        <v/>
      </c>
      <c r="J23" s="9">
        <f>IF(K23="","",INDEX(Интервалы!$H$2:$H$513,MATCH(K23,Интервалы!$G$2:$G$513,0)))</f>
        <v/>
      </c>
      <c r="K23">
        <f>IFERROR(SMALL(Интервалы!$G$2:$G$513,17),"")</f>
        <v/>
      </c>
      <c r="L23">
        <f>IF(K23="","",INDEX(Интервалы!$B$2:$B$513,MATCH(K23,Интервалы!$G$2:$G$513,0)))</f>
        <v/>
      </c>
    </row>
    <row r="24">
      <c r="A24" s="5">
        <f>IF(K24="","",18)</f>
        <v/>
      </c>
      <c r="B24" s="5">
        <f>IF(K24="","",INDEX(Интервалы!$A$2:$A$513,MATCH(K24,Интервалы!$G$2:$G$513,0)))</f>
        <v/>
      </c>
      <c r="C24" s="17">
        <f>IF(K24="","",INDEX(Интервалы!$C$2:$C$513,MATCH(K24,Интервалы!$G$2:$G$513,0)))</f>
        <v/>
      </c>
      <c r="D24" s="17">
        <f>IF(K24="","",INDEX(Интервалы!$D$2:$D$513,MATCH(K24,Интервалы!$G$2:$G$513,0)))</f>
        <v/>
      </c>
      <c r="E24" s="5">
        <f>IF(K24="","",D24-C24+1)</f>
        <v/>
      </c>
      <c r="F24" s="9">
        <f>IF(K24="","",INDEX(Интервалы!$E$2:$E$513,MATCH(K24,Интервалы!$G$2:$G$513,0)))</f>
        <v/>
      </c>
      <c r="G24" s="5">
        <f>IF(K24="","",IF(H24=1,INDEX('По дням'!$B$2:$B$4000,MATCH(C24,'По дням'!$A$2:$A$4000,0)),"по периодам ставки"))</f>
        <v/>
      </c>
      <c r="H24" s="5">
        <f>IF(K24="","",INDEX(Интервалы!$I$2:$I$513,MATCH(K24,Интервалы!$G$2:$G$513,0)))</f>
        <v/>
      </c>
      <c r="I24" s="9">
        <f>IF(K24="","",INDEX(Интервалы!$F$2:$F$513,MATCH(K24,Интервалы!$G$2:$G$513,0)))</f>
        <v/>
      </c>
      <c r="J24" s="9">
        <f>IF(K24="","",INDEX(Интервалы!$H$2:$H$513,MATCH(K24,Интервалы!$G$2:$G$513,0)))</f>
        <v/>
      </c>
      <c r="K24">
        <f>IFERROR(SMALL(Интервалы!$G$2:$G$513,18),"")</f>
        <v/>
      </c>
      <c r="L24">
        <f>IF(K24="","",INDEX(Интервалы!$B$2:$B$513,MATCH(K24,Интервалы!$G$2:$G$513,0)))</f>
        <v/>
      </c>
    </row>
    <row r="25">
      <c r="A25" s="5">
        <f>IF(K25="","",19)</f>
        <v/>
      </c>
      <c r="B25" s="5">
        <f>IF(K25="","",INDEX(Интервалы!$A$2:$A$513,MATCH(K25,Интервалы!$G$2:$G$513,0)))</f>
        <v/>
      </c>
      <c r="C25" s="17">
        <f>IF(K25="","",INDEX(Интервалы!$C$2:$C$513,MATCH(K25,Интервалы!$G$2:$G$513,0)))</f>
        <v/>
      </c>
      <c r="D25" s="17">
        <f>IF(K25="","",INDEX(Интервалы!$D$2:$D$513,MATCH(K25,Интервалы!$G$2:$G$513,0)))</f>
        <v/>
      </c>
      <c r="E25" s="5">
        <f>IF(K25="","",D25-C25+1)</f>
        <v/>
      </c>
      <c r="F25" s="9">
        <f>IF(K25="","",INDEX(Интервалы!$E$2:$E$513,MATCH(K25,Интервалы!$G$2:$G$513,0)))</f>
        <v/>
      </c>
      <c r="G25" s="5">
        <f>IF(K25="","",IF(H25=1,INDEX('По дням'!$B$2:$B$4000,MATCH(C25,'По дням'!$A$2:$A$4000,0)),"по периодам ставки"))</f>
        <v/>
      </c>
      <c r="H25" s="5">
        <f>IF(K25="","",INDEX(Интервалы!$I$2:$I$513,MATCH(K25,Интервалы!$G$2:$G$513,0)))</f>
        <v/>
      </c>
      <c r="I25" s="9">
        <f>IF(K25="","",INDEX(Интервалы!$F$2:$F$513,MATCH(K25,Интервалы!$G$2:$G$513,0)))</f>
        <v/>
      </c>
      <c r="J25" s="9">
        <f>IF(K25="","",INDEX(Интервалы!$H$2:$H$513,MATCH(K25,Интервалы!$G$2:$G$513,0)))</f>
        <v/>
      </c>
      <c r="K25">
        <f>IFERROR(SMALL(Интервалы!$G$2:$G$513,19),"")</f>
        <v/>
      </c>
      <c r="L25">
        <f>IF(K25="","",INDEX(Интервалы!$B$2:$B$513,MATCH(K25,Интервалы!$G$2:$G$513,0)))</f>
        <v/>
      </c>
    </row>
    <row r="26">
      <c r="A26" s="5">
        <f>IF(K26="","",20)</f>
        <v/>
      </c>
      <c r="B26" s="5">
        <f>IF(K26="","",INDEX(Интервалы!$A$2:$A$513,MATCH(K26,Интервалы!$G$2:$G$513,0)))</f>
        <v/>
      </c>
      <c r="C26" s="17">
        <f>IF(K26="","",INDEX(Интервалы!$C$2:$C$513,MATCH(K26,Интервалы!$G$2:$G$513,0)))</f>
        <v/>
      </c>
      <c r="D26" s="17">
        <f>IF(K26="","",INDEX(Интервалы!$D$2:$D$513,MATCH(K26,Интервалы!$G$2:$G$513,0)))</f>
        <v/>
      </c>
      <c r="E26" s="5">
        <f>IF(K26="","",D26-C26+1)</f>
        <v/>
      </c>
      <c r="F26" s="9">
        <f>IF(K26="","",INDEX(Интервалы!$E$2:$E$513,MATCH(K26,Интервалы!$G$2:$G$513,0)))</f>
        <v/>
      </c>
      <c r="G26" s="5">
        <f>IF(K26="","",IF(H26=1,INDEX('По дням'!$B$2:$B$4000,MATCH(C26,'По дням'!$A$2:$A$4000,0)),"по периодам ставки"))</f>
        <v/>
      </c>
      <c r="H26" s="5">
        <f>IF(K26="","",INDEX(Интервалы!$I$2:$I$513,MATCH(K26,Интервалы!$G$2:$G$513,0)))</f>
        <v/>
      </c>
      <c r="I26" s="9">
        <f>IF(K26="","",INDEX(Интервалы!$F$2:$F$513,MATCH(K26,Интервалы!$G$2:$G$513,0)))</f>
        <v/>
      </c>
      <c r="J26" s="9">
        <f>IF(K26="","",INDEX(Интервалы!$H$2:$H$513,MATCH(K26,Интервалы!$G$2:$G$513,0)))</f>
        <v/>
      </c>
      <c r="K26">
        <f>IFERROR(SMALL(Интервалы!$G$2:$G$513,20),"")</f>
        <v/>
      </c>
      <c r="L26">
        <f>IF(K26="","",INDEX(Интервалы!$B$2:$B$513,MATCH(K26,Интервалы!$G$2:$G$513,0)))</f>
        <v/>
      </c>
    </row>
    <row r="27">
      <c r="A27" s="5">
        <f>IF(K27="","",21)</f>
        <v/>
      </c>
      <c r="B27" s="5">
        <f>IF(K27="","",INDEX(Интервалы!$A$2:$A$513,MATCH(K27,Интервалы!$G$2:$G$513,0)))</f>
        <v/>
      </c>
      <c r="C27" s="17">
        <f>IF(K27="","",INDEX(Интервалы!$C$2:$C$513,MATCH(K27,Интервалы!$G$2:$G$513,0)))</f>
        <v/>
      </c>
      <c r="D27" s="17">
        <f>IF(K27="","",INDEX(Интервалы!$D$2:$D$513,MATCH(K27,Интервалы!$G$2:$G$513,0)))</f>
        <v/>
      </c>
      <c r="E27" s="5">
        <f>IF(K27="","",D27-C27+1)</f>
        <v/>
      </c>
      <c r="F27" s="9">
        <f>IF(K27="","",INDEX(Интервалы!$E$2:$E$513,MATCH(K27,Интервалы!$G$2:$G$513,0)))</f>
        <v/>
      </c>
      <c r="G27" s="5">
        <f>IF(K27="","",IF(H27=1,INDEX('По дням'!$B$2:$B$4000,MATCH(C27,'По дням'!$A$2:$A$4000,0)),"по периодам ставки"))</f>
        <v/>
      </c>
      <c r="H27" s="5">
        <f>IF(K27="","",INDEX(Интервалы!$I$2:$I$513,MATCH(K27,Интервалы!$G$2:$G$513,0)))</f>
        <v/>
      </c>
      <c r="I27" s="9">
        <f>IF(K27="","",INDEX(Интервалы!$F$2:$F$513,MATCH(K27,Интервалы!$G$2:$G$513,0)))</f>
        <v/>
      </c>
      <c r="J27" s="9">
        <f>IF(K27="","",INDEX(Интервалы!$H$2:$H$513,MATCH(K27,Интервалы!$G$2:$G$513,0)))</f>
        <v/>
      </c>
      <c r="K27">
        <f>IFERROR(SMALL(Интервалы!$G$2:$G$513,21),"")</f>
        <v/>
      </c>
      <c r="L27">
        <f>IF(K27="","",INDEX(Интервалы!$B$2:$B$513,MATCH(K27,Интервалы!$G$2:$G$513,0)))</f>
        <v/>
      </c>
    </row>
    <row r="28">
      <c r="A28" s="5">
        <f>IF(K28="","",22)</f>
        <v/>
      </c>
      <c r="B28" s="5">
        <f>IF(K28="","",INDEX(Интервалы!$A$2:$A$513,MATCH(K28,Интервалы!$G$2:$G$513,0)))</f>
        <v/>
      </c>
      <c r="C28" s="17">
        <f>IF(K28="","",INDEX(Интервалы!$C$2:$C$513,MATCH(K28,Интервалы!$G$2:$G$513,0)))</f>
        <v/>
      </c>
      <c r="D28" s="17">
        <f>IF(K28="","",INDEX(Интервалы!$D$2:$D$513,MATCH(K28,Интервалы!$G$2:$G$513,0)))</f>
        <v/>
      </c>
      <c r="E28" s="5">
        <f>IF(K28="","",D28-C28+1)</f>
        <v/>
      </c>
      <c r="F28" s="9">
        <f>IF(K28="","",INDEX(Интервалы!$E$2:$E$513,MATCH(K28,Интервалы!$G$2:$G$513,0)))</f>
        <v/>
      </c>
      <c r="G28" s="5">
        <f>IF(K28="","",IF(H28=1,INDEX('По дням'!$B$2:$B$4000,MATCH(C28,'По дням'!$A$2:$A$4000,0)),"по периодам ставки"))</f>
        <v/>
      </c>
      <c r="H28" s="5">
        <f>IF(K28="","",INDEX(Интервалы!$I$2:$I$513,MATCH(K28,Интервалы!$G$2:$G$513,0)))</f>
        <v/>
      </c>
      <c r="I28" s="9">
        <f>IF(K28="","",INDEX(Интервалы!$F$2:$F$513,MATCH(K28,Интервалы!$G$2:$G$513,0)))</f>
        <v/>
      </c>
      <c r="J28" s="9">
        <f>IF(K28="","",INDEX(Интервалы!$H$2:$H$513,MATCH(K28,Интервалы!$G$2:$G$513,0)))</f>
        <v/>
      </c>
      <c r="K28">
        <f>IFERROR(SMALL(Интервалы!$G$2:$G$513,22),"")</f>
        <v/>
      </c>
      <c r="L28">
        <f>IF(K28="","",INDEX(Интервалы!$B$2:$B$513,MATCH(K28,Интервалы!$G$2:$G$513,0)))</f>
        <v/>
      </c>
    </row>
    <row r="29">
      <c r="A29" s="5">
        <f>IF(K29="","",23)</f>
        <v/>
      </c>
      <c r="B29" s="5">
        <f>IF(K29="","",INDEX(Интервалы!$A$2:$A$513,MATCH(K29,Интервалы!$G$2:$G$513,0)))</f>
        <v/>
      </c>
      <c r="C29" s="17">
        <f>IF(K29="","",INDEX(Интервалы!$C$2:$C$513,MATCH(K29,Интервалы!$G$2:$G$513,0)))</f>
        <v/>
      </c>
      <c r="D29" s="17">
        <f>IF(K29="","",INDEX(Интервалы!$D$2:$D$513,MATCH(K29,Интервалы!$G$2:$G$513,0)))</f>
        <v/>
      </c>
      <c r="E29" s="5">
        <f>IF(K29="","",D29-C29+1)</f>
        <v/>
      </c>
      <c r="F29" s="9">
        <f>IF(K29="","",INDEX(Интервалы!$E$2:$E$513,MATCH(K29,Интервалы!$G$2:$G$513,0)))</f>
        <v/>
      </c>
      <c r="G29" s="5">
        <f>IF(K29="","",IF(H29=1,INDEX('По дням'!$B$2:$B$4000,MATCH(C29,'По дням'!$A$2:$A$4000,0)),"по периодам ставки"))</f>
        <v/>
      </c>
      <c r="H29" s="5">
        <f>IF(K29="","",INDEX(Интервалы!$I$2:$I$513,MATCH(K29,Интервалы!$G$2:$G$513,0)))</f>
        <v/>
      </c>
      <c r="I29" s="9">
        <f>IF(K29="","",INDEX(Интервалы!$F$2:$F$513,MATCH(K29,Интервалы!$G$2:$G$513,0)))</f>
        <v/>
      </c>
      <c r="J29" s="9">
        <f>IF(K29="","",INDEX(Интервалы!$H$2:$H$513,MATCH(K29,Интервалы!$G$2:$G$513,0)))</f>
        <v/>
      </c>
      <c r="K29">
        <f>IFERROR(SMALL(Интервалы!$G$2:$G$513,23),"")</f>
        <v/>
      </c>
      <c r="L29">
        <f>IF(K29="","",INDEX(Интервалы!$B$2:$B$513,MATCH(K29,Интервалы!$G$2:$G$513,0)))</f>
        <v/>
      </c>
    </row>
    <row r="30">
      <c r="A30" s="5">
        <f>IF(K30="","",24)</f>
        <v/>
      </c>
      <c r="B30" s="5">
        <f>IF(K30="","",INDEX(Интервалы!$A$2:$A$513,MATCH(K30,Интервалы!$G$2:$G$513,0)))</f>
        <v/>
      </c>
      <c r="C30" s="17">
        <f>IF(K30="","",INDEX(Интервалы!$C$2:$C$513,MATCH(K30,Интервалы!$G$2:$G$513,0)))</f>
        <v/>
      </c>
      <c r="D30" s="17">
        <f>IF(K30="","",INDEX(Интервалы!$D$2:$D$513,MATCH(K30,Интервалы!$G$2:$G$513,0)))</f>
        <v/>
      </c>
      <c r="E30" s="5">
        <f>IF(K30="","",D30-C30+1)</f>
        <v/>
      </c>
      <c r="F30" s="9">
        <f>IF(K30="","",INDEX(Интервалы!$E$2:$E$513,MATCH(K30,Интервалы!$G$2:$G$513,0)))</f>
        <v/>
      </c>
      <c r="G30" s="5">
        <f>IF(K30="","",IF(H30=1,INDEX('По дням'!$B$2:$B$4000,MATCH(C30,'По дням'!$A$2:$A$4000,0)),"по периодам ставки"))</f>
        <v/>
      </c>
      <c r="H30" s="5">
        <f>IF(K30="","",INDEX(Интервалы!$I$2:$I$513,MATCH(K30,Интервалы!$G$2:$G$513,0)))</f>
        <v/>
      </c>
      <c r="I30" s="9">
        <f>IF(K30="","",INDEX(Интервалы!$F$2:$F$513,MATCH(K30,Интервалы!$G$2:$G$513,0)))</f>
        <v/>
      </c>
      <c r="J30" s="9">
        <f>IF(K30="","",INDEX(Интервалы!$H$2:$H$513,MATCH(K30,Интервалы!$G$2:$G$513,0)))</f>
        <v/>
      </c>
      <c r="K30">
        <f>IFERROR(SMALL(Интервалы!$G$2:$G$513,24),"")</f>
        <v/>
      </c>
      <c r="L30">
        <f>IF(K30="","",INDEX(Интервалы!$B$2:$B$513,MATCH(K30,Интервалы!$G$2:$G$513,0)))</f>
        <v/>
      </c>
    </row>
    <row r="31">
      <c r="A31" s="5">
        <f>IF(K31="","",25)</f>
        <v/>
      </c>
      <c r="B31" s="5">
        <f>IF(K31="","",INDEX(Интервалы!$A$2:$A$513,MATCH(K31,Интервалы!$G$2:$G$513,0)))</f>
        <v/>
      </c>
      <c r="C31" s="17">
        <f>IF(K31="","",INDEX(Интервалы!$C$2:$C$513,MATCH(K31,Интервалы!$G$2:$G$513,0)))</f>
        <v/>
      </c>
      <c r="D31" s="17">
        <f>IF(K31="","",INDEX(Интервалы!$D$2:$D$513,MATCH(K31,Интервалы!$G$2:$G$513,0)))</f>
        <v/>
      </c>
      <c r="E31" s="5">
        <f>IF(K31="","",D31-C31+1)</f>
        <v/>
      </c>
      <c r="F31" s="9">
        <f>IF(K31="","",INDEX(Интервалы!$E$2:$E$513,MATCH(K31,Интервалы!$G$2:$G$513,0)))</f>
        <v/>
      </c>
      <c r="G31" s="5">
        <f>IF(K31="","",IF(H31=1,INDEX('По дням'!$B$2:$B$4000,MATCH(C31,'По дням'!$A$2:$A$4000,0)),"по периодам ставки"))</f>
        <v/>
      </c>
      <c r="H31" s="5">
        <f>IF(K31="","",INDEX(Интервалы!$I$2:$I$513,MATCH(K31,Интервалы!$G$2:$G$513,0)))</f>
        <v/>
      </c>
      <c r="I31" s="9">
        <f>IF(K31="","",INDEX(Интервалы!$F$2:$F$513,MATCH(K31,Интервалы!$G$2:$G$513,0)))</f>
        <v/>
      </c>
      <c r="J31" s="9">
        <f>IF(K31="","",INDEX(Интервалы!$H$2:$H$513,MATCH(K31,Интервалы!$G$2:$G$513,0)))</f>
        <v/>
      </c>
      <c r="K31">
        <f>IFERROR(SMALL(Интервалы!$G$2:$G$513,25),"")</f>
        <v/>
      </c>
      <c r="L31">
        <f>IF(K31="","",INDEX(Интервалы!$B$2:$B$513,MATCH(K31,Интервалы!$G$2:$G$513,0)))</f>
        <v/>
      </c>
    </row>
    <row r="32">
      <c r="A32" s="5">
        <f>IF(K32="","",26)</f>
        <v/>
      </c>
      <c r="B32" s="5">
        <f>IF(K32="","",INDEX(Интервалы!$A$2:$A$513,MATCH(K32,Интервалы!$G$2:$G$513,0)))</f>
        <v/>
      </c>
      <c r="C32" s="17">
        <f>IF(K32="","",INDEX(Интервалы!$C$2:$C$513,MATCH(K32,Интервалы!$G$2:$G$513,0)))</f>
        <v/>
      </c>
      <c r="D32" s="17">
        <f>IF(K32="","",INDEX(Интервалы!$D$2:$D$513,MATCH(K32,Интервалы!$G$2:$G$513,0)))</f>
        <v/>
      </c>
      <c r="E32" s="5">
        <f>IF(K32="","",D32-C32+1)</f>
        <v/>
      </c>
      <c r="F32" s="9">
        <f>IF(K32="","",INDEX(Интервалы!$E$2:$E$513,MATCH(K32,Интервалы!$G$2:$G$513,0)))</f>
        <v/>
      </c>
      <c r="G32" s="5">
        <f>IF(K32="","",IF(H32=1,INDEX('По дням'!$B$2:$B$4000,MATCH(C32,'По дням'!$A$2:$A$4000,0)),"по периодам ставки"))</f>
        <v/>
      </c>
      <c r="H32" s="5">
        <f>IF(K32="","",INDEX(Интервалы!$I$2:$I$513,MATCH(K32,Интервалы!$G$2:$G$513,0)))</f>
        <v/>
      </c>
      <c r="I32" s="9">
        <f>IF(K32="","",INDEX(Интервалы!$F$2:$F$513,MATCH(K32,Интервалы!$G$2:$G$513,0)))</f>
        <v/>
      </c>
      <c r="J32" s="9">
        <f>IF(K32="","",INDEX(Интервалы!$H$2:$H$513,MATCH(K32,Интервалы!$G$2:$G$513,0)))</f>
        <v/>
      </c>
      <c r="K32">
        <f>IFERROR(SMALL(Интервалы!$G$2:$G$513,26),"")</f>
        <v/>
      </c>
      <c r="L32">
        <f>IF(K32="","",INDEX(Интервалы!$B$2:$B$513,MATCH(K32,Интервалы!$G$2:$G$513,0)))</f>
        <v/>
      </c>
    </row>
    <row r="33">
      <c r="A33" s="5">
        <f>IF(K33="","",27)</f>
        <v/>
      </c>
      <c r="B33" s="5">
        <f>IF(K33="","",INDEX(Интервалы!$A$2:$A$513,MATCH(K33,Интервалы!$G$2:$G$513,0)))</f>
        <v/>
      </c>
      <c r="C33" s="17">
        <f>IF(K33="","",INDEX(Интервалы!$C$2:$C$513,MATCH(K33,Интервалы!$G$2:$G$513,0)))</f>
        <v/>
      </c>
      <c r="D33" s="17">
        <f>IF(K33="","",INDEX(Интервалы!$D$2:$D$513,MATCH(K33,Интервалы!$G$2:$G$513,0)))</f>
        <v/>
      </c>
      <c r="E33" s="5">
        <f>IF(K33="","",D33-C33+1)</f>
        <v/>
      </c>
      <c r="F33" s="9">
        <f>IF(K33="","",INDEX(Интервалы!$E$2:$E$513,MATCH(K33,Интервалы!$G$2:$G$513,0)))</f>
        <v/>
      </c>
      <c r="G33" s="5">
        <f>IF(K33="","",IF(H33=1,INDEX('По дням'!$B$2:$B$4000,MATCH(C33,'По дням'!$A$2:$A$4000,0)),"по периодам ставки"))</f>
        <v/>
      </c>
      <c r="H33" s="5">
        <f>IF(K33="","",INDEX(Интервалы!$I$2:$I$513,MATCH(K33,Интервалы!$G$2:$G$513,0)))</f>
        <v/>
      </c>
      <c r="I33" s="9">
        <f>IF(K33="","",INDEX(Интервалы!$F$2:$F$513,MATCH(K33,Интервалы!$G$2:$G$513,0)))</f>
        <v/>
      </c>
      <c r="J33" s="9">
        <f>IF(K33="","",INDEX(Интервалы!$H$2:$H$513,MATCH(K33,Интервалы!$G$2:$G$513,0)))</f>
        <v/>
      </c>
      <c r="K33">
        <f>IFERROR(SMALL(Интервалы!$G$2:$G$513,27),"")</f>
        <v/>
      </c>
      <c r="L33">
        <f>IF(K33="","",INDEX(Интервалы!$B$2:$B$513,MATCH(K33,Интервалы!$G$2:$G$513,0)))</f>
        <v/>
      </c>
    </row>
    <row r="34">
      <c r="A34" s="5">
        <f>IF(K34="","",28)</f>
        <v/>
      </c>
      <c r="B34" s="5">
        <f>IF(K34="","",INDEX(Интервалы!$A$2:$A$513,MATCH(K34,Интервалы!$G$2:$G$513,0)))</f>
        <v/>
      </c>
      <c r="C34" s="17">
        <f>IF(K34="","",INDEX(Интервалы!$C$2:$C$513,MATCH(K34,Интервалы!$G$2:$G$513,0)))</f>
        <v/>
      </c>
      <c r="D34" s="17">
        <f>IF(K34="","",INDEX(Интервалы!$D$2:$D$513,MATCH(K34,Интервалы!$G$2:$G$513,0)))</f>
        <v/>
      </c>
      <c r="E34" s="5">
        <f>IF(K34="","",D34-C34+1)</f>
        <v/>
      </c>
      <c r="F34" s="9">
        <f>IF(K34="","",INDEX(Интервалы!$E$2:$E$513,MATCH(K34,Интервалы!$G$2:$G$513,0)))</f>
        <v/>
      </c>
      <c r="G34" s="5">
        <f>IF(K34="","",IF(H34=1,INDEX('По дням'!$B$2:$B$4000,MATCH(C34,'По дням'!$A$2:$A$4000,0)),"по периодам ставки"))</f>
        <v/>
      </c>
      <c r="H34" s="5">
        <f>IF(K34="","",INDEX(Интервалы!$I$2:$I$513,MATCH(K34,Интервалы!$G$2:$G$513,0)))</f>
        <v/>
      </c>
      <c r="I34" s="9">
        <f>IF(K34="","",INDEX(Интервалы!$F$2:$F$513,MATCH(K34,Интервалы!$G$2:$G$513,0)))</f>
        <v/>
      </c>
      <c r="J34" s="9">
        <f>IF(K34="","",INDEX(Интервалы!$H$2:$H$513,MATCH(K34,Интервалы!$G$2:$G$513,0)))</f>
        <v/>
      </c>
      <c r="K34">
        <f>IFERROR(SMALL(Интервалы!$G$2:$G$513,28),"")</f>
        <v/>
      </c>
      <c r="L34">
        <f>IF(K34="","",INDEX(Интервалы!$B$2:$B$513,MATCH(K34,Интервалы!$G$2:$G$513,0)))</f>
        <v/>
      </c>
    </row>
    <row r="35">
      <c r="A35" s="5">
        <f>IF(K35="","",29)</f>
        <v/>
      </c>
      <c r="B35" s="5">
        <f>IF(K35="","",INDEX(Интервалы!$A$2:$A$513,MATCH(K35,Интервалы!$G$2:$G$513,0)))</f>
        <v/>
      </c>
      <c r="C35" s="17">
        <f>IF(K35="","",INDEX(Интервалы!$C$2:$C$513,MATCH(K35,Интервалы!$G$2:$G$513,0)))</f>
        <v/>
      </c>
      <c r="D35" s="17">
        <f>IF(K35="","",INDEX(Интервалы!$D$2:$D$513,MATCH(K35,Интервалы!$G$2:$G$513,0)))</f>
        <v/>
      </c>
      <c r="E35" s="5">
        <f>IF(K35="","",D35-C35+1)</f>
        <v/>
      </c>
      <c r="F35" s="9">
        <f>IF(K35="","",INDEX(Интервалы!$E$2:$E$513,MATCH(K35,Интервалы!$G$2:$G$513,0)))</f>
        <v/>
      </c>
      <c r="G35" s="5">
        <f>IF(K35="","",IF(H35=1,INDEX('По дням'!$B$2:$B$4000,MATCH(C35,'По дням'!$A$2:$A$4000,0)),"по периодам ставки"))</f>
        <v/>
      </c>
      <c r="H35" s="5">
        <f>IF(K35="","",INDEX(Интервалы!$I$2:$I$513,MATCH(K35,Интервалы!$G$2:$G$513,0)))</f>
        <v/>
      </c>
      <c r="I35" s="9">
        <f>IF(K35="","",INDEX(Интервалы!$F$2:$F$513,MATCH(K35,Интервалы!$G$2:$G$513,0)))</f>
        <v/>
      </c>
      <c r="J35" s="9">
        <f>IF(K35="","",INDEX(Интервалы!$H$2:$H$513,MATCH(K35,Интервалы!$G$2:$G$513,0)))</f>
        <v/>
      </c>
      <c r="K35">
        <f>IFERROR(SMALL(Интервалы!$G$2:$G$513,29),"")</f>
        <v/>
      </c>
      <c r="L35">
        <f>IF(K35="","",INDEX(Интервалы!$B$2:$B$513,MATCH(K35,Интервалы!$G$2:$G$513,0)))</f>
        <v/>
      </c>
    </row>
    <row r="36">
      <c r="A36" s="5">
        <f>IF(K36="","",30)</f>
        <v/>
      </c>
      <c r="B36" s="5">
        <f>IF(K36="","",INDEX(Интервалы!$A$2:$A$513,MATCH(K36,Интервалы!$G$2:$G$513,0)))</f>
        <v/>
      </c>
      <c r="C36" s="17">
        <f>IF(K36="","",INDEX(Интервалы!$C$2:$C$513,MATCH(K36,Интервалы!$G$2:$G$513,0)))</f>
        <v/>
      </c>
      <c r="D36" s="17">
        <f>IF(K36="","",INDEX(Интервалы!$D$2:$D$513,MATCH(K36,Интервалы!$G$2:$G$513,0)))</f>
        <v/>
      </c>
      <c r="E36" s="5">
        <f>IF(K36="","",D36-C36+1)</f>
        <v/>
      </c>
      <c r="F36" s="9">
        <f>IF(K36="","",INDEX(Интервалы!$E$2:$E$513,MATCH(K36,Интервалы!$G$2:$G$513,0)))</f>
        <v/>
      </c>
      <c r="G36" s="5">
        <f>IF(K36="","",IF(H36=1,INDEX('По дням'!$B$2:$B$4000,MATCH(C36,'По дням'!$A$2:$A$4000,0)),"по периодам ставки"))</f>
        <v/>
      </c>
      <c r="H36" s="5">
        <f>IF(K36="","",INDEX(Интервалы!$I$2:$I$513,MATCH(K36,Интервалы!$G$2:$G$513,0)))</f>
        <v/>
      </c>
      <c r="I36" s="9">
        <f>IF(K36="","",INDEX(Интервалы!$F$2:$F$513,MATCH(K36,Интервалы!$G$2:$G$513,0)))</f>
        <v/>
      </c>
      <c r="J36" s="9">
        <f>IF(K36="","",INDEX(Интервалы!$H$2:$H$513,MATCH(K36,Интервалы!$G$2:$G$513,0)))</f>
        <v/>
      </c>
      <c r="K36">
        <f>IFERROR(SMALL(Интервалы!$G$2:$G$513,30),"")</f>
        <v/>
      </c>
      <c r="L36">
        <f>IF(K36="","",INDEX(Интервалы!$B$2:$B$513,MATCH(K36,Интервалы!$G$2:$G$513,0)))</f>
        <v/>
      </c>
    </row>
    <row r="37">
      <c r="A37" s="5">
        <f>IF(K37="","",31)</f>
        <v/>
      </c>
      <c r="B37" s="5">
        <f>IF(K37="","",INDEX(Интервалы!$A$2:$A$513,MATCH(K37,Интервалы!$G$2:$G$513,0)))</f>
        <v/>
      </c>
      <c r="C37" s="17">
        <f>IF(K37="","",INDEX(Интервалы!$C$2:$C$513,MATCH(K37,Интервалы!$G$2:$G$513,0)))</f>
        <v/>
      </c>
      <c r="D37" s="17">
        <f>IF(K37="","",INDEX(Интервалы!$D$2:$D$513,MATCH(K37,Интервалы!$G$2:$G$513,0)))</f>
        <v/>
      </c>
      <c r="E37" s="5">
        <f>IF(K37="","",D37-C37+1)</f>
        <v/>
      </c>
      <c r="F37" s="9">
        <f>IF(K37="","",INDEX(Интервалы!$E$2:$E$513,MATCH(K37,Интервалы!$G$2:$G$513,0)))</f>
        <v/>
      </c>
      <c r="G37" s="5">
        <f>IF(K37="","",IF(H37=1,INDEX('По дням'!$B$2:$B$4000,MATCH(C37,'По дням'!$A$2:$A$4000,0)),"по периодам ставки"))</f>
        <v/>
      </c>
      <c r="H37" s="5">
        <f>IF(K37="","",INDEX(Интервалы!$I$2:$I$513,MATCH(K37,Интервалы!$G$2:$G$513,0)))</f>
        <v/>
      </c>
      <c r="I37" s="9">
        <f>IF(K37="","",INDEX(Интервалы!$F$2:$F$513,MATCH(K37,Интервалы!$G$2:$G$513,0)))</f>
        <v/>
      </c>
      <c r="J37" s="9">
        <f>IF(K37="","",INDEX(Интервалы!$H$2:$H$513,MATCH(K37,Интервалы!$G$2:$G$513,0)))</f>
        <v/>
      </c>
      <c r="K37">
        <f>IFERROR(SMALL(Интервалы!$G$2:$G$513,31),"")</f>
        <v/>
      </c>
      <c r="L37">
        <f>IF(K37="","",INDEX(Интервалы!$B$2:$B$513,MATCH(K37,Интервалы!$G$2:$G$513,0)))</f>
        <v/>
      </c>
    </row>
    <row r="38">
      <c r="A38" s="5">
        <f>IF(K38="","",32)</f>
        <v/>
      </c>
      <c r="B38" s="5">
        <f>IF(K38="","",INDEX(Интервалы!$A$2:$A$513,MATCH(K38,Интервалы!$G$2:$G$513,0)))</f>
        <v/>
      </c>
      <c r="C38" s="17">
        <f>IF(K38="","",INDEX(Интервалы!$C$2:$C$513,MATCH(K38,Интервалы!$G$2:$G$513,0)))</f>
        <v/>
      </c>
      <c r="D38" s="17">
        <f>IF(K38="","",INDEX(Интервалы!$D$2:$D$513,MATCH(K38,Интервалы!$G$2:$G$513,0)))</f>
        <v/>
      </c>
      <c r="E38" s="5">
        <f>IF(K38="","",D38-C38+1)</f>
        <v/>
      </c>
      <c r="F38" s="9">
        <f>IF(K38="","",INDEX(Интервалы!$E$2:$E$513,MATCH(K38,Интервалы!$G$2:$G$513,0)))</f>
        <v/>
      </c>
      <c r="G38" s="5">
        <f>IF(K38="","",IF(H38=1,INDEX('По дням'!$B$2:$B$4000,MATCH(C38,'По дням'!$A$2:$A$4000,0)),"по периодам ставки"))</f>
        <v/>
      </c>
      <c r="H38" s="5">
        <f>IF(K38="","",INDEX(Интервалы!$I$2:$I$513,MATCH(K38,Интервалы!$G$2:$G$513,0)))</f>
        <v/>
      </c>
      <c r="I38" s="9">
        <f>IF(K38="","",INDEX(Интервалы!$F$2:$F$513,MATCH(K38,Интервалы!$G$2:$G$513,0)))</f>
        <v/>
      </c>
      <c r="J38" s="9">
        <f>IF(K38="","",INDEX(Интервалы!$H$2:$H$513,MATCH(K38,Интервалы!$G$2:$G$513,0)))</f>
        <v/>
      </c>
      <c r="K38">
        <f>IFERROR(SMALL(Интервалы!$G$2:$G$513,32),"")</f>
        <v/>
      </c>
      <c r="L38">
        <f>IF(K38="","",INDEX(Интервалы!$B$2:$B$513,MATCH(K38,Интервалы!$G$2:$G$513,0)))</f>
        <v/>
      </c>
    </row>
    <row r="39">
      <c r="A39" s="5">
        <f>IF(K39="","",33)</f>
        <v/>
      </c>
      <c r="B39" s="5">
        <f>IF(K39="","",INDEX(Интервалы!$A$2:$A$513,MATCH(K39,Интервалы!$G$2:$G$513,0)))</f>
        <v/>
      </c>
      <c r="C39" s="17">
        <f>IF(K39="","",INDEX(Интервалы!$C$2:$C$513,MATCH(K39,Интервалы!$G$2:$G$513,0)))</f>
        <v/>
      </c>
      <c r="D39" s="17">
        <f>IF(K39="","",INDEX(Интервалы!$D$2:$D$513,MATCH(K39,Интервалы!$G$2:$G$513,0)))</f>
        <v/>
      </c>
      <c r="E39" s="5">
        <f>IF(K39="","",D39-C39+1)</f>
        <v/>
      </c>
      <c r="F39" s="9">
        <f>IF(K39="","",INDEX(Интервалы!$E$2:$E$513,MATCH(K39,Интервалы!$G$2:$G$513,0)))</f>
        <v/>
      </c>
      <c r="G39" s="5">
        <f>IF(K39="","",IF(H39=1,INDEX('По дням'!$B$2:$B$4000,MATCH(C39,'По дням'!$A$2:$A$4000,0)),"по периодам ставки"))</f>
        <v/>
      </c>
      <c r="H39" s="5">
        <f>IF(K39="","",INDEX(Интервалы!$I$2:$I$513,MATCH(K39,Интервалы!$G$2:$G$513,0)))</f>
        <v/>
      </c>
      <c r="I39" s="9">
        <f>IF(K39="","",INDEX(Интервалы!$F$2:$F$513,MATCH(K39,Интервалы!$G$2:$G$513,0)))</f>
        <v/>
      </c>
      <c r="J39" s="9">
        <f>IF(K39="","",INDEX(Интервалы!$H$2:$H$513,MATCH(K39,Интервалы!$G$2:$G$513,0)))</f>
        <v/>
      </c>
      <c r="K39">
        <f>IFERROR(SMALL(Интервалы!$G$2:$G$513,33),"")</f>
        <v/>
      </c>
      <c r="L39">
        <f>IF(K39="","",INDEX(Интервалы!$B$2:$B$513,MATCH(K39,Интервалы!$G$2:$G$513,0)))</f>
        <v/>
      </c>
    </row>
    <row r="40">
      <c r="A40" s="5">
        <f>IF(K40="","",34)</f>
        <v/>
      </c>
      <c r="B40" s="5">
        <f>IF(K40="","",INDEX(Интервалы!$A$2:$A$513,MATCH(K40,Интервалы!$G$2:$G$513,0)))</f>
        <v/>
      </c>
      <c r="C40" s="17">
        <f>IF(K40="","",INDEX(Интервалы!$C$2:$C$513,MATCH(K40,Интервалы!$G$2:$G$513,0)))</f>
        <v/>
      </c>
      <c r="D40" s="17">
        <f>IF(K40="","",INDEX(Интервалы!$D$2:$D$513,MATCH(K40,Интервалы!$G$2:$G$513,0)))</f>
        <v/>
      </c>
      <c r="E40" s="5">
        <f>IF(K40="","",D40-C40+1)</f>
        <v/>
      </c>
      <c r="F40" s="9">
        <f>IF(K40="","",INDEX(Интервалы!$E$2:$E$513,MATCH(K40,Интервалы!$G$2:$G$513,0)))</f>
        <v/>
      </c>
      <c r="G40" s="5">
        <f>IF(K40="","",IF(H40=1,INDEX('По дням'!$B$2:$B$4000,MATCH(C40,'По дням'!$A$2:$A$4000,0)),"по периодам ставки"))</f>
        <v/>
      </c>
      <c r="H40" s="5">
        <f>IF(K40="","",INDEX(Интервалы!$I$2:$I$513,MATCH(K40,Интервалы!$G$2:$G$513,0)))</f>
        <v/>
      </c>
      <c r="I40" s="9">
        <f>IF(K40="","",INDEX(Интервалы!$F$2:$F$513,MATCH(K40,Интервалы!$G$2:$G$513,0)))</f>
        <v/>
      </c>
      <c r="J40" s="9">
        <f>IF(K40="","",INDEX(Интервалы!$H$2:$H$513,MATCH(K40,Интервалы!$G$2:$G$513,0)))</f>
        <v/>
      </c>
      <c r="K40">
        <f>IFERROR(SMALL(Интервалы!$G$2:$G$513,34),"")</f>
        <v/>
      </c>
      <c r="L40">
        <f>IF(K40="","",INDEX(Интервалы!$B$2:$B$513,MATCH(K40,Интервалы!$G$2:$G$513,0)))</f>
        <v/>
      </c>
    </row>
    <row r="41">
      <c r="A41" s="5">
        <f>IF(K41="","",35)</f>
        <v/>
      </c>
      <c r="B41" s="5">
        <f>IF(K41="","",INDEX(Интервалы!$A$2:$A$513,MATCH(K41,Интервалы!$G$2:$G$513,0)))</f>
        <v/>
      </c>
      <c r="C41" s="17">
        <f>IF(K41="","",INDEX(Интервалы!$C$2:$C$513,MATCH(K41,Интервалы!$G$2:$G$513,0)))</f>
        <v/>
      </c>
      <c r="D41" s="17">
        <f>IF(K41="","",INDEX(Интервалы!$D$2:$D$513,MATCH(K41,Интервалы!$G$2:$G$513,0)))</f>
        <v/>
      </c>
      <c r="E41" s="5">
        <f>IF(K41="","",D41-C41+1)</f>
        <v/>
      </c>
      <c r="F41" s="9">
        <f>IF(K41="","",INDEX(Интервалы!$E$2:$E$513,MATCH(K41,Интервалы!$G$2:$G$513,0)))</f>
        <v/>
      </c>
      <c r="G41" s="5">
        <f>IF(K41="","",IF(H41=1,INDEX('По дням'!$B$2:$B$4000,MATCH(C41,'По дням'!$A$2:$A$4000,0)),"по периодам ставки"))</f>
        <v/>
      </c>
      <c r="H41" s="5">
        <f>IF(K41="","",INDEX(Интервалы!$I$2:$I$513,MATCH(K41,Интервалы!$G$2:$G$513,0)))</f>
        <v/>
      </c>
      <c r="I41" s="9">
        <f>IF(K41="","",INDEX(Интервалы!$F$2:$F$513,MATCH(K41,Интервалы!$G$2:$G$513,0)))</f>
        <v/>
      </c>
      <c r="J41" s="9">
        <f>IF(K41="","",INDEX(Интервалы!$H$2:$H$513,MATCH(K41,Интервалы!$G$2:$G$513,0)))</f>
        <v/>
      </c>
      <c r="K41">
        <f>IFERROR(SMALL(Интервалы!$G$2:$G$513,35),"")</f>
        <v/>
      </c>
      <c r="L41">
        <f>IF(K41="","",INDEX(Интервалы!$B$2:$B$513,MATCH(K41,Интервалы!$G$2:$G$513,0)))</f>
        <v/>
      </c>
    </row>
    <row r="42">
      <c r="A42" s="5">
        <f>IF(K42="","",36)</f>
        <v/>
      </c>
      <c r="B42" s="5">
        <f>IF(K42="","",INDEX(Интервалы!$A$2:$A$513,MATCH(K42,Интервалы!$G$2:$G$513,0)))</f>
        <v/>
      </c>
      <c r="C42" s="17">
        <f>IF(K42="","",INDEX(Интервалы!$C$2:$C$513,MATCH(K42,Интервалы!$G$2:$G$513,0)))</f>
        <v/>
      </c>
      <c r="D42" s="17">
        <f>IF(K42="","",INDEX(Интервалы!$D$2:$D$513,MATCH(K42,Интервалы!$G$2:$G$513,0)))</f>
        <v/>
      </c>
      <c r="E42" s="5">
        <f>IF(K42="","",D42-C42+1)</f>
        <v/>
      </c>
      <c r="F42" s="9">
        <f>IF(K42="","",INDEX(Интервалы!$E$2:$E$513,MATCH(K42,Интервалы!$G$2:$G$513,0)))</f>
        <v/>
      </c>
      <c r="G42" s="5">
        <f>IF(K42="","",IF(H42=1,INDEX('По дням'!$B$2:$B$4000,MATCH(C42,'По дням'!$A$2:$A$4000,0)),"по периодам ставки"))</f>
        <v/>
      </c>
      <c r="H42" s="5">
        <f>IF(K42="","",INDEX(Интервалы!$I$2:$I$513,MATCH(K42,Интервалы!$G$2:$G$513,0)))</f>
        <v/>
      </c>
      <c r="I42" s="9">
        <f>IF(K42="","",INDEX(Интервалы!$F$2:$F$513,MATCH(K42,Интервалы!$G$2:$G$513,0)))</f>
        <v/>
      </c>
      <c r="J42" s="9">
        <f>IF(K42="","",INDEX(Интервалы!$H$2:$H$513,MATCH(K42,Интервалы!$G$2:$G$513,0)))</f>
        <v/>
      </c>
      <c r="K42">
        <f>IFERROR(SMALL(Интервалы!$G$2:$G$513,36),"")</f>
        <v/>
      </c>
      <c r="L42">
        <f>IF(K42="","",INDEX(Интервалы!$B$2:$B$513,MATCH(K42,Интервалы!$G$2:$G$513,0)))</f>
        <v/>
      </c>
    </row>
    <row r="43">
      <c r="A43" s="5">
        <f>IF(K43="","",37)</f>
        <v/>
      </c>
      <c r="B43" s="5">
        <f>IF(K43="","",INDEX(Интервалы!$A$2:$A$513,MATCH(K43,Интервалы!$G$2:$G$513,0)))</f>
        <v/>
      </c>
      <c r="C43" s="17">
        <f>IF(K43="","",INDEX(Интервалы!$C$2:$C$513,MATCH(K43,Интервалы!$G$2:$G$513,0)))</f>
        <v/>
      </c>
      <c r="D43" s="17">
        <f>IF(K43="","",INDEX(Интервалы!$D$2:$D$513,MATCH(K43,Интервалы!$G$2:$G$513,0)))</f>
        <v/>
      </c>
      <c r="E43" s="5">
        <f>IF(K43="","",D43-C43+1)</f>
        <v/>
      </c>
      <c r="F43" s="9">
        <f>IF(K43="","",INDEX(Интервалы!$E$2:$E$513,MATCH(K43,Интервалы!$G$2:$G$513,0)))</f>
        <v/>
      </c>
      <c r="G43" s="5">
        <f>IF(K43="","",IF(H43=1,INDEX('По дням'!$B$2:$B$4000,MATCH(C43,'По дням'!$A$2:$A$4000,0)),"по периодам ставки"))</f>
        <v/>
      </c>
      <c r="H43" s="5">
        <f>IF(K43="","",INDEX(Интервалы!$I$2:$I$513,MATCH(K43,Интервалы!$G$2:$G$513,0)))</f>
        <v/>
      </c>
      <c r="I43" s="9">
        <f>IF(K43="","",INDEX(Интервалы!$F$2:$F$513,MATCH(K43,Интервалы!$G$2:$G$513,0)))</f>
        <v/>
      </c>
      <c r="J43" s="9">
        <f>IF(K43="","",INDEX(Интервалы!$H$2:$H$513,MATCH(K43,Интервалы!$G$2:$G$513,0)))</f>
        <v/>
      </c>
      <c r="K43">
        <f>IFERROR(SMALL(Интервалы!$G$2:$G$513,37),"")</f>
        <v/>
      </c>
      <c r="L43">
        <f>IF(K43="","",INDEX(Интервалы!$B$2:$B$513,MATCH(K43,Интервалы!$G$2:$G$513,0)))</f>
        <v/>
      </c>
    </row>
    <row r="44">
      <c r="A44" s="5">
        <f>IF(K44="","",38)</f>
        <v/>
      </c>
      <c r="B44" s="5">
        <f>IF(K44="","",INDEX(Интервалы!$A$2:$A$513,MATCH(K44,Интервалы!$G$2:$G$513,0)))</f>
        <v/>
      </c>
      <c r="C44" s="17">
        <f>IF(K44="","",INDEX(Интервалы!$C$2:$C$513,MATCH(K44,Интервалы!$G$2:$G$513,0)))</f>
        <v/>
      </c>
      <c r="D44" s="17">
        <f>IF(K44="","",INDEX(Интервалы!$D$2:$D$513,MATCH(K44,Интервалы!$G$2:$G$513,0)))</f>
        <v/>
      </c>
      <c r="E44" s="5">
        <f>IF(K44="","",D44-C44+1)</f>
        <v/>
      </c>
      <c r="F44" s="9">
        <f>IF(K44="","",INDEX(Интервалы!$E$2:$E$513,MATCH(K44,Интервалы!$G$2:$G$513,0)))</f>
        <v/>
      </c>
      <c r="G44" s="5">
        <f>IF(K44="","",IF(H44=1,INDEX('По дням'!$B$2:$B$4000,MATCH(C44,'По дням'!$A$2:$A$4000,0)),"по периодам ставки"))</f>
        <v/>
      </c>
      <c r="H44" s="5">
        <f>IF(K44="","",INDEX(Интервалы!$I$2:$I$513,MATCH(K44,Интервалы!$G$2:$G$513,0)))</f>
        <v/>
      </c>
      <c r="I44" s="9">
        <f>IF(K44="","",INDEX(Интервалы!$F$2:$F$513,MATCH(K44,Интервалы!$G$2:$G$513,0)))</f>
        <v/>
      </c>
      <c r="J44" s="9">
        <f>IF(K44="","",INDEX(Интервалы!$H$2:$H$513,MATCH(K44,Интервалы!$G$2:$G$513,0)))</f>
        <v/>
      </c>
      <c r="K44">
        <f>IFERROR(SMALL(Интервалы!$G$2:$G$513,38),"")</f>
        <v/>
      </c>
      <c r="L44">
        <f>IF(K44="","",INDEX(Интервалы!$B$2:$B$513,MATCH(K44,Интервалы!$G$2:$G$513,0)))</f>
        <v/>
      </c>
    </row>
    <row r="45">
      <c r="A45" s="5">
        <f>IF(K45="","",39)</f>
        <v/>
      </c>
      <c r="B45" s="5">
        <f>IF(K45="","",INDEX(Интервалы!$A$2:$A$513,MATCH(K45,Интервалы!$G$2:$G$513,0)))</f>
        <v/>
      </c>
      <c r="C45" s="17">
        <f>IF(K45="","",INDEX(Интервалы!$C$2:$C$513,MATCH(K45,Интервалы!$G$2:$G$513,0)))</f>
        <v/>
      </c>
      <c r="D45" s="17">
        <f>IF(K45="","",INDEX(Интервалы!$D$2:$D$513,MATCH(K45,Интервалы!$G$2:$G$513,0)))</f>
        <v/>
      </c>
      <c r="E45" s="5">
        <f>IF(K45="","",D45-C45+1)</f>
        <v/>
      </c>
      <c r="F45" s="9">
        <f>IF(K45="","",INDEX(Интервалы!$E$2:$E$513,MATCH(K45,Интервалы!$G$2:$G$513,0)))</f>
        <v/>
      </c>
      <c r="G45" s="5">
        <f>IF(K45="","",IF(H45=1,INDEX('По дням'!$B$2:$B$4000,MATCH(C45,'По дням'!$A$2:$A$4000,0)),"по периодам ставки"))</f>
        <v/>
      </c>
      <c r="H45" s="5">
        <f>IF(K45="","",INDEX(Интервалы!$I$2:$I$513,MATCH(K45,Интервалы!$G$2:$G$513,0)))</f>
        <v/>
      </c>
      <c r="I45" s="9">
        <f>IF(K45="","",INDEX(Интервалы!$F$2:$F$513,MATCH(K45,Интервалы!$G$2:$G$513,0)))</f>
        <v/>
      </c>
      <c r="J45" s="9">
        <f>IF(K45="","",INDEX(Интервалы!$H$2:$H$513,MATCH(K45,Интервалы!$G$2:$G$513,0)))</f>
        <v/>
      </c>
      <c r="K45">
        <f>IFERROR(SMALL(Интервалы!$G$2:$G$513,39),"")</f>
        <v/>
      </c>
      <c r="L45">
        <f>IF(K45="","",INDEX(Интервалы!$B$2:$B$513,MATCH(K45,Интервалы!$G$2:$G$513,0)))</f>
        <v/>
      </c>
    </row>
    <row r="46">
      <c r="A46" s="5">
        <f>IF(K46="","",40)</f>
        <v/>
      </c>
      <c r="B46" s="5">
        <f>IF(K46="","",INDEX(Интервалы!$A$2:$A$513,MATCH(K46,Интервалы!$G$2:$G$513,0)))</f>
        <v/>
      </c>
      <c r="C46" s="17">
        <f>IF(K46="","",INDEX(Интервалы!$C$2:$C$513,MATCH(K46,Интервалы!$G$2:$G$513,0)))</f>
        <v/>
      </c>
      <c r="D46" s="17">
        <f>IF(K46="","",INDEX(Интервалы!$D$2:$D$513,MATCH(K46,Интервалы!$G$2:$G$513,0)))</f>
        <v/>
      </c>
      <c r="E46" s="5">
        <f>IF(K46="","",D46-C46+1)</f>
        <v/>
      </c>
      <c r="F46" s="9">
        <f>IF(K46="","",INDEX(Интервалы!$E$2:$E$513,MATCH(K46,Интервалы!$G$2:$G$513,0)))</f>
        <v/>
      </c>
      <c r="G46" s="5">
        <f>IF(K46="","",IF(H46=1,INDEX('По дням'!$B$2:$B$4000,MATCH(C46,'По дням'!$A$2:$A$4000,0)),"по периодам ставки"))</f>
        <v/>
      </c>
      <c r="H46" s="5">
        <f>IF(K46="","",INDEX(Интервалы!$I$2:$I$513,MATCH(K46,Интервалы!$G$2:$G$513,0)))</f>
        <v/>
      </c>
      <c r="I46" s="9">
        <f>IF(K46="","",INDEX(Интервалы!$F$2:$F$513,MATCH(K46,Интервалы!$G$2:$G$513,0)))</f>
        <v/>
      </c>
      <c r="J46" s="9">
        <f>IF(K46="","",INDEX(Интервалы!$H$2:$H$513,MATCH(K46,Интервалы!$G$2:$G$513,0)))</f>
        <v/>
      </c>
      <c r="K46">
        <f>IFERROR(SMALL(Интервалы!$G$2:$G$513,40),"")</f>
        <v/>
      </c>
      <c r="L46">
        <f>IF(K46="","",INDEX(Интервалы!$B$2:$B$513,MATCH(K46,Интервалы!$G$2:$G$513,0)))</f>
        <v/>
      </c>
    </row>
    <row r="47">
      <c r="A47" s="5">
        <f>IF(K47="","",41)</f>
        <v/>
      </c>
      <c r="B47" s="5">
        <f>IF(K47="","",INDEX(Интервалы!$A$2:$A$513,MATCH(K47,Интервалы!$G$2:$G$513,0)))</f>
        <v/>
      </c>
      <c r="C47" s="17">
        <f>IF(K47="","",INDEX(Интервалы!$C$2:$C$513,MATCH(K47,Интервалы!$G$2:$G$513,0)))</f>
        <v/>
      </c>
      <c r="D47" s="17">
        <f>IF(K47="","",INDEX(Интервалы!$D$2:$D$513,MATCH(K47,Интервалы!$G$2:$G$513,0)))</f>
        <v/>
      </c>
      <c r="E47" s="5">
        <f>IF(K47="","",D47-C47+1)</f>
        <v/>
      </c>
      <c r="F47" s="9">
        <f>IF(K47="","",INDEX(Интервалы!$E$2:$E$513,MATCH(K47,Интервалы!$G$2:$G$513,0)))</f>
        <v/>
      </c>
      <c r="G47" s="5">
        <f>IF(K47="","",IF(H47=1,INDEX('По дням'!$B$2:$B$4000,MATCH(C47,'По дням'!$A$2:$A$4000,0)),"по периодам ставки"))</f>
        <v/>
      </c>
      <c r="H47" s="5">
        <f>IF(K47="","",INDEX(Интервалы!$I$2:$I$513,MATCH(K47,Интервалы!$G$2:$G$513,0)))</f>
        <v/>
      </c>
      <c r="I47" s="9">
        <f>IF(K47="","",INDEX(Интервалы!$F$2:$F$513,MATCH(K47,Интервалы!$G$2:$G$513,0)))</f>
        <v/>
      </c>
      <c r="J47" s="9">
        <f>IF(K47="","",INDEX(Интервалы!$H$2:$H$513,MATCH(K47,Интервалы!$G$2:$G$513,0)))</f>
        <v/>
      </c>
      <c r="K47">
        <f>IFERROR(SMALL(Интервалы!$G$2:$G$513,41),"")</f>
        <v/>
      </c>
      <c r="L47">
        <f>IF(K47="","",INDEX(Интервалы!$B$2:$B$513,MATCH(K47,Интервалы!$G$2:$G$513,0)))</f>
        <v/>
      </c>
    </row>
    <row r="48">
      <c r="A48" s="5">
        <f>IF(K48="","",42)</f>
        <v/>
      </c>
      <c r="B48" s="5">
        <f>IF(K48="","",INDEX(Интервалы!$A$2:$A$513,MATCH(K48,Интервалы!$G$2:$G$513,0)))</f>
        <v/>
      </c>
      <c r="C48" s="17">
        <f>IF(K48="","",INDEX(Интервалы!$C$2:$C$513,MATCH(K48,Интервалы!$G$2:$G$513,0)))</f>
        <v/>
      </c>
      <c r="D48" s="17">
        <f>IF(K48="","",INDEX(Интервалы!$D$2:$D$513,MATCH(K48,Интервалы!$G$2:$G$513,0)))</f>
        <v/>
      </c>
      <c r="E48" s="5">
        <f>IF(K48="","",D48-C48+1)</f>
        <v/>
      </c>
      <c r="F48" s="9">
        <f>IF(K48="","",INDEX(Интервалы!$E$2:$E$513,MATCH(K48,Интервалы!$G$2:$G$513,0)))</f>
        <v/>
      </c>
      <c r="G48" s="5">
        <f>IF(K48="","",IF(H48=1,INDEX('По дням'!$B$2:$B$4000,MATCH(C48,'По дням'!$A$2:$A$4000,0)),"по периодам ставки"))</f>
        <v/>
      </c>
      <c r="H48" s="5">
        <f>IF(K48="","",INDEX(Интервалы!$I$2:$I$513,MATCH(K48,Интервалы!$G$2:$G$513,0)))</f>
        <v/>
      </c>
      <c r="I48" s="9">
        <f>IF(K48="","",INDEX(Интервалы!$F$2:$F$513,MATCH(K48,Интервалы!$G$2:$G$513,0)))</f>
        <v/>
      </c>
      <c r="J48" s="9">
        <f>IF(K48="","",INDEX(Интервалы!$H$2:$H$513,MATCH(K48,Интервалы!$G$2:$G$513,0)))</f>
        <v/>
      </c>
      <c r="K48">
        <f>IFERROR(SMALL(Интервалы!$G$2:$G$513,42),"")</f>
        <v/>
      </c>
      <c r="L48">
        <f>IF(K48="","",INDEX(Интервалы!$B$2:$B$513,MATCH(K48,Интервалы!$G$2:$G$513,0)))</f>
        <v/>
      </c>
    </row>
    <row r="49">
      <c r="A49" s="5">
        <f>IF(K49="","",43)</f>
        <v/>
      </c>
      <c r="B49" s="5">
        <f>IF(K49="","",INDEX(Интервалы!$A$2:$A$513,MATCH(K49,Интервалы!$G$2:$G$513,0)))</f>
        <v/>
      </c>
      <c r="C49" s="17">
        <f>IF(K49="","",INDEX(Интервалы!$C$2:$C$513,MATCH(K49,Интервалы!$G$2:$G$513,0)))</f>
        <v/>
      </c>
      <c r="D49" s="17">
        <f>IF(K49="","",INDEX(Интервалы!$D$2:$D$513,MATCH(K49,Интервалы!$G$2:$G$513,0)))</f>
        <v/>
      </c>
      <c r="E49" s="5">
        <f>IF(K49="","",D49-C49+1)</f>
        <v/>
      </c>
      <c r="F49" s="9">
        <f>IF(K49="","",INDEX(Интервалы!$E$2:$E$513,MATCH(K49,Интервалы!$G$2:$G$513,0)))</f>
        <v/>
      </c>
      <c r="G49" s="5">
        <f>IF(K49="","",IF(H49=1,INDEX('По дням'!$B$2:$B$4000,MATCH(C49,'По дням'!$A$2:$A$4000,0)),"по периодам ставки"))</f>
        <v/>
      </c>
      <c r="H49" s="5">
        <f>IF(K49="","",INDEX(Интервалы!$I$2:$I$513,MATCH(K49,Интервалы!$G$2:$G$513,0)))</f>
        <v/>
      </c>
      <c r="I49" s="9">
        <f>IF(K49="","",INDEX(Интервалы!$F$2:$F$513,MATCH(K49,Интервалы!$G$2:$G$513,0)))</f>
        <v/>
      </c>
      <c r="J49" s="9">
        <f>IF(K49="","",INDEX(Интервалы!$H$2:$H$513,MATCH(K49,Интервалы!$G$2:$G$513,0)))</f>
        <v/>
      </c>
      <c r="K49">
        <f>IFERROR(SMALL(Интервалы!$G$2:$G$513,43),"")</f>
        <v/>
      </c>
      <c r="L49">
        <f>IF(K49="","",INDEX(Интервалы!$B$2:$B$513,MATCH(K49,Интервалы!$G$2:$G$513,0)))</f>
        <v/>
      </c>
    </row>
    <row r="50">
      <c r="A50" s="5">
        <f>IF(K50="","",44)</f>
        <v/>
      </c>
      <c r="B50" s="5">
        <f>IF(K50="","",INDEX(Интервалы!$A$2:$A$513,MATCH(K50,Интервалы!$G$2:$G$513,0)))</f>
        <v/>
      </c>
      <c r="C50" s="17">
        <f>IF(K50="","",INDEX(Интервалы!$C$2:$C$513,MATCH(K50,Интервалы!$G$2:$G$513,0)))</f>
        <v/>
      </c>
      <c r="D50" s="17">
        <f>IF(K50="","",INDEX(Интервалы!$D$2:$D$513,MATCH(K50,Интервалы!$G$2:$G$513,0)))</f>
        <v/>
      </c>
      <c r="E50" s="5">
        <f>IF(K50="","",D50-C50+1)</f>
        <v/>
      </c>
      <c r="F50" s="9">
        <f>IF(K50="","",INDEX(Интервалы!$E$2:$E$513,MATCH(K50,Интервалы!$G$2:$G$513,0)))</f>
        <v/>
      </c>
      <c r="G50" s="5">
        <f>IF(K50="","",IF(H50=1,INDEX('По дням'!$B$2:$B$4000,MATCH(C50,'По дням'!$A$2:$A$4000,0)),"по периодам ставки"))</f>
        <v/>
      </c>
      <c r="H50" s="5">
        <f>IF(K50="","",INDEX(Интервалы!$I$2:$I$513,MATCH(K50,Интервалы!$G$2:$G$513,0)))</f>
        <v/>
      </c>
      <c r="I50" s="9">
        <f>IF(K50="","",INDEX(Интервалы!$F$2:$F$513,MATCH(K50,Интервалы!$G$2:$G$513,0)))</f>
        <v/>
      </c>
      <c r="J50" s="9">
        <f>IF(K50="","",INDEX(Интервалы!$H$2:$H$513,MATCH(K50,Интервалы!$G$2:$G$513,0)))</f>
        <v/>
      </c>
      <c r="K50">
        <f>IFERROR(SMALL(Интервалы!$G$2:$G$513,44),"")</f>
        <v/>
      </c>
      <c r="L50">
        <f>IF(K50="","",INDEX(Интервалы!$B$2:$B$513,MATCH(K50,Интервалы!$G$2:$G$513,0)))</f>
        <v/>
      </c>
    </row>
    <row r="51">
      <c r="A51" s="5">
        <f>IF(K51="","",45)</f>
        <v/>
      </c>
      <c r="B51" s="5">
        <f>IF(K51="","",INDEX(Интервалы!$A$2:$A$513,MATCH(K51,Интервалы!$G$2:$G$513,0)))</f>
        <v/>
      </c>
      <c r="C51" s="17">
        <f>IF(K51="","",INDEX(Интервалы!$C$2:$C$513,MATCH(K51,Интервалы!$G$2:$G$513,0)))</f>
        <v/>
      </c>
      <c r="D51" s="17">
        <f>IF(K51="","",INDEX(Интервалы!$D$2:$D$513,MATCH(K51,Интервалы!$G$2:$G$513,0)))</f>
        <v/>
      </c>
      <c r="E51" s="5">
        <f>IF(K51="","",D51-C51+1)</f>
        <v/>
      </c>
      <c r="F51" s="9">
        <f>IF(K51="","",INDEX(Интервалы!$E$2:$E$513,MATCH(K51,Интервалы!$G$2:$G$513,0)))</f>
        <v/>
      </c>
      <c r="G51" s="5">
        <f>IF(K51="","",IF(H51=1,INDEX('По дням'!$B$2:$B$4000,MATCH(C51,'По дням'!$A$2:$A$4000,0)),"по периодам ставки"))</f>
        <v/>
      </c>
      <c r="H51" s="5">
        <f>IF(K51="","",INDEX(Интервалы!$I$2:$I$513,MATCH(K51,Интервалы!$G$2:$G$513,0)))</f>
        <v/>
      </c>
      <c r="I51" s="9">
        <f>IF(K51="","",INDEX(Интервалы!$F$2:$F$513,MATCH(K51,Интервалы!$G$2:$G$513,0)))</f>
        <v/>
      </c>
      <c r="J51" s="9">
        <f>IF(K51="","",INDEX(Интервалы!$H$2:$H$513,MATCH(K51,Интервалы!$G$2:$G$513,0)))</f>
        <v/>
      </c>
      <c r="K51">
        <f>IFERROR(SMALL(Интервалы!$G$2:$G$513,45),"")</f>
        <v/>
      </c>
      <c r="L51">
        <f>IF(K51="","",INDEX(Интервалы!$B$2:$B$513,MATCH(K51,Интервалы!$G$2:$G$513,0)))</f>
        <v/>
      </c>
    </row>
    <row r="52">
      <c r="A52" s="5">
        <f>IF(K52="","",46)</f>
        <v/>
      </c>
      <c r="B52" s="5">
        <f>IF(K52="","",INDEX(Интервалы!$A$2:$A$513,MATCH(K52,Интервалы!$G$2:$G$513,0)))</f>
        <v/>
      </c>
      <c r="C52" s="17">
        <f>IF(K52="","",INDEX(Интервалы!$C$2:$C$513,MATCH(K52,Интервалы!$G$2:$G$513,0)))</f>
        <v/>
      </c>
      <c r="D52" s="17">
        <f>IF(K52="","",INDEX(Интервалы!$D$2:$D$513,MATCH(K52,Интервалы!$G$2:$G$513,0)))</f>
        <v/>
      </c>
      <c r="E52" s="5">
        <f>IF(K52="","",D52-C52+1)</f>
        <v/>
      </c>
      <c r="F52" s="9">
        <f>IF(K52="","",INDEX(Интервалы!$E$2:$E$513,MATCH(K52,Интервалы!$G$2:$G$513,0)))</f>
        <v/>
      </c>
      <c r="G52" s="5">
        <f>IF(K52="","",IF(H52=1,INDEX('По дням'!$B$2:$B$4000,MATCH(C52,'По дням'!$A$2:$A$4000,0)),"по периодам ставки"))</f>
        <v/>
      </c>
      <c r="H52" s="5">
        <f>IF(K52="","",INDEX(Интервалы!$I$2:$I$513,MATCH(K52,Интервалы!$G$2:$G$513,0)))</f>
        <v/>
      </c>
      <c r="I52" s="9">
        <f>IF(K52="","",INDEX(Интервалы!$F$2:$F$513,MATCH(K52,Интервалы!$G$2:$G$513,0)))</f>
        <v/>
      </c>
      <c r="J52" s="9">
        <f>IF(K52="","",INDEX(Интервалы!$H$2:$H$513,MATCH(K52,Интервалы!$G$2:$G$513,0)))</f>
        <v/>
      </c>
      <c r="K52">
        <f>IFERROR(SMALL(Интервалы!$G$2:$G$513,46),"")</f>
        <v/>
      </c>
      <c r="L52">
        <f>IF(K52="","",INDEX(Интервалы!$B$2:$B$513,MATCH(K52,Интервалы!$G$2:$G$513,0)))</f>
        <v/>
      </c>
    </row>
    <row r="53">
      <c r="A53" s="5">
        <f>IF(K53="","",47)</f>
        <v/>
      </c>
      <c r="B53" s="5">
        <f>IF(K53="","",INDEX(Интервалы!$A$2:$A$513,MATCH(K53,Интервалы!$G$2:$G$513,0)))</f>
        <v/>
      </c>
      <c r="C53" s="17">
        <f>IF(K53="","",INDEX(Интервалы!$C$2:$C$513,MATCH(K53,Интервалы!$G$2:$G$513,0)))</f>
        <v/>
      </c>
      <c r="D53" s="17">
        <f>IF(K53="","",INDEX(Интервалы!$D$2:$D$513,MATCH(K53,Интервалы!$G$2:$G$513,0)))</f>
        <v/>
      </c>
      <c r="E53" s="5">
        <f>IF(K53="","",D53-C53+1)</f>
        <v/>
      </c>
      <c r="F53" s="9">
        <f>IF(K53="","",INDEX(Интервалы!$E$2:$E$513,MATCH(K53,Интервалы!$G$2:$G$513,0)))</f>
        <v/>
      </c>
      <c r="G53" s="5">
        <f>IF(K53="","",IF(H53=1,INDEX('По дням'!$B$2:$B$4000,MATCH(C53,'По дням'!$A$2:$A$4000,0)),"по периодам ставки"))</f>
        <v/>
      </c>
      <c r="H53" s="5">
        <f>IF(K53="","",INDEX(Интервалы!$I$2:$I$513,MATCH(K53,Интервалы!$G$2:$G$513,0)))</f>
        <v/>
      </c>
      <c r="I53" s="9">
        <f>IF(K53="","",INDEX(Интервалы!$F$2:$F$513,MATCH(K53,Интервалы!$G$2:$G$513,0)))</f>
        <v/>
      </c>
      <c r="J53" s="9">
        <f>IF(K53="","",INDEX(Интервалы!$H$2:$H$513,MATCH(K53,Интервалы!$G$2:$G$513,0)))</f>
        <v/>
      </c>
      <c r="K53">
        <f>IFERROR(SMALL(Интервалы!$G$2:$G$513,47),"")</f>
        <v/>
      </c>
      <c r="L53">
        <f>IF(K53="","",INDEX(Интервалы!$B$2:$B$513,MATCH(K53,Интервалы!$G$2:$G$513,0)))</f>
        <v/>
      </c>
    </row>
    <row r="54">
      <c r="A54" s="5">
        <f>IF(K54="","",48)</f>
        <v/>
      </c>
      <c r="B54" s="5">
        <f>IF(K54="","",INDEX(Интервалы!$A$2:$A$513,MATCH(K54,Интервалы!$G$2:$G$513,0)))</f>
        <v/>
      </c>
      <c r="C54" s="17">
        <f>IF(K54="","",INDEX(Интервалы!$C$2:$C$513,MATCH(K54,Интервалы!$G$2:$G$513,0)))</f>
        <v/>
      </c>
      <c r="D54" s="17">
        <f>IF(K54="","",INDEX(Интервалы!$D$2:$D$513,MATCH(K54,Интервалы!$G$2:$G$513,0)))</f>
        <v/>
      </c>
      <c r="E54" s="5">
        <f>IF(K54="","",D54-C54+1)</f>
        <v/>
      </c>
      <c r="F54" s="9">
        <f>IF(K54="","",INDEX(Интервалы!$E$2:$E$513,MATCH(K54,Интервалы!$G$2:$G$513,0)))</f>
        <v/>
      </c>
      <c r="G54" s="5">
        <f>IF(K54="","",IF(H54=1,INDEX('По дням'!$B$2:$B$4000,MATCH(C54,'По дням'!$A$2:$A$4000,0)),"по периодам ставки"))</f>
        <v/>
      </c>
      <c r="H54" s="5">
        <f>IF(K54="","",INDEX(Интервалы!$I$2:$I$513,MATCH(K54,Интервалы!$G$2:$G$513,0)))</f>
        <v/>
      </c>
      <c r="I54" s="9">
        <f>IF(K54="","",INDEX(Интервалы!$F$2:$F$513,MATCH(K54,Интервалы!$G$2:$G$513,0)))</f>
        <v/>
      </c>
      <c r="J54" s="9">
        <f>IF(K54="","",INDEX(Интервалы!$H$2:$H$513,MATCH(K54,Интервалы!$G$2:$G$513,0)))</f>
        <v/>
      </c>
      <c r="K54">
        <f>IFERROR(SMALL(Интервалы!$G$2:$G$513,48),"")</f>
        <v/>
      </c>
      <c r="L54">
        <f>IF(K54="","",INDEX(Интервалы!$B$2:$B$513,MATCH(K54,Интервалы!$G$2:$G$513,0)))</f>
        <v/>
      </c>
    </row>
    <row r="55">
      <c r="A55" s="5">
        <f>IF(K55="","",49)</f>
        <v/>
      </c>
      <c r="B55" s="5">
        <f>IF(K55="","",INDEX(Интервалы!$A$2:$A$513,MATCH(K55,Интервалы!$G$2:$G$513,0)))</f>
        <v/>
      </c>
      <c r="C55" s="17">
        <f>IF(K55="","",INDEX(Интервалы!$C$2:$C$513,MATCH(K55,Интервалы!$G$2:$G$513,0)))</f>
        <v/>
      </c>
      <c r="D55" s="17">
        <f>IF(K55="","",INDEX(Интервалы!$D$2:$D$513,MATCH(K55,Интервалы!$G$2:$G$513,0)))</f>
        <v/>
      </c>
      <c r="E55" s="5">
        <f>IF(K55="","",D55-C55+1)</f>
        <v/>
      </c>
      <c r="F55" s="9">
        <f>IF(K55="","",INDEX(Интервалы!$E$2:$E$513,MATCH(K55,Интервалы!$G$2:$G$513,0)))</f>
        <v/>
      </c>
      <c r="G55" s="5">
        <f>IF(K55="","",IF(H55=1,INDEX('По дням'!$B$2:$B$4000,MATCH(C55,'По дням'!$A$2:$A$4000,0)),"по периодам ставки"))</f>
        <v/>
      </c>
      <c r="H55" s="5">
        <f>IF(K55="","",INDEX(Интервалы!$I$2:$I$513,MATCH(K55,Интервалы!$G$2:$G$513,0)))</f>
        <v/>
      </c>
      <c r="I55" s="9">
        <f>IF(K55="","",INDEX(Интервалы!$F$2:$F$513,MATCH(K55,Интервалы!$G$2:$G$513,0)))</f>
        <v/>
      </c>
      <c r="J55" s="9">
        <f>IF(K55="","",INDEX(Интервалы!$H$2:$H$513,MATCH(K55,Интервалы!$G$2:$G$513,0)))</f>
        <v/>
      </c>
      <c r="K55">
        <f>IFERROR(SMALL(Интервалы!$G$2:$G$513,49),"")</f>
        <v/>
      </c>
      <c r="L55">
        <f>IF(K55="","",INDEX(Интервалы!$B$2:$B$513,MATCH(K55,Интервалы!$G$2:$G$513,0)))</f>
        <v/>
      </c>
    </row>
    <row r="56">
      <c r="A56" s="5">
        <f>IF(K56="","",50)</f>
        <v/>
      </c>
      <c r="B56" s="5">
        <f>IF(K56="","",INDEX(Интервалы!$A$2:$A$513,MATCH(K56,Интервалы!$G$2:$G$513,0)))</f>
        <v/>
      </c>
      <c r="C56" s="17">
        <f>IF(K56="","",INDEX(Интервалы!$C$2:$C$513,MATCH(K56,Интервалы!$G$2:$G$513,0)))</f>
        <v/>
      </c>
      <c r="D56" s="17">
        <f>IF(K56="","",INDEX(Интервалы!$D$2:$D$513,MATCH(K56,Интервалы!$G$2:$G$513,0)))</f>
        <v/>
      </c>
      <c r="E56" s="5">
        <f>IF(K56="","",D56-C56+1)</f>
        <v/>
      </c>
      <c r="F56" s="9">
        <f>IF(K56="","",INDEX(Интервалы!$E$2:$E$513,MATCH(K56,Интервалы!$G$2:$G$513,0)))</f>
        <v/>
      </c>
      <c r="G56" s="5">
        <f>IF(K56="","",IF(H56=1,INDEX('По дням'!$B$2:$B$4000,MATCH(C56,'По дням'!$A$2:$A$4000,0)),"по периодам ставки"))</f>
        <v/>
      </c>
      <c r="H56" s="5">
        <f>IF(K56="","",INDEX(Интервалы!$I$2:$I$513,MATCH(K56,Интервалы!$G$2:$G$513,0)))</f>
        <v/>
      </c>
      <c r="I56" s="9">
        <f>IF(K56="","",INDEX(Интервалы!$F$2:$F$513,MATCH(K56,Интервалы!$G$2:$G$513,0)))</f>
        <v/>
      </c>
      <c r="J56" s="9">
        <f>IF(K56="","",INDEX(Интервалы!$H$2:$H$513,MATCH(K56,Интервалы!$G$2:$G$513,0)))</f>
        <v/>
      </c>
      <c r="K56">
        <f>IFERROR(SMALL(Интервалы!$G$2:$G$513,50),"")</f>
        <v/>
      </c>
      <c r="L56">
        <f>IF(K56="","",INDEX(Интервалы!$B$2:$B$513,MATCH(K56,Интервалы!$G$2:$G$513,0)))</f>
        <v/>
      </c>
    </row>
    <row r="57">
      <c r="A57" s="5">
        <f>IF(K57="","",51)</f>
        <v/>
      </c>
      <c r="B57" s="5">
        <f>IF(K57="","",INDEX(Интервалы!$A$2:$A$513,MATCH(K57,Интервалы!$G$2:$G$513,0)))</f>
        <v/>
      </c>
      <c r="C57" s="17">
        <f>IF(K57="","",INDEX(Интервалы!$C$2:$C$513,MATCH(K57,Интервалы!$G$2:$G$513,0)))</f>
        <v/>
      </c>
      <c r="D57" s="17">
        <f>IF(K57="","",INDEX(Интервалы!$D$2:$D$513,MATCH(K57,Интервалы!$G$2:$G$513,0)))</f>
        <v/>
      </c>
      <c r="E57" s="5">
        <f>IF(K57="","",D57-C57+1)</f>
        <v/>
      </c>
      <c r="F57" s="9">
        <f>IF(K57="","",INDEX(Интервалы!$E$2:$E$513,MATCH(K57,Интервалы!$G$2:$G$513,0)))</f>
        <v/>
      </c>
      <c r="G57" s="5">
        <f>IF(K57="","",IF(H57=1,INDEX('По дням'!$B$2:$B$4000,MATCH(C57,'По дням'!$A$2:$A$4000,0)),"по периодам ставки"))</f>
        <v/>
      </c>
      <c r="H57" s="5">
        <f>IF(K57="","",INDEX(Интервалы!$I$2:$I$513,MATCH(K57,Интервалы!$G$2:$G$513,0)))</f>
        <v/>
      </c>
      <c r="I57" s="9">
        <f>IF(K57="","",INDEX(Интервалы!$F$2:$F$513,MATCH(K57,Интервалы!$G$2:$G$513,0)))</f>
        <v/>
      </c>
      <c r="J57" s="9">
        <f>IF(K57="","",INDEX(Интервалы!$H$2:$H$513,MATCH(K57,Интервалы!$G$2:$G$513,0)))</f>
        <v/>
      </c>
      <c r="K57">
        <f>IFERROR(SMALL(Интервалы!$G$2:$G$513,51),"")</f>
        <v/>
      </c>
      <c r="L57">
        <f>IF(K57="","",INDEX(Интервалы!$B$2:$B$513,MATCH(K57,Интервалы!$G$2:$G$513,0)))</f>
        <v/>
      </c>
    </row>
    <row r="58">
      <c r="A58" s="5">
        <f>IF(K58="","",52)</f>
        <v/>
      </c>
      <c r="B58" s="5">
        <f>IF(K58="","",INDEX(Интервалы!$A$2:$A$513,MATCH(K58,Интервалы!$G$2:$G$513,0)))</f>
        <v/>
      </c>
      <c r="C58" s="17">
        <f>IF(K58="","",INDEX(Интервалы!$C$2:$C$513,MATCH(K58,Интервалы!$G$2:$G$513,0)))</f>
        <v/>
      </c>
      <c r="D58" s="17">
        <f>IF(K58="","",INDEX(Интервалы!$D$2:$D$513,MATCH(K58,Интервалы!$G$2:$G$513,0)))</f>
        <v/>
      </c>
      <c r="E58" s="5">
        <f>IF(K58="","",D58-C58+1)</f>
        <v/>
      </c>
      <c r="F58" s="9">
        <f>IF(K58="","",INDEX(Интервалы!$E$2:$E$513,MATCH(K58,Интервалы!$G$2:$G$513,0)))</f>
        <v/>
      </c>
      <c r="G58" s="5">
        <f>IF(K58="","",IF(H58=1,INDEX('По дням'!$B$2:$B$4000,MATCH(C58,'По дням'!$A$2:$A$4000,0)),"по периодам ставки"))</f>
        <v/>
      </c>
      <c r="H58" s="5">
        <f>IF(K58="","",INDEX(Интервалы!$I$2:$I$513,MATCH(K58,Интервалы!$G$2:$G$513,0)))</f>
        <v/>
      </c>
      <c r="I58" s="9">
        <f>IF(K58="","",INDEX(Интервалы!$F$2:$F$513,MATCH(K58,Интервалы!$G$2:$G$513,0)))</f>
        <v/>
      </c>
      <c r="J58" s="9">
        <f>IF(K58="","",INDEX(Интервалы!$H$2:$H$513,MATCH(K58,Интервалы!$G$2:$G$513,0)))</f>
        <v/>
      </c>
      <c r="K58">
        <f>IFERROR(SMALL(Интервалы!$G$2:$G$513,52),"")</f>
        <v/>
      </c>
      <c r="L58">
        <f>IF(K58="","",INDEX(Интервалы!$B$2:$B$513,MATCH(K58,Интервалы!$G$2:$G$513,0)))</f>
        <v/>
      </c>
    </row>
    <row r="59">
      <c r="A59" s="5">
        <f>IF(K59="","",53)</f>
        <v/>
      </c>
      <c r="B59" s="5">
        <f>IF(K59="","",INDEX(Интервалы!$A$2:$A$513,MATCH(K59,Интервалы!$G$2:$G$513,0)))</f>
        <v/>
      </c>
      <c r="C59" s="17">
        <f>IF(K59="","",INDEX(Интервалы!$C$2:$C$513,MATCH(K59,Интервалы!$G$2:$G$513,0)))</f>
        <v/>
      </c>
      <c r="D59" s="17">
        <f>IF(K59="","",INDEX(Интервалы!$D$2:$D$513,MATCH(K59,Интервалы!$G$2:$G$513,0)))</f>
        <v/>
      </c>
      <c r="E59" s="5">
        <f>IF(K59="","",D59-C59+1)</f>
        <v/>
      </c>
      <c r="F59" s="9">
        <f>IF(K59="","",INDEX(Интервалы!$E$2:$E$513,MATCH(K59,Интервалы!$G$2:$G$513,0)))</f>
        <v/>
      </c>
      <c r="G59" s="5">
        <f>IF(K59="","",IF(H59=1,INDEX('По дням'!$B$2:$B$4000,MATCH(C59,'По дням'!$A$2:$A$4000,0)),"по периодам ставки"))</f>
        <v/>
      </c>
      <c r="H59" s="5">
        <f>IF(K59="","",INDEX(Интервалы!$I$2:$I$513,MATCH(K59,Интервалы!$G$2:$G$513,0)))</f>
        <v/>
      </c>
      <c r="I59" s="9">
        <f>IF(K59="","",INDEX(Интервалы!$F$2:$F$513,MATCH(K59,Интервалы!$G$2:$G$513,0)))</f>
        <v/>
      </c>
      <c r="J59" s="9">
        <f>IF(K59="","",INDEX(Интервалы!$H$2:$H$513,MATCH(K59,Интервалы!$G$2:$G$513,0)))</f>
        <v/>
      </c>
      <c r="K59">
        <f>IFERROR(SMALL(Интервалы!$G$2:$G$513,53),"")</f>
        <v/>
      </c>
      <c r="L59">
        <f>IF(K59="","",INDEX(Интервалы!$B$2:$B$513,MATCH(K59,Интервалы!$G$2:$G$513,0)))</f>
        <v/>
      </c>
    </row>
    <row r="60">
      <c r="A60" s="5">
        <f>IF(K60="","",54)</f>
        <v/>
      </c>
      <c r="B60" s="5">
        <f>IF(K60="","",INDEX(Интервалы!$A$2:$A$513,MATCH(K60,Интервалы!$G$2:$G$513,0)))</f>
        <v/>
      </c>
      <c r="C60" s="17">
        <f>IF(K60="","",INDEX(Интервалы!$C$2:$C$513,MATCH(K60,Интервалы!$G$2:$G$513,0)))</f>
        <v/>
      </c>
      <c r="D60" s="17">
        <f>IF(K60="","",INDEX(Интервалы!$D$2:$D$513,MATCH(K60,Интервалы!$G$2:$G$513,0)))</f>
        <v/>
      </c>
      <c r="E60" s="5">
        <f>IF(K60="","",D60-C60+1)</f>
        <v/>
      </c>
      <c r="F60" s="9">
        <f>IF(K60="","",INDEX(Интервалы!$E$2:$E$513,MATCH(K60,Интервалы!$G$2:$G$513,0)))</f>
        <v/>
      </c>
      <c r="G60" s="5">
        <f>IF(K60="","",IF(H60=1,INDEX('По дням'!$B$2:$B$4000,MATCH(C60,'По дням'!$A$2:$A$4000,0)),"по периодам ставки"))</f>
        <v/>
      </c>
      <c r="H60" s="5">
        <f>IF(K60="","",INDEX(Интервалы!$I$2:$I$513,MATCH(K60,Интервалы!$G$2:$G$513,0)))</f>
        <v/>
      </c>
      <c r="I60" s="9">
        <f>IF(K60="","",INDEX(Интервалы!$F$2:$F$513,MATCH(K60,Интервалы!$G$2:$G$513,0)))</f>
        <v/>
      </c>
      <c r="J60" s="9">
        <f>IF(K60="","",INDEX(Интервалы!$H$2:$H$513,MATCH(K60,Интервалы!$G$2:$G$513,0)))</f>
        <v/>
      </c>
      <c r="K60">
        <f>IFERROR(SMALL(Интервалы!$G$2:$G$513,54),"")</f>
        <v/>
      </c>
      <c r="L60">
        <f>IF(K60="","",INDEX(Интервалы!$B$2:$B$513,MATCH(K60,Интервалы!$G$2:$G$513,0)))</f>
        <v/>
      </c>
    </row>
    <row r="61">
      <c r="A61" s="5">
        <f>IF(K61="","",55)</f>
        <v/>
      </c>
      <c r="B61" s="5">
        <f>IF(K61="","",INDEX(Интервалы!$A$2:$A$513,MATCH(K61,Интервалы!$G$2:$G$513,0)))</f>
        <v/>
      </c>
      <c r="C61" s="17">
        <f>IF(K61="","",INDEX(Интервалы!$C$2:$C$513,MATCH(K61,Интервалы!$G$2:$G$513,0)))</f>
        <v/>
      </c>
      <c r="D61" s="17">
        <f>IF(K61="","",INDEX(Интервалы!$D$2:$D$513,MATCH(K61,Интервалы!$G$2:$G$513,0)))</f>
        <v/>
      </c>
      <c r="E61" s="5">
        <f>IF(K61="","",D61-C61+1)</f>
        <v/>
      </c>
      <c r="F61" s="9">
        <f>IF(K61="","",INDEX(Интервалы!$E$2:$E$513,MATCH(K61,Интервалы!$G$2:$G$513,0)))</f>
        <v/>
      </c>
      <c r="G61" s="5">
        <f>IF(K61="","",IF(H61=1,INDEX('По дням'!$B$2:$B$4000,MATCH(C61,'По дням'!$A$2:$A$4000,0)),"по периодам ставки"))</f>
        <v/>
      </c>
      <c r="H61" s="5">
        <f>IF(K61="","",INDEX(Интервалы!$I$2:$I$513,MATCH(K61,Интервалы!$G$2:$G$513,0)))</f>
        <v/>
      </c>
      <c r="I61" s="9">
        <f>IF(K61="","",INDEX(Интервалы!$F$2:$F$513,MATCH(K61,Интервалы!$G$2:$G$513,0)))</f>
        <v/>
      </c>
      <c r="J61" s="9">
        <f>IF(K61="","",INDEX(Интервалы!$H$2:$H$513,MATCH(K61,Интервалы!$G$2:$G$513,0)))</f>
        <v/>
      </c>
      <c r="K61">
        <f>IFERROR(SMALL(Интервалы!$G$2:$G$513,55),"")</f>
        <v/>
      </c>
      <c r="L61">
        <f>IF(K61="","",INDEX(Интервалы!$B$2:$B$513,MATCH(K61,Интервалы!$G$2:$G$513,0)))</f>
        <v/>
      </c>
    </row>
    <row r="62">
      <c r="A62" s="5">
        <f>IF(K62="","",56)</f>
        <v/>
      </c>
      <c r="B62" s="5">
        <f>IF(K62="","",INDEX(Интервалы!$A$2:$A$513,MATCH(K62,Интервалы!$G$2:$G$513,0)))</f>
        <v/>
      </c>
      <c r="C62" s="17">
        <f>IF(K62="","",INDEX(Интервалы!$C$2:$C$513,MATCH(K62,Интервалы!$G$2:$G$513,0)))</f>
        <v/>
      </c>
      <c r="D62" s="17">
        <f>IF(K62="","",INDEX(Интервалы!$D$2:$D$513,MATCH(K62,Интервалы!$G$2:$G$513,0)))</f>
        <v/>
      </c>
      <c r="E62" s="5">
        <f>IF(K62="","",D62-C62+1)</f>
        <v/>
      </c>
      <c r="F62" s="9">
        <f>IF(K62="","",INDEX(Интервалы!$E$2:$E$513,MATCH(K62,Интервалы!$G$2:$G$513,0)))</f>
        <v/>
      </c>
      <c r="G62" s="5">
        <f>IF(K62="","",IF(H62=1,INDEX('По дням'!$B$2:$B$4000,MATCH(C62,'По дням'!$A$2:$A$4000,0)),"по периодам ставки"))</f>
        <v/>
      </c>
      <c r="H62" s="5">
        <f>IF(K62="","",INDEX(Интервалы!$I$2:$I$513,MATCH(K62,Интервалы!$G$2:$G$513,0)))</f>
        <v/>
      </c>
      <c r="I62" s="9">
        <f>IF(K62="","",INDEX(Интервалы!$F$2:$F$513,MATCH(K62,Интервалы!$G$2:$G$513,0)))</f>
        <v/>
      </c>
      <c r="J62" s="9">
        <f>IF(K62="","",INDEX(Интервалы!$H$2:$H$513,MATCH(K62,Интервалы!$G$2:$G$513,0)))</f>
        <v/>
      </c>
      <c r="K62">
        <f>IFERROR(SMALL(Интервалы!$G$2:$G$513,56),"")</f>
        <v/>
      </c>
      <c r="L62">
        <f>IF(K62="","",INDEX(Интервалы!$B$2:$B$513,MATCH(K62,Интервалы!$G$2:$G$513,0)))</f>
        <v/>
      </c>
    </row>
    <row r="63">
      <c r="A63" s="5">
        <f>IF(K63="","",57)</f>
        <v/>
      </c>
      <c r="B63" s="5">
        <f>IF(K63="","",INDEX(Интервалы!$A$2:$A$513,MATCH(K63,Интервалы!$G$2:$G$513,0)))</f>
        <v/>
      </c>
      <c r="C63" s="17">
        <f>IF(K63="","",INDEX(Интервалы!$C$2:$C$513,MATCH(K63,Интервалы!$G$2:$G$513,0)))</f>
        <v/>
      </c>
      <c r="D63" s="17">
        <f>IF(K63="","",INDEX(Интервалы!$D$2:$D$513,MATCH(K63,Интервалы!$G$2:$G$513,0)))</f>
        <v/>
      </c>
      <c r="E63" s="5">
        <f>IF(K63="","",D63-C63+1)</f>
        <v/>
      </c>
      <c r="F63" s="9">
        <f>IF(K63="","",INDEX(Интервалы!$E$2:$E$513,MATCH(K63,Интервалы!$G$2:$G$513,0)))</f>
        <v/>
      </c>
      <c r="G63" s="5">
        <f>IF(K63="","",IF(H63=1,INDEX('По дням'!$B$2:$B$4000,MATCH(C63,'По дням'!$A$2:$A$4000,0)),"по периодам ставки"))</f>
        <v/>
      </c>
      <c r="H63" s="5">
        <f>IF(K63="","",INDEX(Интервалы!$I$2:$I$513,MATCH(K63,Интервалы!$G$2:$G$513,0)))</f>
        <v/>
      </c>
      <c r="I63" s="9">
        <f>IF(K63="","",INDEX(Интервалы!$F$2:$F$513,MATCH(K63,Интервалы!$G$2:$G$513,0)))</f>
        <v/>
      </c>
      <c r="J63" s="9">
        <f>IF(K63="","",INDEX(Интервалы!$H$2:$H$513,MATCH(K63,Интервалы!$G$2:$G$513,0)))</f>
        <v/>
      </c>
      <c r="K63">
        <f>IFERROR(SMALL(Интервалы!$G$2:$G$513,57),"")</f>
        <v/>
      </c>
      <c r="L63">
        <f>IF(K63="","",INDEX(Интервалы!$B$2:$B$513,MATCH(K63,Интервалы!$G$2:$G$513,0)))</f>
        <v/>
      </c>
    </row>
    <row r="64">
      <c r="A64" s="5">
        <f>IF(K64="","",58)</f>
        <v/>
      </c>
      <c r="B64" s="5">
        <f>IF(K64="","",INDEX(Интервалы!$A$2:$A$513,MATCH(K64,Интервалы!$G$2:$G$513,0)))</f>
        <v/>
      </c>
      <c r="C64" s="17">
        <f>IF(K64="","",INDEX(Интервалы!$C$2:$C$513,MATCH(K64,Интервалы!$G$2:$G$513,0)))</f>
        <v/>
      </c>
      <c r="D64" s="17">
        <f>IF(K64="","",INDEX(Интервалы!$D$2:$D$513,MATCH(K64,Интервалы!$G$2:$G$513,0)))</f>
        <v/>
      </c>
      <c r="E64" s="5">
        <f>IF(K64="","",D64-C64+1)</f>
        <v/>
      </c>
      <c r="F64" s="9">
        <f>IF(K64="","",INDEX(Интервалы!$E$2:$E$513,MATCH(K64,Интервалы!$G$2:$G$513,0)))</f>
        <v/>
      </c>
      <c r="G64" s="5">
        <f>IF(K64="","",IF(H64=1,INDEX('По дням'!$B$2:$B$4000,MATCH(C64,'По дням'!$A$2:$A$4000,0)),"по периодам ставки"))</f>
        <v/>
      </c>
      <c r="H64" s="5">
        <f>IF(K64="","",INDEX(Интервалы!$I$2:$I$513,MATCH(K64,Интервалы!$G$2:$G$513,0)))</f>
        <v/>
      </c>
      <c r="I64" s="9">
        <f>IF(K64="","",INDEX(Интервалы!$F$2:$F$513,MATCH(K64,Интервалы!$G$2:$G$513,0)))</f>
        <v/>
      </c>
      <c r="J64" s="9">
        <f>IF(K64="","",INDEX(Интервалы!$H$2:$H$513,MATCH(K64,Интервалы!$G$2:$G$513,0)))</f>
        <v/>
      </c>
      <c r="K64">
        <f>IFERROR(SMALL(Интервалы!$G$2:$G$513,58),"")</f>
        <v/>
      </c>
      <c r="L64">
        <f>IF(K64="","",INDEX(Интервалы!$B$2:$B$513,MATCH(K64,Интервалы!$G$2:$G$513,0)))</f>
        <v/>
      </c>
    </row>
    <row r="65">
      <c r="A65" s="5">
        <f>IF(K65="","",59)</f>
        <v/>
      </c>
      <c r="B65" s="5">
        <f>IF(K65="","",INDEX(Интервалы!$A$2:$A$513,MATCH(K65,Интервалы!$G$2:$G$513,0)))</f>
        <v/>
      </c>
      <c r="C65" s="17">
        <f>IF(K65="","",INDEX(Интервалы!$C$2:$C$513,MATCH(K65,Интервалы!$G$2:$G$513,0)))</f>
        <v/>
      </c>
      <c r="D65" s="17">
        <f>IF(K65="","",INDEX(Интервалы!$D$2:$D$513,MATCH(K65,Интервалы!$G$2:$G$513,0)))</f>
        <v/>
      </c>
      <c r="E65" s="5">
        <f>IF(K65="","",D65-C65+1)</f>
        <v/>
      </c>
      <c r="F65" s="9">
        <f>IF(K65="","",INDEX(Интервалы!$E$2:$E$513,MATCH(K65,Интервалы!$G$2:$G$513,0)))</f>
        <v/>
      </c>
      <c r="G65" s="5">
        <f>IF(K65="","",IF(H65=1,INDEX('По дням'!$B$2:$B$4000,MATCH(C65,'По дням'!$A$2:$A$4000,0)),"по периодам ставки"))</f>
        <v/>
      </c>
      <c r="H65" s="5">
        <f>IF(K65="","",INDEX(Интервалы!$I$2:$I$513,MATCH(K65,Интервалы!$G$2:$G$513,0)))</f>
        <v/>
      </c>
      <c r="I65" s="9">
        <f>IF(K65="","",INDEX(Интервалы!$F$2:$F$513,MATCH(K65,Интервалы!$G$2:$G$513,0)))</f>
        <v/>
      </c>
      <c r="J65" s="9">
        <f>IF(K65="","",INDEX(Интервалы!$H$2:$H$513,MATCH(K65,Интервалы!$G$2:$G$513,0)))</f>
        <v/>
      </c>
      <c r="K65">
        <f>IFERROR(SMALL(Интервалы!$G$2:$G$513,59),"")</f>
        <v/>
      </c>
      <c r="L65">
        <f>IF(K65="","",INDEX(Интервалы!$B$2:$B$513,MATCH(K65,Интервалы!$G$2:$G$513,0)))</f>
        <v/>
      </c>
    </row>
    <row r="66">
      <c r="A66" s="5">
        <f>IF(K66="","",60)</f>
        <v/>
      </c>
      <c r="B66" s="5">
        <f>IF(K66="","",INDEX(Интервалы!$A$2:$A$513,MATCH(K66,Интервалы!$G$2:$G$513,0)))</f>
        <v/>
      </c>
      <c r="C66" s="17">
        <f>IF(K66="","",INDEX(Интервалы!$C$2:$C$513,MATCH(K66,Интервалы!$G$2:$G$513,0)))</f>
        <v/>
      </c>
      <c r="D66" s="17">
        <f>IF(K66="","",INDEX(Интервалы!$D$2:$D$513,MATCH(K66,Интервалы!$G$2:$G$513,0)))</f>
        <v/>
      </c>
      <c r="E66" s="5">
        <f>IF(K66="","",D66-C66+1)</f>
        <v/>
      </c>
      <c r="F66" s="9">
        <f>IF(K66="","",INDEX(Интервалы!$E$2:$E$513,MATCH(K66,Интервалы!$G$2:$G$513,0)))</f>
        <v/>
      </c>
      <c r="G66" s="5">
        <f>IF(K66="","",IF(H66=1,INDEX('По дням'!$B$2:$B$4000,MATCH(C66,'По дням'!$A$2:$A$4000,0)),"по периодам ставки"))</f>
        <v/>
      </c>
      <c r="H66" s="5">
        <f>IF(K66="","",INDEX(Интервалы!$I$2:$I$513,MATCH(K66,Интервалы!$G$2:$G$513,0)))</f>
        <v/>
      </c>
      <c r="I66" s="9">
        <f>IF(K66="","",INDEX(Интервалы!$F$2:$F$513,MATCH(K66,Интервалы!$G$2:$G$513,0)))</f>
        <v/>
      </c>
      <c r="J66" s="9">
        <f>IF(K66="","",INDEX(Интервалы!$H$2:$H$513,MATCH(K66,Интервалы!$G$2:$G$513,0)))</f>
        <v/>
      </c>
      <c r="K66">
        <f>IFERROR(SMALL(Интервалы!$G$2:$G$513,60),"")</f>
        <v/>
      </c>
      <c r="L66">
        <f>IF(K66="","",INDEX(Интервалы!$B$2:$B$513,MATCH(K66,Интервалы!$G$2:$G$513,0)))</f>
        <v/>
      </c>
    </row>
    <row r="67">
      <c r="A67" s="5">
        <f>IF(K67="","",61)</f>
        <v/>
      </c>
      <c r="B67" s="5">
        <f>IF(K67="","",INDEX(Интервалы!$A$2:$A$513,MATCH(K67,Интервалы!$G$2:$G$513,0)))</f>
        <v/>
      </c>
      <c r="C67" s="17">
        <f>IF(K67="","",INDEX(Интервалы!$C$2:$C$513,MATCH(K67,Интервалы!$G$2:$G$513,0)))</f>
        <v/>
      </c>
      <c r="D67" s="17">
        <f>IF(K67="","",INDEX(Интервалы!$D$2:$D$513,MATCH(K67,Интервалы!$G$2:$G$513,0)))</f>
        <v/>
      </c>
      <c r="E67" s="5">
        <f>IF(K67="","",D67-C67+1)</f>
        <v/>
      </c>
      <c r="F67" s="9">
        <f>IF(K67="","",INDEX(Интервалы!$E$2:$E$513,MATCH(K67,Интервалы!$G$2:$G$513,0)))</f>
        <v/>
      </c>
      <c r="G67" s="5">
        <f>IF(K67="","",IF(H67=1,INDEX('По дням'!$B$2:$B$4000,MATCH(C67,'По дням'!$A$2:$A$4000,0)),"по периодам ставки"))</f>
        <v/>
      </c>
      <c r="H67" s="5">
        <f>IF(K67="","",INDEX(Интервалы!$I$2:$I$513,MATCH(K67,Интервалы!$G$2:$G$513,0)))</f>
        <v/>
      </c>
      <c r="I67" s="9">
        <f>IF(K67="","",INDEX(Интервалы!$F$2:$F$513,MATCH(K67,Интервалы!$G$2:$G$513,0)))</f>
        <v/>
      </c>
      <c r="J67" s="9">
        <f>IF(K67="","",INDEX(Интервалы!$H$2:$H$513,MATCH(K67,Интервалы!$G$2:$G$513,0)))</f>
        <v/>
      </c>
      <c r="K67">
        <f>IFERROR(SMALL(Интервалы!$G$2:$G$513,61),"")</f>
        <v/>
      </c>
      <c r="L67">
        <f>IF(K67="","",INDEX(Интервалы!$B$2:$B$513,MATCH(K67,Интервалы!$G$2:$G$513,0)))</f>
        <v/>
      </c>
    </row>
    <row r="68">
      <c r="A68" s="5">
        <f>IF(K68="","",62)</f>
        <v/>
      </c>
      <c r="B68" s="5">
        <f>IF(K68="","",INDEX(Интервалы!$A$2:$A$513,MATCH(K68,Интервалы!$G$2:$G$513,0)))</f>
        <v/>
      </c>
      <c r="C68" s="17">
        <f>IF(K68="","",INDEX(Интервалы!$C$2:$C$513,MATCH(K68,Интервалы!$G$2:$G$513,0)))</f>
        <v/>
      </c>
      <c r="D68" s="17">
        <f>IF(K68="","",INDEX(Интервалы!$D$2:$D$513,MATCH(K68,Интервалы!$G$2:$G$513,0)))</f>
        <v/>
      </c>
      <c r="E68" s="5">
        <f>IF(K68="","",D68-C68+1)</f>
        <v/>
      </c>
      <c r="F68" s="9">
        <f>IF(K68="","",INDEX(Интервалы!$E$2:$E$513,MATCH(K68,Интервалы!$G$2:$G$513,0)))</f>
        <v/>
      </c>
      <c r="G68" s="5">
        <f>IF(K68="","",IF(H68=1,INDEX('По дням'!$B$2:$B$4000,MATCH(C68,'По дням'!$A$2:$A$4000,0)),"по периодам ставки"))</f>
        <v/>
      </c>
      <c r="H68" s="5">
        <f>IF(K68="","",INDEX(Интервалы!$I$2:$I$513,MATCH(K68,Интервалы!$G$2:$G$513,0)))</f>
        <v/>
      </c>
      <c r="I68" s="9">
        <f>IF(K68="","",INDEX(Интервалы!$F$2:$F$513,MATCH(K68,Интервалы!$G$2:$G$513,0)))</f>
        <v/>
      </c>
      <c r="J68" s="9">
        <f>IF(K68="","",INDEX(Интервалы!$H$2:$H$513,MATCH(K68,Интервалы!$G$2:$G$513,0)))</f>
        <v/>
      </c>
      <c r="K68">
        <f>IFERROR(SMALL(Интервалы!$G$2:$G$513,62),"")</f>
        <v/>
      </c>
      <c r="L68">
        <f>IF(K68="","",INDEX(Интервалы!$B$2:$B$513,MATCH(K68,Интервалы!$G$2:$G$513,0)))</f>
        <v/>
      </c>
    </row>
    <row r="69">
      <c r="A69" s="5">
        <f>IF(K69="","",63)</f>
        <v/>
      </c>
      <c r="B69" s="5">
        <f>IF(K69="","",INDEX(Интервалы!$A$2:$A$513,MATCH(K69,Интервалы!$G$2:$G$513,0)))</f>
        <v/>
      </c>
      <c r="C69" s="17">
        <f>IF(K69="","",INDEX(Интервалы!$C$2:$C$513,MATCH(K69,Интервалы!$G$2:$G$513,0)))</f>
        <v/>
      </c>
      <c r="D69" s="17">
        <f>IF(K69="","",INDEX(Интервалы!$D$2:$D$513,MATCH(K69,Интервалы!$G$2:$G$513,0)))</f>
        <v/>
      </c>
      <c r="E69" s="5">
        <f>IF(K69="","",D69-C69+1)</f>
        <v/>
      </c>
      <c r="F69" s="9">
        <f>IF(K69="","",INDEX(Интервалы!$E$2:$E$513,MATCH(K69,Интервалы!$G$2:$G$513,0)))</f>
        <v/>
      </c>
      <c r="G69" s="5">
        <f>IF(K69="","",IF(H69=1,INDEX('По дням'!$B$2:$B$4000,MATCH(C69,'По дням'!$A$2:$A$4000,0)),"по периодам ставки"))</f>
        <v/>
      </c>
      <c r="H69" s="5">
        <f>IF(K69="","",INDEX(Интервалы!$I$2:$I$513,MATCH(K69,Интервалы!$G$2:$G$513,0)))</f>
        <v/>
      </c>
      <c r="I69" s="9">
        <f>IF(K69="","",INDEX(Интервалы!$F$2:$F$513,MATCH(K69,Интервалы!$G$2:$G$513,0)))</f>
        <v/>
      </c>
      <c r="J69" s="9">
        <f>IF(K69="","",INDEX(Интервалы!$H$2:$H$513,MATCH(K69,Интервалы!$G$2:$G$513,0)))</f>
        <v/>
      </c>
      <c r="K69">
        <f>IFERROR(SMALL(Интервалы!$G$2:$G$513,63),"")</f>
        <v/>
      </c>
      <c r="L69">
        <f>IF(K69="","",INDEX(Интервалы!$B$2:$B$513,MATCH(K69,Интервалы!$G$2:$G$513,0)))</f>
        <v/>
      </c>
    </row>
    <row r="70">
      <c r="A70" s="5">
        <f>IF(K70="","",64)</f>
        <v/>
      </c>
      <c r="B70" s="5">
        <f>IF(K70="","",INDEX(Интервалы!$A$2:$A$513,MATCH(K70,Интервалы!$G$2:$G$513,0)))</f>
        <v/>
      </c>
      <c r="C70" s="17">
        <f>IF(K70="","",INDEX(Интервалы!$C$2:$C$513,MATCH(K70,Интервалы!$G$2:$G$513,0)))</f>
        <v/>
      </c>
      <c r="D70" s="17">
        <f>IF(K70="","",INDEX(Интервалы!$D$2:$D$513,MATCH(K70,Интервалы!$G$2:$G$513,0)))</f>
        <v/>
      </c>
      <c r="E70" s="5">
        <f>IF(K70="","",D70-C70+1)</f>
        <v/>
      </c>
      <c r="F70" s="9">
        <f>IF(K70="","",INDEX(Интервалы!$E$2:$E$513,MATCH(K70,Интервалы!$G$2:$G$513,0)))</f>
        <v/>
      </c>
      <c r="G70" s="5">
        <f>IF(K70="","",IF(H70=1,INDEX('По дням'!$B$2:$B$4000,MATCH(C70,'По дням'!$A$2:$A$4000,0)),"по периодам ставки"))</f>
        <v/>
      </c>
      <c r="H70" s="5">
        <f>IF(K70="","",INDEX(Интервалы!$I$2:$I$513,MATCH(K70,Интервалы!$G$2:$G$513,0)))</f>
        <v/>
      </c>
      <c r="I70" s="9">
        <f>IF(K70="","",INDEX(Интервалы!$F$2:$F$513,MATCH(K70,Интервалы!$G$2:$G$513,0)))</f>
        <v/>
      </c>
      <c r="J70" s="9">
        <f>IF(K70="","",INDEX(Интервалы!$H$2:$H$513,MATCH(K70,Интервалы!$G$2:$G$513,0)))</f>
        <v/>
      </c>
      <c r="K70">
        <f>IFERROR(SMALL(Интервалы!$G$2:$G$513,64),"")</f>
        <v/>
      </c>
      <c r="L70">
        <f>IF(K70="","",INDEX(Интервалы!$B$2:$B$513,MATCH(K70,Интервалы!$G$2:$G$513,0)))</f>
        <v/>
      </c>
    </row>
    <row r="71">
      <c r="A71" s="5">
        <f>IF(K71="","",65)</f>
        <v/>
      </c>
      <c r="B71" s="5">
        <f>IF(K71="","",INDEX(Интервалы!$A$2:$A$513,MATCH(K71,Интервалы!$G$2:$G$513,0)))</f>
        <v/>
      </c>
      <c r="C71" s="17">
        <f>IF(K71="","",INDEX(Интервалы!$C$2:$C$513,MATCH(K71,Интервалы!$G$2:$G$513,0)))</f>
        <v/>
      </c>
      <c r="D71" s="17">
        <f>IF(K71="","",INDEX(Интервалы!$D$2:$D$513,MATCH(K71,Интервалы!$G$2:$G$513,0)))</f>
        <v/>
      </c>
      <c r="E71" s="5">
        <f>IF(K71="","",D71-C71+1)</f>
        <v/>
      </c>
      <c r="F71" s="9">
        <f>IF(K71="","",INDEX(Интервалы!$E$2:$E$513,MATCH(K71,Интервалы!$G$2:$G$513,0)))</f>
        <v/>
      </c>
      <c r="G71" s="5">
        <f>IF(K71="","",IF(H71=1,INDEX('По дням'!$B$2:$B$4000,MATCH(C71,'По дням'!$A$2:$A$4000,0)),"по периодам ставки"))</f>
        <v/>
      </c>
      <c r="H71" s="5">
        <f>IF(K71="","",INDEX(Интервалы!$I$2:$I$513,MATCH(K71,Интервалы!$G$2:$G$513,0)))</f>
        <v/>
      </c>
      <c r="I71" s="9">
        <f>IF(K71="","",INDEX(Интервалы!$F$2:$F$513,MATCH(K71,Интервалы!$G$2:$G$513,0)))</f>
        <v/>
      </c>
      <c r="J71" s="9">
        <f>IF(K71="","",INDEX(Интервалы!$H$2:$H$513,MATCH(K71,Интервалы!$G$2:$G$513,0)))</f>
        <v/>
      </c>
      <c r="K71">
        <f>IFERROR(SMALL(Интервалы!$G$2:$G$513,65),"")</f>
        <v/>
      </c>
      <c r="L71">
        <f>IF(K71="","",INDEX(Интервалы!$B$2:$B$513,MATCH(K71,Интервалы!$G$2:$G$513,0)))</f>
        <v/>
      </c>
    </row>
    <row r="72">
      <c r="A72" s="5">
        <f>IF(K72="","",66)</f>
        <v/>
      </c>
      <c r="B72" s="5">
        <f>IF(K72="","",INDEX(Интервалы!$A$2:$A$513,MATCH(K72,Интервалы!$G$2:$G$513,0)))</f>
        <v/>
      </c>
      <c r="C72" s="17">
        <f>IF(K72="","",INDEX(Интервалы!$C$2:$C$513,MATCH(K72,Интервалы!$G$2:$G$513,0)))</f>
        <v/>
      </c>
      <c r="D72" s="17">
        <f>IF(K72="","",INDEX(Интервалы!$D$2:$D$513,MATCH(K72,Интервалы!$G$2:$G$513,0)))</f>
        <v/>
      </c>
      <c r="E72" s="5">
        <f>IF(K72="","",D72-C72+1)</f>
        <v/>
      </c>
      <c r="F72" s="9">
        <f>IF(K72="","",INDEX(Интервалы!$E$2:$E$513,MATCH(K72,Интервалы!$G$2:$G$513,0)))</f>
        <v/>
      </c>
      <c r="G72" s="5">
        <f>IF(K72="","",IF(H72=1,INDEX('По дням'!$B$2:$B$4000,MATCH(C72,'По дням'!$A$2:$A$4000,0)),"по периодам ставки"))</f>
        <v/>
      </c>
      <c r="H72" s="5">
        <f>IF(K72="","",INDEX(Интервалы!$I$2:$I$513,MATCH(K72,Интервалы!$G$2:$G$513,0)))</f>
        <v/>
      </c>
      <c r="I72" s="9">
        <f>IF(K72="","",INDEX(Интервалы!$F$2:$F$513,MATCH(K72,Интервалы!$G$2:$G$513,0)))</f>
        <v/>
      </c>
      <c r="J72" s="9">
        <f>IF(K72="","",INDEX(Интервалы!$H$2:$H$513,MATCH(K72,Интервалы!$G$2:$G$513,0)))</f>
        <v/>
      </c>
      <c r="K72">
        <f>IFERROR(SMALL(Интервалы!$G$2:$G$513,66),"")</f>
        <v/>
      </c>
      <c r="L72">
        <f>IF(K72="","",INDEX(Интервалы!$B$2:$B$513,MATCH(K72,Интервалы!$G$2:$G$513,0)))</f>
        <v/>
      </c>
    </row>
    <row r="73">
      <c r="A73" s="5">
        <f>IF(K73="","",67)</f>
        <v/>
      </c>
      <c r="B73" s="5">
        <f>IF(K73="","",INDEX(Интервалы!$A$2:$A$513,MATCH(K73,Интервалы!$G$2:$G$513,0)))</f>
        <v/>
      </c>
      <c r="C73" s="17">
        <f>IF(K73="","",INDEX(Интервалы!$C$2:$C$513,MATCH(K73,Интервалы!$G$2:$G$513,0)))</f>
        <v/>
      </c>
      <c r="D73" s="17">
        <f>IF(K73="","",INDEX(Интервалы!$D$2:$D$513,MATCH(K73,Интервалы!$G$2:$G$513,0)))</f>
        <v/>
      </c>
      <c r="E73" s="5">
        <f>IF(K73="","",D73-C73+1)</f>
        <v/>
      </c>
      <c r="F73" s="9">
        <f>IF(K73="","",INDEX(Интервалы!$E$2:$E$513,MATCH(K73,Интервалы!$G$2:$G$513,0)))</f>
        <v/>
      </c>
      <c r="G73" s="5">
        <f>IF(K73="","",IF(H73=1,INDEX('По дням'!$B$2:$B$4000,MATCH(C73,'По дням'!$A$2:$A$4000,0)),"по периодам ставки"))</f>
        <v/>
      </c>
      <c r="H73" s="5">
        <f>IF(K73="","",INDEX(Интервалы!$I$2:$I$513,MATCH(K73,Интервалы!$G$2:$G$513,0)))</f>
        <v/>
      </c>
      <c r="I73" s="9">
        <f>IF(K73="","",INDEX(Интервалы!$F$2:$F$513,MATCH(K73,Интервалы!$G$2:$G$513,0)))</f>
        <v/>
      </c>
      <c r="J73" s="9">
        <f>IF(K73="","",INDEX(Интервалы!$H$2:$H$513,MATCH(K73,Интервалы!$G$2:$G$513,0)))</f>
        <v/>
      </c>
      <c r="K73">
        <f>IFERROR(SMALL(Интервалы!$G$2:$G$513,67),"")</f>
        <v/>
      </c>
      <c r="L73">
        <f>IF(K73="","",INDEX(Интервалы!$B$2:$B$513,MATCH(K73,Интервалы!$G$2:$G$513,0)))</f>
        <v/>
      </c>
    </row>
    <row r="74">
      <c r="A74" s="5">
        <f>IF(K74="","",68)</f>
        <v/>
      </c>
      <c r="B74" s="5">
        <f>IF(K74="","",INDEX(Интервалы!$A$2:$A$513,MATCH(K74,Интервалы!$G$2:$G$513,0)))</f>
        <v/>
      </c>
      <c r="C74" s="17">
        <f>IF(K74="","",INDEX(Интервалы!$C$2:$C$513,MATCH(K74,Интервалы!$G$2:$G$513,0)))</f>
        <v/>
      </c>
      <c r="D74" s="17">
        <f>IF(K74="","",INDEX(Интервалы!$D$2:$D$513,MATCH(K74,Интервалы!$G$2:$G$513,0)))</f>
        <v/>
      </c>
      <c r="E74" s="5">
        <f>IF(K74="","",D74-C74+1)</f>
        <v/>
      </c>
      <c r="F74" s="9">
        <f>IF(K74="","",INDEX(Интервалы!$E$2:$E$513,MATCH(K74,Интервалы!$G$2:$G$513,0)))</f>
        <v/>
      </c>
      <c r="G74" s="5">
        <f>IF(K74="","",IF(H74=1,INDEX('По дням'!$B$2:$B$4000,MATCH(C74,'По дням'!$A$2:$A$4000,0)),"по периодам ставки"))</f>
        <v/>
      </c>
      <c r="H74" s="5">
        <f>IF(K74="","",INDEX(Интервалы!$I$2:$I$513,MATCH(K74,Интервалы!$G$2:$G$513,0)))</f>
        <v/>
      </c>
      <c r="I74" s="9">
        <f>IF(K74="","",INDEX(Интервалы!$F$2:$F$513,MATCH(K74,Интервалы!$G$2:$G$513,0)))</f>
        <v/>
      </c>
      <c r="J74" s="9">
        <f>IF(K74="","",INDEX(Интервалы!$H$2:$H$513,MATCH(K74,Интервалы!$G$2:$G$513,0)))</f>
        <v/>
      </c>
      <c r="K74">
        <f>IFERROR(SMALL(Интервалы!$G$2:$G$513,68),"")</f>
        <v/>
      </c>
      <c r="L74">
        <f>IF(K74="","",INDEX(Интервалы!$B$2:$B$513,MATCH(K74,Интервалы!$G$2:$G$513,0)))</f>
        <v/>
      </c>
    </row>
    <row r="75">
      <c r="A75" s="5">
        <f>IF(K75="","",69)</f>
        <v/>
      </c>
      <c r="B75" s="5">
        <f>IF(K75="","",INDEX(Интервалы!$A$2:$A$513,MATCH(K75,Интервалы!$G$2:$G$513,0)))</f>
        <v/>
      </c>
      <c r="C75" s="17">
        <f>IF(K75="","",INDEX(Интервалы!$C$2:$C$513,MATCH(K75,Интервалы!$G$2:$G$513,0)))</f>
        <v/>
      </c>
      <c r="D75" s="17">
        <f>IF(K75="","",INDEX(Интервалы!$D$2:$D$513,MATCH(K75,Интервалы!$G$2:$G$513,0)))</f>
        <v/>
      </c>
      <c r="E75" s="5">
        <f>IF(K75="","",D75-C75+1)</f>
        <v/>
      </c>
      <c r="F75" s="9">
        <f>IF(K75="","",INDEX(Интервалы!$E$2:$E$513,MATCH(K75,Интервалы!$G$2:$G$513,0)))</f>
        <v/>
      </c>
      <c r="G75" s="5">
        <f>IF(K75="","",IF(H75=1,INDEX('По дням'!$B$2:$B$4000,MATCH(C75,'По дням'!$A$2:$A$4000,0)),"по периодам ставки"))</f>
        <v/>
      </c>
      <c r="H75" s="5">
        <f>IF(K75="","",INDEX(Интервалы!$I$2:$I$513,MATCH(K75,Интервалы!$G$2:$G$513,0)))</f>
        <v/>
      </c>
      <c r="I75" s="9">
        <f>IF(K75="","",INDEX(Интервалы!$F$2:$F$513,MATCH(K75,Интервалы!$G$2:$G$513,0)))</f>
        <v/>
      </c>
      <c r="J75" s="9">
        <f>IF(K75="","",INDEX(Интервалы!$H$2:$H$513,MATCH(K75,Интервалы!$G$2:$G$513,0)))</f>
        <v/>
      </c>
      <c r="K75">
        <f>IFERROR(SMALL(Интервалы!$G$2:$G$513,69),"")</f>
        <v/>
      </c>
      <c r="L75">
        <f>IF(K75="","",INDEX(Интервалы!$B$2:$B$513,MATCH(K75,Интервалы!$G$2:$G$513,0)))</f>
        <v/>
      </c>
    </row>
    <row r="76">
      <c r="A76" s="5">
        <f>IF(K76="","",70)</f>
        <v/>
      </c>
      <c r="B76" s="5">
        <f>IF(K76="","",INDEX(Интервалы!$A$2:$A$513,MATCH(K76,Интервалы!$G$2:$G$513,0)))</f>
        <v/>
      </c>
      <c r="C76" s="17">
        <f>IF(K76="","",INDEX(Интервалы!$C$2:$C$513,MATCH(K76,Интервалы!$G$2:$G$513,0)))</f>
        <v/>
      </c>
      <c r="D76" s="17">
        <f>IF(K76="","",INDEX(Интервалы!$D$2:$D$513,MATCH(K76,Интервалы!$G$2:$G$513,0)))</f>
        <v/>
      </c>
      <c r="E76" s="5">
        <f>IF(K76="","",D76-C76+1)</f>
        <v/>
      </c>
      <c r="F76" s="9">
        <f>IF(K76="","",INDEX(Интервалы!$E$2:$E$513,MATCH(K76,Интервалы!$G$2:$G$513,0)))</f>
        <v/>
      </c>
      <c r="G76" s="5">
        <f>IF(K76="","",IF(H76=1,INDEX('По дням'!$B$2:$B$4000,MATCH(C76,'По дням'!$A$2:$A$4000,0)),"по периодам ставки"))</f>
        <v/>
      </c>
      <c r="H76" s="5">
        <f>IF(K76="","",INDEX(Интервалы!$I$2:$I$513,MATCH(K76,Интервалы!$G$2:$G$513,0)))</f>
        <v/>
      </c>
      <c r="I76" s="9">
        <f>IF(K76="","",INDEX(Интервалы!$F$2:$F$513,MATCH(K76,Интервалы!$G$2:$G$513,0)))</f>
        <v/>
      </c>
      <c r="J76" s="9">
        <f>IF(K76="","",INDEX(Интервалы!$H$2:$H$513,MATCH(K76,Интервалы!$G$2:$G$513,0)))</f>
        <v/>
      </c>
      <c r="K76">
        <f>IFERROR(SMALL(Интервалы!$G$2:$G$513,70),"")</f>
        <v/>
      </c>
      <c r="L76">
        <f>IF(K76="","",INDEX(Интервалы!$B$2:$B$513,MATCH(K76,Интервалы!$G$2:$G$513,0)))</f>
        <v/>
      </c>
    </row>
    <row r="77">
      <c r="A77" s="5">
        <f>IF(K77="","",71)</f>
        <v/>
      </c>
      <c r="B77" s="5">
        <f>IF(K77="","",INDEX(Интервалы!$A$2:$A$513,MATCH(K77,Интервалы!$G$2:$G$513,0)))</f>
        <v/>
      </c>
      <c r="C77" s="17">
        <f>IF(K77="","",INDEX(Интервалы!$C$2:$C$513,MATCH(K77,Интервалы!$G$2:$G$513,0)))</f>
        <v/>
      </c>
      <c r="D77" s="17">
        <f>IF(K77="","",INDEX(Интервалы!$D$2:$D$513,MATCH(K77,Интервалы!$G$2:$G$513,0)))</f>
        <v/>
      </c>
      <c r="E77" s="5">
        <f>IF(K77="","",D77-C77+1)</f>
        <v/>
      </c>
      <c r="F77" s="9">
        <f>IF(K77="","",INDEX(Интервалы!$E$2:$E$513,MATCH(K77,Интервалы!$G$2:$G$513,0)))</f>
        <v/>
      </c>
      <c r="G77" s="5">
        <f>IF(K77="","",IF(H77=1,INDEX('По дням'!$B$2:$B$4000,MATCH(C77,'По дням'!$A$2:$A$4000,0)),"по периодам ставки"))</f>
        <v/>
      </c>
      <c r="H77" s="5">
        <f>IF(K77="","",INDEX(Интервалы!$I$2:$I$513,MATCH(K77,Интервалы!$G$2:$G$513,0)))</f>
        <v/>
      </c>
      <c r="I77" s="9">
        <f>IF(K77="","",INDEX(Интервалы!$F$2:$F$513,MATCH(K77,Интервалы!$G$2:$G$513,0)))</f>
        <v/>
      </c>
      <c r="J77" s="9">
        <f>IF(K77="","",INDEX(Интервалы!$H$2:$H$513,MATCH(K77,Интервалы!$G$2:$G$513,0)))</f>
        <v/>
      </c>
      <c r="K77">
        <f>IFERROR(SMALL(Интервалы!$G$2:$G$513,71),"")</f>
        <v/>
      </c>
      <c r="L77">
        <f>IF(K77="","",INDEX(Интервалы!$B$2:$B$513,MATCH(K77,Интервалы!$G$2:$G$513,0)))</f>
        <v/>
      </c>
    </row>
    <row r="78">
      <c r="A78" s="5">
        <f>IF(K78="","",72)</f>
        <v/>
      </c>
      <c r="B78" s="5">
        <f>IF(K78="","",INDEX(Интервалы!$A$2:$A$513,MATCH(K78,Интервалы!$G$2:$G$513,0)))</f>
        <v/>
      </c>
      <c r="C78" s="17">
        <f>IF(K78="","",INDEX(Интервалы!$C$2:$C$513,MATCH(K78,Интервалы!$G$2:$G$513,0)))</f>
        <v/>
      </c>
      <c r="D78" s="17">
        <f>IF(K78="","",INDEX(Интервалы!$D$2:$D$513,MATCH(K78,Интервалы!$G$2:$G$513,0)))</f>
        <v/>
      </c>
      <c r="E78" s="5">
        <f>IF(K78="","",D78-C78+1)</f>
        <v/>
      </c>
      <c r="F78" s="9">
        <f>IF(K78="","",INDEX(Интервалы!$E$2:$E$513,MATCH(K78,Интервалы!$G$2:$G$513,0)))</f>
        <v/>
      </c>
      <c r="G78" s="5">
        <f>IF(K78="","",IF(H78=1,INDEX('По дням'!$B$2:$B$4000,MATCH(C78,'По дням'!$A$2:$A$4000,0)),"по периодам ставки"))</f>
        <v/>
      </c>
      <c r="H78" s="5">
        <f>IF(K78="","",INDEX(Интервалы!$I$2:$I$513,MATCH(K78,Интервалы!$G$2:$G$513,0)))</f>
        <v/>
      </c>
      <c r="I78" s="9">
        <f>IF(K78="","",INDEX(Интервалы!$F$2:$F$513,MATCH(K78,Интервалы!$G$2:$G$513,0)))</f>
        <v/>
      </c>
      <c r="J78" s="9">
        <f>IF(K78="","",INDEX(Интервалы!$H$2:$H$513,MATCH(K78,Интервалы!$G$2:$G$513,0)))</f>
        <v/>
      </c>
      <c r="K78">
        <f>IFERROR(SMALL(Интервалы!$G$2:$G$513,72),"")</f>
        <v/>
      </c>
      <c r="L78">
        <f>IF(K78="","",INDEX(Интервалы!$B$2:$B$513,MATCH(K78,Интервалы!$G$2:$G$513,0)))</f>
        <v/>
      </c>
    </row>
    <row r="79">
      <c r="A79" s="5">
        <f>IF(K79="","",73)</f>
        <v/>
      </c>
      <c r="B79" s="5">
        <f>IF(K79="","",INDEX(Интервалы!$A$2:$A$513,MATCH(K79,Интервалы!$G$2:$G$513,0)))</f>
        <v/>
      </c>
      <c r="C79" s="17">
        <f>IF(K79="","",INDEX(Интервалы!$C$2:$C$513,MATCH(K79,Интервалы!$G$2:$G$513,0)))</f>
        <v/>
      </c>
      <c r="D79" s="17">
        <f>IF(K79="","",INDEX(Интервалы!$D$2:$D$513,MATCH(K79,Интервалы!$G$2:$G$513,0)))</f>
        <v/>
      </c>
      <c r="E79" s="5">
        <f>IF(K79="","",D79-C79+1)</f>
        <v/>
      </c>
      <c r="F79" s="9">
        <f>IF(K79="","",INDEX(Интервалы!$E$2:$E$513,MATCH(K79,Интервалы!$G$2:$G$513,0)))</f>
        <v/>
      </c>
      <c r="G79" s="5">
        <f>IF(K79="","",IF(H79=1,INDEX('По дням'!$B$2:$B$4000,MATCH(C79,'По дням'!$A$2:$A$4000,0)),"по периодам ставки"))</f>
        <v/>
      </c>
      <c r="H79" s="5">
        <f>IF(K79="","",INDEX(Интервалы!$I$2:$I$513,MATCH(K79,Интервалы!$G$2:$G$513,0)))</f>
        <v/>
      </c>
      <c r="I79" s="9">
        <f>IF(K79="","",INDEX(Интервалы!$F$2:$F$513,MATCH(K79,Интервалы!$G$2:$G$513,0)))</f>
        <v/>
      </c>
      <c r="J79" s="9">
        <f>IF(K79="","",INDEX(Интервалы!$H$2:$H$513,MATCH(K79,Интервалы!$G$2:$G$513,0)))</f>
        <v/>
      </c>
      <c r="K79">
        <f>IFERROR(SMALL(Интервалы!$G$2:$G$513,73),"")</f>
        <v/>
      </c>
      <c r="L79">
        <f>IF(K79="","",INDEX(Интервалы!$B$2:$B$513,MATCH(K79,Интервалы!$G$2:$G$513,0)))</f>
        <v/>
      </c>
    </row>
    <row r="80">
      <c r="A80" s="5">
        <f>IF(K80="","",74)</f>
        <v/>
      </c>
      <c r="B80" s="5">
        <f>IF(K80="","",INDEX(Интервалы!$A$2:$A$513,MATCH(K80,Интервалы!$G$2:$G$513,0)))</f>
        <v/>
      </c>
      <c r="C80" s="17">
        <f>IF(K80="","",INDEX(Интервалы!$C$2:$C$513,MATCH(K80,Интервалы!$G$2:$G$513,0)))</f>
        <v/>
      </c>
      <c r="D80" s="17">
        <f>IF(K80="","",INDEX(Интервалы!$D$2:$D$513,MATCH(K80,Интервалы!$G$2:$G$513,0)))</f>
        <v/>
      </c>
      <c r="E80" s="5">
        <f>IF(K80="","",D80-C80+1)</f>
        <v/>
      </c>
      <c r="F80" s="9">
        <f>IF(K80="","",INDEX(Интервалы!$E$2:$E$513,MATCH(K80,Интервалы!$G$2:$G$513,0)))</f>
        <v/>
      </c>
      <c r="G80" s="5">
        <f>IF(K80="","",IF(H80=1,INDEX('По дням'!$B$2:$B$4000,MATCH(C80,'По дням'!$A$2:$A$4000,0)),"по периодам ставки"))</f>
        <v/>
      </c>
      <c r="H80" s="5">
        <f>IF(K80="","",INDEX(Интервалы!$I$2:$I$513,MATCH(K80,Интервалы!$G$2:$G$513,0)))</f>
        <v/>
      </c>
      <c r="I80" s="9">
        <f>IF(K80="","",INDEX(Интервалы!$F$2:$F$513,MATCH(K80,Интервалы!$G$2:$G$513,0)))</f>
        <v/>
      </c>
      <c r="J80" s="9">
        <f>IF(K80="","",INDEX(Интервалы!$H$2:$H$513,MATCH(K80,Интервалы!$G$2:$G$513,0)))</f>
        <v/>
      </c>
      <c r="K80">
        <f>IFERROR(SMALL(Интервалы!$G$2:$G$513,74),"")</f>
        <v/>
      </c>
      <c r="L80">
        <f>IF(K80="","",INDEX(Интервалы!$B$2:$B$513,MATCH(K80,Интервалы!$G$2:$G$513,0)))</f>
        <v/>
      </c>
    </row>
    <row r="81">
      <c r="A81" s="5">
        <f>IF(K81="","",75)</f>
        <v/>
      </c>
      <c r="B81" s="5">
        <f>IF(K81="","",INDEX(Интервалы!$A$2:$A$513,MATCH(K81,Интервалы!$G$2:$G$513,0)))</f>
        <v/>
      </c>
      <c r="C81" s="17">
        <f>IF(K81="","",INDEX(Интервалы!$C$2:$C$513,MATCH(K81,Интервалы!$G$2:$G$513,0)))</f>
        <v/>
      </c>
      <c r="D81" s="17">
        <f>IF(K81="","",INDEX(Интервалы!$D$2:$D$513,MATCH(K81,Интервалы!$G$2:$G$513,0)))</f>
        <v/>
      </c>
      <c r="E81" s="5">
        <f>IF(K81="","",D81-C81+1)</f>
        <v/>
      </c>
      <c r="F81" s="9">
        <f>IF(K81="","",INDEX(Интервалы!$E$2:$E$513,MATCH(K81,Интервалы!$G$2:$G$513,0)))</f>
        <v/>
      </c>
      <c r="G81" s="5">
        <f>IF(K81="","",IF(H81=1,INDEX('По дням'!$B$2:$B$4000,MATCH(C81,'По дням'!$A$2:$A$4000,0)),"по периодам ставки"))</f>
        <v/>
      </c>
      <c r="H81" s="5">
        <f>IF(K81="","",INDEX(Интервалы!$I$2:$I$513,MATCH(K81,Интервалы!$G$2:$G$513,0)))</f>
        <v/>
      </c>
      <c r="I81" s="9">
        <f>IF(K81="","",INDEX(Интервалы!$F$2:$F$513,MATCH(K81,Интервалы!$G$2:$G$513,0)))</f>
        <v/>
      </c>
      <c r="J81" s="9">
        <f>IF(K81="","",INDEX(Интервалы!$H$2:$H$513,MATCH(K81,Интервалы!$G$2:$G$513,0)))</f>
        <v/>
      </c>
      <c r="K81">
        <f>IFERROR(SMALL(Интервалы!$G$2:$G$513,75),"")</f>
        <v/>
      </c>
      <c r="L81">
        <f>IF(K81="","",INDEX(Интервалы!$B$2:$B$513,MATCH(K81,Интервалы!$G$2:$G$513,0)))</f>
        <v/>
      </c>
    </row>
    <row r="82">
      <c r="A82" s="5">
        <f>IF(K82="","",76)</f>
        <v/>
      </c>
      <c r="B82" s="5">
        <f>IF(K82="","",INDEX(Интервалы!$A$2:$A$513,MATCH(K82,Интервалы!$G$2:$G$513,0)))</f>
        <v/>
      </c>
      <c r="C82" s="17">
        <f>IF(K82="","",INDEX(Интервалы!$C$2:$C$513,MATCH(K82,Интервалы!$G$2:$G$513,0)))</f>
        <v/>
      </c>
      <c r="D82" s="17">
        <f>IF(K82="","",INDEX(Интервалы!$D$2:$D$513,MATCH(K82,Интервалы!$G$2:$G$513,0)))</f>
        <v/>
      </c>
      <c r="E82" s="5">
        <f>IF(K82="","",D82-C82+1)</f>
        <v/>
      </c>
      <c r="F82" s="9">
        <f>IF(K82="","",INDEX(Интервалы!$E$2:$E$513,MATCH(K82,Интервалы!$G$2:$G$513,0)))</f>
        <v/>
      </c>
      <c r="G82" s="5">
        <f>IF(K82="","",IF(H82=1,INDEX('По дням'!$B$2:$B$4000,MATCH(C82,'По дням'!$A$2:$A$4000,0)),"по периодам ставки"))</f>
        <v/>
      </c>
      <c r="H82" s="5">
        <f>IF(K82="","",INDEX(Интервалы!$I$2:$I$513,MATCH(K82,Интервалы!$G$2:$G$513,0)))</f>
        <v/>
      </c>
      <c r="I82" s="9">
        <f>IF(K82="","",INDEX(Интервалы!$F$2:$F$513,MATCH(K82,Интервалы!$G$2:$G$513,0)))</f>
        <v/>
      </c>
      <c r="J82" s="9">
        <f>IF(K82="","",INDEX(Интервалы!$H$2:$H$513,MATCH(K82,Интервалы!$G$2:$G$513,0)))</f>
        <v/>
      </c>
      <c r="K82">
        <f>IFERROR(SMALL(Интервалы!$G$2:$G$513,76),"")</f>
        <v/>
      </c>
      <c r="L82">
        <f>IF(K82="","",INDEX(Интервалы!$B$2:$B$513,MATCH(K82,Интервалы!$G$2:$G$513,0)))</f>
        <v/>
      </c>
    </row>
    <row r="83">
      <c r="A83" s="5">
        <f>IF(K83="","",77)</f>
        <v/>
      </c>
      <c r="B83" s="5">
        <f>IF(K83="","",INDEX(Интервалы!$A$2:$A$513,MATCH(K83,Интервалы!$G$2:$G$513,0)))</f>
        <v/>
      </c>
      <c r="C83" s="17">
        <f>IF(K83="","",INDEX(Интервалы!$C$2:$C$513,MATCH(K83,Интервалы!$G$2:$G$513,0)))</f>
        <v/>
      </c>
      <c r="D83" s="17">
        <f>IF(K83="","",INDEX(Интервалы!$D$2:$D$513,MATCH(K83,Интервалы!$G$2:$G$513,0)))</f>
        <v/>
      </c>
      <c r="E83" s="5">
        <f>IF(K83="","",D83-C83+1)</f>
        <v/>
      </c>
      <c r="F83" s="9">
        <f>IF(K83="","",INDEX(Интервалы!$E$2:$E$513,MATCH(K83,Интервалы!$G$2:$G$513,0)))</f>
        <v/>
      </c>
      <c r="G83" s="5">
        <f>IF(K83="","",IF(H83=1,INDEX('По дням'!$B$2:$B$4000,MATCH(C83,'По дням'!$A$2:$A$4000,0)),"по периодам ставки"))</f>
        <v/>
      </c>
      <c r="H83" s="5">
        <f>IF(K83="","",INDEX(Интервалы!$I$2:$I$513,MATCH(K83,Интервалы!$G$2:$G$513,0)))</f>
        <v/>
      </c>
      <c r="I83" s="9">
        <f>IF(K83="","",INDEX(Интервалы!$F$2:$F$513,MATCH(K83,Интервалы!$G$2:$G$513,0)))</f>
        <v/>
      </c>
      <c r="J83" s="9">
        <f>IF(K83="","",INDEX(Интервалы!$H$2:$H$513,MATCH(K83,Интервалы!$G$2:$G$513,0)))</f>
        <v/>
      </c>
      <c r="K83">
        <f>IFERROR(SMALL(Интервалы!$G$2:$G$513,77),"")</f>
        <v/>
      </c>
      <c r="L83">
        <f>IF(K83="","",INDEX(Интервалы!$B$2:$B$513,MATCH(K83,Интервалы!$G$2:$G$513,0)))</f>
        <v/>
      </c>
    </row>
    <row r="84">
      <c r="A84" s="5">
        <f>IF(K84="","",78)</f>
        <v/>
      </c>
      <c r="B84" s="5">
        <f>IF(K84="","",INDEX(Интервалы!$A$2:$A$513,MATCH(K84,Интервалы!$G$2:$G$513,0)))</f>
        <v/>
      </c>
      <c r="C84" s="17">
        <f>IF(K84="","",INDEX(Интервалы!$C$2:$C$513,MATCH(K84,Интервалы!$G$2:$G$513,0)))</f>
        <v/>
      </c>
      <c r="D84" s="17">
        <f>IF(K84="","",INDEX(Интервалы!$D$2:$D$513,MATCH(K84,Интервалы!$G$2:$G$513,0)))</f>
        <v/>
      </c>
      <c r="E84" s="5">
        <f>IF(K84="","",D84-C84+1)</f>
        <v/>
      </c>
      <c r="F84" s="9">
        <f>IF(K84="","",INDEX(Интервалы!$E$2:$E$513,MATCH(K84,Интервалы!$G$2:$G$513,0)))</f>
        <v/>
      </c>
      <c r="G84" s="5">
        <f>IF(K84="","",IF(H84=1,INDEX('По дням'!$B$2:$B$4000,MATCH(C84,'По дням'!$A$2:$A$4000,0)),"по периодам ставки"))</f>
        <v/>
      </c>
      <c r="H84" s="5">
        <f>IF(K84="","",INDEX(Интервалы!$I$2:$I$513,MATCH(K84,Интервалы!$G$2:$G$513,0)))</f>
        <v/>
      </c>
      <c r="I84" s="9">
        <f>IF(K84="","",INDEX(Интервалы!$F$2:$F$513,MATCH(K84,Интервалы!$G$2:$G$513,0)))</f>
        <v/>
      </c>
      <c r="J84" s="9">
        <f>IF(K84="","",INDEX(Интервалы!$H$2:$H$513,MATCH(K84,Интервалы!$G$2:$G$513,0)))</f>
        <v/>
      </c>
      <c r="K84">
        <f>IFERROR(SMALL(Интервалы!$G$2:$G$513,78),"")</f>
        <v/>
      </c>
      <c r="L84">
        <f>IF(K84="","",INDEX(Интервалы!$B$2:$B$513,MATCH(K84,Интервалы!$G$2:$G$513,0)))</f>
        <v/>
      </c>
    </row>
    <row r="85">
      <c r="A85" s="5">
        <f>IF(K85="","",79)</f>
        <v/>
      </c>
      <c r="B85" s="5">
        <f>IF(K85="","",INDEX(Интервалы!$A$2:$A$513,MATCH(K85,Интервалы!$G$2:$G$513,0)))</f>
        <v/>
      </c>
      <c r="C85" s="17">
        <f>IF(K85="","",INDEX(Интервалы!$C$2:$C$513,MATCH(K85,Интервалы!$G$2:$G$513,0)))</f>
        <v/>
      </c>
      <c r="D85" s="17">
        <f>IF(K85="","",INDEX(Интервалы!$D$2:$D$513,MATCH(K85,Интервалы!$G$2:$G$513,0)))</f>
        <v/>
      </c>
      <c r="E85" s="5">
        <f>IF(K85="","",D85-C85+1)</f>
        <v/>
      </c>
      <c r="F85" s="9">
        <f>IF(K85="","",INDEX(Интервалы!$E$2:$E$513,MATCH(K85,Интервалы!$G$2:$G$513,0)))</f>
        <v/>
      </c>
      <c r="G85" s="5">
        <f>IF(K85="","",IF(H85=1,INDEX('По дням'!$B$2:$B$4000,MATCH(C85,'По дням'!$A$2:$A$4000,0)),"по периодам ставки"))</f>
        <v/>
      </c>
      <c r="H85" s="5">
        <f>IF(K85="","",INDEX(Интервалы!$I$2:$I$513,MATCH(K85,Интервалы!$G$2:$G$513,0)))</f>
        <v/>
      </c>
      <c r="I85" s="9">
        <f>IF(K85="","",INDEX(Интервалы!$F$2:$F$513,MATCH(K85,Интервалы!$G$2:$G$513,0)))</f>
        <v/>
      </c>
      <c r="J85" s="9">
        <f>IF(K85="","",INDEX(Интервалы!$H$2:$H$513,MATCH(K85,Интервалы!$G$2:$G$513,0)))</f>
        <v/>
      </c>
      <c r="K85">
        <f>IFERROR(SMALL(Интервалы!$G$2:$G$513,79),"")</f>
        <v/>
      </c>
      <c r="L85">
        <f>IF(K85="","",INDEX(Интервалы!$B$2:$B$513,MATCH(K85,Интервалы!$G$2:$G$513,0)))</f>
        <v/>
      </c>
    </row>
    <row r="86">
      <c r="A86" s="5">
        <f>IF(K86="","",80)</f>
        <v/>
      </c>
      <c r="B86" s="5">
        <f>IF(K86="","",INDEX(Интервалы!$A$2:$A$513,MATCH(K86,Интервалы!$G$2:$G$513,0)))</f>
        <v/>
      </c>
      <c r="C86" s="17">
        <f>IF(K86="","",INDEX(Интервалы!$C$2:$C$513,MATCH(K86,Интервалы!$G$2:$G$513,0)))</f>
        <v/>
      </c>
      <c r="D86" s="17">
        <f>IF(K86="","",INDEX(Интервалы!$D$2:$D$513,MATCH(K86,Интервалы!$G$2:$G$513,0)))</f>
        <v/>
      </c>
      <c r="E86" s="5">
        <f>IF(K86="","",D86-C86+1)</f>
        <v/>
      </c>
      <c r="F86" s="9">
        <f>IF(K86="","",INDEX(Интервалы!$E$2:$E$513,MATCH(K86,Интервалы!$G$2:$G$513,0)))</f>
        <v/>
      </c>
      <c r="G86" s="5">
        <f>IF(K86="","",IF(H86=1,INDEX('По дням'!$B$2:$B$4000,MATCH(C86,'По дням'!$A$2:$A$4000,0)),"по периодам ставки"))</f>
        <v/>
      </c>
      <c r="H86" s="5">
        <f>IF(K86="","",INDEX(Интервалы!$I$2:$I$513,MATCH(K86,Интервалы!$G$2:$G$513,0)))</f>
        <v/>
      </c>
      <c r="I86" s="9">
        <f>IF(K86="","",INDEX(Интервалы!$F$2:$F$513,MATCH(K86,Интервалы!$G$2:$G$513,0)))</f>
        <v/>
      </c>
      <c r="J86" s="9">
        <f>IF(K86="","",INDEX(Интервалы!$H$2:$H$513,MATCH(K86,Интервалы!$G$2:$G$513,0)))</f>
        <v/>
      </c>
      <c r="K86">
        <f>IFERROR(SMALL(Интервалы!$G$2:$G$513,80),"")</f>
        <v/>
      </c>
      <c r="L86">
        <f>IF(K86="","",INDEX(Интервалы!$B$2:$B$513,MATCH(K86,Интервалы!$G$2:$G$513,0)))</f>
        <v/>
      </c>
    </row>
    <row r="87">
      <c r="A87" s="5">
        <f>IF(K87="","",81)</f>
        <v/>
      </c>
      <c r="B87" s="5">
        <f>IF(K87="","",INDEX(Интервалы!$A$2:$A$513,MATCH(K87,Интервалы!$G$2:$G$513,0)))</f>
        <v/>
      </c>
      <c r="C87" s="17">
        <f>IF(K87="","",INDEX(Интервалы!$C$2:$C$513,MATCH(K87,Интервалы!$G$2:$G$513,0)))</f>
        <v/>
      </c>
      <c r="D87" s="17">
        <f>IF(K87="","",INDEX(Интервалы!$D$2:$D$513,MATCH(K87,Интервалы!$G$2:$G$513,0)))</f>
        <v/>
      </c>
      <c r="E87" s="5">
        <f>IF(K87="","",D87-C87+1)</f>
        <v/>
      </c>
      <c r="F87" s="9">
        <f>IF(K87="","",INDEX(Интервалы!$E$2:$E$513,MATCH(K87,Интервалы!$G$2:$G$513,0)))</f>
        <v/>
      </c>
      <c r="G87" s="5">
        <f>IF(K87="","",IF(H87=1,INDEX('По дням'!$B$2:$B$4000,MATCH(C87,'По дням'!$A$2:$A$4000,0)),"по периодам ставки"))</f>
        <v/>
      </c>
      <c r="H87" s="5">
        <f>IF(K87="","",INDEX(Интервалы!$I$2:$I$513,MATCH(K87,Интервалы!$G$2:$G$513,0)))</f>
        <v/>
      </c>
      <c r="I87" s="9">
        <f>IF(K87="","",INDEX(Интервалы!$F$2:$F$513,MATCH(K87,Интервалы!$G$2:$G$513,0)))</f>
        <v/>
      </c>
      <c r="J87" s="9">
        <f>IF(K87="","",INDEX(Интервалы!$H$2:$H$513,MATCH(K87,Интервалы!$G$2:$G$513,0)))</f>
        <v/>
      </c>
      <c r="K87">
        <f>IFERROR(SMALL(Интервалы!$G$2:$G$513,81),"")</f>
        <v/>
      </c>
      <c r="L87">
        <f>IF(K87="","",INDEX(Интервалы!$B$2:$B$513,MATCH(K87,Интервалы!$G$2:$G$513,0)))</f>
        <v/>
      </c>
    </row>
    <row r="88">
      <c r="A88" s="5">
        <f>IF(K88="","",82)</f>
        <v/>
      </c>
      <c r="B88" s="5">
        <f>IF(K88="","",INDEX(Интервалы!$A$2:$A$513,MATCH(K88,Интервалы!$G$2:$G$513,0)))</f>
        <v/>
      </c>
      <c r="C88" s="17">
        <f>IF(K88="","",INDEX(Интервалы!$C$2:$C$513,MATCH(K88,Интервалы!$G$2:$G$513,0)))</f>
        <v/>
      </c>
      <c r="D88" s="17">
        <f>IF(K88="","",INDEX(Интервалы!$D$2:$D$513,MATCH(K88,Интервалы!$G$2:$G$513,0)))</f>
        <v/>
      </c>
      <c r="E88" s="5">
        <f>IF(K88="","",D88-C88+1)</f>
        <v/>
      </c>
      <c r="F88" s="9">
        <f>IF(K88="","",INDEX(Интервалы!$E$2:$E$513,MATCH(K88,Интервалы!$G$2:$G$513,0)))</f>
        <v/>
      </c>
      <c r="G88" s="5">
        <f>IF(K88="","",IF(H88=1,INDEX('По дням'!$B$2:$B$4000,MATCH(C88,'По дням'!$A$2:$A$4000,0)),"по периодам ставки"))</f>
        <v/>
      </c>
      <c r="H88" s="5">
        <f>IF(K88="","",INDEX(Интервалы!$I$2:$I$513,MATCH(K88,Интервалы!$G$2:$G$513,0)))</f>
        <v/>
      </c>
      <c r="I88" s="9">
        <f>IF(K88="","",INDEX(Интервалы!$F$2:$F$513,MATCH(K88,Интервалы!$G$2:$G$513,0)))</f>
        <v/>
      </c>
      <c r="J88" s="9">
        <f>IF(K88="","",INDEX(Интервалы!$H$2:$H$513,MATCH(K88,Интервалы!$G$2:$G$513,0)))</f>
        <v/>
      </c>
      <c r="K88">
        <f>IFERROR(SMALL(Интервалы!$G$2:$G$513,82),"")</f>
        <v/>
      </c>
      <c r="L88">
        <f>IF(K88="","",INDEX(Интервалы!$B$2:$B$513,MATCH(K88,Интервалы!$G$2:$G$513,0)))</f>
        <v/>
      </c>
    </row>
    <row r="89">
      <c r="A89" s="5">
        <f>IF(K89="","",83)</f>
        <v/>
      </c>
      <c r="B89" s="5">
        <f>IF(K89="","",INDEX(Интервалы!$A$2:$A$513,MATCH(K89,Интервалы!$G$2:$G$513,0)))</f>
        <v/>
      </c>
      <c r="C89" s="17">
        <f>IF(K89="","",INDEX(Интервалы!$C$2:$C$513,MATCH(K89,Интервалы!$G$2:$G$513,0)))</f>
        <v/>
      </c>
      <c r="D89" s="17">
        <f>IF(K89="","",INDEX(Интервалы!$D$2:$D$513,MATCH(K89,Интервалы!$G$2:$G$513,0)))</f>
        <v/>
      </c>
      <c r="E89" s="5">
        <f>IF(K89="","",D89-C89+1)</f>
        <v/>
      </c>
      <c r="F89" s="9">
        <f>IF(K89="","",INDEX(Интервалы!$E$2:$E$513,MATCH(K89,Интервалы!$G$2:$G$513,0)))</f>
        <v/>
      </c>
      <c r="G89" s="5">
        <f>IF(K89="","",IF(H89=1,INDEX('По дням'!$B$2:$B$4000,MATCH(C89,'По дням'!$A$2:$A$4000,0)),"по периодам ставки"))</f>
        <v/>
      </c>
      <c r="H89" s="5">
        <f>IF(K89="","",INDEX(Интервалы!$I$2:$I$513,MATCH(K89,Интервалы!$G$2:$G$513,0)))</f>
        <v/>
      </c>
      <c r="I89" s="9">
        <f>IF(K89="","",INDEX(Интервалы!$F$2:$F$513,MATCH(K89,Интервалы!$G$2:$G$513,0)))</f>
        <v/>
      </c>
      <c r="J89" s="9">
        <f>IF(K89="","",INDEX(Интервалы!$H$2:$H$513,MATCH(K89,Интервалы!$G$2:$G$513,0)))</f>
        <v/>
      </c>
      <c r="K89">
        <f>IFERROR(SMALL(Интервалы!$G$2:$G$513,83),"")</f>
        <v/>
      </c>
      <c r="L89">
        <f>IF(K89="","",INDEX(Интервалы!$B$2:$B$513,MATCH(K89,Интервалы!$G$2:$G$513,0)))</f>
        <v/>
      </c>
    </row>
    <row r="90">
      <c r="A90" s="5">
        <f>IF(K90="","",84)</f>
        <v/>
      </c>
      <c r="B90" s="5">
        <f>IF(K90="","",INDEX(Интервалы!$A$2:$A$513,MATCH(K90,Интервалы!$G$2:$G$513,0)))</f>
        <v/>
      </c>
      <c r="C90" s="17">
        <f>IF(K90="","",INDEX(Интервалы!$C$2:$C$513,MATCH(K90,Интервалы!$G$2:$G$513,0)))</f>
        <v/>
      </c>
      <c r="D90" s="17">
        <f>IF(K90="","",INDEX(Интервалы!$D$2:$D$513,MATCH(K90,Интервалы!$G$2:$G$513,0)))</f>
        <v/>
      </c>
      <c r="E90" s="5">
        <f>IF(K90="","",D90-C90+1)</f>
        <v/>
      </c>
      <c r="F90" s="9">
        <f>IF(K90="","",INDEX(Интервалы!$E$2:$E$513,MATCH(K90,Интервалы!$G$2:$G$513,0)))</f>
        <v/>
      </c>
      <c r="G90" s="5">
        <f>IF(K90="","",IF(H90=1,INDEX('По дням'!$B$2:$B$4000,MATCH(C90,'По дням'!$A$2:$A$4000,0)),"по периодам ставки"))</f>
        <v/>
      </c>
      <c r="H90" s="5">
        <f>IF(K90="","",INDEX(Интервалы!$I$2:$I$513,MATCH(K90,Интервалы!$G$2:$G$513,0)))</f>
        <v/>
      </c>
      <c r="I90" s="9">
        <f>IF(K90="","",INDEX(Интервалы!$F$2:$F$513,MATCH(K90,Интервалы!$G$2:$G$513,0)))</f>
        <v/>
      </c>
      <c r="J90" s="9">
        <f>IF(K90="","",INDEX(Интервалы!$H$2:$H$513,MATCH(K90,Интервалы!$G$2:$G$513,0)))</f>
        <v/>
      </c>
      <c r="K90">
        <f>IFERROR(SMALL(Интервалы!$G$2:$G$513,84),"")</f>
        <v/>
      </c>
      <c r="L90">
        <f>IF(K90="","",INDEX(Интервалы!$B$2:$B$513,MATCH(K90,Интервалы!$G$2:$G$513,0)))</f>
        <v/>
      </c>
    </row>
    <row r="91">
      <c r="A91" s="5">
        <f>IF(K91="","",85)</f>
        <v/>
      </c>
      <c r="B91" s="5">
        <f>IF(K91="","",INDEX(Интервалы!$A$2:$A$513,MATCH(K91,Интервалы!$G$2:$G$513,0)))</f>
        <v/>
      </c>
      <c r="C91" s="17">
        <f>IF(K91="","",INDEX(Интервалы!$C$2:$C$513,MATCH(K91,Интервалы!$G$2:$G$513,0)))</f>
        <v/>
      </c>
      <c r="D91" s="17">
        <f>IF(K91="","",INDEX(Интервалы!$D$2:$D$513,MATCH(K91,Интервалы!$G$2:$G$513,0)))</f>
        <v/>
      </c>
      <c r="E91" s="5">
        <f>IF(K91="","",D91-C91+1)</f>
        <v/>
      </c>
      <c r="F91" s="9">
        <f>IF(K91="","",INDEX(Интервалы!$E$2:$E$513,MATCH(K91,Интервалы!$G$2:$G$513,0)))</f>
        <v/>
      </c>
      <c r="G91" s="5">
        <f>IF(K91="","",IF(H91=1,INDEX('По дням'!$B$2:$B$4000,MATCH(C91,'По дням'!$A$2:$A$4000,0)),"по периодам ставки"))</f>
        <v/>
      </c>
      <c r="H91" s="5">
        <f>IF(K91="","",INDEX(Интервалы!$I$2:$I$513,MATCH(K91,Интервалы!$G$2:$G$513,0)))</f>
        <v/>
      </c>
      <c r="I91" s="9">
        <f>IF(K91="","",INDEX(Интервалы!$F$2:$F$513,MATCH(K91,Интервалы!$G$2:$G$513,0)))</f>
        <v/>
      </c>
      <c r="J91" s="9">
        <f>IF(K91="","",INDEX(Интервалы!$H$2:$H$513,MATCH(K91,Интервалы!$G$2:$G$513,0)))</f>
        <v/>
      </c>
      <c r="K91">
        <f>IFERROR(SMALL(Интервалы!$G$2:$G$513,85),"")</f>
        <v/>
      </c>
      <c r="L91">
        <f>IF(K91="","",INDEX(Интервалы!$B$2:$B$513,MATCH(K91,Интервалы!$G$2:$G$513,0)))</f>
        <v/>
      </c>
    </row>
    <row r="92">
      <c r="A92" s="5">
        <f>IF(K92="","",86)</f>
        <v/>
      </c>
      <c r="B92" s="5">
        <f>IF(K92="","",INDEX(Интервалы!$A$2:$A$513,MATCH(K92,Интервалы!$G$2:$G$513,0)))</f>
        <v/>
      </c>
      <c r="C92" s="17">
        <f>IF(K92="","",INDEX(Интервалы!$C$2:$C$513,MATCH(K92,Интервалы!$G$2:$G$513,0)))</f>
        <v/>
      </c>
      <c r="D92" s="17">
        <f>IF(K92="","",INDEX(Интервалы!$D$2:$D$513,MATCH(K92,Интервалы!$G$2:$G$513,0)))</f>
        <v/>
      </c>
      <c r="E92" s="5">
        <f>IF(K92="","",D92-C92+1)</f>
        <v/>
      </c>
      <c r="F92" s="9">
        <f>IF(K92="","",INDEX(Интервалы!$E$2:$E$513,MATCH(K92,Интервалы!$G$2:$G$513,0)))</f>
        <v/>
      </c>
      <c r="G92" s="5">
        <f>IF(K92="","",IF(H92=1,INDEX('По дням'!$B$2:$B$4000,MATCH(C92,'По дням'!$A$2:$A$4000,0)),"по периодам ставки"))</f>
        <v/>
      </c>
      <c r="H92" s="5">
        <f>IF(K92="","",INDEX(Интервалы!$I$2:$I$513,MATCH(K92,Интервалы!$G$2:$G$513,0)))</f>
        <v/>
      </c>
      <c r="I92" s="9">
        <f>IF(K92="","",INDEX(Интервалы!$F$2:$F$513,MATCH(K92,Интервалы!$G$2:$G$513,0)))</f>
        <v/>
      </c>
      <c r="J92" s="9">
        <f>IF(K92="","",INDEX(Интервалы!$H$2:$H$513,MATCH(K92,Интервалы!$G$2:$G$513,0)))</f>
        <v/>
      </c>
      <c r="K92">
        <f>IFERROR(SMALL(Интервалы!$G$2:$G$513,86),"")</f>
        <v/>
      </c>
      <c r="L92">
        <f>IF(K92="","",INDEX(Интервалы!$B$2:$B$513,MATCH(K92,Интервалы!$G$2:$G$513,0)))</f>
        <v/>
      </c>
    </row>
    <row r="93">
      <c r="A93" s="5">
        <f>IF(K93="","",87)</f>
        <v/>
      </c>
      <c r="B93" s="5">
        <f>IF(K93="","",INDEX(Интервалы!$A$2:$A$513,MATCH(K93,Интервалы!$G$2:$G$513,0)))</f>
        <v/>
      </c>
      <c r="C93" s="17">
        <f>IF(K93="","",INDEX(Интервалы!$C$2:$C$513,MATCH(K93,Интервалы!$G$2:$G$513,0)))</f>
        <v/>
      </c>
      <c r="D93" s="17">
        <f>IF(K93="","",INDEX(Интервалы!$D$2:$D$513,MATCH(K93,Интервалы!$G$2:$G$513,0)))</f>
        <v/>
      </c>
      <c r="E93" s="5">
        <f>IF(K93="","",D93-C93+1)</f>
        <v/>
      </c>
      <c r="F93" s="9">
        <f>IF(K93="","",INDEX(Интервалы!$E$2:$E$513,MATCH(K93,Интервалы!$G$2:$G$513,0)))</f>
        <v/>
      </c>
      <c r="G93" s="5">
        <f>IF(K93="","",IF(H93=1,INDEX('По дням'!$B$2:$B$4000,MATCH(C93,'По дням'!$A$2:$A$4000,0)),"по периодам ставки"))</f>
        <v/>
      </c>
      <c r="H93" s="5">
        <f>IF(K93="","",INDEX(Интервалы!$I$2:$I$513,MATCH(K93,Интервалы!$G$2:$G$513,0)))</f>
        <v/>
      </c>
      <c r="I93" s="9">
        <f>IF(K93="","",INDEX(Интервалы!$F$2:$F$513,MATCH(K93,Интервалы!$G$2:$G$513,0)))</f>
        <v/>
      </c>
      <c r="J93" s="9">
        <f>IF(K93="","",INDEX(Интервалы!$H$2:$H$513,MATCH(K93,Интервалы!$G$2:$G$513,0)))</f>
        <v/>
      </c>
      <c r="K93">
        <f>IFERROR(SMALL(Интервалы!$G$2:$G$513,87),"")</f>
        <v/>
      </c>
      <c r="L93">
        <f>IF(K93="","",INDEX(Интервалы!$B$2:$B$513,MATCH(K93,Интервалы!$G$2:$G$513,0)))</f>
        <v/>
      </c>
    </row>
    <row r="94">
      <c r="A94" s="5">
        <f>IF(K94="","",88)</f>
        <v/>
      </c>
      <c r="B94" s="5">
        <f>IF(K94="","",INDEX(Интервалы!$A$2:$A$513,MATCH(K94,Интервалы!$G$2:$G$513,0)))</f>
        <v/>
      </c>
      <c r="C94" s="17">
        <f>IF(K94="","",INDEX(Интервалы!$C$2:$C$513,MATCH(K94,Интервалы!$G$2:$G$513,0)))</f>
        <v/>
      </c>
      <c r="D94" s="17">
        <f>IF(K94="","",INDEX(Интервалы!$D$2:$D$513,MATCH(K94,Интервалы!$G$2:$G$513,0)))</f>
        <v/>
      </c>
      <c r="E94" s="5">
        <f>IF(K94="","",D94-C94+1)</f>
        <v/>
      </c>
      <c r="F94" s="9">
        <f>IF(K94="","",INDEX(Интервалы!$E$2:$E$513,MATCH(K94,Интервалы!$G$2:$G$513,0)))</f>
        <v/>
      </c>
      <c r="G94" s="5">
        <f>IF(K94="","",IF(H94=1,INDEX('По дням'!$B$2:$B$4000,MATCH(C94,'По дням'!$A$2:$A$4000,0)),"по периодам ставки"))</f>
        <v/>
      </c>
      <c r="H94" s="5">
        <f>IF(K94="","",INDEX(Интервалы!$I$2:$I$513,MATCH(K94,Интервалы!$G$2:$G$513,0)))</f>
        <v/>
      </c>
      <c r="I94" s="9">
        <f>IF(K94="","",INDEX(Интервалы!$F$2:$F$513,MATCH(K94,Интервалы!$G$2:$G$513,0)))</f>
        <v/>
      </c>
      <c r="J94" s="9">
        <f>IF(K94="","",INDEX(Интервалы!$H$2:$H$513,MATCH(K94,Интервалы!$G$2:$G$513,0)))</f>
        <v/>
      </c>
      <c r="K94">
        <f>IFERROR(SMALL(Интервалы!$G$2:$G$513,88),"")</f>
        <v/>
      </c>
      <c r="L94">
        <f>IF(K94="","",INDEX(Интервалы!$B$2:$B$513,MATCH(K94,Интервалы!$G$2:$G$513,0)))</f>
        <v/>
      </c>
    </row>
    <row r="95">
      <c r="A95" s="5">
        <f>IF(K95="","",89)</f>
        <v/>
      </c>
      <c r="B95" s="5">
        <f>IF(K95="","",INDEX(Интервалы!$A$2:$A$513,MATCH(K95,Интервалы!$G$2:$G$513,0)))</f>
        <v/>
      </c>
      <c r="C95" s="17">
        <f>IF(K95="","",INDEX(Интервалы!$C$2:$C$513,MATCH(K95,Интервалы!$G$2:$G$513,0)))</f>
        <v/>
      </c>
      <c r="D95" s="17">
        <f>IF(K95="","",INDEX(Интервалы!$D$2:$D$513,MATCH(K95,Интервалы!$G$2:$G$513,0)))</f>
        <v/>
      </c>
      <c r="E95" s="5">
        <f>IF(K95="","",D95-C95+1)</f>
        <v/>
      </c>
      <c r="F95" s="9">
        <f>IF(K95="","",INDEX(Интервалы!$E$2:$E$513,MATCH(K95,Интервалы!$G$2:$G$513,0)))</f>
        <v/>
      </c>
      <c r="G95" s="5">
        <f>IF(K95="","",IF(H95=1,INDEX('По дням'!$B$2:$B$4000,MATCH(C95,'По дням'!$A$2:$A$4000,0)),"по периодам ставки"))</f>
        <v/>
      </c>
      <c r="H95" s="5">
        <f>IF(K95="","",INDEX(Интервалы!$I$2:$I$513,MATCH(K95,Интервалы!$G$2:$G$513,0)))</f>
        <v/>
      </c>
      <c r="I95" s="9">
        <f>IF(K95="","",INDEX(Интервалы!$F$2:$F$513,MATCH(K95,Интервалы!$G$2:$G$513,0)))</f>
        <v/>
      </c>
      <c r="J95" s="9">
        <f>IF(K95="","",INDEX(Интервалы!$H$2:$H$513,MATCH(K95,Интервалы!$G$2:$G$513,0)))</f>
        <v/>
      </c>
      <c r="K95">
        <f>IFERROR(SMALL(Интервалы!$G$2:$G$513,89),"")</f>
        <v/>
      </c>
      <c r="L95">
        <f>IF(K95="","",INDEX(Интервалы!$B$2:$B$513,MATCH(K95,Интервалы!$G$2:$G$513,0)))</f>
        <v/>
      </c>
    </row>
    <row r="96">
      <c r="A96" s="5">
        <f>IF(K96="","",90)</f>
        <v/>
      </c>
      <c r="B96" s="5">
        <f>IF(K96="","",INDEX(Интервалы!$A$2:$A$513,MATCH(K96,Интервалы!$G$2:$G$513,0)))</f>
        <v/>
      </c>
      <c r="C96" s="17">
        <f>IF(K96="","",INDEX(Интервалы!$C$2:$C$513,MATCH(K96,Интервалы!$G$2:$G$513,0)))</f>
        <v/>
      </c>
      <c r="D96" s="17">
        <f>IF(K96="","",INDEX(Интервалы!$D$2:$D$513,MATCH(K96,Интервалы!$G$2:$G$513,0)))</f>
        <v/>
      </c>
      <c r="E96" s="5">
        <f>IF(K96="","",D96-C96+1)</f>
        <v/>
      </c>
      <c r="F96" s="9">
        <f>IF(K96="","",INDEX(Интервалы!$E$2:$E$513,MATCH(K96,Интервалы!$G$2:$G$513,0)))</f>
        <v/>
      </c>
      <c r="G96" s="5">
        <f>IF(K96="","",IF(H96=1,INDEX('По дням'!$B$2:$B$4000,MATCH(C96,'По дням'!$A$2:$A$4000,0)),"по периодам ставки"))</f>
        <v/>
      </c>
      <c r="H96" s="5">
        <f>IF(K96="","",INDEX(Интервалы!$I$2:$I$513,MATCH(K96,Интервалы!$G$2:$G$513,0)))</f>
        <v/>
      </c>
      <c r="I96" s="9">
        <f>IF(K96="","",INDEX(Интервалы!$F$2:$F$513,MATCH(K96,Интервалы!$G$2:$G$513,0)))</f>
        <v/>
      </c>
      <c r="J96" s="9">
        <f>IF(K96="","",INDEX(Интервалы!$H$2:$H$513,MATCH(K96,Интервалы!$G$2:$G$513,0)))</f>
        <v/>
      </c>
      <c r="K96">
        <f>IFERROR(SMALL(Интервалы!$G$2:$G$513,90),"")</f>
        <v/>
      </c>
      <c r="L96">
        <f>IF(K96="","",INDEX(Интервалы!$B$2:$B$513,MATCH(K96,Интервалы!$G$2:$G$513,0)))</f>
        <v/>
      </c>
    </row>
    <row r="97">
      <c r="A97" s="5">
        <f>IF(K97="","",91)</f>
        <v/>
      </c>
      <c r="B97" s="5">
        <f>IF(K97="","",INDEX(Интервалы!$A$2:$A$513,MATCH(K97,Интервалы!$G$2:$G$513,0)))</f>
        <v/>
      </c>
      <c r="C97" s="17">
        <f>IF(K97="","",INDEX(Интервалы!$C$2:$C$513,MATCH(K97,Интервалы!$G$2:$G$513,0)))</f>
        <v/>
      </c>
      <c r="D97" s="17">
        <f>IF(K97="","",INDEX(Интервалы!$D$2:$D$513,MATCH(K97,Интервалы!$G$2:$G$513,0)))</f>
        <v/>
      </c>
      <c r="E97" s="5">
        <f>IF(K97="","",D97-C97+1)</f>
        <v/>
      </c>
      <c r="F97" s="9">
        <f>IF(K97="","",INDEX(Интервалы!$E$2:$E$513,MATCH(K97,Интервалы!$G$2:$G$513,0)))</f>
        <v/>
      </c>
      <c r="G97" s="5">
        <f>IF(K97="","",IF(H97=1,INDEX('По дням'!$B$2:$B$4000,MATCH(C97,'По дням'!$A$2:$A$4000,0)),"по периодам ставки"))</f>
        <v/>
      </c>
      <c r="H97" s="5">
        <f>IF(K97="","",INDEX(Интервалы!$I$2:$I$513,MATCH(K97,Интервалы!$G$2:$G$513,0)))</f>
        <v/>
      </c>
      <c r="I97" s="9">
        <f>IF(K97="","",INDEX(Интервалы!$F$2:$F$513,MATCH(K97,Интервалы!$G$2:$G$513,0)))</f>
        <v/>
      </c>
      <c r="J97" s="9">
        <f>IF(K97="","",INDEX(Интервалы!$H$2:$H$513,MATCH(K97,Интервалы!$G$2:$G$513,0)))</f>
        <v/>
      </c>
      <c r="K97">
        <f>IFERROR(SMALL(Интервалы!$G$2:$G$513,91),"")</f>
        <v/>
      </c>
      <c r="L97">
        <f>IF(K97="","",INDEX(Интервалы!$B$2:$B$513,MATCH(K97,Интервалы!$G$2:$G$513,0)))</f>
        <v/>
      </c>
    </row>
    <row r="98">
      <c r="A98" s="5">
        <f>IF(K98="","",92)</f>
        <v/>
      </c>
      <c r="B98" s="5">
        <f>IF(K98="","",INDEX(Интервалы!$A$2:$A$513,MATCH(K98,Интервалы!$G$2:$G$513,0)))</f>
        <v/>
      </c>
      <c r="C98" s="17">
        <f>IF(K98="","",INDEX(Интервалы!$C$2:$C$513,MATCH(K98,Интервалы!$G$2:$G$513,0)))</f>
        <v/>
      </c>
      <c r="D98" s="17">
        <f>IF(K98="","",INDEX(Интервалы!$D$2:$D$513,MATCH(K98,Интервалы!$G$2:$G$513,0)))</f>
        <v/>
      </c>
      <c r="E98" s="5">
        <f>IF(K98="","",D98-C98+1)</f>
        <v/>
      </c>
      <c r="F98" s="9">
        <f>IF(K98="","",INDEX(Интервалы!$E$2:$E$513,MATCH(K98,Интервалы!$G$2:$G$513,0)))</f>
        <v/>
      </c>
      <c r="G98" s="5">
        <f>IF(K98="","",IF(H98=1,INDEX('По дням'!$B$2:$B$4000,MATCH(C98,'По дням'!$A$2:$A$4000,0)),"по периодам ставки"))</f>
        <v/>
      </c>
      <c r="H98" s="5">
        <f>IF(K98="","",INDEX(Интервалы!$I$2:$I$513,MATCH(K98,Интервалы!$G$2:$G$513,0)))</f>
        <v/>
      </c>
      <c r="I98" s="9">
        <f>IF(K98="","",INDEX(Интервалы!$F$2:$F$513,MATCH(K98,Интервалы!$G$2:$G$513,0)))</f>
        <v/>
      </c>
      <c r="J98" s="9">
        <f>IF(K98="","",INDEX(Интервалы!$H$2:$H$513,MATCH(K98,Интервалы!$G$2:$G$513,0)))</f>
        <v/>
      </c>
      <c r="K98">
        <f>IFERROR(SMALL(Интервалы!$G$2:$G$513,92),"")</f>
        <v/>
      </c>
      <c r="L98">
        <f>IF(K98="","",INDEX(Интервалы!$B$2:$B$513,MATCH(K98,Интервалы!$G$2:$G$513,0)))</f>
        <v/>
      </c>
    </row>
    <row r="99">
      <c r="A99" s="5">
        <f>IF(K99="","",93)</f>
        <v/>
      </c>
      <c r="B99" s="5">
        <f>IF(K99="","",INDEX(Интервалы!$A$2:$A$513,MATCH(K99,Интервалы!$G$2:$G$513,0)))</f>
        <v/>
      </c>
      <c r="C99" s="17">
        <f>IF(K99="","",INDEX(Интервалы!$C$2:$C$513,MATCH(K99,Интервалы!$G$2:$G$513,0)))</f>
        <v/>
      </c>
      <c r="D99" s="17">
        <f>IF(K99="","",INDEX(Интервалы!$D$2:$D$513,MATCH(K99,Интервалы!$G$2:$G$513,0)))</f>
        <v/>
      </c>
      <c r="E99" s="5">
        <f>IF(K99="","",D99-C99+1)</f>
        <v/>
      </c>
      <c r="F99" s="9">
        <f>IF(K99="","",INDEX(Интервалы!$E$2:$E$513,MATCH(K99,Интервалы!$G$2:$G$513,0)))</f>
        <v/>
      </c>
      <c r="G99" s="5">
        <f>IF(K99="","",IF(H99=1,INDEX('По дням'!$B$2:$B$4000,MATCH(C99,'По дням'!$A$2:$A$4000,0)),"по периодам ставки"))</f>
        <v/>
      </c>
      <c r="H99" s="5">
        <f>IF(K99="","",INDEX(Интервалы!$I$2:$I$513,MATCH(K99,Интервалы!$G$2:$G$513,0)))</f>
        <v/>
      </c>
      <c r="I99" s="9">
        <f>IF(K99="","",INDEX(Интервалы!$F$2:$F$513,MATCH(K99,Интервалы!$G$2:$G$513,0)))</f>
        <v/>
      </c>
      <c r="J99" s="9">
        <f>IF(K99="","",INDEX(Интервалы!$H$2:$H$513,MATCH(K99,Интервалы!$G$2:$G$513,0)))</f>
        <v/>
      </c>
      <c r="K99">
        <f>IFERROR(SMALL(Интервалы!$G$2:$G$513,93),"")</f>
        <v/>
      </c>
      <c r="L99">
        <f>IF(K99="","",INDEX(Интервалы!$B$2:$B$513,MATCH(K99,Интервалы!$G$2:$G$513,0)))</f>
        <v/>
      </c>
    </row>
    <row r="100">
      <c r="A100" s="5">
        <f>IF(K100="","",94)</f>
        <v/>
      </c>
      <c r="B100" s="5">
        <f>IF(K100="","",INDEX(Интервалы!$A$2:$A$513,MATCH(K100,Интервалы!$G$2:$G$513,0)))</f>
        <v/>
      </c>
      <c r="C100" s="17">
        <f>IF(K100="","",INDEX(Интервалы!$C$2:$C$513,MATCH(K100,Интервалы!$G$2:$G$513,0)))</f>
        <v/>
      </c>
      <c r="D100" s="17">
        <f>IF(K100="","",INDEX(Интервалы!$D$2:$D$513,MATCH(K100,Интервалы!$G$2:$G$513,0)))</f>
        <v/>
      </c>
      <c r="E100" s="5">
        <f>IF(K100="","",D100-C100+1)</f>
        <v/>
      </c>
      <c r="F100" s="9">
        <f>IF(K100="","",INDEX(Интервалы!$E$2:$E$513,MATCH(K100,Интервалы!$G$2:$G$513,0)))</f>
        <v/>
      </c>
      <c r="G100" s="5">
        <f>IF(K100="","",IF(H100=1,INDEX('По дням'!$B$2:$B$4000,MATCH(C100,'По дням'!$A$2:$A$4000,0)),"по периодам ставки"))</f>
        <v/>
      </c>
      <c r="H100" s="5">
        <f>IF(K100="","",INDEX(Интервалы!$I$2:$I$513,MATCH(K100,Интервалы!$G$2:$G$513,0)))</f>
        <v/>
      </c>
      <c r="I100" s="9">
        <f>IF(K100="","",INDEX(Интервалы!$F$2:$F$513,MATCH(K100,Интервалы!$G$2:$G$513,0)))</f>
        <v/>
      </c>
      <c r="J100" s="9">
        <f>IF(K100="","",INDEX(Интервалы!$H$2:$H$513,MATCH(K100,Интервалы!$G$2:$G$513,0)))</f>
        <v/>
      </c>
      <c r="K100">
        <f>IFERROR(SMALL(Интервалы!$G$2:$G$513,94),"")</f>
        <v/>
      </c>
      <c r="L100">
        <f>IF(K100="","",INDEX(Интервалы!$B$2:$B$513,MATCH(K100,Интервалы!$G$2:$G$513,0)))</f>
        <v/>
      </c>
    </row>
    <row r="101">
      <c r="A101" s="5">
        <f>IF(K101="","",95)</f>
        <v/>
      </c>
      <c r="B101" s="5">
        <f>IF(K101="","",INDEX(Интервалы!$A$2:$A$513,MATCH(K101,Интервалы!$G$2:$G$513,0)))</f>
        <v/>
      </c>
      <c r="C101" s="17">
        <f>IF(K101="","",INDEX(Интервалы!$C$2:$C$513,MATCH(K101,Интервалы!$G$2:$G$513,0)))</f>
        <v/>
      </c>
      <c r="D101" s="17">
        <f>IF(K101="","",INDEX(Интервалы!$D$2:$D$513,MATCH(K101,Интервалы!$G$2:$G$513,0)))</f>
        <v/>
      </c>
      <c r="E101" s="5">
        <f>IF(K101="","",D101-C101+1)</f>
        <v/>
      </c>
      <c r="F101" s="9">
        <f>IF(K101="","",INDEX(Интервалы!$E$2:$E$513,MATCH(K101,Интервалы!$G$2:$G$513,0)))</f>
        <v/>
      </c>
      <c r="G101" s="5">
        <f>IF(K101="","",IF(H101=1,INDEX('По дням'!$B$2:$B$4000,MATCH(C101,'По дням'!$A$2:$A$4000,0)),"по периодам ставки"))</f>
        <v/>
      </c>
      <c r="H101" s="5">
        <f>IF(K101="","",INDEX(Интервалы!$I$2:$I$513,MATCH(K101,Интервалы!$G$2:$G$513,0)))</f>
        <v/>
      </c>
      <c r="I101" s="9">
        <f>IF(K101="","",INDEX(Интервалы!$F$2:$F$513,MATCH(K101,Интервалы!$G$2:$G$513,0)))</f>
        <v/>
      </c>
      <c r="J101" s="9">
        <f>IF(K101="","",INDEX(Интервалы!$H$2:$H$513,MATCH(K101,Интервалы!$G$2:$G$513,0)))</f>
        <v/>
      </c>
      <c r="K101">
        <f>IFERROR(SMALL(Интервалы!$G$2:$G$513,95),"")</f>
        <v/>
      </c>
      <c r="L101">
        <f>IF(K101="","",INDEX(Интервалы!$B$2:$B$513,MATCH(K101,Интервалы!$G$2:$G$513,0)))</f>
        <v/>
      </c>
    </row>
    <row r="102">
      <c r="A102" s="5">
        <f>IF(K102="","",96)</f>
        <v/>
      </c>
      <c r="B102" s="5">
        <f>IF(K102="","",INDEX(Интервалы!$A$2:$A$513,MATCH(K102,Интервалы!$G$2:$G$513,0)))</f>
        <v/>
      </c>
      <c r="C102" s="17">
        <f>IF(K102="","",INDEX(Интервалы!$C$2:$C$513,MATCH(K102,Интервалы!$G$2:$G$513,0)))</f>
        <v/>
      </c>
      <c r="D102" s="17">
        <f>IF(K102="","",INDEX(Интервалы!$D$2:$D$513,MATCH(K102,Интервалы!$G$2:$G$513,0)))</f>
        <v/>
      </c>
      <c r="E102" s="5">
        <f>IF(K102="","",D102-C102+1)</f>
        <v/>
      </c>
      <c r="F102" s="9">
        <f>IF(K102="","",INDEX(Интервалы!$E$2:$E$513,MATCH(K102,Интервалы!$G$2:$G$513,0)))</f>
        <v/>
      </c>
      <c r="G102" s="5">
        <f>IF(K102="","",IF(H102=1,INDEX('По дням'!$B$2:$B$4000,MATCH(C102,'По дням'!$A$2:$A$4000,0)),"по периодам ставки"))</f>
        <v/>
      </c>
      <c r="H102" s="5">
        <f>IF(K102="","",INDEX(Интервалы!$I$2:$I$513,MATCH(K102,Интервалы!$G$2:$G$513,0)))</f>
        <v/>
      </c>
      <c r="I102" s="9">
        <f>IF(K102="","",INDEX(Интервалы!$F$2:$F$513,MATCH(K102,Интервалы!$G$2:$G$513,0)))</f>
        <v/>
      </c>
      <c r="J102" s="9">
        <f>IF(K102="","",INDEX(Интервалы!$H$2:$H$513,MATCH(K102,Интервалы!$G$2:$G$513,0)))</f>
        <v/>
      </c>
      <c r="K102">
        <f>IFERROR(SMALL(Интервалы!$G$2:$G$513,96),"")</f>
        <v/>
      </c>
      <c r="L102">
        <f>IF(K102="","",INDEX(Интервалы!$B$2:$B$513,MATCH(K102,Интервалы!$G$2:$G$513,0)))</f>
        <v/>
      </c>
    </row>
    <row r="103">
      <c r="A103" s="5">
        <f>IF(K103="","",97)</f>
        <v/>
      </c>
      <c r="B103" s="5">
        <f>IF(K103="","",INDEX(Интервалы!$A$2:$A$513,MATCH(K103,Интервалы!$G$2:$G$513,0)))</f>
        <v/>
      </c>
      <c r="C103" s="17">
        <f>IF(K103="","",INDEX(Интервалы!$C$2:$C$513,MATCH(K103,Интервалы!$G$2:$G$513,0)))</f>
        <v/>
      </c>
      <c r="D103" s="17">
        <f>IF(K103="","",INDEX(Интервалы!$D$2:$D$513,MATCH(K103,Интервалы!$G$2:$G$513,0)))</f>
        <v/>
      </c>
      <c r="E103" s="5">
        <f>IF(K103="","",D103-C103+1)</f>
        <v/>
      </c>
      <c r="F103" s="9">
        <f>IF(K103="","",INDEX(Интервалы!$E$2:$E$513,MATCH(K103,Интервалы!$G$2:$G$513,0)))</f>
        <v/>
      </c>
      <c r="G103" s="5">
        <f>IF(K103="","",IF(H103=1,INDEX('По дням'!$B$2:$B$4000,MATCH(C103,'По дням'!$A$2:$A$4000,0)),"по периодам ставки"))</f>
        <v/>
      </c>
      <c r="H103" s="5">
        <f>IF(K103="","",INDEX(Интервалы!$I$2:$I$513,MATCH(K103,Интервалы!$G$2:$G$513,0)))</f>
        <v/>
      </c>
      <c r="I103" s="9">
        <f>IF(K103="","",INDEX(Интервалы!$F$2:$F$513,MATCH(K103,Интервалы!$G$2:$G$513,0)))</f>
        <v/>
      </c>
      <c r="J103" s="9">
        <f>IF(K103="","",INDEX(Интервалы!$H$2:$H$513,MATCH(K103,Интервалы!$G$2:$G$513,0)))</f>
        <v/>
      </c>
      <c r="K103">
        <f>IFERROR(SMALL(Интервалы!$G$2:$G$513,97),"")</f>
        <v/>
      </c>
      <c r="L103">
        <f>IF(K103="","",INDEX(Интервалы!$B$2:$B$513,MATCH(K103,Интервалы!$G$2:$G$513,0)))</f>
        <v/>
      </c>
    </row>
    <row r="104">
      <c r="A104" s="5">
        <f>IF(K104="","",98)</f>
        <v/>
      </c>
      <c r="B104" s="5">
        <f>IF(K104="","",INDEX(Интервалы!$A$2:$A$513,MATCH(K104,Интервалы!$G$2:$G$513,0)))</f>
        <v/>
      </c>
      <c r="C104" s="17">
        <f>IF(K104="","",INDEX(Интервалы!$C$2:$C$513,MATCH(K104,Интервалы!$G$2:$G$513,0)))</f>
        <v/>
      </c>
      <c r="D104" s="17">
        <f>IF(K104="","",INDEX(Интервалы!$D$2:$D$513,MATCH(K104,Интервалы!$G$2:$G$513,0)))</f>
        <v/>
      </c>
      <c r="E104" s="5">
        <f>IF(K104="","",D104-C104+1)</f>
        <v/>
      </c>
      <c r="F104" s="9">
        <f>IF(K104="","",INDEX(Интервалы!$E$2:$E$513,MATCH(K104,Интервалы!$G$2:$G$513,0)))</f>
        <v/>
      </c>
      <c r="G104" s="5">
        <f>IF(K104="","",IF(H104=1,INDEX('По дням'!$B$2:$B$4000,MATCH(C104,'По дням'!$A$2:$A$4000,0)),"по периодам ставки"))</f>
        <v/>
      </c>
      <c r="H104" s="5">
        <f>IF(K104="","",INDEX(Интервалы!$I$2:$I$513,MATCH(K104,Интервалы!$G$2:$G$513,0)))</f>
        <v/>
      </c>
      <c r="I104" s="9">
        <f>IF(K104="","",INDEX(Интервалы!$F$2:$F$513,MATCH(K104,Интервалы!$G$2:$G$513,0)))</f>
        <v/>
      </c>
      <c r="J104" s="9">
        <f>IF(K104="","",INDEX(Интервалы!$H$2:$H$513,MATCH(K104,Интервалы!$G$2:$G$513,0)))</f>
        <v/>
      </c>
      <c r="K104">
        <f>IFERROR(SMALL(Интервалы!$G$2:$G$513,98),"")</f>
        <v/>
      </c>
      <c r="L104">
        <f>IF(K104="","",INDEX(Интервалы!$B$2:$B$513,MATCH(K104,Интервалы!$G$2:$G$513,0)))</f>
        <v/>
      </c>
    </row>
    <row r="105">
      <c r="A105" s="5">
        <f>IF(K105="","",99)</f>
        <v/>
      </c>
      <c r="B105" s="5">
        <f>IF(K105="","",INDEX(Интервалы!$A$2:$A$513,MATCH(K105,Интервалы!$G$2:$G$513,0)))</f>
        <v/>
      </c>
      <c r="C105" s="17">
        <f>IF(K105="","",INDEX(Интервалы!$C$2:$C$513,MATCH(K105,Интервалы!$G$2:$G$513,0)))</f>
        <v/>
      </c>
      <c r="D105" s="17">
        <f>IF(K105="","",INDEX(Интервалы!$D$2:$D$513,MATCH(K105,Интервалы!$G$2:$G$513,0)))</f>
        <v/>
      </c>
      <c r="E105" s="5">
        <f>IF(K105="","",D105-C105+1)</f>
        <v/>
      </c>
      <c r="F105" s="9">
        <f>IF(K105="","",INDEX(Интервалы!$E$2:$E$513,MATCH(K105,Интервалы!$G$2:$G$513,0)))</f>
        <v/>
      </c>
      <c r="G105" s="5">
        <f>IF(K105="","",IF(H105=1,INDEX('По дням'!$B$2:$B$4000,MATCH(C105,'По дням'!$A$2:$A$4000,0)),"по периодам ставки"))</f>
        <v/>
      </c>
      <c r="H105" s="5">
        <f>IF(K105="","",INDEX(Интервалы!$I$2:$I$513,MATCH(K105,Интервалы!$G$2:$G$513,0)))</f>
        <v/>
      </c>
      <c r="I105" s="9">
        <f>IF(K105="","",INDEX(Интервалы!$F$2:$F$513,MATCH(K105,Интервалы!$G$2:$G$513,0)))</f>
        <v/>
      </c>
      <c r="J105" s="9">
        <f>IF(K105="","",INDEX(Интервалы!$H$2:$H$513,MATCH(K105,Интервалы!$G$2:$G$513,0)))</f>
        <v/>
      </c>
      <c r="K105">
        <f>IFERROR(SMALL(Интервалы!$G$2:$G$513,99),"")</f>
        <v/>
      </c>
      <c r="L105">
        <f>IF(K105="","",INDEX(Интервалы!$B$2:$B$513,MATCH(K105,Интервалы!$G$2:$G$513,0)))</f>
        <v/>
      </c>
    </row>
    <row r="106">
      <c r="A106" s="5">
        <f>IF(K106="","",100)</f>
        <v/>
      </c>
      <c r="B106" s="5">
        <f>IF(K106="","",INDEX(Интервалы!$A$2:$A$513,MATCH(K106,Интервалы!$G$2:$G$513,0)))</f>
        <v/>
      </c>
      <c r="C106" s="17">
        <f>IF(K106="","",INDEX(Интервалы!$C$2:$C$513,MATCH(K106,Интервалы!$G$2:$G$513,0)))</f>
        <v/>
      </c>
      <c r="D106" s="17">
        <f>IF(K106="","",INDEX(Интервалы!$D$2:$D$513,MATCH(K106,Интервалы!$G$2:$G$513,0)))</f>
        <v/>
      </c>
      <c r="E106" s="5">
        <f>IF(K106="","",D106-C106+1)</f>
        <v/>
      </c>
      <c r="F106" s="9">
        <f>IF(K106="","",INDEX(Интервалы!$E$2:$E$513,MATCH(K106,Интервалы!$G$2:$G$513,0)))</f>
        <v/>
      </c>
      <c r="G106" s="5">
        <f>IF(K106="","",IF(H106=1,INDEX('По дням'!$B$2:$B$4000,MATCH(C106,'По дням'!$A$2:$A$4000,0)),"по периодам ставки"))</f>
        <v/>
      </c>
      <c r="H106" s="5">
        <f>IF(K106="","",INDEX(Интервалы!$I$2:$I$513,MATCH(K106,Интервалы!$G$2:$G$513,0)))</f>
        <v/>
      </c>
      <c r="I106" s="9">
        <f>IF(K106="","",INDEX(Интервалы!$F$2:$F$513,MATCH(K106,Интервалы!$G$2:$G$513,0)))</f>
        <v/>
      </c>
      <c r="J106" s="9">
        <f>IF(K106="","",INDEX(Интервалы!$H$2:$H$513,MATCH(K106,Интервалы!$G$2:$G$513,0)))</f>
        <v/>
      </c>
      <c r="K106">
        <f>IFERROR(SMALL(Интервалы!$G$2:$G$513,100),"")</f>
        <v/>
      </c>
      <c r="L106">
        <f>IF(K106="","",INDEX(Интервалы!$B$2:$B$513,MATCH(K106,Интервалы!$G$2:$G$513,0)))</f>
        <v/>
      </c>
    </row>
    <row r="107">
      <c r="A107" s="5">
        <f>IF(K107="","",101)</f>
        <v/>
      </c>
      <c r="B107" s="5">
        <f>IF(K107="","",INDEX(Интервалы!$A$2:$A$513,MATCH(K107,Интервалы!$G$2:$G$513,0)))</f>
        <v/>
      </c>
      <c r="C107" s="17">
        <f>IF(K107="","",INDEX(Интервалы!$C$2:$C$513,MATCH(K107,Интервалы!$G$2:$G$513,0)))</f>
        <v/>
      </c>
      <c r="D107" s="17">
        <f>IF(K107="","",INDEX(Интервалы!$D$2:$D$513,MATCH(K107,Интервалы!$G$2:$G$513,0)))</f>
        <v/>
      </c>
      <c r="E107" s="5">
        <f>IF(K107="","",D107-C107+1)</f>
        <v/>
      </c>
      <c r="F107" s="9">
        <f>IF(K107="","",INDEX(Интервалы!$E$2:$E$513,MATCH(K107,Интервалы!$G$2:$G$513,0)))</f>
        <v/>
      </c>
      <c r="G107" s="5">
        <f>IF(K107="","",IF(H107=1,INDEX('По дням'!$B$2:$B$4000,MATCH(C107,'По дням'!$A$2:$A$4000,0)),"по периодам ставки"))</f>
        <v/>
      </c>
      <c r="H107" s="5">
        <f>IF(K107="","",INDEX(Интервалы!$I$2:$I$513,MATCH(K107,Интервалы!$G$2:$G$513,0)))</f>
        <v/>
      </c>
      <c r="I107" s="9">
        <f>IF(K107="","",INDEX(Интервалы!$F$2:$F$513,MATCH(K107,Интервалы!$G$2:$G$513,0)))</f>
        <v/>
      </c>
      <c r="J107" s="9">
        <f>IF(K107="","",INDEX(Интервалы!$H$2:$H$513,MATCH(K107,Интервалы!$G$2:$G$513,0)))</f>
        <v/>
      </c>
      <c r="K107">
        <f>IFERROR(SMALL(Интервалы!$G$2:$G$513,101),"")</f>
        <v/>
      </c>
      <c r="L107">
        <f>IF(K107="","",INDEX(Интервалы!$B$2:$B$513,MATCH(K107,Интервалы!$G$2:$G$513,0)))</f>
        <v/>
      </c>
    </row>
    <row r="108">
      <c r="A108" s="5">
        <f>IF(K108="","",102)</f>
        <v/>
      </c>
      <c r="B108" s="5">
        <f>IF(K108="","",INDEX(Интервалы!$A$2:$A$513,MATCH(K108,Интервалы!$G$2:$G$513,0)))</f>
        <v/>
      </c>
      <c r="C108" s="17">
        <f>IF(K108="","",INDEX(Интервалы!$C$2:$C$513,MATCH(K108,Интервалы!$G$2:$G$513,0)))</f>
        <v/>
      </c>
      <c r="D108" s="17">
        <f>IF(K108="","",INDEX(Интервалы!$D$2:$D$513,MATCH(K108,Интервалы!$G$2:$G$513,0)))</f>
        <v/>
      </c>
      <c r="E108" s="5">
        <f>IF(K108="","",D108-C108+1)</f>
        <v/>
      </c>
      <c r="F108" s="9">
        <f>IF(K108="","",INDEX(Интервалы!$E$2:$E$513,MATCH(K108,Интервалы!$G$2:$G$513,0)))</f>
        <v/>
      </c>
      <c r="G108" s="5">
        <f>IF(K108="","",IF(H108=1,INDEX('По дням'!$B$2:$B$4000,MATCH(C108,'По дням'!$A$2:$A$4000,0)),"по периодам ставки"))</f>
        <v/>
      </c>
      <c r="H108" s="5">
        <f>IF(K108="","",INDEX(Интервалы!$I$2:$I$513,MATCH(K108,Интервалы!$G$2:$G$513,0)))</f>
        <v/>
      </c>
      <c r="I108" s="9">
        <f>IF(K108="","",INDEX(Интервалы!$F$2:$F$513,MATCH(K108,Интервалы!$G$2:$G$513,0)))</f>
        <v/>
      </c>
      <c r="J108" s="9">
        <f>IF(K108="","",INDEX(Интервалы!$H$2:$H$513,MATCH(K108,Интервалы!$G$2:$G$513,0)))</f>
        <v/>
      </c>
      <c r="K108">
        <f>IFERROR(SMALL(Интервалы!$G$2:$G$513,102),"")</f>
        <v/>
      </c>
      <c r="L108">
        <f>IF(K108="","",INDEX(Интервалы!$B$2:$B$513,MATCH(K108,Интервалы!$G$2:$G$513,0)))</f>
        <v/>
      </c>
    </row>
    <row r="109">
      <c r="A109" s="5">
        <f>IF(K109="","",103)</f>
        <v/>
      </c>
      <c r="B109" s="5">
        <f>IF(K109="","",INDEX(Интервалы!$A$2:$A$513,MATCH(K109,Интервалы!$G$2:$G$513,0)))</f>
        <v/>
      </c>
      <c r="C109" s="17">
        <f>IF(K109="","",INDEX(Интервалы!$C$2:$C$513,MATCH(K109,Интервалы!$G$2:$G$513,0)))</f>
        <v/>
      </c>
      <c r="D109" s="17">
        <f>IF(K109="","",INDEX(Интервалы!$D$2:$D$513,MATCH(K109,Интервалы!$G$2:$G$513,0)))</f>
        <v/>
      </c>
      <c r="E109" s="5">
        <f>IF(K109="","",D109-C109+1)</f>
        <v/>
      </c>
      <c r="F109" s="9">
        <f>IF(K109="","",INDEX(Интервалы!$E$2:$E$513,MATCH(K109,Интервалы!$G$2:$G$513,0)))</f>
        <v/>
      </c>
      <c r="G109" s="5">
        <f>IF(K109="","",IF(H109=1,INDEX('По дням'!$B$2:$B$4000,MATCH(C109,'По дням'!$A$2:$A$4000,0)),"по периодам ставки"))</f>
        <v/>
      </c>
      <c r="H109" s="5">
        <f>IF(K109="","",INDEX(Интервалы!$I$2:$I$513,MATCH(K109,Интервалы!$G$2:$G$513,0)))</f>
        <v/>
      </c>
      <c r="I109" s="9">
        <f>IF(K109="","",INDEX(Интервалы!$F$2:$F$513,MATCH(K109,Интервалы!$G$2:$G$513,0)))</f>
        <v/>
      </c>
      <c r="J109" s="9">
        <f>IF(K109="","",INDEX(Интервалы!$H$2:$H$513,MATCH(K109,Интервалы!$G$2:$G$513,0)))</f>
        <v/>
      </c>
      <c r="K109">
        <f>IFERROR(SMALL(Интервалы!$G$2:$G$513,103),"")</f>
        <v/>
      </c>
      <c r="L109">
        <f>IF(K109="","",INDEX(Интервалы!$B$2:$B$513,MATCH(K109,Интервалы!$G$2:$G$513,0)))</f>
        <v/>
      </c>
    </row>
    <row r="110">
      <c r="A110" s="5">
        <f>IF(K110="","",104)</f>
        <v/>
      </c>
      <c r="B110" s="5">
        <f>IF(K110="","",INDEX(Интервалы!$A$2:$A$513,MATCH(K110,Интервалы!$G$2:$G$513,0)))</f>
        <v/>
      </c>
      <c r="C110" s="17">
        <f>IF(K110="","",INDEX(Интервалы!$C$2:$C$513,MATCH(K110,Интервалы!$G$2:$G$513,0)))</f>
        <v/>
      </c>
      <c r="D110" s="17">
        <f>IF(K110="","",INDEX(Интервалы!$D$2:$D$513,MATCH(K110,Интервалы!$G$2:$G$513,0)))</f>
        <v/>
      </c>
      <c r="E110" s="5">
        <f>IF(K110="","",D110-C110+1)</f>
        <v/>
      </c>
      <c r="F110" s="9">
        <f>IF(K110="","",INDEX(Интервалы!$E$2:$E$513,MATCH(K110,Интервалы!$G$2:$G$513,0)))</f>
        <v/>
      </c>
      <c r="G110" s="5">
        <f>IF(K110="","",IF(H110=1,INDEX('По дням'!$B$2:$B$4000,MATCH(C110,'По дням'!$A$2:$A$4000,0)),"по периодам ставки"))</f>
        <v/>
      </c>
      <c r="H110" s="5">
        <f>IF(K110="","",INDEX(Интервалы!$I$2:$I$513,MATCH(K110,Интервалы!$G$2:$G$513,0)))</f>
        <v/>
      </c>
      <c r="I110" s="9">
        <f>IF(K110="","",INDEX(Интервалы!$F$2:$F$513,MATCH(K110,Интервалы!$G$2:$G$513,0)))</f>
        <v/>
      </c>
      <c r="J110" s="9">
        <f>IF(K110="","",INDEX(Интервалы!$H$2:$H$513,MATCH(K110,Интервалы!$G$2:$G$513,0)))</f>
        <v/>
      </c>
      <c r="K110">
        <f>IFERROR(SMALL(Интервалы!$G$2:$G$513,104),"")</f>
        <v/>
      </c>
      <c r="L110">
        <f>IF(K110="","",INDEX(Интервалы!$B$2:$B$513,MATCH(K110,Интервалы!$G$2:$G$513,0)))</f>
        <v/>
      </c>
    </row>
    <row r="111">
      <c r="A111" s="5">
        <f>IF(K111="","",105)</f>
        <v/>
      </c>
      <c r="B111" s="5">
        <f>IF(K111="","",INDEX(Интервалы!$A$2:$A$513,MATCH(K111,Интервалы!$G$2:$G$513,0)))</f>
        <v/>
      </c>
      <c r="C111" s="17">
        <f>IF(K111="","",INDEX(Интервалы!$C$2:$C$513,MATCH(K111,Интервалы!$G$2:$G$513,0)))</f>
        <v/>
      </c>
      <c r="D111" s="17">
        <f>IF(K111="","",INDEX(Интервалы!$D$2:$D$513,MATCH(K111,Интервалы!$G$2:$G$513,0)))</f>
        <v/>
      </c>
      <c r="E111" s="5">
        <f>IF(K111="","",D111-C111+1)</f>
        <v/>
      </c>
      <c r="F111" s="9">
        <f>IF(K111="","",INDEX(Интервалы!$E$2:$E$513,MATCH(K111,Интервалы!$G$2:$G$513,0)))</f>
        <v/>
      </c>
      <c r="G111" s="5">
        <f>IF(K111="","",IF(H111=1,INDEX('По дням'!$B$2:$B$4000,MATCH(C111,'По дням'!$A$2:$A$4000,0)),"по периодам ставки"))</f>
        <v/>
      </c>
      <c r="H111" s="5">
        <f>IF(K111="","",INDEX(Интервалы!$I$2:$I$513,MATCH(K111,Интервалы!$G$2:$G$513,0)))</f>
        <v/>
      </c>
      <c r="I111" s="9">
        <f>IF(K111="","",INDEX(Интервалы!$F$2:$F$513,MATCH(K111,Интервалы!$G$2:$G$513,0)))</f>
        <v/>
      </c>
      <c r="J111" s="9">
        <f>IF(K111="","",INDEX(Интервалы!$H$2:$H$513,MATCH(K111,Интервалы!$G$2:$G$513,0)))</f>
        <v/>
      </c>
      <c r="K111">
        <f>IFERROR(SMALL(Интервалы!$G$2:$G$513,105),"")</f>
        <v/>
      </c>
      <c r="L111">
        <f>IF(K111="","",INDEX(Интервалы!$B$2:$B$513,MATCH(K111,Интервалы!$G$2:$G$513,0)))</f>
        <v/>
      </c>
    </row>
    <row r="112">
      <c r="A112" s="5">
        <f>IF(K112="","",106)</f>
        <v/>
      </c>
      <c r="B112" s="5">
        <f>IF(K112="","",INDEX(Интервалы!$A$2:$A$513,MATCH(K112,Интервалы!$G$2:$G$513,0)))</f>
        <v/>
      </c>
      <c r="C112" s="17">
        <f>IF(K112="","",INDEX(Интервалы!$C$2:$C$513,MATCH(K112,Интервалы!$G$2:$G$513,0)))</f>
        <v/>
      </c>
      <c r="D112" s="17">
        <f>IF(K112="","",INDEX(Интервалы!$D$2:$D$513,MATCH(K112,Интервалы!$G$2:$G$513,0)))</f>
        <v/>
      </c>
      <c r="E112" s="5">
        <f>IF(K112="","",D112-C112+1)</f>
        <v/>
      </c>
      <c r="F112" s="9">
        <f>IF(K112="","",INDEX(Интервалы!$E$2:$E$513,MATCH(K112,Интервалы!$G$2:$G$513,0)))</f>
        <v/>
      </c>
      <c r="G112" s="5">
        <f>IF(K112="","",IF(H112=1,INDEX('По дням'!$B$2:$B$4000,MATCH(C112,'По дням'!$A$2:$A$4000,0)),"по периодам ставки"))</f>
        <v/>
      </c>
      <c r="H112" s="5">
        <f>IF(K112="","",INDEX(Интервалы!$I$2:$I$513,MATCH(K112,Интервалы!$G$2:$G$513,0)))</f>
        <v/>
      </c>
      <c r="I112" s="9">
        <f>IF(K112="","",INDEX(Интервалы!$F$2:$F$513,MATCH(K112,Интервалы!$G$2:$G$513,0)))</f>
        <v/>
      </c>
      <c r="J112" s="9">
        <f>IF(K112="","",INDEX(Интервалы!$H$2:$H$513,MATCH(K112,Интервалы!$G$2:$G$513,0)))</f>
        <v/>
      </c>
      <c r="K112">
        <f>IFERROR(SMALL(Интервалы!$G$2:$G$513,106),"")</f>
        <v/>
      </c>
      <c r="L112">
        <f>IF(K112="","",INDEX(Интервалы!$B$2:$B$513,MATCH(K112,Интервалы!$G$2:$G$513,0)))</f>
        <v/>
      </c>
    </row>
    <row r="113">
      <c r="A113" s="5">
        <f>IF(K113="","",107)</f>
        <v/>
      </c>
      <c r="B113" s="5">
        <f>IF(K113="","",INDEX(Интервалы!$A$2:$A$513,MATCH(K113,Интервалы!$G$2:$G$513,0)))</f>
        <v/>
      </c>
      <c r="C113" s="17">
        <f>IF(K113="","",INDEX(Интервалы!$C$2:$C$513,MATCH(K113,Интервалы!$G$2:$G$513,0)))</f>
        <v/>
      </c>
      <c r="D113" s="17">
        <f>IF(K113="","",INDEX(Интервалы!$D$2:$D$513,MATCH(K113,Интервалы!$G$2:$G$513,0)))</f>
        <v/>
      </c>
      <c r="E113" s="5">
        <f>IF(K113="","",D113-C113+1)</f>
        <v/>
      </c>
      <c r="F113" s="9">
        <f>IF(K113="","",INDEX(Интервалы!$E$2:$E$513,MATCH(K113,Интервалы!$G$2:$G$513,0)))</f>
        <v/>
      </c>
      <c r="G113" s="5">
        <f>IF(K113="","",IF(H113=1,INDEX('По дням'!$B$2:$B$4000,MATCH(C113,'По дням'!$A$2:$A$4000,0)),"по периодам ставки"))</f>
        <v/>
      </c>
      <c r="H113" s="5">
        <f>IF(K113="","",INDEX(Интервалы!$I$2:$I$513,MATCH(K113,Интервалы!$G$2:$G$513,0)))</f>
        <v/>
      </c>
      <c r="I113" s="9">
        <f>IF(K113="","",INDEX(Интервалы!$F$2:$F$513,MATCH(K113,Интервалы!$G$2:$G$513,0)))</f>
        <v/>
      </c>
      <c r="J113" s="9">
        <f>IF(K113="","",INDEX(Интервалы!$H$2:$H$513,MATCH(K113,Интервалы!$G$2:$G$513,0)))</f>
        <v/>
      </c>
      <c r="K113">
        <f>IFERROR(SMALL(Интервалы!$G$2:$G$513,107),"")</f>
        <v/>
      </c>
      <c r="L113">
        <f>IF(K113="","",INDEX(Интервалы!$B$2:$B$513,MATCH(K113,Интервалы!$G$2:$G$513,0)))</f>
        <v/>
      </c>
    </row>
    <row r="114">
      <c r="A114" s="5">
        <f>IF(K114="","",108)</f>
        <v/>
      </c>
      <c r="B114" s="5">
        <f>IF(K114="","",INDEX(Интервалы!$A$2:$A$513,MATCH(K114,Интервалы!$G$2:$G$513,0)))</f>
        <v/>
      </c>
      <c r="C114" s="17">
        <f>IF(K114="","",INDEX(Интервалы!$C$2:$C$513,MATCH(K114,Интервалы!$G$2:$G$513,0)))</f>
        <v/>
      </c>
      <c r="D114" s="17">
        <f>IF(K114="","",INDEX(Интервалы!$D$2:$D$513,MATCH(K114,Интервалы!$G$2:$G$513,0)))</f>
        <v/>
      </c>
      <c r="E114" s="5">
        <f>IF(K114="","",D114-C114+1)</f>
        <v/>
      </c>
      <c r="F114" s="9">
        <f>IF(K114="","",INDEX(Интервалы!$E$2:$E$513,MATCH(K114,Интервалы!$G$2:$G$513,0)))</f>
        <v/>
      </c>
      <c r="G114" s="5">
        <f>IF(K114="","",IF(H114=1,INDEX('По дням'!$B$2:$B$4000,MATCH(C114,'По дням'!$A$2:$A$4000,0)),"по периодам ставки"))</f>
        <v/>
      </c>
      <c r="H114" s="5">
        <f>IF(K114="","",INDEX(Интервалы!$I$2:$I$513,MATCH(K114,Интервалы!$G$2:$G$513,0)))</f>
        <v/>
      </c>
      <c r="I114" s="9">
        <f>IF(K114="","",INDEX(Интервалы!$F$2:$F$513,MATCH(K114,Интервалы!$G$2:$G$513,0)))</f>
        <v/>
      </c>
      <c r="J114" s="9">
        <f>IF(K114="","",INDEX(Интервалы!$H$2:$H$513,MATCH(K114,Интервалы!$G$2:$G$513,0)))</f>
        <v/>
      </c>
      <c r="K114">
        <f>IFERROR(SMALL(Интервалы!$G$2:$G$513,108),"")</f>
        <v/>
      </c>
      <c r="L114">
        <f>IF(K114="","",INDEX(Интервалы!$B$2:$B$513,MATCH(K114,Интервалы!$G$2:$G$513,0)))</f>
        <v/>
      </c>
    </row>
    <row r="115">
      <c r="A115" s="5">
        <f>IF(K115="","",109)</f>
        <v/>
      </c>
      <c r="B115" s="5">
        <f>IF(K115="","",INDEX(Интервалы!$A$2:$A$513,MATCH(K115,Интервалы!$G$2:$G$513,0)))</f>
        <v/>
      </c>
      <c r="C115" s="17">
        <f>IF(K115="","",INDEX(Интервалы!$C$2:$C$513,MATCH(K115,Интервалы!$G$2:$G$513,0)))</f>
        <v/>
      </c>
      <c r="D115" s="17">
        <f>IF(K115="","",INDEX(Интервалы!$D$2:$D$513,MATCH(K115,Интервалы!$G$2:$G$513,0)))</f>
        <v/>
      </c>
      <c r="E115" s="5">
        <f>IF(K115="","",D115-C115+1)</f>
        <v/>
      </c>
      <c r="F115" s="9">
        <f>IF(K115="","",INDEX(Интервалы!$E$2:$E$513,MATCH(K115,Интервалы!$G$2:$G$513,0)))</f>
        <v/>
      </c>
      <c r="G115" s="5">
        <f>IF(K115="","",IF(H115=1,INDEX('По дням'!$B$2:$B$4000,MATCH(C115,'По дням'!$A$2:$A$4000,0)),"по периодам ставки"))</f>
        <v/>
      </c>
      <c r="H115" s="5">
        <f>IF(K115="","",INDEX(Интервалы!$I$2:$I$513,MATCH(K115,Интервалы!$G$2:$G$513,0)))</f>
        <v/>
      </c>
      <c r="I115" s="9">
        <f>IF(K115="","",INDEX(Интервалы!$F$2:$F$513,MATCH(K115,Интервалы!$G$2:$G$513,0)))</f>
        <v/>
      </c>
      <c r="J115" s="9">
        <f>IF(K115="","",INDEX(Интервалы!$H$2:$H$513,MATCH(K115,Интервалы!$G$2:$G$513,0)))</f>
        <v/>
      </c>
      <c r="K115">
        <f>IFERROR(SMALL(Интервалы!$G$2:$G$513,109),"")</f>
        <v/>
      </c>
      <c r="L115">
        <f>IF(K115="","",INDEX(Интервалы!$B$2:$B$513,MATCH(K115,Интервалы!$G$2:$G$513,0)))</f>
        <v/>
      </c>
    </row>
    <row r="116">
      <c r="A116" s="5">
        <f>IF(K116="","",110)</f>
        <v/>
      </c>
      <c r="B116" s="5">
        <f>IF(K116="","",INDEX(Интервалы!$A$2:$A$513,MATCH(K116,Интервалы!$G$2:$G$513,0)))</f>
        <v/>
      </c>
      <c r="C116" s="17">
        <f>IF(K116="","",INDEX(Интервалы!$C$2:$C$513,MATCH(K116,Интервалы!$G$2:$G$513,0)))</f>
        <v/>
      </c>
      <c r="D116" s="17">
        <f>IF(K116="","",INDEX(Интервалы!$D$2:$D$513,MATCH(K116,Интервалы!$G$2:$G$513,0)))</f>
        <v/>
      </c>
      <c r="E116" s="5">
        <f>IF(K116="","",D116-C116+1)</f>
        <v/>
      </c>
      <c r="F116" s="9">
        <f>IF(K116="","",INDEX(Интервалы!$E$2:$E$513,MATCH(K116,Интервалы!$G$2:$G$513,0)))</f>
        <v/>
      </c>
      <c r="G116" s="5">
        <f>IF(K116="","",IF(H116=1,INDEX('По дням'!$B$2:$B$4000,MATCH(C116,'По дням'!$A$2:$A$4000,0)),"по периодам ставки"))</f>
        <v/>
      </c>
      <c r="H116" s="5">
        <f>IF(K116="","",INDEX(Интервалы!$I$2:$I$513,MATCH(K116,Интервалы!$G$2:$G$513,0)))</f>
        <v/>
      </c>
      <c r="I116" s="9">
        <f>IF(K116="","",INDEX(Интервалы!$F$2:$F$513,MATCH(K116,Интервалы!$G$2:$G$513,0)))</f>
        <v/>
      </c>
      <c r="J116" s="9">
        <f>IF(K116="","",INDEX(Интервалы!$H$2:$H$513,MATCH(K116,Интервалы!$G$2:$G$513,0)))</f>
        <v/>
      </c>
      <c r="K116">
        <f>IFERROR(SMALL(Интервалы!$G$2:$G$513,110),"")</f>
        <v/>
      </c>
      <c r="L116">
        <f>IF(K116="","",INDEX(Интервалы!$B$2:$B$513,MATCH(K116,Интервалы!$G$2:$G$513,0)))</f>
        <v/>
      </c>
    </row>
    <row r="117">
      <c r="A117" s="5">
        <f>IF(K117="","",111)</f>
        <v/>
      </c>
      <c r="B117" s="5">
        <f>IF(K117="","",INDEX(Интервалы!$A$2:$A$513,MATCH(K117,Интервалы!$G$2:$G$513,0)))</f>
        <v/>
      </c>
      <c r="C117" s="17">
        <f>IF(K117="","",INDEX(Интервалы!$C$2:$C$513,MATCH(K117,Интервалы!$G$2:$G$513,0)))</f>
        <v/>
      </c>
      <c r="D117" s="17">
        <f>IF(K117="","",INDEX(Интервалы!$D$2:$D$513,MATCH(K117,Интервалы!$G$2:$G$513,0)))</f>
        <v/>
      </c>
      <c r="E117" s="5">
        <f>IF(K117="","",D117-C117+1)</f>
        <v/>
      </c>
      <c r="F117" s="9">
        <f>IF(K117="","",INDEX(Интервалы!$E$2:$E$513,MATCH(K117,Интервалы!$G$2:$G$513,0)))</f>
        <v/>
      </c>
      <c r="G117" s="5">
        <f>IF(K117="","",IF(H117=1,INDEX('По дням'!$B$2:$B$4000,MATCH(C117,'По дням'!$A$2:$A$4000,0)),"по периодам ставки"))</f>
        <v/>
      </c>
      <c r="H117" s="5">
        <f>IF(K117="","",INDEX(Интервалы!$I$2:$I$513,MATCH(K117,Интервалы!$G$2:$G$513,0)))</f>
        <v/>
      </c>
      <c r="I117" s="9">
        <f>IF(K117="","",INDEX(Интервалы!$F$2:$F$513,MATCH(K117,Интервалы!$G$2:$G$513,0)))</f>
        <v/>
      </c>
      <c r="J117" s="9">
        <f>IF(K117="","",INDEX(Интервалы!$H$2:$H$513,MATCH(K117,Интервалы!$G$2:$G$513,0)))</f>
        <v/>
      </c>
      <c r="K117">
        <f>IFERROR(SMALL(Интервалы!$G$2:$G$513,111),"")</f>
        <v/>
      </c>
      <c r="L117">
        <f>IF(K117="","",INDEX(Интервалы!$B$2:$B$513,MATCH(K117,Интервалы!$G$2:$G$513,0)))</f>
        <v/>
      </c>
    </row>
    <row r="118">
      <c r="A118" s="5">
        <f>IF(K118="","",112)</f>
        <v/>
      </c>
      <c r="B118" s="5">
        <f>IF(K118="","",INDEX(Интервалы!$A$2:$A$513,MATCH(K118,Интервалы!$G$2:$G$513,0)))</f>
        <v/>
      </c>
      <c r="C118" s="17">
        <f>IF(K118="","",INDEX(Интервалы!$C$2:$C$513,MATCH(K118,Интервалы!$G$2:$G$513,0)))</f>
        <v/>
      </c>
      <c r="D118" s="17">
        <f>IF(K118="","",INDEX(Интервалы!$D$2:$D$513,MATCH(K118,Интервалы!$G$2:$G$513,0)))</f>
        <v/>
      </c>
      <c r="E118" s="5">
        <f>IF(K118="","",D118-C118+1)</f>
        <v/>
      </c>
      <c r="F118" s="9">
        <f>IF(K118="","",INDEX(Интервалы!$E$2:$E$513,MATCH(K118,Интервалы!$G$2:$G$513,0)))</f>
        <v/>
      </c>
      <c r="G118" s="5">
        <f>IF(K118="","",IF(H118=1,INDEX('По дням'!$B$2:$B$4000,MATCH(C118,'По дням'!$A$2:$A$4000,0)),"по периодам ставки"))</f>
        <v/>
      </c>
      <c r="H118" s="5">
        <f>IF(K118="","",INDEX(Интервалы!$I$2:$I$513,MATCH(K118,Интервалы!$G$2:$G$513,0)))</f>
        <v/>
      </c>
      <c r="I118" s="9">
        <f>IF(K118="","",INDEX(Интервалы!$F$2:$F$513,MATCH(K118,Интервалы!$G$2:$G$513,0)))</f>
        <v/>
      </c>
      <c r="J118" s="9">
        <f>IF(K118="","",INDEX(Интервалы!$H$2:$H$513,MATCH(K118,Интервалы!$G$2:$G$513,0)))</f>
        <v/>
      </c>
      <c r="K118">
        <f>IFERROR(SMALL(Интервалы!$G$2:$G$513,112),"")</f>
        <v/>
      </c>
      <c r="L118">
        <f>IF(K118="","",INDEX(Интервалы!$B$2:$B$513,MATCH(K118,Интервалы!$G$2:$G$513,0)))</f>
        <v/>
      </c>
    </row>
    <row r="119">
      <c r="A119" s="5">
        <f>IF(K119="","",113)</f>
        <v/>
      </c>
      <c r="B119" s="5">
        <f>IF(K119="","",INDEX(Интервалы!$A$2:$A$513,MATCH(K119,Интервалы!$G$2:$G$513,0)))</f>
        <v/>
      </c>
      <c r="C119" s="17">
        <f>IF(K119="","",INDEX(Интервалы!$C$2:$C$513,MATCH(K119,Интервалы!$G$2:$G$513,0)))</f>
        <v/>
      </c>
      <c r="D119" s="17">
        <f>IF(K119="","",INDEX(Интервалы!$D$2:$D$513,MATCH(K119,Интервалы!$G$2:$G$513,0)))</f>
        <v/>
      </c>
      <c r="E119" s="5">
        <f>IF(K119="","",D119-C119+1)</f>
        <v/>
      </c>
      <c r="F119" s="9">
        <f>IF(K119="","",INDEX(Интервалы!$E$2:$E$513,MATCH(K119,Интервалы!$G$2:$G$513,0)))</f>
        <v/>
      </c>
      <c r="G119" s="5">
        <f>IF(K119="","",IF(H119=1,INDEX('По дням'!$B$2:$B$4000,MATCH(C119,'По дням'!$A$2:$A$4000,0)),"по периодам ставки"))</f>
        <v/>
      </c>
      <c r="H119" s="5">
        <f>IF(K119="","",INDEX(Интервалы!$I$2:$I$513,MATCH(K119,Интервалы!$G$2:$G$513,0)))</f>
        <v/>
      </c>
      <c r="I119" s="9">
        <f>IF(K119="","",INDEX(Интервалы!$F$2:$F$513,MATCH(K119,Интервалы!$G$2:$G$513,0)))</f>
        <v/>
      </c>
      <c r="J119" s="9">
        <f>IF(K119="","",INDEX(Интервалы!$H$2:$H$513,MATCH(K119,Интервалы!$G$2:$G$513,0)))</f>
        <v/>
      </c>
      <c r="K119">
        <f>IFERROR(SMALL(Интервалы!$G$2:$G$513,113),"")</f>
        <v/>
      </c>
      <c r="L119">
        <f>IF(K119="","",INDEX(Интервалы!$B$2:$B$513,MATCH(K119,Интервалы!$G$2:$G$513,0)))</f>
        <v/>
      </c>
    </row>
    <row r="120">
      <c r="A120" s="5">
        <f>IF(K120="","",114)</f>
        <v/>
      </c>
      <c r="B120" s="5">
        <f>IF(K120="","",INDEX(Интервалы!$A$2:$A$513,MATCH(K120,Интервалы!$G$2:$G$513,0)))</f>
        <v/>
      </c>
      <c r="C120" s="17">
        <f>IF(K120="","",INDEX(Интервалы!$C$2:$C$513,MATCH(K120,Интервалы!$G$2:$G$513,0)))</f>
        <v/>
      </c>
      <c r="D120" s="17">
        <f>IF(K120="","",INDEX(Интервалы!$D$2:$D$513,MATCH(K120,Интервалы!$G$2:$G$513,0)))</f>
        <v/>
      </c>
      <c r="E120" s="5">
        <f>IF(K120="","",D120-C120+1)</f>
        <v/>
      </c>
      <c r="F120" s="9">
        <f>IF(K120="","",INDEX(Интервалы!$E$2:$E$513,MATCH(K120,Интервалы!$G$2:$G$513,0)))</f>
        <v/>
      </c>
      <c r="G120" s="5">
        <f>IF(K120="","",IF(H120=1,INDEX('По дням'!$B$2:$B$4000,MATCH(C120,'По дням'!$A$2:$A$4000,0)),"по периодам ставки"))</f>
        <v/>
      </c>
      <c r="H120" s="5">
        <f>IF(K120="","",INDEX(Интервалы!$I$2:$I$513,MATCH(K120,Интервалы!$G$2:$G$513,0)))</f>
        <v/>
      </c>
      <c r="I120" s="9">
        <f>IF(K120="","",INDEX(Интервалы!$F$2:$F$513,MATCH(K120,Интервалы!$G$2:$G$513,0)))</f>
        <v/>
      </c>
      <c r="J120" s="9">
        <f>IF(K120="","",INDEX(Интервалы!$H$2:$H$513,MATCH(K120,Интервалы!$G$2:$G$513,0)))</f>
        <v/>
      </c>
      <c r="K120">
        <f>IFERROR(SMALL(Интервалы!$G$2:$G$513,114),"")</f>
        <v/>
      </c>
      <c r="L120">
        <f>IF(K120="","",INDEX(Интервалы!$B$2:$B$513,MATCH(K120,Интервалы!$G$2:$G$513,0)))</f>
        <v/>
      </c>
    </row>
    <row r="121">
      <c r="A121" s="5">
        <f>IF(K121="","",115)</f>
        <v/>
      </c>
      <c r="B121" s="5">
        <f>IF(K121="","",INDEX(Интервалы!$A$2:$A$513,MATCH(K121,Интервалы!$G$2:$G$513,0)))</f>
        <v/>
      </c>
      <c r="C121" s="17">
        <f>IF(K121="","",INDEX(Интервалы!$C$2:$C$513,MATCH(K121,Интервалы!$G$2:$G$513,0)))</f>
        <v/>
      </c>
      <c r="D121" s="17">
        <f>IF(K121="","",INDEX(Интервалы!$D$2:$D$513,MATCH(K121,Интервалы!$G$2:$G$513,0)))</f>
        <v/>
      </c>
      <c r="E121" s="5">
        <f>IF(K121="","",D121-C121+1)</f>
        <v/>
      </c>
      <c r="F121" s="9">
        <f>IF(K121="","",INDEX(Интервалы!$E$2:$E$513,MATCH(K121,Интервалы!$G$2:$G$513,0)))</f>
        <v/>
      </c>
      <c r="G121" s="5">
        <f>IF(K121="","",IF(H121=1,INDEX('По дням'!$B$2:$B$4000,MATCH(C121,'По дням'!$A$2:$A$4000,0)),"по периодам ставки"))</f>
        <v/>
      </c>
      <c r="H121" s="5">
        <f>IF(K121="","",INDEX(Интервалы!$I$2:$I$513,MATCH(K121,Интервалы!$G$2:$G$513,0)))</f>
        <v/>
      </c>
      <c r="I121" s="9">
        <f>IF(K121="","",INDEX(Интервалы!$F$2:$F$513,MATCH(K121,Интервалы!$G$2:$G$513,0)))</f>
        <v/>
      </c>
      <c r="J121" s="9">
        <f>IF(K121="","",INDEX(Интервалы!$H$2:$H$513,MATCH(K121,Интервалы!$G$2:$G$513,0)))</f>
        <v/>
      </c>
      <c r="K121">
        <f>IFERROR(SMALL(Интервалы!$G$2:$G$513,115),"")</f>
        <v/>
      </c>
      <c r="L121">
        <f>IF(K121="","",INDEX(Интервалы!$B$2:$B$513,MATCH(K121,Интервалы!$G$2:$G$513,0)))</f>
        <v/>
      </c>
    </row>
    <row r="122">
      <c r="A122" s="5">
        <f>IF(K122="","",116)</f>
        <v/>
      </c>
      <c r="B122" s="5">
        <f>IF(K122="","",INDEX(Интервалы!$A$2:$A$513,MATCH(K122,Интервалы!$G$2:$G$513,0)))</f>
        <v/>
      </c>
      <c r="C122" s="17">
        <f>IF(K122="","",INDEX(Интервалы!$C$2:$C$513,MATCH(K122,Интервалы!$G$2:$G$513,0)))</f>
        <v/>
      </c>
      <c r="D122" s="17">
        <f>IF(K122="","",INDEX(Интервалы!$D$2:$D$513,MATCH(K122,Интервалы!$G$2:$G$513,0)))</f>
        <v/>
      </c>
      <c r="E122" s="5">
        <f>IF(K122="","",D122-C122+1)</f>
        <v/>
      </c>
      <c r="F122" s="9">
        <f>IF(K122="","",INDEX(Интервалы!$E$2:$E$513,MATCH(K122,Интервалы!$G$2:$G$513,0)))</f>
        <v/>
      </c>
      <c r="G122" s="5">
        <f>IF(K122="","",IF(H122=1,INDEX('По дням'!$B$2:$B$4000,MATCH(C122,'По дням'!$A$2:$A$4000,0)),"по периодам ставки"))</f>
        <v/>
      </c>
      <c r="H122" s="5">
        <f>IF(K122="","",INDEX(Интервалы!$I$2:$I$513,MATCH(K122,Интервалы!$G$2:$G$513,0)))</f>
        <v/>
      </c>
      <c r="I122" s="9">
        <f>IF(K122="","",INDEX(Интервалы!$F$2:$F$513,MATCH(K122,Интервалы!$G$2:$G$513,0)))</f>
        <v/>
      </c>
      <c r="J122" s="9">
        <f>IF(K122="","",INDEX(Интервалы!$H$2:$H$513,MATCH(K122,Интервалы!$G$2:$G$513,0)))</f>
        <v/>
      </c>
      <c r="K122">
        <f>IFERROR(SMALL(Интервалы!$G$2:$G$513,116),"")</f>
        <v/>
      </c>
      <c r="L122">
        <f>IF(K122="","",INDEX(Интервалы!$B$2:$B$513,MATCH(K122,Интервалы!$G$2:$G$513,0)))</f>
        <v/>
      </c>
    </row>
    <row r="123">
      <c r="A123" s="5">
        <f>IF(K123="","",117)</f>
        <v/>
      </c>
      <c r="B123" s="5">
        <f>IF(K123="","",INDEX(Интервалы!$A$2:$A$513,MATCH(K123,Интервалы!$G$2:$G$513,0)))</f>
        <v/>
      </c>
      <c r="C123" s="17">
        <f>IF(K123="","",INDEX(Интервалы!$C$2:$C$513,MATCH(K123,Интервалы!$G$2:$G$513,0)))</f>
        <v/>
      </c>
      <c r="D123" s="17">
        <f>IF(K123="","",INDEX(Интервалы!$D$2:$D$513,MATCH(K123,Интервалы!$G$2:$G$513,0)))</f>
        <v/>
      </c>
      <c r="E123" s="5">
        <f>IF(K123="","",D123-C123+1)</f>
        <v/>
      </c>
      <c r="F123" s="9">
        <f>IF(K123="","",INDEX(Интервалы!$E$2:$E$513,MATCH(K123,Интервалы!$G$2:$G$513,0)))</f>
        <v/>
      </c>
      <c r="G123" s="5">
        <f>IF(K123="","",IF(H123=1,INDEX('По дням'!$B$2:$B$4000,MATCH(C123,'По дням'!$A$2:$A$4000,0)),"по периодам ставки"))</f>
        <v/>
      </c>
      <c r="H123" s="5">
        <f>IF(K123="","",INDEX(Интервалы!$I$2:$I$513,MATCH(K123,Интервалы!$G$2:$G$513,0)))</f>
        <v/>
      </c>
      <c r="I123" s="9">
        <f>IF(K123="","",INDEX(Интервалы!$F$2:$F$513,MATCH(K123,Интервалы!$G$2:$G$513,0)))</f>
        <v/>
      </c>
      <c r="J123" s="9">
        <f>IF(K123="","",INDEX(Интервалы!$H$2:$H$513,MATCH(K123,Интервалы!$G$2:$G$513,0)))</f>
        <v/>
      </c>
      <c r="K123">
        <f>IFERROR(SMALL(Интервалы!$G$2:$G$513,117),"")</f>
        <v/>
      </c>
      <c r="L123">
        <f>IF(K123="","",INDEX(Интервалы!$B$2:$B$513,MATCH(K123,Интервалы!$G$2:$G$513,0)))</f>
        <v/>
      </c>
    </row>
    <row r="124">
      <c r="A124" s="5">
        <f>IF(K124="","",118)</f>
        <v/>
      </c>
      <c r="B124" s="5">
        <f>IF(K124="","",INDEX(Интервалы!$A$2:$A$513,MATCH(K124,Интервалы!$G$2:$G$513,0)))</f>
        <v/>
      </c>
      <c r="C124" s="17">
        <f>IF(K124="","",INDEX(Интервалы!$C$2:$C$513,MATCH(K124,Интервалы!$G$2:$G$513,0)))</f>
        <v/>
      </c>
      <c r="D124" s="17">
        <f>IF(K124="","",INDEX(Интервалы!$D$2:$D$513,MATCH(K124,Интервалы!$G$2:$G$513,0)))</f>
        <v/>
      </c>
      <c r="E124" s="5">
        <f>IF(K124="","",D124-C124+1)</f>
        <v/>
      </c>
      <c r="F124" s="9">
        <f>IF(K124="","",INDEX(Интервалы!$E$2:$E$513,MATCH(K124,Интервалы!$G$2:$G$513,0)))</f>
        <v/>
      </c>
      <c r="G124" s="5">
        <f>IF(K124="","",IF(H124=1,INDEX('По дням'!$B$2:$B$4000,MATCH(C124,'По дням'!$A$2:$A$4000,0)),"по периодам ставки"))</f>
        <v/>
      </c>
      <c r="H124" s="5">
        <f>IF(K124="","",INDEX(Интервалы!$I$2:$I$513,MATCH(K124,Интервалы!$G$2:$G$513,0)))</f>
        <v/>
      </c>
      <c r="I124" s="9">
        <f>IF(K124="","",INDEX(Интервалы!$F$2:$F$513,MATCH(K124,Интервалы!$G$2:$G$513,0)))</f>
        <v/>
      </c>
      <c r="J124" s="9">
        <f>IF(K124="","",INDEX(Интервалы!$H$2:$H$513,MATCH(K124,Интервалы!$G$2:$G$513,0)))</f>
        <v/>
      </c>
      <c r="K124">
        <f>IFERROR(SMALL(Интервалы!$G$2:$G$513,118),"")</f>
        <v/>
      </c>
      <c r="L124">
        <f>IF(K124="","",INDEX(Интервалы!$B$2:$B$513,MATCH(K124,Интервалы!$G$2:$G$513,0)))</f>
        <v/>
      </c>
    </row>
    <row r="125">
      <c r="A125" s="5">
        <f>IF(K125="","",119)</f>
        <v/>
      </c>
      <c r="B125" s="5">
        <f>IF(K125="","",INDEX(Интервалы!$A$2:$A$513,MATCH(K125,Интервалы!$G$2:$G$513,0)))</f>
        <v/>
      </c>
      <c r="C125" s="17">
        <f>IF(K125="","",INDEX(Интервалы!$C$2:$C$513,MATCH(K125,Интервалы!$G$2:$G$513,0)))</f>
        <v/>
      </c>
      <c r="D125" s="17">
        <f>IF(K125="","",INDEX(Интервалы!$D$2:$D$513,MATCH(K125,Интервалы!$G$2:$G$513,0)))</f>
        <v/>
      </c>
      <c r="E125" s="5">
        <f>IF(K125="","",D125-C125+1)</f>
        <v/>
      </c>
      <c r="F125" s="9">
        <f>IF(K125="","",INDEX(Интервалы!$E$2:$E$513,MATCH(K125,Интервалы!$G$2:$G$513,0)))</f>
        <v/>
      </c>
      <c r="G125" s="5">
        <f>IF(K125="","",IF(H125=1,INDEX('По дням'!$B$2:$B$4000,MATCH(C125,'По дням'!$A$2:$A$4000,0)),"по периодам ставки"))</f>
        <v/>
      </c>
      <c r="H125" s="5">
        <f>IF(K125="","",INDEX(Интервалы!$I$2:$I$513,MATCH(K125,Интервалы!$G$2:$G$513,0)))</f>
        <v/>
      </c>
      <c r="I125" s="9">
        <f>IF(K125="","",INDEX(Интервалы!$F$2:$F$513,MATCH(K125,Интервалы!$G$2:$G$513,0)))</f>
        <v/>
      </c>
      <c r="J125" s="9">
        <f>IF(K125="","",INDEX(Интервалы!$H$2:$H$513,MATCH(K125,Интервалы!$G$2:$G$513,0)))</f>
        <v/>
      </c>
      <c r="K125">
        <f>IFERROR(SMALL(Интервалы!$G$2:$G$513,119),"")</f>
        <v/>
      </c>
      <c r="L125">
        <f>IF(K125="","",INDEX(Интервалы!$B$2:$B$513,MATCH(K125,Интервалы!$G$2:$G$513,0)))</f>
        <v/>
      </c>
    </row>
    <row r="126">
      <c r="A126" s="5">
        <f>IF(K126="","",120)</f>
        <v/>
      </c>
      <c r="B126" s="5">
        <f>IF(K126="","",INDEX(Интервалы!$A$2:$A$513,MATCH(K126,Интервалы!$G$2:$G$513,0)))</f>
        <v/>
      </c>
      <c r="C126" s="17">
        <f>IF(K126="","",INDEX(Интервалы!$C$2:$C$513,MATCH(K126,Интервалы!$G$2:$G$513,0)))</f>
        <v/>
      </c>
      <c r="D126" s="17">
        <f>IF(K126="","",INDEX(Интервалы!$D$2:$D$513,MATCH(K126,Интервалы!$G$2:$G$513,0)))</f>
        <v/>
      </c>
      <c r="E126" s="5">
        <f>IF(K126="","",D126-C126+1)</f>
        <v/>
      </c>
      <c r="F126" s="9">
        <f>IF(K126="","",INDEX(Интервалы!$E$2:$E$513,MATCH(K126,Интервалы!$G$2:$G$513,0)))</f>
        <v/>
      </c>
      <c r="G126" s="5">
        <f>IF(K126="","",IF(H126=1,INDEX('По дням'!$B$2:$B$4000,MATCH(C126,'По дням'!$A$2:$A$4000,0)),"по периодам ставки"))</f>
        <v/>
      </c>
      <c r="H126" s="5">
        <f>IF(K126="","",INDEX(Интервалы!$I$2:$I$513,MATCH(K126,Интервалы!$G$2:$G$513,0)))</f>
        <v/>
      </c>
      <c r="I126" s="9">
        <f>IF(K126="","",INDEX(Интервалы!$F$2:$F$513,MATCH(K126,Интервалы!$G$2:$G$513,0)))</f>
        <v/>
      </c>
      <c r="J126" s="9">
        <f>IF(K126="","",INDEX(Интервалы!$H$2:$H$513,MATCH(K126,Интервалы!$G$2:$G$513,0)))</f>
        <v/>
      </c>
      <c r="K126">
        <f>IFERROR(SMALL(Интервалы!$G$2:$G$513,120),"")</f>
        <v/>
      </c>
      <c r="L126">
        <f>IF(K126="","",INDEX(Интервалы!$B$2:$B$513,MATCH(K126,Интервалы!$G$2:$G$513,0)))</f>
        <v/>
      </c>
    </row>
    <row r="127">
      <c r="A127" s="5">
        <f>IF(K127="","",121)</f>
        <v/>
      </c>
      <c r="B127" s="5">
        <f>IF(K127="","",INDEX(Интервалы!$A$2:$A$513,MATCH(K127,Интервалы!$G$2:$G$513,0)))</f>
        <v/>
      </c>
      <c r="C127" s="17">
        <f>IF(K127="","",INDEX(Интервалы!$C$2:$C$513,MATCH(K127,Интервалы!$G$2:$G$513,0)))</f>
        <v/>
      </c>
      <c r="D127" s="17">
        <f>IF(K127="","",INDEX(Интервалы!$D$2:$D$513,MATCH(K127,Интервалы!$G$2:$G$513,0)))</f>
        <v/>
      </c>
      <c r="E127" s="5">
        <f>IF(K127="","",D127-C127+1)</f>
        <v/>
      </c>
      <c r="F127" s="9">
        <f>IF(K127="","",INDEX(Интервалы!$E$2:$E$513,MATCH(K127,Интервалы!$G$2:$G$513,0)))</f>
        <v/>
      </c>
      <c r="G127" s="5">
        <f>IF(K127="","",IF(H127=1,INDEX('По дням'!$B$2:$B$4000,MATCH(C127,'По дням'!$A$2:$A$4000,0)),"по периодам ставки"))</f>
        <v/>
      </c>
      <c r="H127" s="5">
        <f>IF(K127="","",INDEX(Интервалы!$I$2:$I$513,MATCH(K127,Интервалы!$G$2:$G$513,0)))</f>
        <v/>
      </c>
      <c r="I127" s="9">
        <f>IF(K127="","",INDEX(Интервалы!$F$2:$F$513,MATCH(K127,Интервалы!$G$2:$G$513,0)))</f>
        <v/>
      </c>
      <c r="J127" s="9">
        <f>IF(K127="","",INDEX(Интервалы!$H$2:$H$513,MATCH(K127,Интервалы!$G$2:$G$513,0)))</f>
        <v/>
      </c>
      <c r="K127">
        <f>IFERROR(SMALL(Интервалы!$G$2:$G$513,121),"")</f>
        <v/>
      </c>
      <c r="L127">
        <f>IF(K127="","",INDEX(Интервалы!$B$2:$B$513,MATCH(K127,Интервалы!$G$2:$G$513,0)))</f>
        <v/>
      </c>
    </row>
    <row r="128">
      <c r="A128" s="5">
        <f>IF(K128="","",122)</f>
        <v/>
      </c>
      <c r="B128" s="5">
        <f>IF(K128="","",INDEX(Интервалы!$A$2:$A$513,MATCH(K128,Интервалы!$G$2:$G$513,0)))</f>
        <v/>
      </c>
      <c r="C128" s="17">
        <f>IF(K128="","",INDEX(Интервалы!$C$2:$C$513,MATCH(K128,Интервалы!$G$2:$G$513,0)))</f>
        <v/>
      </c>
      <c r="D128" s="17">
        <f>IF(K128="","",INDEX(Интервалы!$D$2:$D$513,MATCH(K128,Интервалы!$G$2:$G$513,0)))</f>
        <v/>
      </c>
      <c r="E128" s="5">
        <f>IF(K128="","",D128-C128+1)</f>
        <v/>
      </c>
      <c r="F128" s="9">
        <f>IF(K128="","",INDEX(Интервалы!$E$2:$E$513,MATCH(K128,Интервалы!$G$2:$G$513,0)))</f>
        <v/>
      </c>
      <c r="G128" s="5">
        <f>IF(K128="","",IF(H128=1,INDEX('По дням'!$B$2:$B$4000,MATCH(C128,'По дням'!$A$2:$A$4000,0)),"по периодам ставки"))</f>
        <v/>
      </c>
      <c r="H128" s="5">
        <f>IF(K128="","",INDEX(Интервалы!$I$2:$I$513,MATCH(K128,Интервалы!$G$2:$G$513,0)))</f>
        <v/>
      </c>
      <c r="I128" s="9">
        <f>IF(K128="","",INDEX(Интервалы!$F$2:$F$513,MATCH(K128,Интервалы!$G$2:$G$513,0)))</f>
        <v/>
      </c>
      <c r="J128" s="9">
        <f>IF(K128="","",INDEX(Интервалы!$H$2:$H$513,MATCH(K128,Интервалы!$G$2:$G$513,0)))</f>
        <v/>
      </c>
      <c r="K128">
        <f>IFERROR(SMALL(Интервалы!$G$2:$G$513,122),"")</f>
        <v/>
      </c>
      <c r="L128">
        <f>IF(K128="","",INDEX(Интервалы!$B$2:$B$513,MATCH(K128,Интервалы!$G$2:$G$513,0)))</f>
        <v/>
      </c>
    </row>
    <row r="129">
      <c r="A129" s="5">
        <f>IF(K129="","",123)</f>
        <v/>
      </c>
      <c r="B129" s="5">
        <f>IF(K129="","",INDEX(Интервалы!$A$2:$A$513,MATCH(K129,Интервалы!$G$2:$G$513,0)))</f>
        <v/>
      </c>
      <c r="C129" s="17">
        <f>IF(K129="","",INDEX(Интервалы!$C$2:$C$513,MATCH(K129,Интервалы!$G$2:$G$513,0)))</f>
        <v/>
      </c>
      <c r="D129" s="17">
        <f>IF(K129="","",INDEX(Интервалы!$D$2:$D$513,MATCH(K129,Интервалы!$G$2:$G$513,0)))</f>
        <v/>
      </c>
      <c r="E129" s="5">
        <f>IF(K129="","",D129-C129+1)</f>
        <v/>
      </c>
      <c r="F129" s="9">
        <f>IF(K129="","",INDEX(Интервалы!$E$2:$E$513,MATCH(K129,Интервалы!$G$2:$G$513,0)))</f>
        <v/>
      </c>
      <c r="G129" s="5">
        <f>IF(K129="","",IF(H129=1,INDEX('По дням'!$B$2:$B$4000,MATCH(C129,'По дням'!$A$2:$A$4000,0)),"по периодам ставки"))</f>
        <v/>
      </c>
      <c r="H129" s="5">
        <f>IF(K129="","",INDEX(Интервалы!$I$2:$I$513,MATCH(K129,Интервалы!$G$2:$G$513,0)))</f>
        <v/>
      </c>
      <c r="I129" s="9">
        <f>IF(K129="","",INDEX(Интервалы!$F$2:$F$513,MATCH(K129,Интервалы!$G$2:$G$513,0)))</f>
        <v/>
      </c>
      <c r="J129" s="9">
        <f>IF(K129="","",INDEX(Интервалы!$H$2:$H$513,MATCH(K129,Интервалы!$G$2:$G$513,0)))</f>
        <v/>
      </c>
      <c r="K129">
        <f>IFERROR(SMALL(Интервалы!$G$2:$G$513,123),"")</f>
        <v/>
      </c>
      <c r="L129">
        <f>IF(K129="","",INDEX(Интервалы!$B$2:$B$513,MATCH(K129,Интервалы!$G$2:$G$513,0)))</f>
        <v/>
      </c>
    </row>
    <row r="130">
      <c r="A130" s="5">
        <f>IF(K130="","",124)</f>
        <v/>
      </c>
      <c r="B130" s="5">
        <f>IF(K130="","",INDEX(Интервалы!$A$2:$A$513,MATCH(K130,Интервалы!$G$2:$G$513,0)))</f>
        <v/>
      </c>
      <c r="C130" s="17">
        <f>IF(K130="","",INDEX(Интервалы!$C$2:$C$513,MATCH(K130,Интервалы!$G$2:$G$513,0)))</f>
        <v/>
      </c>
      <c r="D130" s="17">
        <f>IF(K130="","",INDEX(Интервалы!$D$2:$D$513,MATCH(K130,Интервалы!$G$2:$G$513,0)))</f>
        <v/>
      </c>
      <c r="E130" s="5">
        <f>IF(K130="","",D130-C130+1)</f>
        <v/>
      </c>
      <c r="F130" s="9">
        <f>IF(K130="","",INDEX(Интервалы!$E$2:$E$513,MATCH(K130,Интервалы!$G$2:$G$513,0)))</f>
        <v/>
      </c>
      <c r="G130" s="5">
        <f>IF(K130="","",IF(H130=1,INDEX('По дням'!$B$2:$B$4000,MATCH(C130,'По дням'!$A$2:$A$4000,0)),"по периодам ставки"))</f>
        <v/>
      </c>
      <c r="H130" s="5">
        <f>IF(K130="","",INDEX(Интервалы!$I$2:$I$513,MATCH(K130,Интервалы!$G$2:$G$513,0)))</f>
        <v/>
      </c>
      <c r="I130" s="9">
        <f>IF(K130="","",INDEX(Интервалы!$F$2:$F$513,MATCH(K130,Интервалы!$G$2:$G$513,0)))</f>
        <v/>
      </c>
      <c r="J130" s="9">
        <f>IF(K130="","",INDEX(Интервалы!$H$2:$H$513,MATCH(K130,Интервалы!$G$2:$G$513,0)))</f>
        <v/>
      </c>
      <c r="K130">
        <f>IFERROR(SMALL(Интервалы!$G$2:$G$513,124),"")</f>
        <v/>
      </c>
      <c r="L130">
        <f>IF(K130="","",INDEX(Интервалы!$B$2:$B$513,MATCH(K130,Интервалы!$G$2:$G$513,0)))</f>
        <v/>
      </c>
    </row>
    <row r="131">
      <c r="A131" s="5">
        <f>IF(K131="","",125)</f>
        <v/>
      </c>
      <c r="B131" s="5">
        <f>IF(K131="","",INDEX(Интервалы!$A$2:$A$513,MATCH(K131,Интервалы!$G$2:$G$513,0)))</f>
        <v/>
      </c>
      <c r="C131" s="17">
        <f>IF(K131="","",INDEX(Интервалы!$C$2:$C$513,MATCH(K131,Интервалы!$G$2:$G$513,0)))</f>
        <v/>
      </c>
      <c r="D131" s="17">
        <f>IF(K131="","",INDEX(Интервалы!$D$2:$D$513,MATCH(K131,Интервалы!$G$2:$G$513,0)))</f>
        <v/>
      </c>
      <c r="E131" s="5">
        <f>IF(K131="","",D131-C131+1)</f>
        <v/>
      </c>
      <c r="F131" s="9">
        <f>IF(K131="","",INDEX(Интервалы!$E$2:$E$513,MATCH(K131,Интервалы!$G$2:$G$513,0)))</f>
        <v/>
      </c>
      <c r="G131" s="5">
        <f>IF(K131="","",IF(H131=1,INDEX('По дням'!$B$2:$B$4000,MATCH(C131,'По дням'!$A$2:$A$4000,0)),"по периодам ставки"))</f>
        <v/>
      </c>
      <c r="H131" s="5">
        <f>IF(K131="","",INDEX(Интервалы!$I$2:$I$513,MATCH(K131,Интервалы!$G$2:$G$513,0)))</f>
        <v/>
      </c>
      <c r="I131" s="9">
        <f>IF(K131="","",INDEX(Интервалы!$F$2:$F$513,MATCH(K131,Интервалы!$G$2:$G$513,0)))</f>
        <v/>
      </c>
      <c r="J131" s="9">
        <f>IF(K131="","",INDEX(Интервалы!$H$2:$H$513,MATCH(K131,Интервалы!$G$2:$G$513,0)))</f>
        <v/>
      </c>
      <c r="K131">
        <f>IFERROR(SMALL(Интервалы!$G$2:$G$513,125),"")</f>
        <v/>
      </c>
      <c r="L131">
        <f>IF(K131="","",INDEX(Интервалы!$B$2:$B$513,MATCH(K131,Интервалы!$G$2:$G$513,0)))</f>
        <v/>
      </c>
    </row>
    <row r="132">
      <c r="A132" s="5">
        <f>IF(K132="","",126)</f>
        <v/>
      </c>
      <c r="B132" s="5">
        <f>IF(K132="","",INDEX(Интервалы!$A$2:$A$513,MATCH(K132,Интервалы!$G$2:$G$513,0)))</f>
        <v/>
      </c>
      <c r="C132" s="17">
        <f>IF(K132="","",INDEX(Интервалы!$C$2:$C$513,MATCH(K132,Интервалы!$G$2:$G$513,0)))</f>
        <v/>
      </c>
      <c r="D132" s="17">
        <f>IF(K132="","",INDEX(Интервалы!$D$2:$D$513,MATCH(K132,Интервалы!$G$2:$G$513,0)))</f>
        <v/>
      </c>
      <c r="E132" s="5">
        <f>IF(K132="","",D132-C132+1)</f>
        <v/>
      </c>
      <c r="F132" s="9">
        <f>IF(K132="","",INDEX(Интервалы!$E$2:$E$513,MATCH(K132,Интервалы!$G$2:$G$513,0)))</f>
        <v/>
      </c>
      <c r="G132" s="5">
        <f>IF(K132="","",IF(H132=1,INDEX('По дням'!$B$2:$B$4000,MATCH(C132,'По дням'!$A$2:$A$4000,0)),"по периодам ставки"))</f>
        <v/>
      </c>
      <c r="H132" s="5">
        <f>IF(K132="","",INDEX(Интервалы!$I$2:$I$513,MATCH(K132,Интервалы!$G$2:$G$513,0)))</f>
        <v/>
      </c>
      <c r="I132" s="9">
        <f>IF(K132="","",INDEX(Интервалы!$F$2:$F$513,MATCH(K132,Интервалы!$G$2:$G$513,0)))</f>
        <v/>
      </c>
      <c r="J132" s="9">
        <f>IF(K132="","",INDEX(Интервалы!$H$2:$H$513,MATCH(K132,Интервалы!$G$2:$G$513,0)))</f>
        <v/>
      </c>
      <c r="K132">
        <f>IFERROR(SMALL(Интервалы!$G$2:$G$513,126),"")</f>
        <v/>
      </c>
      <c r="L132">
        <f>IF(K132="","",INDEX(Интервалы!$B$2:$B$513,MATCH(K132,Интервалы!$G$2:$G$513,0)))</f>
        <v/>
      </c>
    </row>
    <row r="133">
      <c r="A133" s="5">
        <f>IF(K133="","",127)</f>
        <v/>
      </c>
      <c r="B133" s="5">
        <f>IF(K133="","",INDEX(Интервалы!$A$2:$A$513,MATCH(K133,Интервалы!$G$2:$G$513,0)))</f>
        <v/>
      </c>
      <c r="C133" s="17">
        <f>IF(K133="","",INDEX(Интервалы!$C$2:$C$513,MATCH(K133,Интервалы!$G$2:$G$513,0)))</f>
        <v/>
      </c>
      <c r="D133" s="17">
        <f>IF(K133="","",INDEX(Интервалы!$D$2:$D$513,MATCH(K133,Интервалы!$G$2:$G$513,0)))</f>
        <v/>
      </c>
      <c r="E133" s="5">
        <f>IF(K133="","",D133-C133+1)</f>
        <v/>
      </c>
      <c r="F133" s="9">
        <f>IF(K133="","",INDEX(Интервалы!$E$2:$E$513,MATCH(K133,Интервалы!$G$2:$G$513,0)))</f>
        <v/>
      </c>
      <c r="G133" s="5">
        <f>IF(K133="","",IF(H133=1,INDEX('По дням'!$B$2:$B$4000,MATCH(C133,'По дням'!$A$2:$A$4000,0)),"по периодам ставки"))</f>
        <v/>
      </c>
      <c r="H133" s="5">
        <f>IF(K133="","",INDEX(Интервалы!$I$2:$I$513,MATCH(K133,Интервалы!$G$2:$G$513,0)))</f>
        <v/>
      </c>
      <c r="I133" s="9">
        <f>IF(K133="","",INDEX(Интервалы!$F$2:$F$513,MATCH(K133,Интервалы!$G$2:$G$513,0)))</f>
        <v/>
      </c>
      <c r="J133" s="9">
        <f>IF(K133="","",INDEX(Интервалы!$H$2:$H$513,MATCH(K133,Интервалы!$G$2:$G$513,0)))</f>
        <v/>
      </c>
      <c r="K133">
        <f>IFERROR(SMALL(Интервалы!$G$2:$G$513,127),"")</f>
        <v/>
      </c>
      <c r="L133">
        <f>IF(K133="","",INDEX(Интервалы!$B$2:$B$513,MATCH(K133,Интервалы!$G$2:$G$513,0)))</f>
        <v/>
      </c>
    </row>
    <row r="134">
      <c r="A134" s="5">
        <f>IF(K134="","",128)</f>
        <v/>
      </c>
      <c r="B134" s="5">
        <f>IF(K134="","",INDEX(Интервалы!$A$2:$A$513,MATCH(K134,Интервалы!$G$2:$G$513,0)))</f>
        <v/>
      </c>
      <c r="C134" s="17">
        <f>IF(K134="","",INDEX(Интервалы!$C$2:$C$513,MATCH(K134,Интервалы!$G$2:$G$513,0)))</f>
        <v/>
      </c>
      <c r="D134" s="17">
        <f>IF(K134="","",INDEX(Интервалы!$D$2:$D$513,MATCH(K134,Интервалы!$G$2:$G$513,0)))</f>
        <v/>
      </c>
      <c r="E134" s="5">
        <f>IF(K134="","",D134-C134+1)</f>
        <v/>
      </c>
      <c r="F134" s="9">
        <f>IF(K134="","",INDEX(Интервалы!$E$2:$E$513,MATCH(K134,Интервалы!$G$2:$G$513,0)))</f>
        <v/>
      </c>
      <c r="G134" s="5">
        <f>IF(K134="","",IF(H134=1,INDEX('По дням'!$B$2:$B$4000,MATCH(C134,'По дням'!$A$2:$A$4000,0)),"по периодам ставки"))</f>
        <v/>
      </c>
      <c r="H134" s="5">
        <f>IF(K134="","",INDEX(Интервалы!$I$2:$I$513,MATCH(K134,Интервалы!$G$2:$G$513,0)))</f>
        <v/>
      </c>
      <c r="I134" s="9">
        <f>IF(K134="","",INDEX(Интервалы!$F$2:$F$513,MATCH(K134,Интервалы!$G$2:$G$513,0)))</f>
        <v/>
      </c>
      <c r="J134" s="9">
        <f>IF(K134="","",INDEX(Интервалы!$H$2:$H$513,MATCH(K134,Интервалы!$G$2:$G$513,0)))</f>
        <v/>
      </c>
      <c r="K134">
        <f>IFERROR(SMALL(Интервалы!$G$2:$G$513,128),"")</f>
        <v/>
      </c>
      <c r="L134">
        <f>IF(K134="","",INDEX(Интервалы!$B$2:$B$513,MATCH(K134,Интервалы!$G$2:$G$513,0)))</f>
        <v/>
      </c>
    </row>
    <row r="135">
      <c r="A135" s="5">
        <f>IF(K135="","",129)</f>
        <v/>
      </c>
      <c r="B135" s="5">
        <f>IF(K135="","",INDEX(Интервалы!$A$2:$A$513,MATCH(K135,Интервалы!$G$2:$G$513,0)))</f>
        <v/>
      </c>
      <c r="C135" s="17">
        <f>IF(K135="","",INDEX(Интервалы!$C$2:$C$513,MATCH(K135,Интервалы!$G$2:$G$513,0)))</f>
        <v/>
      </c>
      <c r="D135" s="17">
        <f>IF(K135="","",INDEX(Интервалы!$D$2:$D$513,MATCH(K135,Интервалы!$G$2:$G$513,0)))</f>
        <v/>
      </c>
      <c r="E135" s="5">
        <f>IF(K135="","",D135-C135+1)</f>
        <v/>
      </c>
      <c r="F135" s="9">
        <f>IF(K135="","",INDEX(Интервалы!$E$2:$E$513,MATCH(K135,Интервалы!$G$2:$G$513,0)))</f>
        <v/>
      </c>
      <c r="G135" s="5">
        <f>IF(K135="","",IF(H135=1,INDEX('По дням'!$B$2:$B$4000,MATCH(C135,'По дням'!$A$2:$A$4000,0)),"по периодам ставки"))</f>
        <v/>
      </c>
      <c r="H135" s="5">
        <f>IF(K135="","",INDEX(Интервалы!$I$2:$I$513,MATCH(K135,Интервалы!$G$2:$G$513,0)))</f>
        <v/>
      </c>
      <c r="I135" s="9">
        <f>IF(K135="","",INDEX(Интервалы!$F$2:$F$513,MATCH(K135,Интервалы!$G$2:$G$513,0)))</f>
        <v/>
      </c>
      <c r="J135" s="9">
        <f>IF(K135="","",INDEX(Интервалы!$H$2:$H$513,MATCH(K135,Интервалы!$G$2:$G$513,0)))</f>
        <v/>
      </c>
      <c r="K135">
        <f>IFERROR(SMALL(Интервалы!$G$2:$G$513,129),"")</f>
        <v/>
      </c>
      <c r="L135">
        <f>IF(K135="","",INDEX(Интервалы!$B$2:$B$513,MATCH(K135,Интервалы!$G$2:$G$513,0)))</f>
        <v/>
      </c>
    </row>
    <row r="136">
      <c r="A136" s="5">
        <f>IF(K136="","",130)</f>
        <v/>
      </c>
      <c r="B136" s="5">
        <f>IF(K136="","",INDEX(Интервалы!$A$2:$A$513,MATCH(K136,Интервалы!$G$2:$G$513,0)))</f>
        <v/>
      </c>
      <c r="C136" s="17">
        <f>IF(K136="","",INDEX(Интервалы!$C$2:$C$513,MATCH(K136,Интервалы!$G$2:$G$513,0)))</f>
        <v/>
      </c>
      <c r="D136" s="17">
        <f>IF(K136="","",INDEX(Интервалы!$D$2:$D$513,MATCH(K136,Интервалы!$G$2:$G$513,0)))</f>
        <v/>
      </c>
      <c r="E136" s="5">
        <f>IF(K136="","",D136-C136+1)</f>
        <v/>
      </c>
      <c r="F136" s="9">
        <f>IF(K136="","",INDEX(Интервалы!$E$2:$E$513,MATCH(K136,Интервалы!$G$2:$G$513,0)))</f>
        <v/>
      </c>
      <c r="G136" s="5">
        <f>IF(K136="","",IF(H136=1,INDEX('По дням'!$B$2:$B$4000,MATCH(C136,'По дням'!$A$2:$A$4000,0)),"по периодам ставки"))</f>
        <v/>
      </c>
      <c r="H136" s="5">
        <f>IF(K136="","",INDEX(Интервалы!$I$2:$I$513,MATCH(K136,Интервалы!$G$2:$G$513,0)))</f>
        <v/>
      </c>
      <c r="I136" s="9">
        <f>IF(K136="","",INDEX(Интервалы!$F$2:$F$513,MATCH(K136,Интервалы!$G$2:$G$513,0)))</f>
        <v/>
      </c>
      <c r="J136" s="9">
        <f>IF(K136="","",INDEX(Интервалы!$H$2:$H$513,MATCH(K136,Интервалы!$G$2:$G$513,0)))</f>
        <v/>
      </c>
      <c r="K136">
        <f>IFERROR(SMALL(Интервалы!$G$2:$G$513,130),"")</f>
        <v/>
      </c>
      <c r="L136">
        <f>IF(K136="","",INDEX(Интервалы!$B$2:$B$513,MATCH(K136,Интервалы!$G$2:$G$513,0)))</f>
        <v/>
      </c>
    </row>
    <row r="137">
      <c r="A137" s="5">
        <f>IF(K137="","",131)</f>
        <v/>
      </c>
      <c r="B137" s="5">
        <f>IF(K137="","",INDEX(Интервалы!$A$2:$A$513,MATCH(K137,Интервалы!$G$2:$G$513,0)))</f>
        <v/>
      </c>
      <c r="C137" s="17">
        <f>IF(K137="","",INDEX(Интервалы!$C$2:$C$513,MATCH(K137,Интервалы!$G$2:$G$513,0)))</f>
        <v/>
      </c>
      <c r="D137" s="17">
        <f>IF(K137="","",INDEX(Интервалы!$D$2:$D$513,MATCH(K137,Интервалы!$G$2:$G$513,0)))</f>
        <v/>
      </c>
      <c r="E137" s="5">
        <f>IF(K137="","",D137-C137+1)</f>
        <v/>
      </c>
      <c r="F137" s="9">
        <f>IF(K137="","",INDEX(Интервалы!$E$2:$E$513,MATCH(K137,Интервалы!$G$2:$G$513,0)))</f>
        <v/>
      </c>
      <c r="G137" s="5">
        <f>IF(K137="","",IF(H137=1,INDEX('По дням'!$B$2:$B$4000,MATCH(C137,'По дням'!$A$2:$A$4000,0)),"по периодам ставки"))</f>
        <v/>
      </c>
      <c r="H137" s="5">
        <f>IF(K137="","",INDEX(Интервалы!$I$2:$I$513,MATCH(K137,Интервалы!$G$2:$G$513,0)))</f>
        <v/>
      </c>
      <c r="I137" s="9">
        <f>IF(K137="","",INDEX(Интервалы!$F$2:$F$513,MATCH(K137,Интервалы!$G$2:$G$513,0)))</f>
        <v/>
      </c>
      <c r="J137" s="9">
        <f>IF(K137="","",INDEX(Интервалы!$H$2:$H$513,MATCH(K137,Интервалы!$G$2:$G$513,0)))</f>
        <v/>
      </c>
      <c r="K137">
        <f>IFERROR(SMALL(Интервалы!$G$2:$G$513,131),"")</f>
        <v/>
      </c>
      <c r="L137">
        <f>IF(K137="","",INDEX(Интервалы!$B$2:$B$513,MATCH(K137,Интервалы!$G$2:$G$513,0)))</f>
        <v/>
      </c>
    </row>
    <row r="138">
      <c r="A138" s="5">
        <f>IF(K138="","",132)</f>
        <v/>
      </c>
      <c r="B138" s="5">
        <f>IF(K138="","",INDEX(Интервалы!$A$2:$A$513,MATCH(K138,Интервалы!$G$2:$G$513,0)))</f>
        <v/>
      </c>
      <c r="C138" s="17">
        <f>IF(K138="","",INDEX(Интервалы!$C$2:$C$513,MATCH(K138,Интервалы!$G$2:$G$513,0)))</f>
        <v/>
      </c>
      <c r="D138" s="17">
        <f>IF(K138="","",INDEX(Интервалы!$D$2:$D$513,MATCH(K138,Интервалы!$G$2:$G$513,0)))</f>
        <v/>
      </c>
      <c r="E138" s="5">
        <f>IF(K138="","",D138-C138+1)</f>
        <v/>
      </c>
      <c r="F138" s="9">
        <f>IF(K138="","",INDEX(Интервалы!$E$2:$E$513,MATCH(K138,Интервалы!$G$2:$G$513,0)))</f>
        <v/>
      </c>
      <c r="G138" s="5">
        <f>IF(K138="","",IF(H138=1,INDEX('По дням'!$B$2:$B$4000,MATCH(C138,'По дням'!$A$2:$A$4000,0)),"по периодам ставки"))</f>
        <v/>
      </c>
      <c r="H138" s="5">
        <f>IF(K138="","",INDEX(Интервалы!$I$2:$I$513,MATCH(K138,Интервалы!$G$2:$G$513,0)))</f>
        <v/>
      </c>
      <c r="I138" s="9">
        <f>IF(K138="","",INDEX(Интервалы!$F$2:$F$513,MATCH(K138,Интервалы!$G$2:$G$513,0)))</f>
        <v/>
      </c>
      <c r="J138" s="9">
        <f>IF(K138="","",INDEX(Интервалы!$H$2:$H$513,MATCH(K138,Интервалы!$G$2:$G$513,0)))</f>
        <v/>
      </c>
      <c r="K138">
        <f>IFERROR(SMALL(Интервалы!$G$2:$G$513,132),"")</f>
        <v/>
      </c>
      <c r="L138">
        <f>IF(K138="","",INDEX(Интервалы!$B$2:$B$513,MATCH(K138,Интервалы!$G$2:$G$513,0)))</f>
        <v/>
      </c>
    </row>
    <row r="139">
      <c r="A139" s="5">
        <f>IF(K139="","",133)</f>
        <v/>
      </c>
      <c r="B139" s="5">
        <f>IF(K139="","",INDEX(Интервалы!$A$2:$A$513,MATCH(K139,Интервалы!$G$2:$G$513,0)))</f>
        <v/>
      </c>
      <c r="C139" s="17">
        <f>IF(K139="","",INDEX(Интервалы!$C$2:$C$513,MATCH(K139,Интервалы!$G$2:$G$513,0)))</f>
        <v/>
      </c>
      <c r="D139" s="17">
        <f>IF(K139="","",INDEX(Интервалы!$D$2:$D$513,MATCH(K139,Интервалы!$G$2:$G$513,0)))</f>
        <v/>
      </c>
      <c r="E139" s="5">
        <f>IF(K139="","",D139-C139+1)</f>
        <v/>
      </c>
      <c r="F139" s="9">
        <f>IF(K139="","",INDEX(Интервалы!$E$2:$E$513,MATCH(K139,Интервалы!$G$2:$G$513,0)))</f>
        <v/>
      </c>
      <c r="G139" s="5">
        <f>IF(K139="","",IF(H139=1,INDEX('По дням'!$B$2:$B$4000,MATCH(C139,'По дням'!$A$2:$A$4000,0)),"по периодам ставки"))</f>
        <v/>
      </c>
      <c r="H139" s="5">
        <f>IF(K139="","",INDEX(Интервалы!$I$2:$I$513,MATCH(K139,Интервалы!$G$2:$G$513,0)))</f>
        <v/>
      </c>
      <c r="I139" s="9">
        <f>IF(K139="","",INDEX(Интервалы!$F$2:$F$513,MATCH(K139,Интервалы!$G$2:$G$513,0)))</f>
        <v/>
      </c>
      <c r="J139" s="9">
        <f>IF(K139="","",INDEX(Интервалы!$H$2:$H$513,MATCH(K139,Интервалы!$G$2:$G$513,0)))</f>
        <v/>
      </c>
      <c r="K139">
        <f>IFERROR(SMALL(Интервалы!$G$2:$G$513,133),"")</f>
        <v/>
      </c>
      <c r="L139">
        <f>IF(K139="","",INDEX(Интервалы!$B$2:$B$513,MATCH(K139,Интервалы!$G$2:$G$513,0)))</f>
        <v/>
      </c>
    </row>
    <row r="140">
      <c r="A140" s="5">
        <f>IF(K140="","",134)</f>
        <v/>
      </c>
      <c r="B140" s="5">
        <f>IF(K140="","",INDEX(Интервалы!$A$2:$A$513,MATCH(K140,Интервалы!$G$2:$G$513,0)))</f>
        <v/>
      </c>
      <c r="C140" s="17">
        <f>IF(K140="","",INDEX(Интервалы!$C$2:$C$513,MATCH(K140,Интервалы!$G$2:$G$513,0)))</f>
        <v/>
      </c>
      <c r="D140" s="17">
        <f>IF(K140="","",INDEX(Интервалы!$D$2:$D$513,MATCH(K140,Интервалы!$G$2:$G$513,0)))</f>
        <v/>
      </c>
      <c r="E140" s="5">
        <f>IF(K140="","",D140-C140+1)</f>
        <v/>
      </c>
      <c r="F140" s="9">
        <f>IF(K140="","",INDEX(Интервалы!$E$2:$E$513,MATCH(K140,Интервалы!$G$2:$G$513,0)))</f>
        <v/>
      </c>
      <c r="G140" s="5">
        <f>IF(K140="","",IF(H140=1,INDEX('По дням'!$B$2:$B$4000,MATCH(C140,'По дням'!$A$2:$A$4000,0)),"по периодам ставки"))</f>
        <v/>
      </c>
      <c r="H140" s="5">
        <f>IF(K140="","",INDEX(Интервалы!$I$2:$I$513,MATCH(K140,Интервалы!$G$2:$G$513,0)))</f>
        <v/>
      </c>
      <c r="I140" s="9">
        <f>IF(K140="","",INDEX(Интервалы!$F$2:$F$513,MATCH(K140,Интервалы!$G$2:$G$513,0)))</f>
        <v/>
      </c>
      <c r="J140" s="9">
        <f>IF(K140="","",INDEX(Интервалы!$H$2:$H$513,MATCH(K140,Интервалы!$G$2:$G$513,0)))</f>
        <v/>
      </c>
      <c r="K140">
        <f>IFERROR(SMALL(Интервалы!$G$2:$G$513,134),"")</f>
        <v/>
      </c>
      <c r="L140">
        <f>IF(K140="","",INDEX(Интервалы!$B$2:$B$513,MATCH(K140,Интервалы!$G$2:$G$513,0)))</f>
        <v/>
      </c>
    </row>
    <row r="141">
      <c r="A141" s="5">
        <f>IF(K141="","",135)</f>
        <v/>
      </c>
      <c r="B141" s="5">
        <f>IF(K141="","",INDEX(Интервалы!$A$2:$A$513,MATCH(K141,Интервалы!$G$2:$G$513,0)))</f>
        <v/>
      </c>
      <c r="C141" s="17">
        <f>IF(K141="","",INDEX(Интервалы!$C$2:$C$513,MATCH(K141,Интервалы!$G$2:$G$513,0)))</f>
        <v/>
      </c>
      <c r="D141" s="17">
        <f>IF(K141="","",INDEX(Интервалы!$D$2:$D$513,MATCH(K141,Интервалы!$G$2:$G$513,0)))</f>
        <v/>
      </c>
      <c r="E141" s="5">
        <f>IF(K141="","",D141-C141+1)</f>
        <v/>
      </c>
      <c r="F141" s="9">
        <f>IF(K141="","",INDEX(Интервалы!$E$2:$E$513,MATCH(K141,Интервалы!$G$2:$G$513,0)))</f>
        <v/>
      </c>
      <c r="G141" s="5">
        <f>IF(K141="","",IF(H141=1,INDEX('По дням'!$B$2:$B$4000,MATCH(C141,'По дням'!$A$2:$A$4000,0)),"по периодам ставки"))</f>
        <v/>
      </c>
      <c r="H141" s="5">
        <f>IF(K141="","",INDEX(Интервалы!$I$2:$I$513,MATCH(K141,Интервалы!$G$2:$G$513,0)))</f>
        <v/>
      </c>
      <c r="I141" s="9">
        <f>IF(K141="","",INDEX(Интервалы!$F$2:$F$513,MATCH(K141,Интервалы!$G$2:$G$513,0)))</f>
        <v/>
      </c>
      <c r="J141" s="9">
        <f>IF(K141="","",INDEX(Интервалы!$H$2:$H$513,MATCH(K141,Интервалы!$G$2:$G$513,0)))</f>
        <v/>
      </c>
      <c r="K141">
        <f>IFERROR(SMALL(Интервалы!$G$2:$G$513,135),"")</f>
        <v/>
      </c>
      <c r="L141">
        <f>IF(K141="","",INDEX(Интервалы!$B$2:$B$513,MATCH(K141,Интервалы!$G$2:$G$513,0)))</f>
        <v/>
      </c>
    </row>
    <row r="142">
      <c r="A142" s="5">
        <f>IF(K142="","",136)</f>
        <v/>
      </c>
      <c r="B142" s="5">
        <f>IF(K142="","",INDEX(Интервалы!$A$2:$A$513,MATCH(K142,Интервалы!$G$2:$G$513,0)))</f>
        <v/>
      </c>
      <c r="C142" s="17">
        <f>IF(K142="","",INDEX(Интервалы!$C$2:$C$513,MATCH(K142,Интервалы!$G$2:$G$513,0)))</f>
        <v/>
      </c>
      <c r="D142" s="17">
        <f>IF(K142="","",INDEX(Интервалы!$D$2:$D$513,MATCH(K142,Интервалы!$G$2:$G$513,0)))</f>
        <v/>
      </c>
      <c r="E142" s="5">
        <f>IF(K142="","",D142-C142+1)</f>
        <v/>
      </c>
      <c r="F142" s="9">
        <f>IF(K142="","",INDEX(Интервалы!$E$2:$E$513,MATCH(K142,Интервалы!$G$2:$G$513,0)))</f>
        <v/>
      </c>
      <c r="G142" s="5">
        <f>IF(K142="","",IF(H142=1,INDEX('По дням'!$B$2:$B$4000,MATCH(C142,'По дням'!$A$2:$A$4000,0)),"по периодам ставки"))</f>
        <v/>
      </c>
      <c r="H142" s="5">
        <f>IF(K142="","",INDEX(Интервалы!$I$2:$I$513,MATCH(K142,Интервалы!$G$2:$G$513,0)))</f>
        <v/>
      </c>
      <c r="I142" s="9">
        <f>IF(K142="","",INDEX(Интервалы!$F$2:$F$513,MATCH(K142,Интервалы!$G$2:$G$513,0)))</f>
        <v/>
      </c>
      <c r="J142" s="9">
        <f>IF(K142="","",INDEX(Интервалы!$H$2:$H$513,MATCH(K142,Интервалы!$G$2:$G$513,0)))</f>
        <v/>
      </c>
      <c r="K142">
        <f>IFERROR(SMALL(Интервалы!$G$2:$G$513,136),"")</f>
        <v/>
      </c>
      <c r="L142">
        <f>IF(K142="","",INDEX(Интервалы!$B$2:$B$513,MATCH(K142,Интервалы!$G$2:$G$513,0)))</f>
        <v/>
      </c>
    </row>
    <row r="143">
      <c r="A143" s="5">
        <f>IF(K143="","",137)</f>
        <v/>
      </c>
      <c r="B143" s="5">
        <f>IF(K143="","",INDEX(Интервалы!$A$2:$A$513,MATCH(K143,Интервалы!$G$2:$G$513,0)))</f>
        <v/>
      </c>
      <c r="C143" s="17">
        <f>IF(K143="","",INDEX(Интервалы!$C$2:$C$513,MATCH(K143,Интервалы!$G$2:$G$513,0)))</f>
        <v/>
      </c>
      <c r="D143" s="17">
        <f>IF(K143="","",INDEX(Интервалы!$D$2:$D$513,MATCH(K143,Интервалы!$G$2:$G$513,0)))</f>
        <v/>
      </c>
      <c r="E143" s="5">
        <f>IF(K143="","",D143-C143+1)</f>
        <v/>
      </c>
      <c r="F143" s="9">
        <f>IF(K143="","",INDEX(Интервалы!$E$2:$E$513,MATCH(K143,Интервалы!$G$2:$G$513,0)))</f>
        <v/>
      </c>
      <c r="G143" s="5">
        <f>IF(K143="","",IF(H143=1,INDEX('По дням'!$B$2:$B$4000,MATCH(C143,'По дням'!$A$2:$A$4000,0)),"по периодам ставки"))</f>
        <v/>
      </c>
      <c r="H143" s="5">
        <f>IF(K143="","",INDEX(Интервалы!$I$2:$I$513,MATCH(K143,Интервалы!$G$2:$G$513,0)))</f>
        <v/>
      </c>
      <c r="I143" s="9">
        <f>IF(K143="","",INDEX(Интервалы!$F$2:$F$513,MATCH(K143,Интервалы!$G$2:$G$513,0)))</f>
        <v/>
      </c>
      <c r="J143" s="9">
        <f>IF(K143="","",INDEX(Интервалы!$H$2:$H$513,MATCH(K143,Интервалы!$G$2:$G$513,0)))</f>
        <v/>
      </c>
      <c r="K143">
        <f>IFERROR(SMALL(Интервалы!$G$2:$G$513,137),"")</f>
        <v/>
      </c>
      <c r="L143">
        <f>IF(K143="","",INDEX(Интервалы!$B$2:$B$513,MATCH(K143,Интервалы!$G$2:$G$513,0)))</f>
        <v/>
      </c>
    </row>
    <row r="144">
      <c r="A144" s="5">
        <f>IF(K144="","",138)</f>
        <v/>
      </c>
      <c r="B144" s="5">
        <f>IF(K144="","",INDEX(Интервалы!$A$2:$A$513,MATCH(K144,Интервалы!$G$2:$G$513,0)))</f>
        <v/>
      </c>
      <c r="C144" s="17">
        <f>IF(K144="","",INDEX(Интервалы!$C$2:$C$513,MATCH(K144,Интервалы!$G$2:$G$513,0)))</f>
        <v/>
      </c>
      <c r="D144" s="17">
        <f>IF(K144="","",INDEX(Интервалы!$D$2:$D$513,MATCH(K144,Интервалы!$G$2:$G$513,0)))</f>
        <v/>
      </c>
      <c r="E144" s="5">
        <f>IF(K144="","",D144-C144+1)</f>
        <v/>
      </c>
      <c r="F144" s="9">
        <f>IF(K144="","",INDEX(Интервалы!$E$2:$E$513,MATCH(K144,Интервалы!$G$2:$G$513,0)))</f>
        <v/>
      </c>
      <c r="G144" s="5">
        <f>IF(K144="","",IF(H144=1,INDEX('По дням'!$B$2:$B$4000,MATCH(C144,'По дням'!$A$2:$A$4000,0)),"по периодам ставки"))</f>
        <v/>
      </c>
      <c r="H144" s="5">
        <f>IF(K144="","",INDEX(Интервалы!$I$2:$I$513,MATCH(K144,Интервалы!$G$2:$G$513,0)))</f>
        <v/>
      </c>
      <c r="I144" s="9">
        <f>IF(K144="","",INDEX(Интервалы!$F$2:$F$513,MATCH(K144,Интервалы!$G$2:$G$513,0)))</f>
        <v/>
      </c>
      <c r="J144" s="9">
        <f>IF(K144="","",INDEX(Интервалы!$H$2:$H$513,MATCH(K144,Интервалы!$G$2:$G$513,0)))</f>
        <v/>
      </c>
      <c r="K144">
        <f>IFERROR(SMALL(Интервалы!$G$2:$G$513,138),"")</f>
        <v/>
      </c>
      <c r="L144">
        <f>IF(K144="","",INDEX(Интервалы!$B$2:$B$513,MATCH(K144,Интервалы!$G$2:$G$513,0)))</f>
        <v/>
      </c>
    </row>
    <row r="145">
      <c r="A145" s="5">
        <f>IF(K145="","",139)</f>
        <v/>
      </c>
      <c r="B145" s="5">
        <f>IF(K145="","",INDEX(Интервалы!$A$2:$A$513,MATCH(K145,Интервалы!$G$2:$G$513,0)))</f>
        <v/>
      </c>
      <c r="C145" s="17">
        <f>IF(K145="","",INDEX(Интервалы!$C$2:$C$513,MATCH(K145,Интервалы!$G$2:$G$513,0)))</f>
        <v/>
      </c>
      <c r="D145" s="17">
        <f>IF(K145="","",INDEX(Интервалы!$D$2:$D$513,MATCH(K145,Интервалы!$G$2:$G$513,0)))</f>
        <v/>
      </c>
      <c r="E145" s="5">
        <f>IF(K145="","",D145-C145+1)</f>
        <v/>
      </c>
      <c r="F145" s="9">
        <f>IF(K145="","",INDEX(Интервалы!$E$2:$E$513,MATCH(K145,Интервалы!$G$2:$G$513,0)))</f>
        <v/>
      </c>
      <c r="G145" s="5">
        <f>IF(K145="","",IF(H145=1,INDEX('По дням'!$B$2:$B$4000,MATCH(C145,'По дням'!$A$2:$A$4000,0)),"по периодам ставки"))</f>
        <v/>
      </c>
      <c r="H145" s="5">
        <f>IF(K145="","",INDEX(Интервалы!$I$2:$I$513,MATCH(K145,Интервалы!$G$2:$G$513,0)))</f>
        <v/>
      </c>
      <c r="I145" s="9">
        <f>IF(K145="","",INDEX(Интервалы!$F$2:$F$513,MATCH(K145,Интервалы!$G$2:$G$513,0)))</f>
        <v/>
      </c>
      <c r="J145" s="9">
        <f>IF(K145="","",INDEX(Интервалы!$H$2:$H$513,MATCH(K145,Интервалы!$G$2:$G$513,0)))</f>
        <v/>
      </c>
      <c r="K145">
        <f>IFERROR(SMALL(Интервалы!$G$2:$G$513,139),"")</f>
        <v/>
      </c>
      <c r="L145">
        <f>IF(K145="","",INDEX(Интервалы!$B$2:$B$513,MATCH(K145,Интервалы!$G$2:$G$513,0)))</f>
        <v/>
      </c>
    </row>
    <row r="146">
      <c r="A146" s="5">
        <f>IF(K146="","",140)</f>
        <v/>
      </c>
      <c r="B146" s="5">
        <f>IF(K146="","",INDEX(Интервалы!$A$2:$A$513,MATCH(K146,Интервалы!$G$2:$G$513,0)))</f>
        <v/>
      </c>
      <c r="C146" s="17">
        <f>IF(K146="","",INDEX(Интервалы!$C$2:$C$513,MATCH(K146,Интервалы!$G$2:$G$513,0)))</f>
        <v/>
      </c>
      <c r="D146" s="17">
        <f>IF(K146="","",INDEX(Интервалы!$D$2:$D$513,MATCH(K146,Интервалы!$G$2:$G$513,0)))</f>
        <v/>
      </c>
      <c r="E146" s="5">
        <f>IF(K146="","",D146-C146+1)</f>
        <v/>
      </c>
      <c r="F146" s="9">
        <f>IF(K146="","",INDEX(Интервалы!$E$2:$E$513,MATCH(K146,Интервалы!$G$2:$G$513,0)))</f>
        <v/>
      </c>
      <c r="G146" s="5">
        <f>IF(K146="","",IF(H146=1,INDEX('По дням'!$B$2:$B$4000,MATCH(C146,'По дням'!$A$2:$A$4000,0)),"по периодам ставки"))</f>
        <v/>
      </c>
      <c r="H146" s="5">
        <f>IF(K146="","",INDEX(Интервалы!$I$2:$I$513,MATCH(K146,Интервалы!$G$2:$G$513,0)))</f>
        <v/>
      </c>
      <c r="I146" s="9">
        <f>IF(K146="","",INDEX(Интервалы!$F$2:$F$513,MATCH(K146,Интервалы!$G$2:$G$513,0)))</f>
        <v/>
      </c>
      <c r="J146" s="9">
        <f>IF(K146="","",INDEX(Интервалы!$H$2:$H$513,MATCH(K146,Интервалы!$G$2:$G$513,0)))</f>
        <v/>
      </c>
      <c r="K146">
        <f>IFERROR(SMALL(Интервалы!$G$2:$G$513,140),"")</f>
        <v/>
      </c>
      <c r="L146">
        <f>IF(K146="","",INDEX(Интервалы!$B$2:$B$513,MATCH(K146,Интервалы!$G$2:$G$513,0)))</f>
        <v/>
      </c>
    </row>
    <row r="147">
      <c r="A147" s="5">
        <f>IF(K147="","",141)</f>
        <v/>
      </c>
      <c r="B147" s="5">
        <f>IF(K147="","",INDEX(Интервалы!$A$2:$A$513,MATCH(K147,Интервалы!$G$2:$G$513,0)))</f>
        <v/>
      </c>
      <c r="C147" s="17">
        <f>IF(K147="","",INDEX(Интервалы!$C$2:$C$513,MATCH(K147,Интервалы!$G$2:$G$513,0)))</f>
        <v/>
      </c>
      <c r="D147" s="17">
        <f>IF(K147="","",INDEX(Интервалы!$D$2:$D$513,MATCH(K147,Интервалы!$G$2:$G$513,0)))</f>
        <v/>
      </c>
      <c r="E147" s="5">
        <f>IF(K147="","",D147-C147+1)</f>
        <v/>
      </c>
      <c r="F147" s="9">
        <f>IF(K147="","",INDEX(Интервалы!$E$2:$E$513,MATCH(K147,Интервалы!$G$2:$G$513,0)))</f>
        <v/>
      </c>
      <c r="G147" s="5">
        <f>IF(K147="","",IF(H147=1,INDEX('По дням'!$B$2:$B$4000,MATCH(C147,'По дням'!$A$2:$A$4000,0)),"по периодам ставки"))</f>
        <v/>
      </c>
      <c r="H147" s="5">
        <f>IF(K147="","",INDEX(Интервалы!$I$2:$I$513,MATCH(K147,Интервалы!$G$2:$G$513,0)))</f>
        <v/>
      </c>
      <c r="I147" s="9">
        <f>IF(K147="","",INDEX(Интервалы!$F$2:$F$513,MATCH(K147,Интервалы!$G$2:$G$513,0)))</f>
        <v/>
      </c>
      <c r="J147" s="9">
        <f>IF(K147="","",INDEX(Интервалы!$H$2:$H$513,MATCH(K147,Интервалы!$G$2:$G$513,0)))</f>
        <v/>
      </c>
      <c r="K147">
        <f>IFERROR(SMALL(Интервалы!$G$2:$G$513,141),"")</f>
        <v/>
      </c>
      <c r="L147">
        <f>IF(K147="","",INDEX(Интервалы!$B$2:$B$513,MATCH(K147,Интервалы!$G$2:$G$513,0)))</f>
        <v/>
      </c>
    </row>
    <row r="148">
      <c r="A148" s="5">
        <f>IF(K148="","",142)</f>
        <v/>
      </c>
      <c r="B148" s="5">
        <f>IF(K148="","",INDEX(Интервалы!$A$2:$A$513,MATCH(K148,Интервалы!$G$2:$G$513,0)))</f>
        <v/>
      </c>
      <c r="C148" s="17">
        <f>IF(K148="","",INDEX(Интервалы!$C$2:$C$513,MATCH(K148,Интервалы!$G$2:$G$513,0)))</f>
        <v/>
      </c>
      <c r="D148" s="17">
        <f>IF(K148="","",INDEX(Интервалы!$D$2:$D$513,MATCH(K148,Интервалы!$G$2:$G$513,0)))</f>
        <v/>
      </c>
      <c r="E148" s="5">
        <f>IF(K148="","",D148-C148+1)</f>
        <v/>
      </c>
      <c r="F148" s="9">
        <f>IF(K148="","",INDEX(Интервалы!$E$2:$E$513,MATCH(K148,Интервалы!$G$2:$G$513,0)))</f>
        <v/>
      </c>
      <c r="G148" s="5">
        <f>IF(K148="","",IF(H148=1,INDEX('По дням'!$B$2:$B$4000,MATCH(C148,'По дням'!$A$2:$A$4000,0)),"по периодам ставки"))</f>
        <v/>
      </c>
      <c r="H148" s="5">
        <f>IF(K148="","",INDEX(Интервалы!$I$2:$I$513,MATCH(K148,Интервалы!$G$2:$G$513,0)))</f>
        <v/>
      </c>
      <c r="I148" s="9">
        <f>IF(K148="","",INDEX(Интервалы!$F$2:$F$513,MATCH(K148,Интервалы!$G$2:$G$513,0)))</f>
        <v/>
      </c>
      <c r="J148" s="9">
        <f>IF(K148="","",INDEX(Интервалы!$H$2:$H$513,MATCH(K148,Интервалы!$G$2:$G$513,0)))</f>
        <v/>
      </c>
      <c r="K148">
        <f>IFERROR(SMALL(Интервалы!$G$2:$G$513,142),"")</f>
        <v/>
      </c>
      <c r="L148">
        <f>IF(K148="","",INDEX(Интервалы!$B$2:$B$513,MATCH(K148,Интервалы!$G$2:$G$513,0)))</f>
        <v/>
      </c>
    </row>
    <row r="149">
      <c r="A149" s="5">
        <f>IF(K149="","",143)</f>
        <v/>
      </c>
      <c r="B149" s="5">
        <f>IF(K149="","",INDEX(Интервалы!$A$2:$A$513,MATCH(K149,Интервалы!$G$2:$G$513,0)))</f>
        <v/>
      </c>
      <c r="C149" s="17">
        <f>IF(K149="","",INDEX(Интервалы!$C$2:$C$513,MATCH(K149,Интервалы!$G$2:$G$513,0)))</f>
        <v/>
      </c>
      <c r="D149" s="17">
        <f>IF(K149="","",INDEX(Интервалы!$D$2:$D$513,MATCH(K149,Интервалы!$G$2:$G$513,0)))</f>
        <v/>
      </c>
      <c r="E149" s="5">
        <f>IF(K149="","",D149-C149+1)</f>
        <v/>
      </c>
      <c r="F149" s="9">
        <f>IF(K149="","",INDEX(Интервалы!$E$2:$E$513,MATCH(K149,Интервалы!$G$2:$G$513,0)))</f>
        <v/>
      </c>
      <c r="G149" s="5">
        <f>IF(K149="","",IF(H149=1,INDEX('По дням'!$B$2:$B$4000,MATCH(C149,'По дням'!$A$2:$A$4000,0)),"по периодам ставки"))</f>
        <v/>
      </c>
      <c r="H149" s="5">
        <f>IF(K149="","",INDEX(Интервалы!$I$2:$I$513,MATCH(K149,Интервалы!$G$2:$G$513,0)))</f>
        <v/>
      </c>
      <c r="I149" s="9">
        <f>IF(K149="","",INDEX(Интервалы!$F$2:$F$513,MATCH(K149,Интервалы!$G$2:$G$513,0)))</f>
        <v/>
      </c>
      <c r="J149" s="9">
        <f>IF(K149="","",INDEX(Интервалы!$H$2:$H$513,MATCH(K149,Интервалы!$G$2:$G$513,0)))</f>
        <v/>
      </c>
      <c r="K149">
        <f>IFERROR(SMALL(Интервалы!$G$2:$G$513,143),"")</f>
        <v/>
      </c>
      <c r="L149">
        <f>IF(K149="","",INDEX(Интервалы!$B$2:$B$513,MATCH(K149,Интервалы!$G$2:$G$513,0)))</f>
        <v/>
      </c>
    </row>
    <row r="150">
      <c r="A150" s="5">
        <f>IF(K150="","",144)</f>
        <v/>
      </c>
      <c r="B150" s="5">
        <f>IF(K150="","",INDEX(Интервалы!$A$2:$A$513,MATCH(K150,Интервалы!$G$2:$G$513,0)))</f>
        <v/>
      </c>
      <c r="C150" s="17">
        <f>IF(K150="","",INDEX(Интервалы!$C$2:$C$513,MATCH(K150,Интервалы!$G$2:$G$513,0)))</f>
        <v/>
      </c>
      <c r="D150" s="17">
        <f>IF(K150="","",INDEX(Интервалы!$D$2:$D$513,MATCH(K150,Интервалы!$G$2:$G$513,0)))</f>
        <v/>
      </c>
      <c r="E150" s="5">
        <f>IF(K150="","",D150-C150+1)</f>
        <v/>
      </c>
      <c r="F150" s="9">
        <f>IF(K150="","",INDEX(Интервалы!$E$2:$E$513,MATCH(K150,Интервалы!$G$2:$G$513,0)))</f>
        <v/>
      </c>
      <c r="G150" s="5">
        <f>IF(K150="","",IF(H150=1,INDEX('По дням'!$B$2:$B$4000,MATCH(C150,'По дням'!$A$2:$A$4000,0)),"по периодам ставки"))</f>
        <v/>
      </c>
      <c r="H150" s="5">
        <f>IF(K150="","",INDEX(Интервалы!$I$2:$I$513,MATCH(K150,Интервалы!$G$2:$G$513,0)))</f>
        <v/>
      </c>
      <c r="I150" s="9">
        <f>IF(K150="","",INDEX(Интервалы!$F$2:$F$513,MATCH(K150,Интервалы!$G$2:$G$513,0)))</f>
        <v/>
      </c>
      <c r="J150" s="9">
        <f>IF(K150="","",INDEX(Интервалы!$H$2:$H$513,MATCH(K150,Интервалы!$G$2:$G$513,0)))</f>
        <v/>
      </c>
      <c r="K150">
        <f>IFERROR(SMALL(Интервалы!$G$2:$G$513,144),"")</f>
        <v/>
      </c>
      <c r="L150">
        <f>IF(K150="","",INDEX(Интервалы!$B$2:$B$513,MATCH(K150,Интервалы!$G$2:$G$513,0)))</f>
        <v/>
      </c>
    </row>
    <row r="151">
      <c r="A151" s="5">
        <f>IF(K151="","",145)</f>
        <v/>
      </c>
      <c r="B151" s="5">
        <f>IF(K151="","",INDEX(Интервалы!$A$2:$A$513,MATCH(K151,Интервалы!$G$2:$G$513,0)))</f>
        <v/>
      </c>
      <c r="C151" s="17">
        <f>IF(K151="","",INDEX(Интервалы!$C$2:$C$513,MATCH(K151,Интервалы!$G$2:$G$513,0)))</f>
        <v/>
      </c>
      <c r="D151" s="17">
        <f>IF(K151="","",INDEX(Интервалы!$D$2:$D$513,MATCH(K151,Интервалы!$G$2:$G$513,0)))</f>
        <v/>
      </c>
      <c r="E151" s="5">
        <f>IF(K151="","",D151-C151+1)</f>
        <v/>
      </c>
      <c r="F151" s="9">
        <f>IF(K151="","",INDEX(Интервалы!$E$2:$E$513,MATCH(K151,Интервалы!$G$2:$G$513,0)))</f>
        <v/>
      </c>
      <c r="G151" s="5">
        <f>IF(K151="","",IF(H151=1,INDEX('По дням'!$B$2:$B$4000,MATCH(C151,'По дням'!$A$2:$A$4000,0)),"по периодам ставки"))</f>
        <v/>
      </c>
      <c r="H151" s="5">
        <f>IF(K151="","",INDEX(Интервалы!$I$2:$I$513,MATCH(K151,Интервалы!$G$2:$G$513,0)))</f>
        <v/>
      </c>
      <c r="I151" s="9">
        <f>IF(K151="","",INDEX(Интервалы!$F$2:$F$513,MATCH(K151,Интервалы!$G$2:$G$513,0)))</f>
        <v/>
      </c>
      <c r="J151" s="9">
        <f>IF(K151="","",INDEX(Интервалы!$H$2:$H$513,MATCH(K151,Интервалы!$G$2:$G$513,0)))</f>
        <v/>
      </c>
      <c r="K151">
        <f>IFERROR(SMALL(Интервалы!$G$2:$G$513,145),"")</f>
        <v/>
      </c>
      <c r="L151">
        <f>IF(K151="","",INDEX(Интервалы!$B$2:$B$513,MATCH(K151,Интервалы!$G$2:$G$513,0)))</f>
        <v/>
      </c>
    </row>
    <row r="152">
      <c r="A152" s="5">
        <f>IF(K152="","",146)</f>
        <v/>
      </c>
      <c r="B152" s="5">
        <f>IF(K152="","",INDEX(Интервалы!$A$2:$A$513,MATCH(K152,Интервалы!$G$2:$G$513,0)))</f>
        <v/>
      </c>
      <c r="C152" s="17">
        <f>IF(K152="","",INDEX(Интервалы!$C$2:$C$513,MATCH(K152,Интервалы!$G$2:$G$513,0)))</f>
        <v/>
      </c>
      <c r="D152" s="17">
        <f>IF(K152="","",INDEX(Интервалы!$D$2:$D$513,MATCH(K152,Интервалы!$G$2:$G$513,0)))</f>
        <v/>
      </c>
      <c r="E152" s="5">
        <f>IF(K152="","",D152-C152+1)</f>
        <v/>
      </c>
      <c r="F152" s="9">
        <f>IF(K152="","",INDEX(Интервалы!$E$2:$E$513,MATCH(K152,Интервалы!$G$2:$G$513,0)))</f>
        <v/>
      </c>
      <c r="G152" s="5">
        <f>IF(K152="","",IF(H152=1,INDEX('По дням'!$B$2:$B$4000,MATCH(C152,'По дням'!$A$2:$A$4000,0)),"по периодам ставки"))</f>
        <v/>
      </c>
      <c r="H152" s="5">
        <f>IF(K152="","",INDEX(Интервалы!$I$2:$I$513,MATCH(K152,Интервалы!$G$2:$G$513,0)))</f>
        <v/>
      </c>
      <c r="I152" s="9">
        <f>IF(K152="","",INDEX(Интервалы!$F$2:$F$513,MATCH(K152,Интервалы!$G$2:$G$513,0)))</f>
        <v/>
      </c>
      <c r="J152" s="9">
        <f>IF(K152="","",INDEX(Интервалы!$H$2:$H$513,MATCH(K152,Интервалы!$G$2:$G$513,0)))</f>
        <v/>
      </c>
      <c r="K152">
        <f>IFERROR(SMALL(Интервалы!$G$2:$G$513,146),"")</f>
        <v/>
      </c>
      <c r="L152">
        <f>IF(K152="","",INDEX(Интервалы!$B$2:$B$513,MATCH(K152,Интервалы!$G$2:$G$513,0)))</f>
        <v/>
      </c>
    </row>
    <row r="153">
      <c r="A153" s="5">
        <f>IF(K153="","",147)</f>
        <v/>
      </c>
      <c r="B153" s="5">
        <f>IF(K153="","",INDEX(Интервалы!$A$2:$A$513,MATCH(K153,Интервалы!$G$2:$G$513,0)))</f>
        <v/>
      </c>
      <c r="C153" s="17">
        <f>IF(K153="","",INDEX(Интервалы!$C$2:$C$513,MATCH(K153,Интервалы!$G$2:$G$513,0)))</f>
        <v/>
      </c>
      <c r="D153" s="17">
        <f>IF(K153="","",INDEX(Интервалы!$D$2:$D$513,MATCH(K153,Интервалы!$G$2:$G$513,0)))</f>
        <v/>
      </c>
      <c r="E153" s="5">
        <f>IF(K153="","",D153-C153+1)</f>
        <v/>
      </c>
      <c r="F153" s="9">
        <f>IF(K153="","",INDEX(Интервалы!$E$2:$E$513,MATCH(K153,Интервалы!$G$2:$G$513,0)))</f>
        <v/>
      </c>
      <c r="G153" s="5">
        <f>IF(K153="","",IF(H153=1,INDEX('По дням'!$B$2:$B$4000,MATCH(C153,'По дням'!$A$2:$A$4000,0)),"по периодам ставки"))</f>
        <v/>
      </c>
      <c r="H153" s="5">
        <f>IF(K153="","",INDEX(Интервалы!$I$2:$I$513,MATCH(K153,Интервалы!$G$2:$G$513,0)))</f>
        <v/>
      </c>
      <c r="I153" s="9">
        <f>IF(K153="","",INDEX(Интервалы!$F$2:$F$513,MATCH(K153,Интервалы!$G$2:$G$513,0)))</f>
        <v/>
      </c>
      <c r="J153" s="9">
        <f>IF(K153="","",INDEX(Интервалы!$H$2:$H$513,MATCH(K153,Интервалы!$G$2:$G$513,0)))</f>
        <v/>
      </c>
      <c r="K153">
        <f>IFERROR(SMALL(Интервалы!$G$2:$G$513,147),"")</f>
        <v/>
      </c>
      <c r="L153">
        <f>IF(K153="","",INDEX(Интервалы!$B$2:$B$513,MATCH(K153,Интервалы!$G$2:$G$513,0)))</f>
        <v/>
      </c>
    </row>
    <row r="154">
      <c r="A154" s="5">
        <f>IF(K154="","",148)</f>
        <v/>
      </c>
      <c r="B154" s="5">
        <f>IF(K154="","",INDEX(Интервалы!$A$2:$A$513,MATCH(K154,Интервалы!$G$2:$G$513,0)))</f>
        <v/>
      </c>
      <c r="C154" s="17">
        <f>IF(K154="","",INDEX(Интервалы!$C$2:$C$513,MATCH(K154,Интервалы!$G$2:$G$513,0)))</f>
        <v/>
      </c>
      <c r="D154" s="17">
        <f>IF(K154="","",INDEX(Интервалы!$D$2:$D$513,MATCH(K154,Интервалы!$G$2:$G$513,0)))</f>
        <v/>
      </c>
      <c r="E154" s="5">
        <f>IF(K154="","",D154-C154+1)</f>
        <v/>
      </c>
      <c r="F154" s="9">
        <f>IF(K154="","",INDEX(Интервалы!$E$2:$E$513,MATCH(K154,Интервалы!$G$2:$G$513,0)))</f>
        <v/>
      </c>
      <c r="G154" s="5">
        <f>IF(K154="","",IF(H154=1,INDEX('По дням'!$B$2:$B$4000,MATCH(C154,'По дням'!$A$2:$A$4000,0)),"по периодам ставки"))</f>
        <v/>
      </c>
      <c r="H154" s="5">
        <f>IF(K154="","",INDEX(Интервалы!$I$2:$I$513,MATCH(K154,Интервалы!$G$2:$G$513,0)))</f>
        <v/>
      </c>
      <c r="I154" s="9">
        <f>IF(K154="","",INDEX(Интервалы!$F$2:$F$513,MATCH(K154,Интервалы!$G$2:$G$513,0)))</f>
        <v/>
      </c>
      <c r="J154" s="9">
        <f>IF(K154="","",INDEX(Интервалы!$H$2:$H$513,MATCH(K154,Интервалы!$G$2:$G$513,0)))</f>
        <v/>
      </c>
      <c r="K154">
        <f>IFERROR(SMALL(Интервалы!$G$2:$G$513,148),"")</f>
        <v/>
      </c>
      <c r="L154">
        <f>IF(K154="","",INDEX(Интервалы!$B$2:$B$513,MATCH(K154,Интервалы!$G$2:$G$513,0)))</f>
        <v/>
      </c>
    </row>
    <row r="155">
      <c r="A155" s="5">
        <f>IF(K155="","",149)</f>
        <v/>
      </c>
      <c r="B155" s="5">
        <f>IF(K155="","",INDEX(Интервалы!$A$2:$A$513,MATCH(K155,Интервалы!$G$2:$G$513,0)))</f>
        <v/>
      </c>
      <c r="C155" s="17">
        <f>IF(K155="","",INDEX(Интервалы!$C$2:$C$513,MATCH(K155,Интервалы!$G$2:$G$513,0)))</f>
        <v/>
      </c>
      <c r="D155" s="17">
        <f>IF(K155="","",INDEX(Интервалы!$D$2:$D$513,MATCH(K155,Интервалы!$G$2:$G$513,0)))</f>
        <v/>
      </c>
      <c r="E155" s="5">
        <f>IF(K155="","",D155-C155+1)</f>
        <v/>
      </c>
      <c r="F155" s="9">
        <f>IF(K155="","",INDEX(Интервалы!$E$2:$E$513,MATCH(K155,Интервалы!$G$2:$G$513,0)))</f>
        <v/>
      </c>
      <c r="G155" s="5">
        <f>IF(K155="","",IF(H155=1,INDEX('По дням'!$B$2:$B$4000,MATCH(C155,'По дням'!$A$2:$A$4000,0)),"по периодам ставки"))</f>
        <v/>
      </c>
      <c r="H155" s="5">
        <f>IF(K155="","",INDEX(Интервалы!$I$2:$I$513,MATCH(K155,Интервалы!$G$2:$G$513,0)))</f>
        <v/>
      </c>
      <c r="I155" s="9">
        <f>IF(K155="","",INDEX(Интервалы!$F$2:$F$513,MATCH(K155,Интервалы!$G$2:$G$513,0)))</f>
        <v/>
      </c>
      <c r="J155" s="9">
        <f>IF(K155="","",INDEX(Интервалы!$H$2:$H$513,MATCH(K155,Интервалы!$G$2:$G$513,0)))</f>
        <v/>
      </c>
      <c r="K155">
        <f>IFERROR(SMALL(Интервалы!$G$2:$G$513,149),"")</f>
        <v/>
      </c>
      <c r="L155">
        <f>IF(K155="","",INDEX(Интервалы!$B$2:$B$513,MATCH(K155,Интервалы!$G$2:$G$513,0)))</f>
        <v/>
      </c>
    </row>
    <row r="156">
      <c r="A156" s="5">
        <f>IF(K156="","",150)</f>
        <v/>
      </c>
      <c r="B156" s="5">
        <f>IF(K156="","",INDEX(Интервалы!$A$2:$A$513,MATCH(K156,Интервалы!$G$2:$G$513,0)))</f>
        <v/>
      </c>
      <c r="C156" s="17">
        <f>IF(K156="","",INDEX(Интервалы!$C$2:$C$513,MATCH(K156,Интервалы!$G$2:$G$513,0)))</f>
        <v/>
      </c>
      <c r="D156" s="17">
        <f>IF(K156="","",INDEX(Интервалы!$D$2:$D$513,MATCH(K156,Интервалы!$G$2:$G$513,0)))</f>
        <v/>
      </c>
      <c r="E156" s="5">
        <f>IF(K156="","",D156-C156+1)</f>
        <v/>
      </c>
      <c r="F156" s="9">
        <f>IF(K156="","",INDEX(Интервалы!$E$2:$E$513,MATCH(K156,Интервалы!$G$2:$G$513,0)))</f>
        <v/>
      </c>
      <c r="G156" s="5">
        <f>IF(K156="","",IF(H156=1,INDEX('По дням'!$B$2:$B$4000,MATCH(C156,'По дням'!$A$2:$A$4000,0)),"по периодам ставки"))</f>
        <v/>
      </c>
      <c r="H156" s="5">
        <f>IF(K156="","",INDEX(Интервалы!$I$2:$I$513,MATCH(K156,Интервалы!$G$2:$G$513,0)))</f>
        <v/>
      </c>
      <c r="I156" s="9">
        <f>IF(K156="","",INDEX(Интервалы!$F$2:$F$513,MATCH(K156,Интервалы!$G$2:$G$513,0)))</f>
        <v/>
      </c>
      <c r="J156" s="9">
        <f>IF(K156="","",INDEX(Интервалы!$H$2:$H$513,MATCH(K156,Интервалы!$G$2:$G$513,0)))</f>
        <v/>
      </c>
      <c r="K156">
        <f>IFERROR(SMALL(Интервалы!$G$2:$G$513,150),"")</f>
        <v/>
      </c>
      <c r="L156">
        <f>IF(K156="","",INDEX(Интервалы!$B$2:$B$513,MATCH(K156,Интервалы!$G$2:$G$513,0)))</f>
        <v/>
      </c>
    </row>
    <row r="157">
      <c r="A157" s="5">
        <f>IF(K157="","",151)</f>
        <v/>
      </c>
      <c r="B157" s="5">
        <f>IF(K157="","",INDEX(Интервалы!$A$2:$A$513,MATCH(K157,Интервалы!$G$2:$G$513,0)))</f>
        <v/>
      </c>
      <c r="C157" s="17">
        <f>IF(K157="","",INDEX(Интервалы!$C$2:$C$513,MATCH(K157,Интервалы!$G$2:$G$513,0)))</f>
        <v/>
      </c>
      <c r="D157" s="17">
        <f>IF(K157="","",INDEX(Интервалы!$D$2:$D$513,MATCH(K157,Интервалы!$G$2:$G$513,0)))</f>
        <v/>
      </c>
      <c r="E157" s="5">
        <f>IF(K157="","",D157-C157+1)</f>
        <v/>
      </c>
      <c r="F157" s="9">
        <f>IF(K157="","",INDEX(Интервалы!$E$2:$E$513,MATCH(K157,Интервалы!$G$2:$G$513,0)))</f>
        <v/>
      </c>
      <c r="G157" s="5">
        <f>IF(K157="","",IF(H157=1,INDEX('По дням'!$B$2:$B$4000,MATCH(C157,'По дням'!$A$2:$A$4000,0)),"по периодам ставки"))</f>
        <v/>
      </c>
      <c r="H157" s="5">
        <f>IF(K157="","",INDEX(Интервалы!$I$2:$I$513,MATCH(K157,Интервалы!$G$2:$G$513,0)))</f>
        <v/>
      </c>
      <c r="I157" s="9">
        <f>IF(K157="","",INDEX(Интервалы!$F$2:$F$513,MATCH(K157,Интервалы!$G$2:$G$513,0)))</f>
        <v/>
      </c>
      <c r="J157" s="9">
        <f>IF(K157="","",INDEX(Интервалы!$H$2:$H$513,MATCH(K157,Интервалы!$G$2:$G$513,0)))</f>
        <v/>
      </c>
      <c r="K157">
        <f>IFERROR(SMALL(Интервалы!$G$2:$G$513,151),"")</f>
        <v/>
      </c>
      <c r="L157">
        <f>IF(K157="","",INDEX(Интервалы!$B$2:$B$513,MATCH(K157,Интервалы!$G$2:$G$513,0)))</f>
        <v/>
      </c>
    </row>
    <row r="158">
      <c r="A158" s="5">
        <f>IF(K158="","",152)</f>
        <v/>
      </c>
      <c r="B158" s="5">
        <f>IF(K158="","",INDEX(Интервалы!$A$2:$A$513,MATCH(K158,Интервалы!$G$2:$G$513,0)))</f>
        <v/>
      </c>
      <c r="C158" s="17">
        <f>IF(K158="","",INDEX(Интервалы!$C$2:$C$513,MATCH(K158,Интервалы!$G$2:$G$513,0)))</f>
        <v/>
      </c>
      <c r="D158" s="17">
        <f>IF(K158="","",INDEX(Интервалы!$D$2:$D$513,MATCH(K158,Интервалы!$G$2:$G$513,0)))</f>
        <v/>
      </c>
      <c r="E158" s="5">
        <f>IF(K158="","",D158-C158+1)</f>
        <v/>
      </c>
      <c r="F158" s="9">
        <f>IF(K158="","",INDEX(Интервалы!$E$2:$E$513,MATCH(K158,Интервалы!$G$2:$G$513,0)))</f>
        <v/>
      </c>
      <c r="G158" s="5">
        <f>IF(K158="","",IF(H158=1,INDEX('По дням'!$B$2:$B$4000,MATCH(C158,'По дням'!$A$2:$A$4000,0)),"по периодам ставки"))</f>
        <v/>
      </c>
      <c r="H158" s="5">
        <f>IF(K158="","",INDEX(Интервалы!$I$2:$I$513,MATCH(K158,Интервалы!$G$2:$G$513,0)))</f>
        <v/>
      </c>
      <c r="I158" s="9">
        <f>IF(K158="","",INDEX(Интервалы!$F$2:$F$513,MATCH(K158,Интервалы!$G$2:$G$513,0)))</f>
        <v/>
      </c>
      <c r="J158" s="9">
        <f>IF(K158="","",INDEX(Интервалы!$H$2:$H$513,MATCH(K158,Интервалы!$G$2:$G$513,0)))</f>
        <v/>
      </c>
      <c r="K158">
        <f>IFERROR(SMALL(Интервалы!$G$2:$G$513,152),"")</f>
        <v/>
      </c>
      <c r="L158">
        <f>IF(K158="","",INDEX(Интервалы!$B$2:$B$513,MATCH(K158,Интервалы!$G$2:$G$513,0)))</f>
        <v/>
      </c>
    </row>
    <row r="159">
      <c r="A159" s="5">
        <f>IF(K159="","",153)</f>
        <v/>
      </c>
      <c r="B159" s="5">
        <f>IF(K159="","",INDEX(Интервалы!$A$2:$A$513,MATCH(K159,Интервалы!$G$2:$G$513,0)))</f>
        <v/>
      </c>
      <c r="C159" s="17">
        <f>IF(K159="","",INDEX(Интервалы!$C$2:$C$513,MATCH(K159,Интервалы!$G$2:$G$513,0)))</f>
        <v/>
      </c>
      <c r="D159" s="17">
        <f>IF(K159="","",INDEX(Интервалы!$D$2:$D$513,MATCH(K159,Интервалы!$G$2:$G$513,0)))</f>
        <v/>
      </c>
      <c r="E159" s="5">
        <f>IF(K159="","",D159-C159+1)</f>
        <v/>
      </c>
      <c r="F159" s="9">
        <f>IF(K159="","",INDEX(Интервалы!$E$2:$E$513,MATCH(K159,Интервалы!$G$2:$G$513,0)))</f>
        <v/>
      </c>
      <c r="G159" s="5">
        <f>IF(K159="","",IF(H159=1,INDEX('По дням'!$B$2:$B$4000,MATCH(C159,'По дням'!$A$2:$A$4000,0)),"по периодам ставки"))</f>
        <v/>
      </c>
      <c r="H159" s="5">
        <f>IF(K159="","",INDEX(Интервалы!$I$2:$I$513,MATCH(K159,Интервалы!$G$2:$G$513,0)))</f>
        <v/>
      </c>
      <c r="I159" s="9">
        <f>IF(K159="","",INDEX(Интервалы!$F$2:$F$513,MATCH(K159,Интервалы!$G$2:$G$513,0)))</f>
        <v/>
      </c>
      <c r="J159" s="9">
        <f>IF(K159="","",INDEX(Интервалы!$H$2:$H$513,MATCH(K159,Интервалы!$G$2:$G$513,0)))</f>
        <v/>
      </c>
      <c r="K159">
        <f>IFERROR(SMALL(Интервалы!$G$2:$G$513,153),"")</f>
        <v/>
      </c>
      <c r="L159">
        <f>IF(K159="","",INDEX(Интервалы!$B$2:$B$513,MATCH(K159,Интервалы!$G$2:$G$513,0)))</f>
        <v/>
      </c>
    </row>
    <row r="160">
      <c r="A160" s="5">
        <f>IF(K160="","",154)</f>
        <v/>
      </c>
      <c r="B160" s="5">
        <f>IF(K160="","",INDEX(Интервалы!$A$2:$A$513,MATCH(K160,Интервалы!$G$2:$G$513,0)))</f>
        <v/>
      </c>
      <c r="C160" s="17">
        <f>IF(K160="","",INDEX(Интервалы!$C$2:$C$513,MATCH(K160,Интервалы!$G$2:$G$513,0)))</f>
        <v/>
      </c>
      <c r="D160" s="17">
        <f>IF(K160="","",INDEX(Интервалы!$D$2:$D$513,MATCH(K160,Интервалы!$G$2:$G$513,0)))</f>
        <v/>
      </c>
      <c r="E160" s="5">
        <f>IF(K160="","",D160-C160+1)</f>
        <v/>
      </c>
      <c r="F160" s="9">
        <f>IF(K160="","",INDEX(Интервалы!$E$2:$E$513,MATCH(K160,Интервалы!$G$2:$G$513,0)))</f>
        <v/>
      </c>
      <c r="G160" s="5">
        <f>IF(K160="","",IF(H160=1,INDEX('По дням'!$B$2:$B$4000,MATCH(C160,'По дням'!$A$2:$A$4000,0)),"по периодам ставки"))</f>
        <v/>
      </c>
      <c r="H160" s="5">
        <f>IF(K160="","",INDEX(Интервалы!$I$2:$I$513,MATCH(K160,Интервалы!$G$2:$G$513,0)))</f>
        <v/>
      </c>
      <c r="I160" s="9">
        <f>IF(K160="","",INDEX(Интервалы!$F$2:$F$513,MATCH(K160,Интервалы!$G$2:$G$513,0)))</f>
        <v/>
      </c>
      <c r="J160" s="9">
        <f>IF(K160="","",INDEX(Интервалы!$H$2:$H$513,MATCH(K160,Интервалы!$G$2:$G$513,0)))</f>
        <v/>
      </c>
      <c r="K160">
        <f>IFERROR(SMALL(Интервалы!$G$2:$G$513,154),"")</f>
        <v/>
      </c>
      <c r="L160">
        <f>IF(K160="","",INDEX(Интервалы!$B$2:$B$513,MATCH(K160,Интервалы!$G$2:$G$513,0)))</f>
        <v/>
      </c>
    </row>
    <row r="161">
      <c r="A161" s="5">
        <f>IF(K161="","",155)</f>
        <v/>
      </c>
      <c r="B161" s="5">
        <f>IF(K161="","",INDEX(Интервалы!$A$2:$A$513,MATCH(K161,Интервалы!$G$2:$G$513,0)))</f>
        <v/>
      </c>
      <c r="C161" s="17">
        <f>IF(K161="","",INDEX(Интервалы!$C$2:$C$513,MATCH(K161,Интервалы!$G$2:$G$513,0)))</f>
        <v/>
      </c>
      <c r="D161" s="17">
        <f>IF(K161="","",INDEX(Интервалы!$D$2:$D$513,MATCH(K161,Интервалы!$G$2:$G$513,0)))</f>
        <v/>
      </c>
      <c r="E161" s="5">
        <f>IF(K161="","",D161-C161+1)</f>
        <v/>
      </c>
      <c r="F161" s="9">
        <f>IF(K161="","",INDEX(Интервалы!$E$2:$E$513,MATCH(K161,Интервалы!$G$2:$G$513,0)))</f>
        <v/>
      </c>
      <c r="G161" s="5">
        <f>IF(K161="","",IF(H161=1,INDEX('По дням'!$B$2:$B$4000,MATCH(C161,'По дням'!$A$2:$A$4000,0)),"по периодам ставки"))</f>
        <v/>
      </c>
      <c r="H161" s="5">
        <f>IF(K161="","",INDEX(Интервалы!$I$2:$I$513,MATCH(K161,Интервалы!$G$2:$G$513,0)))</f>
        <v/>
      </c>
      <c r="I161" s="9">
        <f>IF(K161="","",INDEX(Интервалы!$F$2:$F$513,MATCH(K161,Интервалы!$G$2:$G$513,0)))</f>
        <v/>
      </c>
      <c r="J161" s="9">
        <f>IF(K161="","",INDEX(Интервалы!$H$2:$H$513,MATCH(K161,Интервалы!$G$2:$G$513,0)))</f>
        <v/>
      </c>
      <c r="K161">
        <f>IFERROR(SMALL(Интервалы!$G$2:$G$513,155),"")</f>
        <v/>
      </c>
      <c r="L161">
        <f>IF(K161="","",INDEX(Интервалы!$B$2:$B$513,MATCH(K161,Интервалы!$G$2:$G$513,0)))</f>
        <v/>
      </c>
    </row>
    <row r="162">
      <c r="A162" s="5">
        <f>IF(K162="","",156)</f>
        <v/>
      </c>
      <c r="B162" s="5">
        <f>IF(K162="","",INDEX(Интервалы!$A$2:$A$513,MATCH(K162,Интервалы!$G$2:$G$513,0)))</f>
        <v/>
      </c>
      <c r="C162" s="17">
        <f>IF(K162="","",INDEX(Интервалы!$C$2:$C$513,MATCH(K162,Интервалы!$G$2:$G$513,0)))</f>
        <v/>
      </c>
      <c r="D162" s="17">
        <f>IF(K162="","",INDEX(Интервалы!$D$2:$D$513,MATCH(K162,Интервалы!$G$2:$G$513,0)))</f>
        <v/>
      </c>
      <c r="E162" s="5">
        <f>IF(K162="","",D162-C162+1)</f>
        <v/>
      </c>
      <c r="F162" s="9">
        <f>IF(K162="","",INDEX(Интервалы!$E$2:$E$513,MATCH(K162,Интервалы!$G$2:$G$513,0)))</f>
        <v/>
      </c>
      <c r="G162" s="5">
        <f>IF(K162="","",IF(H162=1,INDEX('По дням'!$B$2:$B$4000,MATCH(C162,'По дням'!$A$2:$A$4000,0)),"по периодам ставки"))</f>
        <v/>
      </c>
      <c r="H162" s="5">
        <f>IF(K162="","",INDEX(Интервалы!$I$2:$I$513,MATCH(K162,Интервалы!$G$2:$G$513,0)))</f>
        <v/>
      </c>
      <c r="I162" s="9">
        <f>IF(K162="","",INDEX(Интервалы!$F$2:$F$513,MATCH(K162,Интервалы!$G$2:$G$513,0)))</f>
        <v/>
      </c>
      <c r="J162" s="9">
        <f>IF(K162="","",INDEX(Интервалы!$H$2:$H$513,MATCH(K162,Интервалы!$G$2:$G$513,0)))</f>
        <v/>
      </c>
      <c r="K162">
        <f>IFERROR(SMALL(Интервалы!$G$2:$G$513,156),"")</f>
        <v/>
      </c>
      <c r="L162">
        <f>IF(K162="","",INDEX(Интервалы!$B$2:$B$513,MATCH(K162,Интервалы!$G$2:$G$513,0)))</f>
        <v/>
      </c>
    </row>
    <row r="163">
      <c r="A163" s="5">
        <f>IF(K163="","",157)</f>
        <v/>
      </c>
      <c r="B163" s="5">
        <f>IF(K163="","",INDEX(Интервалы!$A$2:$A$513,MATCH(K163,Интервалы!$G$2:$G$513,0)))</f>
        <v/>
      </c>
      <c r="C163" s="17">
        <f>IF(K163="","",INDEX(Интервалы!$C$2:$C$513,MATCH(K163,Интервалы!$G$2:$G$513,0)))</f>
        <v/>
      </c>
      <c r="D163" s="17">
        <f>IF(K163="","",INDEX(Интервалы!$D$2:$D$513,MATCH(K163,Интервалы!$G$2:$G$513,0)))</f>
        <v/>
      </c>
      <c r="E163" s="5">
        <f>IF(K163="","",D163-C163+1)</f>
        <v/>
      </c>
      <c r="F163" s="9">
        <f>IF(K163="","",INDEX(Интервалы!$E$2:$E$513,MATCH(K163,Интервалы!$G$2:$G$513,0)))</f>
        <v/>
      </c>
      <c r="G163" s="5">
        <f>IF(K163="","",IF(H163=1,INDEX('По дням'!$B$2:$B$4000,MATCH(C163,'По дням'!$A$2:$A$4000,0)),"по периодам ставки"))</f>
        <v/>
      </c>
      <c r="H163" s="5">
        <f>IF(K163="","",INDEX(Интервалы!$I$2:$I$513,MATCH(K163,Интервалы!$G$2:$G$513,0)))</f>
        <v/>
      </c>
      <c r="I163" s="9">
        <f>IF(K163="","",INDEX(Интервалы!$F$2:$F$513,MATCH(K163,Интервалы!$G$2:$G$513,0)))</f>
        <v/>
      </c>
      <c r="J163" s="9">
        <f>IF(K163="","",INDEX(Интервалы!$H$2:$H$513,MATCH(K163,Интервалы!$G$2:$G$513,0)))</f>
        <v/>
      </c>
      <c r="K163">
        <f>IFERROR(SMALL(Интервалы!$G$2:$G$513,157),"")</f>
        <v/>
      </c>
      <c r="L163">
        <f>IF(K163="","",INDEX(Интервалы!$B$2:$B$513,MATCH(K163,Интервалы!$G$2:$G$513,0)))</f>
        <v/>
      </c>
    </row>
    <row r="164">
      <c r="A164" s="5">
        <f>IF(K164="","",158)</f>
        <v/>
      </c>
      <c r="B164" s="5">
        <f>IF(K164="","",INDEX(Интервалы!$A$2:$A$513,MATCH(K164,Интервалы!$G$2:$G$513,0)))</f>
        <v/>
      </c>
      <c r="C164" s="17">
        <f>IF(K164="","",INDEX(Интервалы!$C$2:$C$513,MATCH(K164,Интервалы!$G$2:$G$513,0)))</f>
        <v/>
      </c>
      <c r="D164" s="17">
        <f>IF(K164="","",INDEX(Интервалы!$D$2:$D$513,MATCH(K164,Интервалы!$G$2:$G$513,0)))</f>
        <v/>
      </c>
      <c r="E164" s="5">
        <f>IF(K164="","",D164-C164+1)</f>
        <v/>
      </c>
      <c r="F164" s="9">
        <f>IF(K164="","",INDEX(Интервалы!$E$2:$E$513,MATCH(K164,Интервалы!$G$2:$G$513,0)))</f>
        <v/>
      </c>
      <c r="G164" s="5">
        <f>IF(K164="","",IF(H164=1,INDEX('По дням'!$B$2:$B$4000,MATCH(C164,'По дням'!$A$2:$A$4000,0)),"по периодам ставки"))</f>
        <v/>
      </c>
      <c r="H164" s="5">
        <f>IF(K164="","",INDEX(Интервалы!$I$2:$I$513,MATCH(K164,Интервалы!$G$2:$G$513,0)))</f>
        <v/>
      </c>
      <c r="I164" s="9">
        <f>IF(K164="","",INDEX(Интервалы!$F$2:$F$513,MATCH(K164,Интервалы!$G$2:$G$513,0)))</f>
        <v/>
      </c>
      <c r="J164" s="9">
        <f>IF(K164="","",INDEX(Интервалы!$H$2:$H$513,MATCH(K164,Интервалы!$G$2:$G$513,0)))</f>
        <v/>
      </c>
      <c r="K164">
        <f>IFERROR(SMALL(Интервалы!$G$2:$G$513,158),"")</f>
        <v/>
      </c>
      <c r="L164">
        <f>IF(K164="","",INDEX(Интервалы!$B$2:$B$513,MATCH(K164,Интервалы!$G$2:$G$513,0)))</f>
        <v/>
      </c>
    </row>
    <row r="165">
      <c r="A165" s="5">
        <f>IF(K165="","",159)</f>
        <v/>
      </c>
      <c r="B165" s="5">
        <f>IF(K165="","",INDEX(Интервалы!$A$2:$A$513,MATCH(K165,Интервалы!$G$2:$G$513,0)))</f>
        <v/>
      </c>
      <c r="C165" s="17">
        <f>IF(K165="","",INDEX(Интервалы!$C$2:$C$513,MATCH(K165,Интервалы!$G$2:$G$513,0)))</f>
        <v/>
      </c>
      <c r="D165" s="17">
        <f>IF(K165="","",INDEX(Интервалы!$D$2:$D$513,MATCH(K165,Интервалы!$G$2:$G$513,0)))</f>
        <v/>
      </c>
      <c r="E165" s="5">
        <f>IF(K165="","",D165-C165+1)</f>
        <v/>
      </c>
      <c r="F165" s="9">
        <f>IF(K165="","",INDEX(Интервалы!$E$2:$E$513,MATCH(K165,Интервалы!$G$2:$G$513,0)))</f>
        <v/>
      </c>
      <c r="G165" s="5">
        <f>IF(K165="","",IF(H165=1,INDEX('По дням'!$B$2:$B$4000,MATCH(C165,'По дням'!$A$2:$A$4000,0)),"по периодам ставки"))</f>
        <v/>
      </c>
      <c r="H165" s="5">
        <f>IF(K165="","",INDEX(Интервалы!$I$2:$I$513,MATCH(K165,Интервалы!$G$2:$G$513,0)))</f>
        <v/>
      </c>
      <c r="I165" s="9">
        <f>IF(K165="","",INDEX(Интервалы!$F$2:$F$513,MATCH(K165,Интервалы!$G$2:$G$513,0)))</f>
        <v/>
      </c>
      <c r="J165" s="9">
        <f>IF(K165="","",INDEX(Интервалы!$H$2:$H$513,MATCH(K165,Интервалы!$G$2:$G$513,0)))</f>
        <v/>
      </c>
      <c r="K165">
        <f>IFERROR(SMALL(Интервалы!$G$2:$G$513,159),"")</f>
        <v/>
      </c>
      <c r="L165">
        <f>IF(K165="","",INDEX(Интервалы!$B$2:$B$513,MATCH(K165,Интервалы!$G$2:$G$513,0)))</f>
        <v/>
      </c>
    </row>
    <row r="166">
      <c r="A166" s="5">
        <f>IF(K166="","",160)</f>
        <v/>
      </c>
      <c r="B166" s="5">
        <f>IF(K166="","",INDEX(Интервалы!$A$2:$A$513,MATCH(K166,Интервалы!$G$2:$G$513,0)))</f>
        <v/>
      </c>
      <c r="C166" s="17">
        <f>IF(K166="","",INDEX(Интервалы!$C$2:$C$513,MATCH(K166,Интервалы!$G$2:$G$513,0)))</f>
        <v/>
      </c>
      <c r="D166" s="17">
        <f>IF(K166="","",INDEX(Интервалы!$D$2:$D$513,MATCH(K166,Интервалы!$G$2:$G$513,0)))</f>
        <v/>
      </c>
      <c r="E166" s="5">
        <f>IF(K166="","",D166-C166+1)</f>
        <v/>
      </c>
      <c r="F166" s="9">
        <f>IF(K166="","",INDEX(Интервалы!$E$2:$E$513,MATCH(K166,Интервалы!$G$2:$G$513,0)))</f>
        <v/>
      </c>
      <c r="G166" s="5">
        <f>IF(K166="","",IF(H166=1,INDEX('По дням'!$B$2:$B$4000,MATCH(C166,'По дням'!$A$2:$A$4000,0)),"по периодам ставки"))</f>
        <v/>
      </c>
      <c r="H166" s="5">
        <f>IF(K166="","",INDEX(Интервалы!$I$2:$I$513,MATCH(K166,Интервалы!$G$2:$G$513,0)))</f>
        <v/>
      </c>
      <c r="I166" s="9">
        <f>IF(K166="","",INDEX(Интервалы!$F$2:$F$513,MATCH(K166,Интервалы!$G$2:$G$513,0)))</f>
        <v/>
      </c>
      <c r="J166" s="9">
        <f>IF(K166="","",INDEX(Интервалы!$H$2:$H$513,MATCH(K166,Интервалы!$G$2:$G$513,0)))</f>
        <v/>
      </c>
      <c r="K166">
        <f>IFERROR(SMALL(Интервалы!$G$2:$G$513,160),"")</f>
        <v/>
      </c>
      <c r="L166">
        <f>IF(K166="","",INDEX(Интервалы!$B$2:$B$513,MATCH(K166,Интервалы!$G$2:$G$513,0)))</f>
        <v/>
      </c>
    </row>
    <row r="167">
      <c r="A167" s="5">
        <f>IF(K167="","",161)</f>
        <v/>
      </c>
      <c r="B167" s="5">
        <f>IF(K167="","",INDEX(Интервалы!$A$2:$A$513,MATCH(K167,Интервалы!$G$2:$G$513,0)))</f>
        <v/>
      </c>
      <c r="C167" s="17">
        <f>IF(K167="","",INDEX(Интервалы!$C$2:$C$513,MATCH(K167,Интервалы!$G$2:$G$513,0)))</f>
        <v/>
      </c>
      <c r="D167" s="17">
        <f>IF(K167="","",INDEX(Интервалы!$D$2:$D$513,MATCH(K167,Интервалы!$G$2:$G$513,0)))</f>
        <v/>
      </c>
      <c r="E167" s="5">
        <f>IF(K167="","",D167-C167+1)</f>
        <v/>
      </c>
      <c r="F167" s="9">
        <f>IF(K167="","",INDEX(Интервалы!$E$2:$E$513,MATCH(K167,Интервалы!$G$2:$G$513,0)))</f>
        <v/>
      </c>
      <c r="G167" s="5">
        <f>IF(K167="","",IF(H167=1,INDEX('По дням'!$B$2:$B$4000,MATCH(C167,'По дням'!$A$2:$A$4000,0)),"по периодам ставки"))</f>
        <v/>
      </c>
      <c r="H167" s="5">
        <f>IF(K167="","",INDEX(Интервалы!$I$2:$I$513,MATCH(K167,Интервалы!$G$2:$G$513,0)))</f>
        <v/>
      </c>
      <c r="I167" s="9">
        <f>IF(K167="","",INDEX(Интервалы!$F$2:$F$513,MATCH(K167,Интервалы!$G$2:$G$513,0)))</f>
        <v/>
      </c>
      <c r="J167" s="9">
        <f>IF(K167="","",INDEX(Интервалы!$H$2:$H$513,MATCH(K167,Интервалы!$G$2:$G$513,0)))</f>
        <v/>
      </c>
      <c r="K167">
        <f>IFERROR(SMALL(Интервалы!$G$2:$G$513,161),"")</f>
        <v/>
      </c>
      <c r="L167">
        <f>IF(K167="","",INDEX(Интервалы!$B$2:$B$513,MATCH(K167,Интервалы!$G$2:$G$513,0)))</f>
        <v/>
      </c>
    </row>
    <row r="168">
      <c r="A168" s="5">
        <f>IF(K168="","",162)</f>
        <v/>
      </c>
      <c r="B168" s="5">
        <f>IF(K168="","",INDEX(Интервалы!$A$2:$A$513,MATCH(K168,Интервалы!$G$2:$G$513,0)))</f>
        <v/>
      </c>
      <c r="C168" s="17">
        <f>IF(K168="","",INDEX(Интервалы!$C$2:$C$513,MATCH(K168,Интервалы!$G$2:$G$513,0)))</f>
        <v/>
      </c>
      <c r="D168" s="17">
        <f>IF(K168="","",INDEX(Интервалы!$D$2:$D$513,MATCH(K168,Интервалы!$G$2:$G$513,0)))</f>
        <v/>
      </c>
      <c r="E168" s="5">
        <f>IF(K168="","",D168-C168+1)</f>
        <v/>
      </c>
      <c r="F168" s="9">
        <f>IF(K168="","",INDEX(Интервалы!$E$2:$E$513,MATCH(K168,Интервалы!$G$2:$G$513,0)))</f>
        <v/>
      </c>
      <c r="G168" s="5">
        <f>IF(K168="","",IF(H168=1,INDEX('По дням'!$B$2:$B$4000,MATCH(C168,'По дням'!$A$2:$A$4000,0)),"по периодам ставки"))</f>
        <v/>
      </c>
      <c r="H168" s="5">
        <f>IF(K168="","",INDEX(Интервалы!$I$2:$I$513,MATCH(K168,Интервалы!$G$2:$G$513,0)))</f>
        <v/>
      </c>
      <c r="I168" s="9">
        <f>IF(K168="","",INDEX(Интервалы!$F$2:$F$513,MATCH(K168,Интервалы!$G$2:$G$513,0)))</f>
        <v/>
      </c>
      <c r="J168" s="9">
        <f>IF(K168="","",INDEX(Интервалы!$H$2:$H$513,MATCH(K168,Интервалы!$G$2:$G$513,0)))</f>
        <v/>
      </c>
      <c r="K168">
        <f>IFERROR(SMALL(Интервалы!$G$2:$G$513,162),"")</f>
        <v/>
      </c>
      <c r="L168">
        <f>IF(K168="","",INDEX(Интервалы!$B$2:$B$513,MATCH(K168,Интервалы!$G$2:$G$513,0)))</f>
        <v/>
      </c>
    </row>
    <row r="169">
      <c r="A169" s="5">
        <f>IF(K169="","",163)</f>
        <v/>
      </c>
      <c r="B169" s="5">
        <f>IF(K169="","",INDEX(Интервалы!$A$2:$A$513,MATCH(K169,Интервалы!$G$2:$G$513,0)))</f>
        <v/>
      </c>
      <c r="C169" s="17">
        <f>IF(K169="","",INDEX(Интервалы!$C$2:$C$513,MATCH(K169,Интервалы!$G$2:$G$513,0)))</f>
        <v/>
      </c>
      <c r="D169" s="17">
        <f>IF(K169="","",INDEX(Интервалы!$D$2:$D$513,MATCH(K169,Интервалы!$G$2:$G$513,0)))</f>
        <v/>
      </c>
      <c r="E169" s="5">
        <f>IF(K169="","",D169-C169+1)</f>
        <v/>
      </c>
      <c r="F169" s="9">
        <f>IF(K169="","",INDEX(Интервалы!$E$2:$E$513,MATCH(K169,Интервалы!$G$2:$G$513,0)))</f>
        <v/>
      </c>
      <c r="G169" s="5">
        <f>IF(K169="","",IF(H169=1,INDEX('По дням'!$B$2:$B$4000,MATCH(C169,'По дням'!$A$2:$A$4000,0)),"по периодам ставки"))</f>
        <v/>
      </c>
      <c r="H169" s="5">
        <f>IF(K169="","",INDEX(Интервалы!$I$2:$I$513,MATCH(K169,Интервалы!$G$2:$G$513,0)))</f>
        <v/>
      </c>
      <c r="I169" s="9">
        <f>IF(K169="","",INDEX(Интервалы!$F$2:$F$513,MATCH(K169,Интервалы!$G$2:$G$513,0)))</f>
        <v/>
      </c>
      <c r="J169" s="9">
        <f>IF(K169="","",INDEX(Интервалы!$H$2:$H$513,MATCH(K169,Интервалы!$G$2:$G$513,0)))</f>
        <v/>
      </c>
      <c r="K169">
        <f>IFERROR(SMALL(Интервалы!$G$2:$G$513,163),"")</f>
        <v/>
      </c>
      <c r="L169">
        <f>IF(K169="","",INDEX(Интервалы!$B$2:$B$513,MATCH(K169,Интервалы!$G$2:$G$513,0)))</f>
        <v/>
      </c>
    </row>
    <row r="170">
      <c r="A170" s="5">
        <f>IF(K170="","",164)</f>
        <v/>
      </c>
      <c r="B170" s="5">
        <f>IF(K170="","",INDEX(Интервалы!$A$2:$A$513,MATCH(K170,Интервалы!$G$2:$G$513,0)))</f>
        <v/>
      </c>
      <c r="C170" s="17">
        <f>IF(K170="","",INDEX(Интервалы!$C$2:$C$513,MATCH(K170,Интервалы!$G$2:$G$513,0)))</f>
        <v/>
      </c>
      <c r="D170" s="17">
        <f>IF(K170="","",INDEX(Интервалы!$D$2:$D$513,MATCH(K170,Интервалы!$G$2:$G$513,0)))</f>
        <v/>
      </c>
      <c r="E170" s="5">
        <f>IF(K170="","",D170-C170+1)</f>
        <v/>
      </c>
      <c r="F170" s="9">
        <f>IF(K170="","",INDEX(Интервалы!$E$2:$E$513,MATCH(K170,Интервалы!$G$2:$G$513,0)))</f>
        <v/>
      </c>
      <c r="G170" s="5">
        <f>IF(K170="","",IF(H170=1,INDEX('По дням'!$B$2:$B$4000,MATCH(C170,'По дням'!$A$2:$A$4000,0)),"по периодам ставки"))</f>
        <v/>
      </c>
      <c r="H170" s="5">
        <f>IF(K170="","",INDEX(Интервалы!$I$2:$I$513,MATCH(K170,Интервалы!$G$2:$G$513,0)))</f>
        <v/>
      </c>
      <c r="I170" s="9">
        <f>IF(K170="","",INDEX(Интервалы!$F$2:$F$513,MATCH(K170,Интервалы!$G$2:$G$513,0)))</f>
        <v/>
      </c>
      <c r="J170" s="9">
        <f>IF(K170="","",INDEX(Интервалы!$H$2:$H$513,MATCH(K170,Интервалы!$G$2:$G$513,0)))</f>
        <v/>
      </c>
      <c r="K170">
        <f>IFERROR(SMALL(Интервалы!$G$2:$G$513,164),"")</f>
        <v/>
      </c>
      <c r="L170">
        <f>IF(K170="","",INDEX(Интервалы!$B$2:$B$513,MATCH(K170,Интервалы!$G$2:$G$513,0)))</f>
        <v/>
      </c>
    </row>
    <row r="171">
      <c r="A171" s="5">
        <f>IF(K171="","",165)</f>
        <v/>
      </c>
      <c r="B171" s="5">
        <f>IF(K171="","",INDEX(Интервалы!$A$2:$A$513,MATCH(K171,Интервалы!$G$2:$G$513,0)))</f>
        <v/>
      </c>
      <c r="C171" s="17">
        <f>IF(K171="","",INDEX(Интервалы!$C$2:$C$513,MATCH(K171,Интервалы!$G$2:$G$513,0)))</f>
        <v/>
      </c>
      <c r="D171" s="17">
        <f>IF(K171="","",INDEX(Интервалы!$D$2:$D$513,MATCH(K171,Интервалы!$G$2:$G$513,0)))</f>
        <v/>
      </c>
      <c r="E171" s="5">
        <f>IF(K171="","",D171-C171+1)</f>
        <v/>
      </c>
      <c r="F171" s="9">
        <f>IF(K171="","",INDEX(Интервалы!$E$2:$E$513,MATCH(K171,Интервалы!$G$2:$G$513,0)))</f>
        <v/>
      </c>
      <c r="G171" s="5">
        <f>IF(K171="","",IF(H171=1,INDEX('По дням'!$B$2:$B$4000,MATCH(C171,'По дням'!$A$2:$A$4000,0)),"по периодам ставки"))</f>
        <v/>
      </c>
      <c r="H171" s="5">
        <f>IF(K171="","",INDEX(Интервалы!$I$2:$I$513,MATCH(K171,Интервалы!$G$2:$G$513,0)))</f>
        <v/>
      </c>
      <c r="I171" s="9">
        <f>IF(K171="","",INDEX(Интервалы!$F$2:$F$513,MATCH(K171,Интервалы!$G$2:$G$513,0)))</f>
        <v/>
      </c>
      <c r="J171" s="9">
        <f>IF(K171="","",INDEX(Интервалы!$H$2:$H$513,MATCH(K171,Интервалы!$G$2:$G$513,0)))</f>
        <v/>
      </c>
      <c r="K171">
        <f>IFERROR(SMALL(Интервалы!$G$2:$G$513,165),"")</f>
        <v/>
      </c>
      <c r="L171">
        <f>IF(K171="","",INDEX(Интервалы!$B$2:$B$513,MATCH(K171,Интервалы!$G$2:$G$513,0)))</f>
        <v/>
      </c>
    </row>
    <row r="172">
      <c r="A172" s="5">
        <f>IF(K172="","",166)</f>
        <v/>
      </c>
      <c r="B172" s="5">
        <f>IF(K172="","",INDEX(Интервалы!$A$2:$A$513,MATCH(K172,Интервалы!$G$2:$G$513,0)))</f>
        <v/>
      </c>
      <c r="C172" s="17">
        <f>IF(K172="","",INDEX(Интервалы!$C$2:$C$513,MATCH(K172,Интервалы!$G$2:$G$513,0)))</f>
        <v/>
      </c>
      <c r="D172" s="17">
        <f>IF(K172="","",INDEX(Интервалы!$D$2:$D$513,MATCH(K172,Интервалы!$G$2:$G$513,0)))</f>
        <v/>
      </c>
      <c r="E172" s="5">
        <f>IF(K172="","",D172-C172+1)</f>
        <v/>
      </c>
      <c r="F172" s="9">
        <f>IF(K172="","",INDEX(Интервалы!$E$2:$E$513,MATCH(K172,Интервалы!$G$2:$G$513,0)))</f>
        <v/>
      </c>
      <c r="G172" s="5">
        <f>IF(K172="","",IF(H172=1,INDEX('По дням'!$B$2:$B$4000,MATCH(C172,'По дням'!$A$2:$A$4000,0)),"по периодам ставки"))</f>
        <v/>
      </c>
      <c r="H172" s="5">
        <f>IF(K172="","",INDEX(Интервалы!$I$2:$I$513,MATCH(K172,Интервалы!$G$2:$G$513,0)))</f>
        <v/>
      </c>
      <c r="I172" s="9">
        <f>IF(K172="","",INDEX(Интервалы!$F$2:$F$513,MATCH(K172,Интервалы!$G$2:$G$513,0)))</f>
        <v/>
      </c>
      <c r="J172" s="9">
        <f>IF(K172="","",INDEX(Интервалы!$H$2:$H$513,MATCH(K172,Интервалы!$G$2:$G$513,0)))</f>
        <v/>
      </c>
      <c r="K172">
        <f>IFERROR(SMALL(Интервалы!$G$2:$G$513,166),"")</f>
        <v/>
      </c>
      <c r="L172">
        <f>IF(K172="","",INDEX(Интервалы!$B$2:$B$513,MATCH(K172,Интервалы!$G$2:$G$513,0)))</f>
        <v/>
      </c>
    </row>
    <row r="173">
      <c r="A173" s="5">
        <f>IF(K173="","",167)</f>
        <v/>
      </c>
      <c r="B173" s="5">
        <f>IF(K173="","",INDEX(Интервалы!$A$2:$A$513,MATCH(K173,Интервалы!$G$2:$G$513,0)))</f>
        <v/>
      </c>
      <c r="C173" s="17">
        <f>IF(K173="","",INDEX(Интервалы!$C$2:$C$513,MATCH(K173,Интервалы!$G$2:$G$513,0)))</f>
        <v/>
      </c>
      <c r="D173" s="17">
        <f>IF(K173="","",INDEX(Интервалы!$D$2:$D$513,MATCH(K173,Интервалы!$G$2:$G$513,0)))</f>
        <v/>
      </c>
      <c r="E173" s="5">
        <f>IF(K173="","",D173-C173+1)</f>
        <v/>
      </c>
      <c r="F173" s="9">
        <f>IF(K173="","",INDEX(Интервалы!$E$2:$E$513,MATCH(K173,Интервалы!$G$2:$G$513,0)))</f>
        <v/>
      </c>
      <c r="G173" s="5">
        <f>IF(K173="","",IF(H173=1,INDEX('По дням'!$B$2:$B$4000,MATCH(C173,'По дням'!$A$2:$A$4000,0)),"по периодам ставки"))</f>
        <v/>
      </c>
      <c r="H173" s="5">
        <f>IF(K173="","",INDEX(Интервалы!$I$2:$I$513,MATCH(K173,Интервалы!$G$2:$G$513,0)))</f>
        <v/>
      </c>
      <c r="I173" s="9">
        <f>IF(K173="","",INDEX(Интервалы!$F$2:$F$513,MATCH(K173,Интервалы!$G$2:$G$513,0)))</f>
        <v/>
      </c>
      <c r="J173" s="9">
        <f>IF(K173="","",INDEX(Интервалы!$H$2:$H$513,MATCH(K173,Интервалы!$G$2:$G$513,0)))</f>
        <v/>
      </c>
      <c r="K173">
        <f>IFERROR(SMALL(Интервалы!$G$2:$G$513,167),"")</f>
        <v/>
      </c>
      <c r="L173">
        <f>IF(K173="","",INDEX(Интервалы!$B$2:$B$513,MATCH(K173,Интервалы!$G$2:$G$513,0)))</f>
        <v/>
      </c>
    </row>
    <row r="174">
      <c r="A174" s="5">
        <f>IF(K174="","",168)</f>
        <v/>
      </c>
      <c r="B174" s="5">
        <f>IF(K174="","",INDEX(Интервалы!$A$2:$A$513,MATCH(K174,Интервалы!$G$2:$G$513,0)))</f>
        <v/>
      </c>
      <c r="C174" s="17">
        <f>IF(K174="","",INDEX(Интервалы!$C$2:$C$513,MATCH(K174,Интервалы!$G$2:$G$513,0)))</f>
        <v/>
      </c>
      <c r="D174" s="17">
        <f>IF(K174="","",INDEX(Интервалы!$D$2:$D$513,MATCH(K174,Интервалы!$G$2:$G$513,0)))</f>
        <v/>
      </c>
      <c r="E174" s="5">
        <f>IF(K174="","",D174-C174+1)</f>
        <v/>
      </c>
      <c r="F174" s="9">
        <f>IF(K174="","",INDEX(Интервалы!$E$2:$E$513,MATCH(K174,Интервалы!$G$2:$G$513,0)))</f>
        <v/>
      </c>
      <c r="G174" s="5">
        <f>IF(K174="","",IF(H174=1,INDEX('По дням'!$B$2:$B$4000,MATCH(C174,'По дням'!$A$2:$A$4000,0)),"по периодам ставки"))</f>
        <v/>
      </c>
      <c r="H174" s="5">
        <f>IF(K174="","",INDEX(Интервалы!$I$2:$I$513,MATCH(K174,Интервалы!$G$2:$G$513,0)))</f>
        <v/>
      </c>
      <c r="I174" s="9">
        <f>IF(K174="","",INDEX(Интервалы!$F$2:$F$513,MATCH(K174,Интервалы!$G$2:$G$513,0)))</f>
        <v/>
      </c>
      <c r="J174" s="9">
        <f>IF(K174="","",INDEX(Интервалы!$H$2:$H$513,MATCH(K174,Интервалы!$G$2:$G$513,0)))</f>
        <v/>
      </c>
      <c r="K174">
        <f>IFERROR(SMALL(Интервалы!$G$2:$G$513,168),"")</f>
        <v/>
      </c>
      <c r="L174">
        <f>IF(K174="","",INDEX(Интервалы!$B$2:$B$513,MATCH(K174,Интервалы!$G$2:$G$513,0)))</f>
        <v/>
      </c>
    </row>
    <row r="175">
      <c r="A175" s="5">
        <f>IF(K175="","",169)</f>
        <v/>
      </c>
      <c r="B175" s="5">
        <f>IF(K175="","",INDEX(Интервалы!$A$2:$A$513,MATCH(K175,Интервалы!$G$2:$G$513,0)))</f>
        <v/>
      </c>
      <c r="C175" s="17">
        <f>IF(K175="","",INDEX(Интервалы!$C$2:$C$513,MATCH(K175,Интервалы!$G$2:$G$513,0)))</f>
        <v/>
      </c>
      <c r="D175" s="17">
        <f>IF(K175="","",INDEX(Интервалы!$D$2:$D$513,MATCH(K175,Интервалы!$G$2:$G$513,0)))</f>
        <v/>
      </c>
      <c r="E175" s="5">
        <f>IF(K175="","",D175-C175+1)</f>
        <v/>
      </c>
      <c r="F175" s="9">
        <f>IF(K175="","",INDEX(Интервалы!$E$2:$E$513,MATCH(K175,Интервалы!$G$2:$G$513,0)))</f>
        <v/>
      </c>
      <c r="G175" s="5">
        <f>IF(K175="","",IF(H175=1,INDEX('По дням'!$B$2:$B$4000,MATCH(C175,'По дням'!$A$2:$A$4000,0)),"по периодам ставки"))</f>
        <v/>
      </c>
      <c r="H175" s="5">
        <f>IF(K175="","",INDEX(Интервалы!$I$2:$I$513,MATCH(K175,Интервалы!$G$2:$G$513,0)))</f>
        <v/>
      </c>
      <c r="I175" s="9">
        <f>IF(K175="","",INDEX(Интервалы!$F$2:$F$513,MATCH(K175,Интервалы!$G$2:$G$513,0)))</f>
        <v/>
      </c>
      <c r="J175" s="9">
        <f>IF(K175="","",INDEX(Интервалы!$H$2:$H$513,MATCH(K175,Интервалы!$G$2:$G$513,0)))</f>
        <v/>
      </c>
      <c r="K175">
        <f>IFERROR(SMALL(Интервалы!$G$2:$G$513,169),"")</f>
        <v/>
      </c>
      <c r="L175">
        <f>IF(K175="","",INDEX(Интервалы!$B$2:$B$513,MATCH(K175,Интервалы!$G$2:$G$513,0)))</f>
        <v/>
      </c>
    </row>
    <row r="176">
      <c r="A176" s="5">
        <f>IF(K176="","",170)</f>
        <v/>
      </c>
      <c r="B176" s="5">
        <f>IF(K176="","",INDEX(Интервалы!$A$2:$A$513,MATCH(K176,Интервалы!$G$2:$G$513,0)))</f>
        <v/>
      </c>
      <c r="C176" s="17">
        <f>IF(K176="","",INDEX(Интервалы!$C$2:$C$513,MATCH(K176,Интервалы!$G$2:$G$513,0)))</f>
        <v/>
      </c>
      <c r="D176" s="17">
        <f>IF(K176="","",INDEX(Интервалы!$D$2:$D$513,MATCH(K176,Интервалы!$G$2:$G$513,0)))</f>
        <v/>
      </c>
      <c r="E176" s="5">
        <f>IF(K176="","",D176-C176+1)</f>
        <v/>
      </c>
      <c r="F176" s="9">
        <f>IF(K176="","",INDEX(Интервалы!$E$2:$E$513,MATCH(K176,Интервалы!$G$2:$G$513,0)))</f>
        <v/>
      </c>
      <c r="G176" s="5">
        <f>IF(K176="","",IF(H176=1,INDEX('По дням'!$B$2:$B$4000,MATCH(C176,'По дням'!$A$2:$A$4000,0)),"по периодам ставки"))</f>
        <v/>
      </c>
      <c r="H176" s="5">
        <f>IF(K176="","",INDEX(Интервалы!$I$2:$I$513,MATCH(K176,Интервалы!$G$2:$G$513,0)))</f>
        <v/>
      </c>
      <c r="I176" s="9">
        <f>IF(K176="","",INDEX(Интервалы!$F$2:$F$513,MATCH(K176,Интервалы!$G$2:$G$513,0)))</f>
        <v/>
      </c>
      <c r="J176" s="9">
        <f>IF(K176="","",INDEX(Интервалы!$H$2:$H$513,MATCH(K176,Интервалы!$G$2:$G$513,0)))</f>
        <v/>
      </c>
      <c r="K176">
        <f>IFERROR(SMALL(Интервалы!$G$2:$G$513,170),"")</f>
        <v/>
      </c>
      <c r="L176">
        <f>IF(K176="","",INDEX(Интервалы!$B$2:$B$513,MATCH(K176,Интервалы!$G$2:$G$513,0)))</f>
        <v/>
      </c>
    </row>
    <row r="177">
      <c r="A177" s="5">
        <f>IF(K177="","",171)</f>
        <v/>
      </c>
      <c r="B177" s="5">
        <f>IF(K177="","",INDEX(Интервалы!$A$2:$A$513,MATCH(K177,Интервалы!$G$2:$G$513,0)))</f>
        <v/>
      </c>
      <c r="C177" s="17">
        <f>IF(K177="","",INDEX(Интервалы!$C$2:$C$513,MATCH(K177,Интервалы!$G$2:$G$513,0)))</f>
        <v/>
      </c>
      <c r="D177" s="17">
        <f>IF(K177="","",INDEX(Интервалы!$D$2:$D$513,MATCH(K177,Интервалы!$G$2:$G$513,0)))</f>
        <v/>
      </c>
      <c r="E177" s="5">
        <f>IF(K177="","",D177-C177+1)</f>
        <v/>
      </c>
      <c r="F177" s="9">
        <f>IF(K177="","",INDEX(Интервалы!$E$2:$E$513,MATCH(K177,Интервалы!$G$2:$G$513,0)))</f>
        <v/>
      </c>
      <c r="G177" s="5">
        <f>IF(K177="","",IF(H177=1,INDEX('По дням'!$B$2:$B$4000,MATCH(C177,'По дням'!$A$2:$A$4000,0)),"по периодам ставки"))</f>
        <v/>
      </c>
      <c r="H177" s="5">
        <f>IF(K177="","",INDEX(Интервалы!$I$2:$I$513,MATCH(K177,Интервалы!$G$2:$G$513,0)))</f>
        <v/>
      </c>
      <c r="I177" s="9">
        <f>IF(K177="","",INDEX(Интервалы!$F$2:$F$513,MATCH(K177,Интервалы!$G$2:$G$513,0)))</f>
        <v/>
      </c>
      <c r="J177" s="9">
        <f>IF(K177="","",INDEX(Интервалы!$H$2:$H$513,MATCH(K177,Интервалы!$G$2:$G$513,0)))</f>
        <v/>
      </c>
      <c r="K177">
        <f>IFERROR(SMALL(Интервалы!$G$2:$G$513,171),"")</f>
        <v/>
      </c>
      <c r="L177">
        <f>IF(K177="","",INDEX(Интервалы!$B$2:$B$513,MATCH(K177,Интервалы!$G$2:$G$513,0)))</f>
        <v/>
      </c>
    </row>
    <row r="178">
      <c r="A178" s="5">
        <f>IF(K178="","",172)</f>
        <v/>
      </c>
      <c r="B178" s="5">
        <f>IF(K178="","",INDEX(Интервалы!$A$2:$A$513,MATCH(K178,Интервалы!$G$2:$G$513,0)))</f>
        <v/>
      </c>
      <c r="C178" s="17">
        <f>IF(K178="","",INDEX(Интервалы!$C$2:$C$513,MATCH(K178,Интервалы!$G$2:$G$513,0)))</f>
        <v/>
      </c>
      <c r="D178" s="17">
        <f>IF(K178="","",INDEX(Интервалы!$D$2:$D$513,MATCH(K178,Интервалы!$G$2:$G$513,0)))</f>
        <v/>
      </c>
      <c r="E178" s="5">
        <f>IF(K178="","",D178-C178+1)</f>
        <v/>
      </c>
      <c r="F178" s="9">
        <f>IF(K178="","",INDEX(Интервалы!$E$2:$E$513,MATCH(K178,Интервалы!$G$2:$G$513,0)))</f>
        <v/>
      </c>
      <c r="G178" s="5">
        <f>IF(K178="","",IF(H178=1,INDEX('По дням'!$B$2:$B$4000,MATCH(C178,'По дням'!$A$2:$A$4000,0)),"по периодам ставки"))</f>
        <v/>
      </c>
      <c r="H178" s="5">
        <f>IF(K178="","",INDEX(Интервалы!$I$2:$I$513,MATCH(K178,Интервалы!$G$2:$G$513,0)))</f>
        <v/>
      </c>
      <c r="I178" s="9">
        <f>IF(K178="","",INDEX(Интервалы!$F$2:$F$513,MATCH(K178,Интервалы!$G$2:$G$513,0)))</f>
        <v/>
      </c>
      <c r="J178" s="9">
        <f>IF(K178="","",INDEX(Интервалы!$H$2:$H$513,MATCH(K178,Интервалы!$G$2:$G$513,0)))</f>
        <v/>
      </c>
      <c r="K178">
        <f>IFERROR(SMALL(Интервалы!$G$2:$G$513,172),"")</f>
        <v/>
      </c>
      <c r="L178">
        <f>IF(K178="","",INDEX(Интервалы!$B$2:$B$513,MATCH(K178,Интервалы!$G$2:$G$513,0)))</f>
        <v/>
      </c>
    </row>
    <row r="179">
      <c r="A179" s="5">
        <f>IF(K179="","",173)</f>
        <v/>
      </c>
      <c r="B179" s="5">
        <f>IF(K179="","",INDEX(Интервалы!$A$2:$A$513,MATCH(K179,Интервалы!$G$2:$G$513,0)))</f>
        <v/>
      </c>
      <c r="C179" s="17">
        <f>IF(K179="","",INDEX(Интервалы!$C$2:$C$513,MATCH(K179,Интервалы!$G$2:$G$513,0)))</f>
        <v/>
      </c>
      <c r="D179" s="17">
        <f>IF(K179="","",INDEX(Интервалы!$D$2:$D$513,MATCH(K179,Интервалы!$G$2:$G$513,0)))</f>
        <v/>
      </c>
      <c r="E179" s="5">
        <f>IF(K179="","",D179-C179+1)</f>
        <v/>
      </c>
      <c r="F179" s="9">
        <f>IF(K179="","",INDEX(Интервалы!$E$2:$E$513,MATCH(K179,Интервалы!$G$2:$G$513,0)))</f>
        <v/>
      </c>
      <c r="G179" s="5">
        <f>IF(K179="","",IF(H179=1,INDEX('По дням'!$B$2:$B$4000,MATCH(C179,'По дням'!$A$2:$A$4000,0)),"по периодам ставки"))</f>
        <v/>
      </c>
      <c r="H179" s="5">
        <f>IF(K179="","",INDEX(Интервалы!$I$2:$I$513,MATCH(K179,Интервалы!$G$2:$G$513,0)))</f>
        <v/>
      </c>
      <c r="I179" s="9">
        <f>IF(K179="","",INDEX(Интервалы!$F$2:$F$513,MATCH(K179,Интервалы!$G$2:$G$513,0)))</f>
        <v/>
      </c>
      <c r="J179" s="9">
        <f>IF(K179="","",INDEX(Интервалы!$H$2:$H$513,MATCH(K179,Интервалы!$G$2:$G$513,0)))</f>
        <v/>
      </c>
      <c r="K179">
        <f>IFERROR(SMALL(Интервалы!$G$2:$G$513,173),"")</f>
        <v/>
      </c>
      <c r="L179">
        <f>IF(K179="","",INDEX(Интервалы!$B$2:$B$513,MATCH(K179,Интервалы!$G$2:$G$513,0)))</f>
        <v/>
      </c>
    </row>
    <row r="180">
      <c r="A180" s="5">
        <f>IF(K180="","",174)</f>
        <v/>
      </c>
      <c r="B180" s="5">
        <f>IF(K180="","",INDEX(Интервалы!$A$2:$A$513,MATCH(K180,Интервалы!$G$2:$G$513,0)))</f>
        <v/>
      </c>
      <c r="C180" s="17">
        <f>IF(K180="","",INDEX(Интервалы!$C$2:$C$513,MATCH(K180,Интервалы!$G$2:$G$513,0)))</f>
        <v/>
      </c>
      <c r="D180" s="17">
        <f>IF(K180="","",INDEX(Интервалы!$D$2:$D$513,MATCH(K180,Интервалы!$G$2:$G$513,0)))</f>
        <v/>
      </c>
      <c r="E180" s="5">
        <f>IF(K180="","",D180-C180+1)</f>
        <v/>
      </c>
      <c r="F180" s="9">
        <f>IF(K180="","",INDEX(Интервалы!$E$2:$E$513,MATCH(K180,Интервалы!$G$2:$G$513,0)))</f>
        <v/>
      </c>
      <c r="G180" s="5">
        <f>IF(K180="","",IF(H180=1,INDEX('По дням'!$B$2:$B$4000,MATCH(C180,'По дням'!$A$2:$A$4000,0)),"по периодам ставки"))</f>
        <v/>
      </c>
      <c r="H180" s="5">
        <f>IF(K180="","",INDEX(Интервалы!$I$2:$I$513,MATCH(K180,Интервалы!$G$2:$G$513,0)))</f>
        <v/>
      </c>
      <c r="I180" s="9">
        <f>IF(K180="","",INDEX(Интервалы!$F$2:$F$513,MATCH(K180,Интервалы!$G$2:$G$513,0)))</f>
        <v/>
      </c>
      <c r="J180" s="9">
        <f>IF(K180="","",INDEX(Интервалы!$H$2:$H$513,MATCH(K180,Интервалы!$G$2:$G$513,0)))</f>
        <v/>
      </c>
      <c r="K180">
        <f>IFERROR(SMALL(Интервалы!$G$2:$G$513,174),"")</f>
        <v/>
      </c>
      <c r="L180">
        <f>IF(K180="","",INDEX(Интервалы!$B$2:$B$513,MATCH(K180,Интервалы!$G$2:$G$513,0)))</f>
        <v/>
      </c>
    </row>
    <row r="181">
      <c r="A181" s="5">
        <f>IF(K181="","",175)</f>
        <v/>
      </c>
      <c r="B181" s="5">
        <f>IF(K181="","",INDEX(Интервалы!$A$2:$A$513,MATCH(K181,Интервалы!$G$2:$G$513,0)))</f>
        <v/>
      </c>
      <c r="C181" s="17">
        <f>IF(K181="","",INDEX(Интервалы!$C$2:$C$513,MATCH(K181,Интервалы!$G$2:$G$513,0)))</f>
        <v/>
      </c>
      <c r="D181" s="17">
        <f>IF(K181="","",INDEX(Интервалы!$D$2:$D$513,MATCH(K181,Интервалы!$G$2:$G$513,0)))</f>
        <v/>
      </c>
      <c r="E181" s="5">
        <f>IF(K181="","",D181-C181+1)</f>
        <v/>
      </c>
      <c r="F181" s="9">
        <f>IF(K181="","",INDEX(Интервалы!$E$2:$E$513,MATCH(K181,Интервалы!$G$2:$G$513,0)))</f>
        <v/>
      </c>
      <c r="G181" s="5">
        <f>IF(K181="","",IF(H181=1,INDEX('По дням'!$B$2:$B$4000,MATCH(C181,'По дням'!$A$2:$A$4000,0)),"по периодам ставки"))</f>
        <v/>
      </c>
      <c r="H181" s="5">
        <f>IF(K181="","",INDEX(Интервалы!$I$2:$I$513,MATCH(K181,Интервалы!$G$2:$G$513,0)))</f>
        <v/>
      </c>
      <c r="I181" s="9">
        <f>IF(K181="","",INDEX(Интервалы!$F$2:$F$513,MATCH(K181,Интервалы!$G$2:$G$513,0)))</f>
        <v/>
      </c>
      <c r="J181" s="9">
        <f>IF(K181="","",INDEX(Интервалы!$H$2:$H$513,MATCH(K181,Интервалы!$G$2:$G$513,0)))</f>
        <v/>
      </c>
      <c r="K181">
        <f>IFERROR(SMALL(Интервалы!$G$2:$G$513,175),"")</f>
        <v/>
      </c>
      <c r="L181">
        <f>IF(K181="","",INDEX(Интервалы!$B$2:$B$513,MATCH(K181,Интервалы!$G$2:$G$513,0)))</f>
        <v/>
      </c>
    </row>
    <row r="182">
      <c r="A182" s="5">
        <f>IF(K182="","",176)</f>
        <v/>
      </c>
      <c r="B182" s="5">
        <f>IF(K182="","",INDEX(Интервалы!$A$2:$A$513,MATCH(K182,Интервалы!$G$2:$G$513,0)))</f>
        <v/>
      </c>
      <c r="C182" s="17">
        <f>IF(K182="","",INDEX(Интервалы!$C$2:$C$513,MATCH(K182,Интервалы!$G$2:$G$513,0)))</f>
        <v/>
      </c>
      <c r="D182" s="17">
        <f>IF(K182="","",INDEX(Интервалы!$D$2:$D$513,MATCH(K182,Интервалы!$G$2:$G$513,0)))</f>
        <v/>
      </c>
      <c r="E182" s="5">
        <f>IF(K182="","",D182-C182+1)</f>
        <v/>
      </c>
      <c r="F182" s="9">
        <f>IF(K182="","",INDEX(Интервалы!$E$2:$E$513,MATCH(K182,Интервалы!$G$2:$G$513,0)))</f>
        <v/>
      </c>
      <c r="G182" s="5">
        <f>IF(K182="","",IF(H182=1,INDEX('По дням'!$B$2:$B$4000,MATCH(C182,'По дням'!$A$2:$A$4000,0)),"по периодам ставки"))</f>
        <v/>
      </c>
      <c r="H182" s="5">
        <f>IF(K182="","",INDEX(Интервалы!$I$2:$I$513,MATCH(K182,Интервалы!$G$2:$G$513,0)))</f>
        <v/>
      </c>
      <c r="I182" s="9">
        <f>IF(K182="","",INDEX(Интервалы!$F$2:$F$513,MATCH(K182,Интервалы!$G$2:$G$513,0)))</f>
        <v/>
      </c>
      <c r="J182" s="9">
        <f>IF(K182="","",INDEX(Интервалы!$H$2:$H$513,MATCH(K182,Интервалы!$G$2:$G$513,0)))</f>
        <v/>
      </c>
      <c r="K182">
        <f>IFERROR(SMALL(Интервалы!$G$2:$G$513,176),"")</f>
        <v/>
      </c>
      <c r="L182">
        <f>IF(K182="","",INDEX(Интервалы!$B$2:$B$513,MATCH(K182,Интервалы!$G$2:$G$513,0)))</f>
        <v/>
      </c>
    </row>
    <row r="183">
      <c r="A183" s="5">
        <f>IF(K183="","",177)</f>
        <v/>
      </c>
      <c r="B183" s="5">
        <f>IF(K183="","",INDEX(Интервалы!$A$2:$A$513,MATCH(K183,Интервалы!$G$2:$G$513,0)))</f>
        <v/>
      </c>
      <c r="C183" s="17">
        <f>IF(K183="","",INDEX(Интервалы!$C$2:$C$513,MATCH(K183,Интервалы!$G$2:$G$513,0)))</f>
        <v/>
      </c>
      <c r="D183" s="17">
        <f>IF(K183="","",INDEX(Интервалы!$D$2:$D$513,MATCH(K183,Интервалы!$G$2:$G$513,0)))</f>
        <v/>
      </c>
      <c r="E183" s="5">
        <f>IF(K183="","",D183-C183+1)</f>
        <v/>
      </c>
      <c r="F183" s="9">
        <f>IF(K183="","",INDEX(Интервалы!$E$2:$E$513,MATCH(K183,Интервалы!$G$2:$G$513,0)))</f>
        <v/>
      </c>
      <c r="G183" s="5">
        <f>IF(K183="","",IF(H183=1,INDEX('По дням'!$B$2:$B$4000,MATCH(C183,'По дням'!$A$2:$A$4000,0)),"по периодам ставки"))</f>
        <v/>
      </c>
      <c r="H183" s="5">
        <f>IF(K183="","",INDEX(Интервалы!$I$2:$I$513,MATCH(K183,Интервалы!$G$2:$G$513,0)))</f>
        <v/>
      </c>
      <c r="I183" s="9">
        <f>IF(K183="","",INDEX(Интервалы!$F$2:$F$513,MATCH(K183,Интервалы!$G$2:$G$513,0)))</f>
        <v/>
      </c>
      <c r="J183" s="9">
        <f>IF(K183="","",INDEX(Интервалы!$H$2:$H$513,MATCH(K183,Интервалы!$G$2:$G$513,0)))</f>
        <v/>
      </c>
      <c r="K183">
        <f>IFERROR(SMALL(Интервалы!$G$2:$G$513,177),"")</f>
        <v/>
      </c>
      <c r="L183">
        <f>IF(K183="","",INDEX(Интервалы!$B$2:$B$513,MATCH(K183,Интервалы!$G$2:$G$513,0)))</f>
        <v/>
      </c>
    </row>
    <row r="184">
      <c r="A184" s="5">
        <f>IF(K184="","",178)</f>
        <v/>
      </c>
      <c r="B184" s="5">
        <f>IF(K184="","",INDEX(Интервалы!$A$2:$A$513,MATCH(K184,Интервалы!$G$2:$G$513,0)))</f>
        <v/>
      </c>
      <c r="C184" s="17">
        <f>IF(K184="","",INDEX(Интервалы!$C$2:$C$513,MATCH(K184,Интервалы!$G$2:$G$513,0)))</f>
        <v/>
      </c>
      <c r="D184" s="17">
        <f>IF(K184="","",INDEX(Интервалы!$D$2:$D$513,MATCH(K184,Интервалы!$G$2:$G$513,0)))</f>
        <v/>
      </c>
      <c r="E184" s="5">
        <f>IF(K184="","",D184-C184+1)</f>
        <v/>
      </c>
      <c r="F184" s="9">
        <f>IF(K184="","",INDEX(Интервалы!$E$2:$E$513,MATCH(K184,Интервалы!$G$2:$G$513,0)))</f>
        <v/>
      </c>
      <c r="G184" s="5">
        <f>IF(K184="","",IF(H184=1,INDEX('По дням'!$B$2:$B$4000,MATCH(C184,'По дням'!$A$2:$A$4000,0)),"по периодам ставки"))</f>
        <v/>
      </c>
      <c r="H184" s="5">
        <f>IF(K184="","",INDEX(Интервалы!$I$2:$I$513,MATCH(K184,Интервалы!$G$2:$G$513,0)))</f>
        <v/>
      </c>
      <c r="I184" s="9">
        <f>IF(K184="","",INDEX(Интервалы!$F$2:$F$513,MATCH(K184,Интервалы!$G$2:$G$513,0)))</f>
        <v/>
      </c>
      <c r="J184" s="9">
        <f>IF(K184="","",INDEX(Интервалы!$H$2:$H$513,MATCH(K184,Интервалы!$G$2:$G$513,0)))</f>
        <v/>
      </c>
      <c r="K184">
        <f>IFERROR(SMALL(Интервалы!$G$2:$G$513,178),"")</f>
        <v/>
      </c>
      <c r="L184">
        <f>IF(K184="","",INDEX(Интервалы!$B$2:$B$513,MATCH(K184,Интервалы!$G$2:$G$513,0)))</f>
        <v/>
      </c>
    </row>
    <row r="185">
      <c r="A185" s="5">
        <f>IF(K185="","",179)</f>
        <v/>
      </c>
      <c r="B185" s="5">
        <f>IF(K185="","",INDEX(Интервалы!$A$2:$A$513,MATCH(K185,Интервалы!$G$2:$G$513,0)))</f>
        <v/>
      </c>
      <c r="C185" s="17">
        <f>IF(K185="","",INDEX(Интервалы!$C$2:$C$513,MATCH(K185,Интервалы!$G$2:$G$513,0)))</f>
        <v/>
      </c>
      <c r="D185" s="17">
        <f>IF(K185="","",INDEX(Интервалы!$D$2:$D$513,MATCH(K185,Интервалы!$G$2:$G$513,0)))</f>
        <v/>
      </c>
      <c r="E185" s="5">
        <f>IF(K185="","",D185-C185+1)</f>
        <v/>
      </c>
      <c r="F185" s="9">
        <f>IF(K185="","",INDEX(Интервалы!$E$2:$E$513,MATCH(K185,Интервалы!$G$2:$G$513,0)))</f>
        <v/>
      </c>
      <c r="G185" s="5">
        <f>IF(K185="","",IF(H185=1,INDEX('По дням'!$B$2:$B$4000,MATCH(C185,'По дням'!$A$2:$A$4000,0)),"по периодам ставки"))</f>
        <v/>
      </c>
      <c r="H185" s="5">
        <f>IF(K185="","",INDEX(Интервалы!$I$2:$I$513,MATCH(K185,Интервалы!$G$2:$G$513,0)))</f>
        <v/>
      </c>
      <c r="I185" s="9">
        <f>IF(K185="","",INDEX(Интервалы!$F$2:$F$513,MATCH(K185,Интервалы!$G$2:$G$513,0)))</f>
        <v/>
      </c>
      <c r="J185" s="9">
        <f>IF(K185="","",INDEX(Интервалы!$H$2:$H$513,MATCH(K185,Интервалы!$G$2:$G$513,0)))</f>
        <v/>
      </c>
      <c r="K185">
        <f>IFERROR(SMALL(Интервалы!$G$2:$G$513,179),"")</f>
        <v/>
      </c>
      <c r="L185">
        <f>IF(K185="","",INDEX(Интервалы!$B$2:$B$513,MATCH(K185,Интервалы!$G$2:$G$513,0)))</f>
        <v/>
      </c>
    </row>
    <row r="186">
      <c r="A186" s="5">
        <f>IF(K186="","",180)</f>
        <v/>
      </c>
      <c r="B186" s="5">
        <f>IF(K186="","",INDEX(Интервалы!$A$2:$A$513,MATCH(K186,Интервалы!$G$2:$G$513,0)))</f>
        <v/>
      </c>
      <c r="C186" s="17">
        <f>IF(K186="","",INDEX(Интервалы!$C$2:$C$513,MATCH(K186,Интервалы!$G$2:$G$513,0)))</f>
        <v/>
      </c>
      <c r="D186" s="17">
        <f>IF(K186="","",INDEX(Интервалы!$D$2:$D$513,MATCH(K186,Интервалы!$G$2:$G$513,0)))</f>
        <v/>
      </c>
      <c r="E186" s="5">
        <f>IF(K186="","",D186-C186+1)</f>
        <v/>
      </c>
      <c r="F186" s="9">
        <f>IF(K186="","",INDEX(Интервалы!$E$2:$E$513,MATCH(K186,Интервалы!$G$2:$G$513,0)))</f>
        <v/>
      </c>
      <c r="G186" s="5">
        <f>IF(K186="","",IF(H186=1,INDEX('По дням'!$B$2:$B$4000,MATCH(C186,'По дням'!$A$2:$A$4000,0)),"по периодам ставки"))</f>
        <v/>
      </c>
      <c r="H186" s="5">
        <f>IF(K186="","",INDEX(Интервалы!$I$2:$I$513,MATCH(K186,Интервалы!$G$2:$G$513,0)))</f>
        <v/>
      </c>
      <c r="I186" s="9">
        <f>IF(K186="","",INDEX(Интервалы!$F$2:$F$513,MATCH(K186,Интервалы!$G$2:$G$513,0)))</f>
        <v/>
      </c>
      <c r="J186" s="9">
        <f>IF(K186="","",INDEX(Интервалы!$H$2:$H$513,MATCH(K186,Интервалы!$G$2:$G$513,0)))</f>
        <v/>
      </c>
      <c r="K186">
        <f>IFERROR(SMALL(Интервалы!$G$2:$G$513,180),"")</f>
        <v/>
      </c>
      <c r="L186">
        <f>IF(K186="","",INDEX(Интервалы!$B$2:$B$513,MATCH(K186,Интервалы!$G$2:$G$513,0)))</f>
        <v/>
      </c>
    </row>
    <row r="187">
      <c r="A187" s="5">
        <f>IF(K187="","",181)</f>
        <v/>
      </c>
      <c r="B187" s="5">
        <f>IF(K187="","",INDEX(Интервалы!$A$2:$A$513,MATCH(K187,Интервалы!$G$2:$G$513,0)))</f>
        <v/>
      </c>
      <c r="C187" s="17">
        <f>IF(K187="","",INDEX(Интервалы!$C$2:$C$513,MATCH(K187,Интервалы!$G$2:$G$513,0)))</f>
        <v/>
      </c>
      <c r="D187" s="17">
        <f>IF(K187="","",INDEX(Интервалы!$D$2:$D$513,MATCH(K187,Интервалы!$G$2:$G$513,0)))</f>
        <v/>
      </c>
      <c r="E187" s="5">
        <f>IF(K187="","",D187-C187+1)</f>
        <v/>
      </c>
      <c r="F187" s="9">
        <f>IF(K187="","",INDEX(Интервалы!$E$2:$E$513,MATCH(K187,Интервалы!$G$2:$G$513,0)))</f>
        <v/>
      </c>
      <c r="G187" s="5">
        <f>IF(K187="","",IF(H187=1,INDEX('По дням'!$B$2:$B$4000,MATCH(C187,'По дням'!$A$2:$A$4000,0)),"по периодам ставки"))</f>
        <v/>
      </c>
      <c r="H187" s="5">
        <f>IF(K187="","",INDEX(Интервалы!$I$2:$I$513,MATCH(K187,Интервалы!$G$2:$G$513,0)))</f>
        <v/>
      </c>
      <c r="I187" s="9">
        <f>IF(K187="","",INDEX(Интервалы!$F$2:$F$513,MATCH(K187,Интервалы!$G$2:$G$513,0)))</f>
        <v/>
      </c>
      <c r="J187" s="9">
        <f>IF(K187="","",INDEX(Интервалы!$H$2:$H$513,MATCH(K187,Интервалы!$G$2:$G$513,0)))</f>
        <v/>
      </c>
      <c r="K187">
        <f>IFERROR(SMALL(Интервалы!$G$2:$G$513,181),"")</f>
        <v/>
      </c>
      <c r="L187">
        <f>IF(K187="","",INDEX(Интервалы!$B$2:$B$513,MATCH(K187,Интервалы!$G$2:$G$513,0)))</f>
        <v/>
      </c>
    </row>
    <row r="188">
      <c r="A188" s="5">
        <f>IF(K188="","",182)</f>
        <v/>
      </c>
      <c r="B188" s="5">
        <f>IF(K188="","",INDEX(Интервалы!$A$2:$A$513,MATCH(K188,Интервалы!$G$2:$G$513,0)))</f>
        <v/>
      </c>
      <c r="C188" s="17">
        <f>IF(K188="","",INDEX(Интервалы!$C$2:$C$513,MATCH(K188,Интервалы!$G$2:$G$513,0)))</f>
        <v/>
      </c>
      <c r="D188" s="17">
        <f>IF(K188="","",INDEX(Интервалы!$D$2:$D$513,MATCH(K188,Интервалы!$G$2:$G$513,0)))</f>
        <v/>
      </c>
      <c r="E188" s="5">
        <f>IF(K188="","",D188-C188+1)</f>
        <v/>
      </c>
      <c r="F188" s="9">
        <f>IF(K188="","",INDEX(Интервалы!$E$2:$E$513,MATCH(K188,Интервалы!$G$2:$G$513,0)))</f>
        <v/>
      </c>
      <c r="G188" s="5">
        <f>IF(K188="","",IF(H188=1,INDEX('По дням'!$B$2:$B$4000,MATCH(C188,'По дням'!$A$2:$A$4000,0)),"по периодам ставки"))</f>
        <v/>
      </c>
      <c r="H188" s="5">
        <f>IF(K188="","",INDEX(Интервалы!$I$2:$I$513,MATCH(K188,Интервалы!$G$2:$G$513,0)))</f>
        <v/>
      </c>
      <c r="I188" s="9">
        <f>IF(K188="","",INDEX(Интервалы!$F$2:$F$513,MATCH(K188,Интервалы!$G$2:$G$513,0)))</f>
        <v/>
      </c>
      <c r="J188" s="9">
        <f>IF(K188="","",INDEX(Интервалы!$H$2:$H$513,MATCH(K188,Интервалы!$G$2:$G$513,0)))</f>
        <v/>
      </c>
      <c r="K188">
        <f>IFERROR(SMALL(Интервалы!$G$2:$G$513,182),"")</f>
        <v/>
      </c>
      <c r="L188">
        <f>IF(K188="","",INDEX(Интервалы!$B$2:$B$513,MATCH(K188,Интервалы!$G$2:$G$513,0)))</f>
        <v/>
      </c>
    </row>
    <row r="189">
      <c r="A189" s="5">
        <f>IF(K189="","",183)</f>
        <v/>
      </c>
      <c r="B189" s="5">
        <f>IF(K189="","",INDEX(Интервалы!$A$2:$A$513,MATCH(K189,Интервалы!$G$2:$G$513,0)))</f>
        <v/>
      </c>
      <c r="C189" s="17">
        <f>IF(K189="","",INDEX(Интервалы!$C$2:$C$513,MATCH(K189,Интервалы!$G$2:$G$513,0)))</f>
        <v/>
      </c>
      <c r="D189" s="17">
        <f>IF(K189="","",INDEX(Интервалы!$D$2:$D$513,MATCH(K189,Интервалы!$G$2:$G$513,0)))</f>
        <v/>
      </c>
      <c r="E189" s="5">
        <f>IF(K189="","",D189-C189+1)</f>
        <v/>
      </c>
      <c r="F189" s="9">
        <f>IF(K189="","",INDEX(Интервалы!$E$2:$E$513,MATCH(K189,Интервалы!$G$2:$G$513,0)))</f>
        <v/>
      </c>
      <c r="G189" s="5">
        <f>IF(K189="","",IF(H189=1,INDEX('По дням'!$B$2:$B$4000,MATCH(C189,'По дням'!$A$2:$A$4000,0)),"по периодам ставки"))</f>
        <v/>
      </c>
      <c r="H189" s="5">
        <f>IF(K189="","",INDEX(Интервалы!$I$2:$I$513,MATCH(K189,Интервалы!$G$2:$G$513,0)))</f>
        <v/>
      </c>
      <c r="I189" s="9">
        <f>IF(K189="","",INDEX(Интервалы!$F$2:$F$513,MATCH(K189,Интервалы!$G$2:$G$513,0)))</f>
        <v/>
      </c>
      <c r="J189" s="9">
        <f>IF(K189="","",INDEX(Интервалы!$H$2:$H$513,MATCH(K189,Интервалы!$G$2:$G$513,0)))</f>
        <v/>
      </c>
      <c r="K189">
        <f>IFERROR(SMALL(Интервалы!$G$2:$G$513,183),"")</f>
        <v/>
      </c>
      <c r="L189">
        <f>IF(K189="","",INDEX(Интервалы!$B$2:$B$513,MATCH(K189,Интервалы!$G$2:$G$513,0)))</f>
        <v/>
      </c>
    </row>
    <row r="190">
      <c r="A190" s="5">
        <f>IF(K190="","",184)</f>
        <v/>
      </c>
      <c r="B190" s="5">
        <f>IF(K190="","",INDEX(Интервалы!$A$2:$A$513,MATCH(K190,Интервалы!$G$2:$G$513,0)))</f>
        <v/>
      </c>
      <c r="C190" s="17">
        <f>IF(K190="","",INDEX(Интервалы!$C$2:$C$513,MATCH(K190,Интервалы!$G$2:$G$513,0)))</f>
        <v/>
      </c>
      <c r="D190" s="17">
        <f>IF(K190="","",INDEX(Интервалы!$D$2:$D$513,MATCH(K190,Интервалы!$G$2:$G$513,0)))</f>
        <v/>
      </c>
      <c r="E190" s="5">
        <f>IF(K190="","",D190-C190+1)</f>
        <v/>
      </c>
      <c r="F190" s="9">
        <f>IF(K190="","",INDEX(Интервалы!$E$2:$E$513,MATCH(K190,Интервалы!$G$2:$G$513,0)))</f>
        <v/>
      </c>
      <c r="G190" s="5">
        <f>IF(K190="","",IF(H190=1,INDEX('По дням'!$B$2:$B$4000,MATCH(C190,'По дням'!$A$2:$A$4000,0)),"по периодам ставки"))</f>
        <v/>
      </c>
      <c r="H190" s="5">
        <f>IF(K190="","",INDEX(Интервалы!$I$2:$I$513,MATCH(K190,Интервалы!$G$2:$G$513,0)))</f>
        <v/>
      </c>
      <c r="I190" s="9">
        <f>IF(K190="","",INDEX(Интервалы!$F$2:$F$513,MATCH(K190,Интервалы!$G$2:$G$513,0)))</f>
        <v/>
      </c>
      <c r="J190" s="9">
        <f>IF(K190="","",INDEX(Интервалы!$H$2:$H$513,MATCH(K190,Интервалы!$G$2:$G$513,0)))</f>
        <v/>
      </c>
      <c r="K190">
        <f>IFERROR(SMALL(Интервалы!$G$2:$G$513,184),"")</f>
        <v/>
      </c>
      <c r="L190">
        <f>IF(K190="","",INDEX(Интервалы!$B$2:$B$513,MATCH(K190,Интервалы!$G$2:$G$513,0)))</f>
        <v/>
      </c>
    </row>
    <row r="191">
      <c r="A191" s="5">
        <f>IF(K191="","",185)</f>
        <v/>
      </c>
      <c r="B191" s="5">
        <f>IF(K191="","",INDEX(Интервалы!$A$2:$A$513,MATCH(K191,Интервалы!$G$2:$G$513,0)))</f>
        <v/>
      </c>
      <c r="C191" s="17">
        <f>IF(K191="","",INDEX(Интервалы!$C$2:$C$513,MATCH(K191,Интервалы!$G$2:$G$513,0)))</f>
        <v/>
      </c>
      <c r="D191" s="17">
        <f>IF(K191="","",INDEX(Интервалы!$D$2:$D$513,MATCH(K191,Интервалы!$G$2:$G$513,0)))</f>
        <v/>
      </c>
      <c r="E191" s="5">
        <f>IF(K191="","",D191-C191+1)</f>
        <v/>
      </c>
      <c r="F191" s="9">
        <f>IF(K191="","",INDEX(Интервалы!$E$2:$E$513,MATCH(K191,Интервалы!$G$2:$G$513,0)))</f>
        <v/>
      </c>
      <c r="G191" s="5">
        <f>IF(K191="","",IF(H191=1,INDEX('По дням'!$B$2:$B$4000,MATCH(C191,'По дням'!$A$2:$A$4000,0)),"по периодам ставки"))</f>
        <v/>
      </c>
      <c r="H191" s="5">
        <f>IF(K191="","",INDEX(Интервалы!$I$2:$I$513,MATCH(K191,Интервалы!$G$2:$G$513,0)))</f>
        <v/>
      </c>
      <c r="I191" s="9">
        <f>IF(K191="","",INDEX(Интервалы!$F$2:$F$513,MATCH(K191,Интервалы!$G$2:$G$513,0)))</f>
        <v/>
      </c>
      <c r="J191" s="9">
        <f>IF(K191="","",INDEX(Интервалы!$H$2:$H$513,MATCH(K191,Интервалы!$G$2:$G$513,0)))</f>
        <v/>
      </c>
      <c r="K191">
        <f>IFERROR(SMALL(Интервалы!$G$2:$G$513,185),"")</f>
        <v/>
      </c>
      <c r="L191">
        <f>IF(K191="","",INDEX(Интервалы!$B$2:$B$513,MATCH(K191,Интервалы!$G$2:$G$513,0)))</f>
        <v/>
      </c>
    </row>
    <row r="192">
      <c r="A192" s="5">
        <f>IF(K192="","",186)</f>
        <v/>
      </c>
      <c r="B192" s="5">
        <f>IF(K192="","",INDEX(Интервалы!$A$2:$A$513,MATCH(K192,Интервалы!$G$2:$G$513,0)))</f>
        <v/>
      </c>
      <c r="C192" s="17">
        <f>IF(K192="","",INDEX(Интервалы!$C$2:$C$513,MATCH(K192,Интервалы!$G$2:$G$513,0)))</f>
        <v/>
      </c>
      <c r="D192" s="17">
        <f>IF(K192="","",INDEX(Интервалы!$D$2:$D$513,MATCH(K192,Интервалы!$G$2:$G$513,0)))</f>
        <v/>
      </c>
      <c r="E192" s="5">
        <f>IF(K192="","",D192-C192+1)</f>
        <v/>
      </c>
      <c r="F192" s="9">
        <f>IF(K192="","",INDEX(Интервалы!$E$2:$E$513,MATCH(K192,Интервалы!$G$2:$G$513,0)))</f>
        <v/>
      </c>
      <c r="G192" s="5">
        <f>IF(K192="","",IF(H192=1,INDEX('По дням'!$B$2:$B$4000,MATCH(C192,'По дням'!$A$2:$A$4000,0)),"по периодам ставки"))</f>
        <v/>
      </c>
      <c r="H192" s="5">
        <f>IF(K192="","",INDEX(Интервалы!$I$2:$I$513,MATCH(K192,Интервалы!$G$2:$G$513,0)))</f>
        <v/>
      </c>
      <c r="I192" s="9">
        <f>IF(K192="","",INDEX(Интервалы!$F$2:$F$513,MATCH(K192,Интервалы!$G$2:$G$513,0)))</f>
        <v/>
      </c>
      <c r="J192" s="9">
        <f>IF(K192="","",INDEX(Интервалы!$H$2:$H$513,MATCH(K192,Интервалы!$G$2:$G$513,0)))</f>
        <v/>
      </c>
      <c r="K192">
        <f>IFERROR(SMALL(Интервалы!$G$2:$G$513,186),"")</f>
        <v/>
      </c>
      <c r="L192">
        <f>IF(K192="","",INDEX(Интервалы!$B$2:$B$513,MATCH(K192,Интервалы!$G$2:$G$513,0)))</f>
        <v/>
      </c>
    </row>
    <row r="193">
      <c r="A193" s="5">
        <f>IF(K193="","",187)</f>
        <v/>
      </c>
      <c r="B193" s="5">
        <f>IF(K193="","",INDEX(Интервалы!$A$2:$A$513,MATCH(K193,Интервалы!$G$2:$G$513,0)))</f>
        <v/>
      </c>
      <c r="C193" s="17">
        <f>IF(K193="","",INDEX(Интервалы!$C$2:$C$513,MATCH(K193,Интервалы!$G$2:$G$513,0)))</f>
        <v/>
      </c>
      <c r="D193" s="17">
        <f>IF(K193="","",INDEX(Интервалы!$D$2:$D$513,MATCH(K193,Интервалы!$G$2:$G$513,0)))</f>
        <v/>
      </c>
      <c r="E193" s="5">
        <f>IF(K193="","",D193-C193+1)</f>
        <v/>
      </c>
      <c r="F193" s="9">
        <f>IF(K193="","",INDEX(Интервалы!$E$2:$E$513,MATCH(K193,Интервалы!$G$2:$G$513,0)))</f>
        <v/>
      </c>
      <c r="G193" s="5">
        <f>IF(K193="","",IF(H193=1,INDEX('По дням'!$B$2:$B$4000,MATCH(C193,'По дням'!$A$2:$A$4000,0)),"по периодам ставки"))</f>
        <v/>
      </c>
      <c r="H193" s="5">
        <f>IF(K193="","",INDEX(Интервалы!$I$2:$I$513,MATCH(K193,Интервалы!$G$2:$G$513,0)))</f>
        <v/>
      </c>
      <c r="I193" s="9">
        <f>IF(K193="","",INDEX(Интервалы!$F$2:$F$513,MATCH(K193,Интервалы!$G$2:$G$513,0)))</f>
        <v/>
      </c>
      <c r="J193" s="9">
        <f>IF(K193="","",INDEX(Интервалы!$H$2:$H$513,MATCH(K193,Интервалы!$G$2:$G$513,0)))</f>
        <v/>
      </c>
      <c r="K193">
        <f>IFERROR(SMALL(Интервалы!$G$2:$G$513,187),"")</f>
        <v/>
      </c>
      <c r="L193">
        <f>IF(K193="","",INDEX(Интервалы!$B$2:$B$513,MATCH(K193,Интервалы!$G$2:$G$513,0)))</f>
        <v/>
      </c>
    </row>
    <row r="194">
      <c r="A194" s="5">
        <f>IF(K194="","",188)</f>
        <v/>
      </c>
      <c r="B194" s="5">
        <f>IF(K194="","",INDEX(Интервалы!$A$2:$A$513,MATCH(K194,Интервалы!$G$2:$G$513,0)))</f>
        <v/>
      </c>
      <c r="C194" s="17">
        <f>IF(K194="","",INDEX(Интервалы!$C$2:$C$513,MATCH(K194,Интервалы!$G$2:$G$513,0)))</f>
        <v/>
      </c>
      <c r="D194" s="17">
        <f>IF(K194="","",INDEX(Интервалы!$D$2:$D$513,MATCH(K194,Интервалы!$G$2:$G$513,0)))</f>
        <v/>
      </c>
      <c r="E194" s="5">
        <f>IF(K194="","",D194-C194+1)</f>
        <v/>
      </c>
      <c r="F194" s="9">
        <f>IF(K194="","",INDEX(Интервалы!$E$2:$E$513,MATCH(K194,Интервалы!$G$2:$G$513,0)))</f>
        <v/>
      </c>
      <c r="G194" s="5">
        <f>IF(K194="","",IF(H194=1,INDEX('По дням'!$B$2:$B$4000,MATCH(C194,'По дням'!$A$2:$A$4000,0)),"по периодам ставки"))</f>
        <v/>
      </c>
      <c r="H194" s="5">
        <f>IF(K194="","",INDEX(Интервалы!$I$2:$I$513,MATCH(K194,Интервалы!$G$2:$G$513,0)))</f>
        <v/>
      </c>
      <c r="I194" s="9">
        <f>IF(K194="","",INDEX(Интервалы!$F$2:$F$513,MATCH(K194,Интервалы!$G$2:$G$513,0)))</f>
        <v/>
      </c>
      <c r="J194" s="9">
        <f>IF(K194="","",INDEX(Интервалы!$H$2:$H$513,MATCH(K194,Интервалы!$G$2:$G$513,0)))</f>
        <v/>
      </c>
      <c r="K194">
        <f>IFERROR(SMALL(Интервалы!$G$2:$G$513,188),"")</f>
        <v/>
      </c>
      <c r="L194">
        <f>IF(K194="","",INDEX(Интервалы!$B$2:$B$513,MATCH(K194,Интервалы!$G$2:$G$513,0)))</f>
        <v/>
      </c>
    </row>
    <row r="195">
      <c r="A195" s="5">
        <f>IF(K195="","",189)</f>
        <v/>
      </c>
      <c r="B195" s="5">
        <f>IF(K195="","",INDEX(Интервалы!$A$2:$A$513,MATCH(K195,Интервалы!$G$2:$G$513,0)))</f>
        <v/>
      </c>
      <c r="C195" s="17">
        <f>IF(K195="","",INDEX(Интервалы!$C$2:$C$513,MATCH(K195,Интервалы!$G$2:$G$513,0)))</f>
        <v/>
      </c>
      <c r="D195" s="17">
        <f>IF(K195="","",INDEX(Интервалы!$D$2:$D$513,MATCH(K195,Интервалы!$G$2:$G$513,0)))</f>
        <v/>
      </c>
      <c r="E195" s="5">
        <f>IF(K195="","",D195-C195+1)</f>
        <v/>
      </c>
      <c r="F195" s="9">
        <f>IF(K195="","",INDEX(Интервалы!$E$2:$E$513,MATCH(K195,Интервалы!$G$2:$G$513,0)))</f>
        <v/>
      </c>
      <c r="G195" s="5">
        <f>IF(K195="","",IF(H195=1,INDEX('По дням'!$B$2:$B$4000,MATCH(C195,'По дням'!$A$2:$A$4000,0)),"по периодам ставки"))</f>
        <v/>
      </c>
      <c r="H195" s="5">
        <f>IF(K195="","",INDEX(Интервалы!$I$2:$I$513,MATCH(K195,Интервалы!$G$2:$G$513,0)))</f>
        <v/>
      </c>
      <c r="I195" s="9">
        <f>IF(K195="","",INDEX(Интервалы!$F$2:$F$513,MATCH(K195,Интервалы!$G$2:$G$513,0)))</f>
        <v/>
      </c>
      <c r="J195" s="9">
        <f>IF(K195="","",INDEX(Интервалы!$H$2:$H$513,MATCH(K195,Интервалы!$G$2:$G$513,0)))</f>
        <v/>
      </c>
      <c r="K195">
        <f>IFERROR(SMALL(Интервалы!$G$2:$G$513,189),"")</f>
        <v/>
      </c>
      <c r="L195">
        <f>IF(K195="","",INDEX(Интервалы!$B$2:$B$513,MATCH(K195,Интервалы!$G$2:$G$513,0)))</f>
        <v/>
      </c>
    </row>
    <row r="196">
      <c r="A196" s="5">
        <f>IF(K196="","",190)</f>
        <v/>
      </c>
      <c r="B196" s="5">
        <f>IF(K196="","",INDEX(Интервалы!$A$2:$A$513,MATCH(K196,Интервалы!$G$2:$G$513,0)))</f>
        <v/>
      </c>
      <c r="C196" s="17">
        <f>IF(K196="","",INDEX(Интервалы!$C$2:$C$513,MATCH(K196,Интервалы!$G$2:$G$513,0)))</f>
        <v/>
      </c>
      <c r="D196" s="17">
        <f>IF(K196="","",INDEX(Интервалы!$D$2:$D$513,MATCH(K196,Интервалы!$G$2:$G$513,0)))</f>
        <v/>
      </c>
      <c r="E196" s="5">
        <f>IF(K196="","",D196-C196+1)</f>
        <v/>
      </c>
      <c r="F196" s="9">
        <f>IF(K196="","",INDEX(Интервалы!$E$2:$E$513,MATCH(K196,Интервалы!$G$2:$G$513,0)))</f>
        <v/>
      </c>
      <c r="G196" s="5">
        <f>IF(K196="","",IF(H196=1,INDEX('По дням'!$B$2:$B$4000,MATCH(C196,'По дням'!$A$2:$A$4000,0)),"по периодам ставки"))</f>
        <v/>
      </c>
      <c r="H196" s="5">
        <f>IF(K196="","",INDEX(Интервалы!$I$2:$I$513,MATCH(K196,Интервалы!$G$2:$G$513,0)))</f>
        <v/>
      </c>
      <c r="I196" s="9">
        <f>IF(K196="","",INDEX(Интервалы!$F$2:$F$513,MATCH(K196,Интервалы!$G$2:$G$513,0)))</f>
        <v/>
      </c>
      <c r="J196" s="9">
        <f>IF(K196="","",INDEX(Интервалы!$H$2:$H$513,MATCH(K196,Интервалы!$G$2:$G$513,0)))</f>
        <v/>
      </c>
      <c r="K196">
        <f>IFERROR(SMALL(Интервалы!$G$2:$G$513,190),"")</f>
        <v/>
      </c>
      <c r="L196">
        <f>IF(K196="","",INDEX(Интервалы!$B$2:$B$513,MATCH(K196,Интервалы!$G$2:$G$513,0)))</f>
        <v/>
      </c>
    </row>
    <row r="197">
      <c r="A197" s="5">
        <f>IF(K197="","",191)</f>
        <v/>
      </c>
      <c r="B197" s="5">
        <f>IF(K197="","",INDEX(Интервалы!$A$2:$A$513,MATCH(K197,Интервалы!$G$2:$G$513,0)))</f>
        <v/>
      </c>
      <c r="C197" s="17">
        <f>IF(K197="","",INDEX(Интервалы!$C$2:$C$513,MATCH(K197,Интервалы!$G$2:$G$513,0)))</f>
        <v/>
      </c>
      <c r="D197" s="17">
        <f>IF(K197="","",INDEX(Интервалы!$D$2:$D$513,MATCH(K197,Интервалы!$G$2:$G$513,0)))</f>
        <v/>
      </c>
      <c r="E197" s="5">
        <f>IF(K197="","",D197-C197+1)</f>
        <v/>
      </c>
      <c r="F197" s="9">
        <f>IF(K197="","",INDEX(Интервалы!$E$2:$E$513,MATCH(K197,Интервалы!$G$2:$G$513,0)))</f>
        <v/>
      </c>
      <c r="G197" s="5">
        <f>IF(K197="","",IF(H197=1,INDEX('По дням'!$B$2:$B$4000,MATCH(C197,'По дням'!$A$2:$A$4000,0)),"по периодам ставки"))</f>
        <v/>
      </c>
      <c r="H197" s="5">
        <f>IF(K197="","",INDEX(Интервалы!$I$2:$I$513,MATCH(K197,Интервалы!$G$2:$G$513,0)))</f>
        <v/>
      </c>
      <c r="I197" s="9">
        <f>IF(K197="","",INDEX(Интервалы!$F$2:$F$513,MATCH(K197,Интервалы!$G$2:$G$513,0)))</f>
        <v/>
      </c>
      <c r="J197" s="9">
        <f>IF(K197="","",INDEX(Интервалы!$H$2:$H$513,MATCH(K197,Интервалы!$G$2:$G$513,0)))</f>
        <v/>
      </c>
      <c r="K197">
        <f>IFERROR(SMALL(Интервалы!$G$2:$G$513,191),"")</f>
        <v/>
      </c>
      <c r="L197">
        <f>IF(K197="","",INDEX(Интервалы!$B$2:$B$513,MATCH(K197,Интервалы!$G$2:$G$513,0)))</f>
        <v/>
      </c>
    </row>
    <row r="198">
      <c r="A198" s="5">
        <f>IF(K198="","",192)</f>
        <v/>
      </c>
      <c r="B198" s="5">
        <f>IF(K198="","",INDEX(Интервалы!$A$2:$A$513,MATCH(K198,Интервалы!$G$2:$G$513,0)))</f>
        <v/>
      </c>
      <c r="C198" s="17">
        <f>IF(K198="","",INDEX(Интервалы!$C$2:$C$513,MATCH(K198,Интервалы!$G$2:$G$513,0)))</f>
        <v/>
      </c>
      <c r="D198" s="17">
        <f>IF(K198="","",INDEX(Интервалы!$D$2:$D$513,MATCH(K198,Интервалы!$G$2:$G$513,0)))</f>
        <v/>
      </c>
      <c r="E198" s="5">
        <f>IF(K198="","",D198-C198+1)</f>
        <v/>
      </c>
      <c r="F198" s="9">
        <f>IF(K198="","",INDEX(Интервалы!$E$2:$E$513,MATCH(K198,Интервалы!$G$2:$G$513,0)))</f>
        <v/>
      </c>
      <c r="G198" s="5">
        <f>IF(K198="","",IF(H198=1,INDEX('По дням'!$B$2:$B$4000,MATCH(C198,'По дням'!$A$2:$A$4000,0)),"по периодам ставки"))</f>
        <v/>
      </c>
      <c r="H198" s="5">
        <f>IF(K198="","",INDEX(Интервалы!$I$2:$I$513,MATCH(K198,Интервалы!$G$2:$G$513,0)))</f>
        <v/>
      </c>
      <c r="I198" s="9">
        <f>IF(K198="","",INDEX(Интервалы!$F$2:$F$513,MATCH(K198,Интервалы!$G$2:$G$513,0)))</f>
        <v/>
      </c>
      <c r="J198" s="9">
        <f>IF(K198="","",INDEX(Интервалы!$H$2:$H$513,MATCH(K198,Интервалы!$G$2:$G$513,0)))</f>
        <v/>
      </c>
      <c r="K198">
        <f>IFERROR(SMALL(Интервалы!$G$2:$G$513,192),"")</f>
        <v/>
      </c>
      <c r="L198">
        <f>IF(K198="","",INDEX(Интервалы!$B$2:$B$513,MATCH(K198,Интервалы!$G$2:$G$513,0)))</f>
        <v/>
      </c>
    </row>
    <row r="199">
      <c r="A199" s="5">
        <f>IF(K199="","",193)</f>
        <v/>
      </c>
      <c r="B199" s="5">
        <f>IF(K199="","",INDEX(Интервалы!$A$2:$A$513,MATCH(K199,Интервалы!$G$2:$G$513,0)))</f>
        <v/>
      </c>
      <c r="C199" s="17">
        <f>IF(K199="","",INDEX(Интервалы!$C$2:$C$513,MATCH(K199,Интервалы!$G$2:$G$513,0)))</f>
        <v/>
      </c>
      <c r="D199" s="17">
        <f>IF(K199="","",INDEX(Интервалы!$D$2:$D$513,MATCH(K199,Интервалы!$G$2:$G$513,0)))</f>
        <v/>
      </c>
      <c r="E199" s="5">
        <f>IF(K199="","",D199-C199+1)</f>
        <v/>
      </c>
      <c r="F199" s="9">
        <f>IF(K199="","",INDEX(Интервалы!$E$2:$E$513,MATCH(K199,Интервалы!$G$2:$G$513,0)))</f>
        <v/>
      </c>
      <c r="G199" s="5">
        <f>IF(K199="","",IF(H199=1,INDEX('По дням'!$B$2:$B$4000,MATCH(C199,'По дням'!$A$2:$A$4000,0)),"по периодам ставки"))</f>
        <v/>
      </c>
      <c r="H199" s="5">
        <f>IF(K199="","",INDEX(Интервалы!$I$2:$I$513,MATCH(K199,Интервалы!$G$2:$G$513,0)))</f>
        <v/>
      </c>
      <c r="I199" s="9">
        <f>IF(K199="","",INDEX(Интервалы!$F$2:$F$513,MATCH(K199,Интервалы!$G$2:$G$513,0)))</f>
        <v/>
      </c>
      <c r="J199" s="9">
        <f>IF(K199="","",INDEX(Интервалы!$H$2:$H$513,MATCH(K199,Интервалы!$G$2:$G$513,0)))</f>
        <v/>
      </c>
      <c r="K199">
        <f>IFERROR(SMALL(Интервалы!$G$2:$G$513,193),"")</f>
        <v/>
      </c>
      <c r="L199">
        <f>IF(K199="","",INDEX(Интервалы!$B$2:$B$513,MATCH(K199,Интервалы!$G$2:$G$513,0)))</f>
        <v/>
      </c>
    </row>
    <row r="200">
      <c r="A200" s="5">
        <f>IF(K200="","",194)</f>
        <v/>
      </c>
      <c r="B200" s="5">
        <f>IF(K200="","",INDEX(Интервалы!$A$2:$A$513,MATCH(K200,Интервалы!$G$2:$G$513,0)))</f>
        <v/>
      </c>
      <c r="C200" s="17">
        <f>IF(K200="","",INDEX(Интервалы!$C$2:$C$513,MATCH(K200,Интервалы!$G$2:$G$513,0)))</f>
        <v/>
      </c>
      <c r="D200" s="17">
        <f>IF(K200="","",INDEX(Интервалы!$D$2:$D$513,MATCH(K200,Интервалы!$G$2:$G$513,0)))</f>
        <v/>
      </c>
      <c r="E200" s="5">
        <f>IF(K200="","",D200-C200+1)</f>
        <v/>
      </c>
      <c r="F200" s="9">
        <f>IF(K200="","",INDEX(Интервалы!$E$2:$E$513,MATCH(K200,Интервалы!$G$2:$G$513,0)))</f>
        <v/>
      </c>
      <c r="G200" s="5">
        <f>IF(K200="","",IF(H200=1,INDEX('По дням'!$B$2:$B$4000,MATCH(C200,'По дням'!$A$2:$A$4000,0)),"по периодам ставки"))</f>
        <v/>
      </c>
      <c r="H200" s="5">
        <f>IF(K200="","",INDEX(Интервалы!$I$2:$I$513,MATCH(K200,Интервалы!$G$2:$G$513,0)))</f>
        <v/>
      </c>
      <c r="I200" s="9">
        <f>IF(K200="","",INDEX(Интервалы!$F$2:$F$513,MATCH(K200,Интервалы!$G$2:$G$513,0)))</f>
        <v/>
      </c>
      <c r="J200" s="9">
        <f>IF(K200="","",INDEX(Интервалы!$H$2:$H$513,MATCH(K200,Интервалы!$G$2:$G$513,0)))</f>
        <v/>
      </c>
      <c r="K200">
        <f>IFERROR(SMALL(Интервалы!$G$2:$G$513,194),"")</f>
        <v/>
      </c>
      <c r="L200">
        <f>IF(K200="","",INDEX(Интервалы!$B$2:$B$513,MATCH(K200,Интервалы!$G$2:$G$513,0)))</f>
        <v/>
      </c>
    </row>
    <row r="201">
      <c r="A201" s="5">
        <f>IF(K201="","",195)</f>
        <v/>
      </c>
      <c r="B201" s="5">
        <f>IF(K201="","",INDEX(Интервалы!$A$2:$A$513,MATCH(K201,Интервалы!$G$2:$G$513,0)))</f>
        <v/>
      </c>
      <c r="C201" s="17">
        <f>IF(K201="","",INDEX(Интервалы!$C$2:$C$513,MATCH(K201,Интервалы!$G$2:$G$513,0)))</f>
        <v/>
      </c>
      <c r="D201" s="17">
        <f>IF(K201="","",INDEX(Интервалы!$D$2:$D$513,MATCH(K201,Интервалы!$G$2:$G$513,0)))</f>
        <v/>
      </c>
      <c r="E201" s="5">
        <f>IF(K201="","",D201-C201+1)</f>
        <v/>
      </c>
      <c r="F201" s="9">
        <f>IF(K201="","",INDEX(Интервалы!$E$2:$E$513,MATCH(K201,Интервалы!$G$2:$G$513,0)))</f>
        <v/>
      </c>
      <c r="G201" s="5">
        <f>IF(K201="","",IF(H201=1,INDEX('По дням'!$B$2:$B$4000,MATCH(C201,'По дням'!$A$2:$A$4000,0)),"по периодам ставки"))</f>
        <v/>
      </c>
      <c r="H201" s="5">
        <f>IF(K201="","",INDEX(Интервалы!$I$2:$I$513,MATCH(K201,Интервалы!$G$2:$G$513,0)))</f>
        <v/>
      </c>
      <c r="I201" s="9">
        <f>IF(K201="","",INDEX(Интервалы!$F$2:$F$513,MATCH(K201,Интервалы!$G$2:$G$513,0)))</f>
        <v/>
      </c>
      <c r="J201" s="9">
        <f>IF(K201="","",INDEX(Интервалы!$H$2:$H$513,MATCH(K201,Интервалы!$G$2:$G$513,0)))</f>
        <v/>
      </c>
      <c r="K201">
        <f>IFERROR(SMALL(Интервалы!$G$2:$G$513,195),"")</f>
        <v/>
      </c>
      <c r="L201">
        <f>IF(K201="","",INDEX(Интервалы!$B$2:$B$513,MATCH(K201,Интервалы!$G$2:$G$513,0)))</f>
        <v/>
      </c>
    </row>
    <row r="202">
      <c r="A202" s="5">
        <f>IF(K202="","",196)</f>
        <v/>
      </c>
      <c r="B202" s="5">
        <f>IF(K202="","",INDEX(Интервалы!$A$2:$A$513,MATCH(K202,Интервалы!$G$2:$G$513,0)))</f>
        <v/>
      </c>
      <c r="C202" s="17">
        <f>IF(K202="","",INDEX(Интервалы!$C$2:$C$513,MATCH(K202,Интервалы!$G$2:$G$513,0)))</f>
        <v/>
      </c>
      <c r="D202" s="17">
        <f>IF(K202="","",INDEX(Интервалы!$D$2:$D$513,MATCH(K202,Интервалы!$G$2:$G$513,0)))</f>
        <v/>
      </c>
      <c r="E202" s="5">
        <f>IF(K202="","",D202-C202+1)</f>
        <v/>
      </c>
      <c r="F202" s="9">
        <f>IF(K202="","",INDEX(Интервалы!$E$2:$E$513,MATCH(K202,Интервалы!$G$2:$G$513,0)))</f>
        <v/>
      </c>
      <c r="G202" s="5">
        <f>IF(K202="","",IF(H202=1,INDEX('По дням'!$B$2:$B$4000,MATCH(C202,'По дням'!$A$2:$A$4000,0)),"по периодам ставки"))</f>
        <v/>
      </c>
      <c r="H202" s="5">
        <f>IF(K202="","",INDEX(Интервалы!$I$2:$I$513,MATCH(K202,Интервалы!$G$2:$G$513,0)))</f>
        <v/>
      </c>
      <c r="I202" s="9">
        <f>IF(K202="","",INDEX(Интервалы!$F$2:$F$513,MATCH(K202,Интервалы!$G$2:$G$513,0)))</f>
        <v/>
      </c>
      <c r="J202" s="9">
        <f>IF(K202="","",INDEX(Интервалы!$H$2:$H$513,MATCH(K202,Интервалы!$G$2:$G$513,0)))</f>
        <v/>
      </c>
      <c r="K202">
        <f>IFERROR(SMALL(Интервалы!$G$2:$G$513,196),"")</f>
        <v/>
      </c>
      <c r="L202">
        <f>IF(K202="","",INDEX(Интервалы!$B$2:$B$513,MATCH(K202,Интервалы!$G$2:$G$513,0)))</f>
        <v/>
      </c>
    </row>
    <row r="203">
      <c r="A203" s="5">
        <f>IF(K203="","",197)</f>
        <v/>
      </c>
      <c r="B203" s="5">
        <f>IF(K203="","",INDEX(Интервалы!$A$2:$A$513,MATCH(K203,Интервалы!$G$2:$G$513,0)))</f>
        <v/>
      </c>
      <c r="C203" s="17">
        <f>IF(K203="","",INDEX(Интервалы!$C$2:$C$513,MATCH(K203,Интервалы!$G$2:$G$513,0)))</f>
        <v/>
      </c>
      <c r="D203" s="17">
        <f>IF(K203="","",INDEX(Интервалы!$D$2:$D$513,MATCH(K203,Интервалы!$G$2:$G$513,0)))</f>
        <v/>
      </c>
      <c r="E203" s="5">
        <f>IF(K203="","",D203-C203+1)</f>
        <v/>
      </c>
      <c r="F203" s="9">
        <f>IF(K203="","",INDEX(Интервалы!$E$2:$E$513,MATCH(K203,Интервалы!$G$2:$G$513,0)))</f>
        <v/>
      </c>
      <c r="G203" s="5">
        <f>IF(K203="","",IF(H203=1,INDEX('По дням'!$B$2:$B$4000,MATCH(C203,'По дням'!$A$2:$A$4000,0)),"по периодам ставки"))</f>
        <v/>
      </c>
      <c r="H203" s="5">
        <f>IF(K203="","",INDEX(Интервалы!$I$2:$I$513,MATCH(K203,Интервалы!$G$2:$G$513,0)))</f>
        <v/>
      </c>
      <c r="I203" s="9">
        <f>IF(K203="","",INDEX(Интервалы!$F$2:$F$513,MATCH(K203,Интервалы!$G$2:$G$513,0)))</f>
        <v/>
      </c>
      <c r="J203" s="9">
        <f>IF(K203="","",INDEX(Интервалы!$H$2:$H$513,MATCH(K203,Интервалы!$G$2:$G$513,0)))</f>
        <v/>
      </c>
      <c r="K203">
        <f>IFERROR(SMALL(Интервалы!$G$2:$G$513,197),"")</f>
        <v/>
      </c>
      <c r="L203">
        <f>IF(K203="","",INDEX(Интервалы!$B$2:$B$513,MATCH(K203,Интервалы!$G$2:$G$513,0)))</f>
        <v/>
      </c>
    </row>
    <row r="204">
      <c r="A204" s="5">
        <f>IF(K204="","",198)</f>
        <v/>
      </c>
      <c r="B204" s="5">
        <f>IF(K204="","",INDEX(Интервалы!$A$2:$A$513,MATCH(K204,Интервалы!$G$2:$G$513,0)))</f>
        <v/>
      </c>
      <c r="C204" s="17">
        <f>IF(K204="","",INDEX(Интервалы!$C$2:$C$513,MATCH(K204,Интервалы!$G$2:$G$513,0)))</f>
        <v/>
      </c>
      <c r="D204" s="17">
        <f>IF(K204="","",INDEX(Интервалы!$D$2:$D$513,MATCH(K204,Интервалы!$G$2:$G$513,0)))</f>
        <v/>
      </c>
      <c r="E204" s="5">
        <f>IF(K204="","",D204-C204+1)</f>
        <v/>
      </c>
      <c r="F204" s="9">
        <f>IF(K204="","",INDEX(Интервалы!$E$2:$E$513,MATCH(K204,Интервалы!$G$2:$G$513,0)))</f>
        <v/>
      </c>
      <c r="G204" s="5">
        <f>IF(K204="","",IF(H204=1,INDEX('По дням'!$B$2:$B$4000,MATCH(C204,'По дням'!$A$2:$A$4000,0)),"по периодам ставки"))</f>
        <v/>
      </c>
      <c r="H204" s="5">
        <f>IF(K204="","",INDEX(Интервалы!$I$2:$I$513,MATCH(K204,Интервалы!$G$2:$G$513,0)))</f>
        <v/>
      </c>
      <c r="I204" s="9">
        <f>IF(K204="","",INDEX(Интервалы!$F$2:$F$513,MATCH(K204,Интервалы!$G$2:$G$513,0)))</f>
        <v/>
      </c>
      <c r="J204" s="9">
        <f>IF(K204="","",INDEX(Интервалы!$H$2:$H$513,MATCH(K204,Интервалы!$G$2:$G$513,0)))</f>
        <v/>
      </c>
      <c r="K204">
        <f>IFERROR(SMALL(Интервалы!$G$2:$G$513,198),"")</f>
        <v/>
      </c>
      <c r="L204">
        <f>IF(K204="","",INDEX(Интервалы!$B$2:$B$513,MATCH(K204,Интервалы!$G$2:$G$513,0)))</f>
        <v/>
      </c>
    </row>
    <row r="205">
      <c r="A205" s="5">
        <f>IF(K205="","",199)</f>
        <v/>
      </c>
      <c r="B205" s="5">
        <f>IF(K205="","",INDEX(Интервалы!$A$2:$A$513,MATCH(K205,Интервалы!$G$2:$G$513,0)))</f>
        <v/>
      </c>
      <c r="C205" s="17">
        <f>IF(K205="","",INDEX(Интервалы!$C$2:$C$513,MATCH(K205,Интервалы!$G$2:$G$513,0)))</f>
        <v/>
      </c>
      <c r="D205" s="17">
        <f>IF(K205="","",INDEX(Интервалы!$D$2:$D$513,MATCH(K205,Интервалы!$G$2:$G$513,0)))</f>
        <v/>
      </c>
      <c r="E205" s="5">
        <f>IF(K205="","",D205-C205+1)</f>
        <v/>
      </c>
      <c r="F205" s="9">
        <f>IF(K205="","",INDEX(Интервалы!$E$2:$E$513,MATCH(K205,Интервалы!$G$2:$G$513,0)))</f>
        <v/>
      </c>
      <c r="G205" s="5">
        <f>IF(K205="","",IF(H205=1,INDEX('По дням'!$B$2:$B$4000,MATCH(C205,'По дням'!$A$2:$A$4000,0)),"по периодам ставки"))</f>
        <v/>
      </c>
      <c r="H205" s="5">
        <f>IF(K205="","",INDEX(Интервалы!$I$2:$I$513,MATCH(K205,Интервалы!$G$2:$G$513,0)))</f>
        <v/>
      </c>
      <c r="I205" s="9">
        <f>IF(K205="","",INDEX(Интервалы!$F$2:$F$513,MATCH(K205,Интервалы!$G$2:$G$513,0)))</f>
        <v/>
      </c>
      <c r="J205" s="9">
        <f>IF(K205="","",INDEX(Интервалы!$H$2:$H$513,MATCH(K205,Интервалы!$G$2:$G$513,0)))</f>
        <v/>
      </c>
      <c r="K205">
        <f>IFERROR(SMALL(Интервалы!$G$2:$G$513,199),"")</f>
        <v/>
      </c>
      <c r="L205">
        <f>IF(K205="","",INDEX(Интервалы!$B$2:$B$513,MATCH(K205,Интервалы!$G$2:$G$513,0)))</f>
        <v/>
      </c>
    </row>
    <row r="206">
      <c r="A206" s="5">
        <f>IF(K206="","",200)</f>
        <v/>
      </c>
      <c r="B206" s="5">
        <f>IF(K206="","",INDEX(Интервалы!$A$2:$A$513,MATCH(K206,Интервалы!$G$2:$G$513,0)))</f>
        <v/>
      </c>
      <c r="C206" s="17">
        <f>IF(K206="","",INDEX(Интервалы!$C$2:$C$513,MATCH(K206,Интервалы!$G$2:$G$513,0)))</f>
        <v/>
      </c>
      <c r="D206" s="17">
        <f>IF(K206="","",INDEX(Интервалы!$D$2:$D$513,MATCH(K206,Интервалы!$G$2:$G$513,0)))</f>
        <v/>
      </c>
      <c r="E206" s="5">
        <f>IF(K206="","",D206-C206+1)</f>
        <v/>
      </c>
      <c r="F206" s="9">
        <f>IF(K206="","",INDEX(Интервалы!$E$2:$E$513,MATCH(K206,Интервалы!$G$2:$G$513,0)))</f>
        <v/>
      </c>
      <c r="G206" s="5">
        <f>IF(K206="","",IF(H206=1,INDEX('По дням'!$B$2:$B$4000,MATCH(C206,'По дням'!$A$2:$A$4000,0)),"по периодам ставки"))</f>
        <v/>
      </c>
      <c r="H206" s="5">
        <f>IF(K206="","",INDEX(Интервалы!$I$2:$I$513,MATCH(K206,Интервалы!$G$2:$G$513,0)))</f>
        <v/>
      </c>
      <c r="I206" s="9">
        <f>IF(K206="","",INDEX(Интервалы!$F$2:$F$513,MATCH(K206,Интервалы!$G$2:$G$513,0)))</f>
        <v/>
      </c>
      <c r="J206" s="9">
        <f>IF(K206="","",INDEX(Интервалы!$H$2:$H$513,MATCH(K206,Интервалы!$G$2:$G$513,0)))</f>
        <v/>
      </c>
      <c r="K206">
        <f>IFERROR(SMALL(Интервалы!$G$2:$G$513,200),"")</f>
        <v/>
      </c>
      <c r="L206">
        <f>IF(K206="","",INDEX(Интервалы!$B$2:$B$513,MATCH(K206,Интервалы!$G$2:$G$513,0)))</f>
        <v/>
      </c>
    </row>
    <row r="207">
      <c r="A207" s="5">
        <f>IF(K207="","",201)</f>
        <v/>
      </c>
      <c r="B207" s="5">
        <f>IF(K207="","",INDEX(Интервалы!$A$2:$A$513,MATCH(K207,Интервалы!$G$2:$G$513,0)))</f>
        <v/>
      </c>
      <c r="C207" s="17">
        <f>IF(K207="","",INDEX(Интервалы!$C$2:$C$513,MATCH(K207,Интервалы!$G$2:$G$513,0)))</f>
        <v/>
      </c>
      <c r="D207" s="17">
        <f>IF(K207="","",INDEX(Интервалы!$D$2:$D$513,MATCH(K207,Интервалы!$G$2:$G$513,0)))</f>
        <v/>
      </c>
      <c r="E207" s="5">
        <f>IF(K207="","",D207-C207+1)</f>
        <v/>
      </c>
      <c r="F207" s="9">
        <f>IF(K207="","",INDEX(Интервалы!$E$2:$E$513,MATCH(K207,Интервалы!$G$2:$G$513,0)))</f>
        <v/>
      </c>
      <c r="G207" s="5">
        <f>IF(K207="","",IF(H207=1,INDEX('По дням'!$B$2:$B$4000,MATCH(C207,'По дням'!$A$2:$A$4000,0)),"по периодам ставки"))</f>
        <v/>
      </c>
      <c r="H207" s="5">
        <f>IF(K207="","",INDEX(Интервалы!$I$2:$I$513,MATCH(K207,Интервалы!$G$2:$G$513,0)))</f>
        <v/>
      </c>
      <c r="I207" s="9">
        <f>IF(K207="","",INDEX(Интервалы!$F$2:$F$513,MATCH(K207,Интервалы!$G$2:$G$513,0)))</f>
        <v/>
      </c>
      <c r="J207" s="9">
        <f>IF(K207="","",INDEX(Интервалы!$H$2:$H$513,MATCH(K207,Интервалы!$G$2:$G$513,0)))</f>
        <v/>
      </c>
      <c r="K207">
        <f>IFERROR(SMALL(Интервалы!$G$2:$G$513,201),"")</f>
        <v/>
      </c>
      <c r="L207">
        <f>IF(K207="","",INDEX(Интервалы!$B$2:$B$513,MATCH(K207,Интервалы!$G$2:$G$513,0)))</f>
        <v/>
      </c>
    </row>
    <row r="208">
      <c r="A208" s="5">
        <f>IF(K208="","",202)</f>
        <v/>
      </c>
      <c r="B208" s="5">
        <f>IF(K208="","",INDEX(Интервалы!$A$2:$A$513,MATCH(K208,Интервалы!$G$2:$G$513,0)))</f>
        <v/>
      </c>
      <c r="C208" s="17">
        <f>IF(K208="","",INDEX(Интервалы!$C$2:$C$513,MATCH(K208,Интервалы!$G$2:$G$513,0)))</f>
        <v/>
      </c>
      <c r="D208" s="17">
        <f>IF(K208="","",INDEX(Интервалы!$D$2:$D$513,MATCH(K208,Интервалы!$G$2:$G$513,0)))</f>
        <v/>
      </c>
      <c r="E208" s="5">
        <f>IF(K208="","",D208-C208+1)</f>
        <v/>
      </c>
      <c r="F208" s="9">
        <f>IF(K208="","",INDEX(Интервалы!$E$2:$E$513,MATCH(K208,Интервалы!$G$2:$G$513,0)))</f>
        <v/>
      </c>
      <c r="G208" s="5">
        <f>IF(K208="","",IF(H208=1,INDEX('По дням'!$B$2:$B$4000,MATCH(C208,'По дням'!$A$2:$A$4000,0)),"по периодам ставки"))</f>
        <v/>
      </c>
      <c r="H208" s="5">
        <f>IF(K208="","",INDEX(Интервалы!$I$2:$I$513,MATCH(K208,Интервалы!$G$2:$G$513,0)))</f>
        <v/>
      </c>
      <c r="I208" s="9">
        <f>IF(K208="","",INDEX(Интервалы!$F$2:$F$513,MATCH(K208,Интервалы!$G$2:$G$513,0)))</f>
        <v/>
      </c>
      <c r="J208" s="9">
        <f>IF(K208="","",INDEX(Интервалы!$H$2:$H$513,MATCH(K208,Интервалы!$G$2:$G$513,0)))</f>
        <v/>
      </c>
      <c r="K208">
        <f>IFERROR(SMALL(Интервалы!$G$2:$G$513,202),"")</f>
        <v/>
      </c>
      <c r="L208">
        <f>IF(K208="","",INDEX(Интервалы!$B$2:$B$513,MATCH(K208,Интервалы!$G$2:$G$513,0)))</f>
        <v/>
      </c>
    </row>
    <row r="209">
      <c r="A209" s="5">
        <f>IF(K209="","",203)</f>
        <v/>
      </c>
      <c r="B209" s="5">
        <f>IF(K209="","",INDEX(Интервалы!$A$2:$A$513,MATCH(K209,Интервалы!$G$2:$G$513,0)))</f>
        <v/>
      </c>
      <c r="C209" s="17">
        <f>IF(K209="","",INDEX(Интервалы!$C$2:$C$513,MATCH(K209,Интервалы!$G$2:$G$513,0)))</f>
        <v/>
      </c>
      <c r="D209" s="17">
        <f>IF(K209="","",INDEX(Интервалы!$D$2:$D$513,MATCH(K209,Интервалы!$G$2:$G$513,0)))</f>
        <v/>
      </c>
      <c r="E209" s="5">
        <f>IF(K209="","",D209-C209+1)</f>
        <v/>
      </c>
      <c r="F209" s="9">
        <f>IF(K209="","",INDEX(Интервалы!$E$2:$E$513,MATCH(K209,Интервалы!$G$2:$G$513,0)))</f>
        <v/>
      </c>
      <c r="G209" s="5">
        <f>IF(K209="","",IF(H209=1,INDEX('По дням'!$B$2:$B$4000,MATCH(C209,'По дням'!$A$2:$A$4000,0)),"по периодам ставки"))</f>
        <v/>
      </c>
      <c r="H209" s="5">
        <f>IF(K209="","",INDEX(Интервалы!$I$2:$I$513,MATCH(K209,Интервалы!$G$2:$G$513,0)))</f>
        <v/>
      </c>
      <c r="I209" s="9">
        <f>IF(K209="","",INDEX(Интервалы!$F$2:$F$513,MATCH(K209,Интервалы!$G$2:$G$513,0)))</f>
        <v/>
      </c>
      <c r="J209" s="9">
        <f>IF(K209="","",INDEX(Интервалы!$H$2:$H$513,MATCH(K209,Интервалы!$G$2:$G$513,0)))</f>
        <v/>
      </c>
      <c r="K209">
        <f>IFERROR(SMALL(Интервалы!$G$2:$G$513,203),"")</f>
        <v/>
      </c>
      <c r="L209">
        <f>IF(K209="","",INDEX(Интервалы!$B$2:$B$513,MATCH(K209,Интервалы!$G$2:$G$513,0)))</f>
        <v/>
      </c>
    </row>
    <row r="210">
      <c r="A210" s="5">
        <f>IF(K210="","",204)</f>
        <v/>
      </c>
      <c r="B210" s="5">
        <f>IF(K210="","",INDEX(Интервалы!$A$2:$A$513,MATCH(K210,Интервалы!$G$2:$G$513,0)))</f>
        <v/>
      </c>
      <c r="C210" s="17">
        <f>IF(K210="","",INDEX(Интервалы!$C$2:$C$513,MATCH(K210,Интервалы!$G$2:$G$513,0)))</f>
        <v/>
      </c>
      <c r="D210" s="17">
        <f>IF(K210="","",INDEX(Интервалы!$D$2:$D$513,MATCH(K210,Интервалы!$G$2:$G$513,0)))</f>
        <v/>
      </c>
      <c r="E210" s="5">
        <f>IF(K210="","",D210-C210+1)</f>
        <v/>
      </c>
      <c r="F210" s="9">
        <f>IF(K210="","",INDEX(Интервалы!$E$2:$E$513,MATCH(K210,Интервалы!$G$2:$G$513,0)))</f>
        <v/>
      </c>
      <c r="G210" s="5">
        <f>IF(K210="","",IF(H210=1,INDEX('По дням'!$B$2:$B$4000,MATCH(C210,'По дням'!$A$2:$A$4000,0)),"по периодам ставки"))</f>
        <v/>
      </c>
      <c r="H210" s="5">
        <f>IF(K210="","",INDEX(Интервалы!$I$2:$I$513,MATCH(K210,Интервалы!$G$2:$G$513,0)))</f>
        <v/>
      </c>
      <c r="I210" s="9">
        <f>IF(K210="","",INDEX(Интервалы!$F$2:$F$513,MATCH(K210,Интервалы!$G$2:$G$513,0)))</f>
        <v/>
      </c>
      <c r="J210" s="9">
        <f>IF(K210="","",INDEX(Интервалы!$H$2:$H$513,MATCH(K210,Интервалы!$G$2:$G$513,0)))</f>
        <v/>
      </c>
      <c r="K210">
        <f>IFERROR(SMALL(Интервалы!$G$2:$G$513,204),"")</f>
        <v/>
      </c>
      <c r="L210">
        <f>IF(K210="","",INDEX(Интервалы!$B$2:$B$513,MATCH(K210,Интервалы!$G$2:$G$513,0)))</f>
        <v/>
      </c>
    </row>
    <row r="211">
      <c r="A211" s="5">
        <f>IF(K211="","",205)</f>
        <v/>
      </c>
      <c r="B211" s="5">
        <f>IF(K211="","",INDEX(Интервалы!$A$2:$A$513,MATCH(K211,Интервалы!$G$2:$G$513,0)))</f>
        <v/>
      </c>
      <c r="C211" s="17">
        <f>IF(K211="","",INDEX(Интервалы!$C$2:$C$513,MATCH(K211,Интервалы!$G$2:$G$513,0)))</f>
        <v/>
      </c>
      <c r="D211" s="17">
        <f>IF(K211="","",INDEX(Интервалы!$D$2:$D$513,MATCH(K211,Интервалы!$G$2:$G$513,0)))</f>
        <v/>
      </c>
      <c r="E211" s="5">
        <f>IF(K211="","",D211-C211+1)</f>
        <v/>
      </c>
      <c r="F211" s="9">
        <f>IF(K211="","",INDEX(Интервалы!$E$2:$E$513,MATCH(K211,Интервалы!$G$2:$G$513,0)))</f>
        <v/>
      </c>
      <c r="G211" s="5">
        <f>IF(K211="","",IF(H211=1,INDEX('По дням'!$B$2:$B$4000,MATCH(C211,'По дням'!$A$2:$A$4000,0)),"по периодам ставки"))</f>
        <v/>
      </c>
      <c r="H211" s="5">
        <f>IF(K211="","",INDEX(Интервалы!$I$2:$I$513,MATCH(K211,Интервалы!$G$2:$G$513,0)))</f>
        <v/>
      </c>
      <c r="I211" s="9">
        <f>IF(K211="","",INDEX(Интервалы!$F$2:$F$513,MATCH(K211,Интервалы!$G$2:$G$513,0)))</f>
        <v/>
      </c>
      <c r="J211" s="9">
        <f>IF(K211="","",INDEX(Интервалы!$H$2:$H$513,MATCH(K211,Интервалы!$G$2:$G$513,0)))</f>
        <v/>
      </c>
      <c r="K211">
        <f>IFERROR(SMALL(Интервалы!$G$2:$G$513,205),"")</f>
        <v/>
      </c>
      <c r="L211">
        <f>IF(K211="","",INDEX(Интервалы!$B$2:$B$513,MATCH(K211,Интервалы!$G$2:$G$513,0)))</f>
        <v/>
      </c>
    </row>
    <row r="212">
      <c r="A212" s="5">
        <f>IF(K212="","",206)</f>
        <v/>
      </c>
      <c r="B212" s="5">
        <f>IF(K212="","",INDEX(Интервалы!$A$2:$A$513,MATCH(K212,Интервалы!$G$2:$G$513,0)))</f>
        <v/>
      </c>
      <c r="C212" s="17">
        <f>IF(K212="","",INDEX(Интервалы!$C$2:$C$513,MATCH(K212,Интервалы!$G$2:$G$513,0)))</f>
        <v/>
      </c>
      <c r="D212" s="17">
        <f>IF(K212="","",INDEX(Интервалы!$D$2:$D$513,MATCH(K212,Интервалы!$G$2:$G$513,0)))</f>
        <v/>
      </c>
      <c r="E212" s="5">
        <f>IF(K212="","",D212-C212+1)</f>
        <v/>
      </c>
      <c r="F212" s="9">
        <f>IF(K212="","",INDEX(Интервалы!$E$2:$E$513,MATCH(K212,Интервалы!$G$2:$G$513,0)))</f>
        <v/>
      </c>
      <c r="G212" s="5">
        <f>IF(K212="","",IF(H212=1,INDEX('По дням'!$B$2:$B$4000,MATCH(C212,'По дням'!$A$2:$A$4000,0)),"по периодам ставки"))</f>
        <v/>
      </c>
      <c r="H212" s="5">
        <f>IF(K212="","",INDEX(Интервалы!$I$2:$I$513,MATCH(K212,Интервалы!$G$2:$G$513,0)))</f>
        <v/>
      </c>
      <c r="I212" s="9">
        <f>IF(K212="","",INDEX(Интервалы!$F$2:$F$513,MATCH(K212,Интервалы!$G$2:$G$513,0)))</f>
        <v/>
      </c>
      <c r="J212" s="9">
        <f>IF(K212="","",INDEX(Интервалы!$H$2:$H$513,MATCH(K212,Интервалы!$G$2:$G$513,0)))</f>
        <v/>
      </c>
      <c r="K212">
        <f>IFERROR(SMALL(Интервалы!$G$2:$G$513,206),"")</f>
        <v/>
      </c>
      <c r="L212">
        <f>IF(K212="","",INDEX(Интервалы!$B$2:$B$513,MATCH(K212,Интервалы!$G$2:$G$513,0)))</f>
        <v/>
      </c>
    </row>
    <row r="213">
      <c r="A213" s="5">
        <f>IF(K213="","",207)</f>
        <v/>
      </c>
      <c r="B213" s="5">
        <f>IF(K213="","",INDEX(Интервалы!$A$2:$A$513,MATCH(K213,Интервалы!$G$2:$G$513,0)))</f>
        <v/>
      </c>
      <c r="C213" s="17">
        <f>IF(K213="","",INDEX(Интервалы!$C$2:$C$513,MATCH(K213,Интервалы!$G$2:$G$513,0)))</f>
        <v/>
      </c>
      <c r="D213" s="17">
        <f>IF(K213="","",INDEX(Интервалы!$D$2:$D$513,MATCH(K213,Интервалы!$G$2:$G$513,0)))</f>
        <v/>
      </c>
      <c r="E213" s="5">
        <f>IF(K213="","",D213-C213+1)</f>
        <v/>
      </c>
      <c r="F213" s="9">
        <f>IF(K213="","",INDEX(Интервалы!$E$2:$E$513,MATCH(K213,Интервалы!$G$2:$G$513,0)))</f>
        <v/>
      </c>
      <c r="G213" s="5">
        <f>IF(K213="","",IF(H213=1,INDEX('По дням'!$B$2:$B$4000,MATCH(C213,'По дням'!$A$2:$A$4000,0)),"по периодам ставки"))</f>
        <v/>
      </c>
      <c r="H213" s="5">
        <f>IF(K213="","",INDEX(Интервалы!$I$2:$I$513,MATCH(K213,Интервалы!$G$2:$G$513,0)))</f>
        <v/>
      </c>
      <c r="I213" s="9">
        <f>IF(K213="","",INDEX(Интервалы!$F$2:$F$513,MATCH(K213,Интервалы!$G$2:$G$513,0)))</f>
        <v/>
      </c>
      <c r="J213" s="9">
        <f>IF(K213="","",INDEX(Интервалы!$H$2:$H$513,MATCH(K213,Интервалы!$G$2:$G$513,0)))</f>
        <v/>
      </c>
      <c r="K213">
        <f>IFERROR(SMALL(Интервалы!$G$2:$G$513,207),"")</f>
        <v/>
      </c>
      <c r="L213">
        <f>IF(K213="","",INDEX(Интервалы!$B$2:$B$513,MATCH(K213,Интервалы!$G$2:$G$513,0)))</f>
        <v/>
      </c>
    </row>
    <row r="214">
      <c r="A214" s="5">
        <f>IF(K214="","",208)</f>
        <v/>
      </c>
      <c r="B214" s="5">
        <f>IF(K214="","",INDEX(Интервалы!$A$2:$A$513,MATCH(K214,Интервалы!$G$2:$G$513,0)))</f>
        <v/>
      </c>
      <c r="C214" s="17">
        <f>IF(K214="","",INDEX(Интервалы!$C$2:$C$513,MATCH(K214,Интервалы!$G$2:$G$513,0)))</f>
        <v/>
      </c>
      <c r="D214" s="17">
        <f>IF(K214="","",INDEX(Интервалы!$D$2:$D$513,MATCH(K214,Интервалы!$G$2:$G$513,0)))</f>
        <v/>
      </c>
      <c r="E214" s="5">
        <f>IF(K214="","",D214-C214+1)</f>
        <v/>
      </c>
      <c r="F214" s="9">
        <f>IF(K214="","",INDEX(Интервалы!$E$2:$E$513,MATCH(K214,Интервалы!$G$2:$G$513,0)))</f>
        <v/>
      </c>
      <c r="G214" s="5">
        <f>IF(K214="","",IF(H214=1,INDEX('По дням'!$B$2:$B$4000,MATCH(C214,'По дням'!$A$2:$A$4000,0)),"по периодам ставки"))</f>
        <v/>
      </c>
      <c r="H214" s="5">
        <f>IF(K214="","",INDEX(Интервалы!$I$2:$I$513,MATCH(K214,Интервалы!$G$2:$G$513,0)))</f>
        <v/>
      </c>
      <c r="I214" s="9">
        <f>IF(K214="","",INDEX(Интервалы!$F$2:$F$513,MATCH(K214,Интервалы!$G$2:$G$513,0)))</f>
        <v/>
      </c>
      <c r="J214" s="9">
        <f>IF(K214="","",INDEX(Интервалы!$H$2:$H$513,MATCH(K214,Интервалы!$G$2:$G$513,0)))</f>
        <v/>
      </c>
      <c r="K214">
        <f>IFERROR(SMALL(Интервалы!$G$2:$G$513,208),"")</f>
        <v/>
      </c>
      <c r="L214">
        <f>IF(K214="","",INDEX(Интервалы!$B$2:$B$513,MATCH(K214,Интервалы!$G$2:$G$513,0)))</f>
        <v/>
      </c>
    </row>
    <row r="215">
      <c r="A215" s="5">
        <f>IF(K215="","",209)</f>
        <v/>
      </c>
      <c r="B215" s="5">
        <f>IF(K215="","",INDEX(Интервалы!$A$2:$A$513,MATCH(K215,Интервалы!$G$2:$G$513,0)))</f>
        <v/>
      </c>
      <c r="C215" s="17">
        <f>IF(K215="","",INDEX(Интервалы!$C$2:$C$513,MATCH(K215,Интервалы!$G$2:$G$513,0)))</f>
        <v/>
      </c>
      <c r="D215" s="17">
        <f>IF(K215="","",INDEX(Интервалы!$D$2:$D$513,MATCH(K215,Интервалы!$G$2:$G$513,0)))</f>
        <v/>
      </c>
      <c r="E215" s="5">
        <f>IF(K215="","",D215-C215+1)</f>
        <v/>
      </c>
      <c r="F215" s="9">
        <f>IF(K215="","",INDEX(Интервалы!$E$2:$E$513,MATCH(K215,Интервалы!$G$2:$G$513,0)))</f>
        <v/>
      </c>
      <c r="G215" s="5">
        <f>IF(K215="","",IF(H215=1,INDEX('По дням'!$B$2:$B$4000,MATCH(C215,'По дням'!$A$2:$A$4000,0)),"по периодам ставки"))</f>
        <v/>
      </c>
      <c r="H215" s="5">
        <f>IF(K215="","",INDEX(Интервалы!$I$2:$I$513,MATCH(K215,Интервалы!$G$2:$G$513,0)))</f>
        <v/>
      </c>
      <c r="I215" s="9">
        <f>IF(K215="","",INDEX(Интервалы!$F$2:$F$513,MATCH(K215,Интервалы!$G$2:$G$513,0)))</f>
        <v/>
      </c>
      <c r="J215" s="9">
        <f>IF(K215="","",INDEX(Интервалы!$H$2:$H$513,MATCH(K215,Интервалы!$G$2:$G$513,0)))</f>
        <v/>
      </c>
      <c r="K215">
        <f>IFERROR(SMALL(Интервалы!$G$2:$G$513,209),"")</f>
        <v/>
      </c>
      <c r="L215">
        <f>IF(K215="","",INDEX(Интервалы!$B$2:$B$513,MATCH(K215,Интервалы!$G$2:$G$513,0)))</f>
        <v/>
      </c>
    </row>
    <row r="216">
      <c r="A216" s="5">
        <f>IF(K216="","",210)</f>
        <v/>
      </c>
      <c r="B216" s="5">
        <f>IF(K216="","",INDEX(Интервалы!$A$2:$A$513,MATCH(K216,Интервалы!$G$2:$G$513,0)))</f>
        <v/>
      </c>
      <c r="C216" s="17">
        <f>IF(K216="","",INDEX(Интервалы!$C$2:$C$513,MATCH(K216,Интервалы!$G$2:$G$513,0)))</f>
        <v/>
      </c>
      <c r="D216" s="17">
        <f>IF(K216="","",INDEX(Интервалы!$D$2:$D$513,MATCH(K216,Интервалы!$G$2:$G$513,0)))</f>
        <v/>
      </c>
      <c r="E216" s="5">
        <f>IF(K216="","",D216-C216+1)</f>
        <v/>
      </c>
      <c r="F216" s="9">
        <f>IF(K216="","",INDEX(Интервалы!$E$2:$E$513,MATCH(K216,Интервалы!$G$2:$G$513,0)))</f>
        <v/>
      </c>
      <c r="G216" s="5">
        <f>IF(K216="","",IF(H216=1,INDEX('По дням'!$B$2:$B$4000,MATCH(C216,'По дням'!$A$2:$A$4000,0)),"по периодам ставки"))</f>
        <v/>
      </c>
      <c r="H216" s="5">
        <f>IF(K216="","",INDEX(Интервалы!$I$2:$I$513,MATCH(K216,Интервалы!$G$2:$G$513,0)))</f>
        <v/>
      </c>
      <c r="I216" s="9">
        <f>IF(K216="","",INDEX(Интервалы!$F$2:$F$513,MATCH(K216,Интервалы!$G$2:$G$513,0)))</f>
        <v/>
      </c>
      <c r="J216" s="9">
        <f>IF(K216="","",INDEX(Интервалы!$H$2:$H$513,MATCH(K216,Интервалы!$G$2:$G$513,0)))</f>
        <v/>
      </c>
      <c r="K216">
        <f>IFERROR(SMALL(Интервалы!$G$2:$G$513,210),"")</f>
        <v/>
      </c>
      <c r="L216">
        <f>IF(K216="","",INDEX(Интервалы!$B$2:$B$513,MATCH(K216,Интервалы!$G$2:$G$513,0)))</f>
        <v/>
      </c>
    </row>
    <row r="217">
      <c r="A217" s="5">
        <f>IF(K217="","",211)</f>
        <v/>
      </c>
      <c r="B217" s="5">
        <f>IF(K217="","",INDEX(Интервалы!$A$2:$A$513,MATCH(K217,Интервалы!$G$2:$G$513,0)))</f>
        <v/>
      </c>
      <c r="C217" s="17">
        <f>IF(K217="","",INDEX(Интервалы!$C$2:$C$513,MATCH(K217,Интервалы!$G$2:$G$513,0)))</f>
        <v/>
      </c>
      <c r="D217" s="17">
        <f>IF(K217="","",INDEX(Интервалы!$D$2:$D$513,MATCH(K217,Интервалы!$G$2:$G$513,0)))</f>
        <v/>
      </c>
      <c r="E217" s="5">
        <f>IF(K217="","",D217-C217+1)</f>
        <v/>
      </c>
      <c r="F217" s="9">
        <f>IF(K217="","",INDEX(Интервалы!$E$2:$E$513,MATCH(K217,Интервалы!$G$2:$G$513,0)))</f>
        <v/>
      </c>
      <c r="G217" s="5">
        <f>IF(K217="","",IF(H217=1,INDEX('По дням'!$B$2:$B$4000,MATCH(C217,'По дням'!$A$2:$A$4000,0)),"по периодам ставки"))</f>
        <v/>
      </c>
      <c r="H217" s="5">
        <f>IF(K217="","",INDEX(Интервалы!$I$2:$I$513,MATCH(K217,Интервалы!$G$2:$G$513,0)))</f>
        <v/>
      </c>
      <c r="I217" s="9">
        <f>IF(K217="","",INDEX(Интервалы!$F$2:$F$513,MATCH(K217,Интервалы!$G$2:$G$513,0)))</f>
        <v/>
      </c>
      <c r="J217" s="9">
        <f>IF(K217="","",INDEX(Интервалы!$H$2:$H$513,MATCH(K217,Интервалы!$G$2:$G$513,0)))</f>
        <v/>
      </c>
      <c r="K217">
        <f>IFERROR(SMALL(Интервалы!$G$2:$G$513,211),"")</f>
        <v/>
      </c>
      <c r="L217">
        <f>IF(K217="","",INDEX(Интервалы!$B$2:$B$513,MATCH(K217,Интервалы!$G$2:$G$513,0)))</f>
        <v/>
      </c>
    </row>
    <row r="218">
      <c r="A218" s="5">
        <f>IF(K218="","",212)</f>
        <v/>
      </c>
      <c r="B218" s="5">
        <f>IF(K218="","",INDEX(Интервалы!$A$2:$A$513,MATCH(K218,Интервалы!$G$2:$G$513,0)))</f>
        <v/>
      </c>
      <c r="C218" s="17">
        <f>IF(K218="","",INDEX(Интервалы!$C$2:$C$513,MATCH(K218,Интервалы!$G$2:$G$513,0)))</f>
        <v/>
      </c>
      <c r="D218" s="17">
        <f>IF(K218="","",INDEX(Интервалы!$D$2:$D$513,MATCH(K218,Интервалы!$G$2:$G$513,0)))</f>
        <v/>
      </c>
      <c r="E218" s="5">
        <f>IF(K218="","",D218-C218+1)</f>
        <v/>
      </c>
      <c r="F218" s="9">
        <f>IF(K218="","",INDEX(Интервалы!$E$2:$E$513,MATCH(K218,Интервалы!$G$2:$G$513,0)))</f>
        <v/>
      </c>
      <c r="G218" s="5">
        <f>IF(K218="","",IF(H218=1,INDEX('По дням'!$B$2:$B$4000,MATCH(C218,'По дням'!$A$2:$A$4000,0)),"по периодам ставки"))</f>
        <v/>
      </c>
      <c r="H218" s="5">
        <f>IF(K218="","",INDEX(Интервалы!$I$2:$I$513,MATCH(K218,Интервалы!$G$2:$G$513,0)))</f>
        <v/>
      </c>
      <c r="I218" s="9">
        <f>IF(K218="","",INDEX(Интервалы!$F$2:$F$513,MATCH(K218,Интервалы!$G$2:$G$513,0)))</f>
        <v/>
      </c>
      <c r="J218" s="9">
        <f>IF(K218="","",INDEX(Интервалы!$H$2:$H$513,MATCH(K218,Интервалы!$G$2:$G$513,0)))</f>
        <v/>
      </c>
      <c r="K218">
        <f>IFERROR(SMALL(Интервалы!$G$2:$G$513,212),"")</f>
        <v/>
      </c>
      <c r="L218">
        <f>IF(K218="","",INDEX(Интервалы!$B$2:$B$513,MATCH(K218,Интервалы!$G$2:$G$513,0)))</f>
        <v/>
      </c>
    </row>
    <row r="219">
      <c r="A219" s="5">
        <f>IF(K219="","",213)</f>
        <v/>
      </c>
      <c r="B219" s="5">
        <f>IF(K219="","",INDEX(Интервалы!$A$2:$A$513,MATCH(K219,Интервалы!$G$2:$G$513,0)))</f>
        <v/>
      </c>
      <c r="C219" s="17">
        <f>IF(K219="","",INDEX(Интервалы!$C$2:$C$513,MATCH(K219,Интервалы!$G$2:$G$513,0)))</f>
        <v/>
      </c>
      <c r="D219" s="17">
        <f>IF(K219="","",INDEX(Интервалы!$D$2:$D$513,MATCH(K219,Интервалы!$G$2:$G$513,0)))</f>
        <v/>
      </c>
      <c r="E219" s="5">
        <f>IF(K219="","",D219-C219+1)</f>
        <v/>
      </c>
      <c r="F219" s="9">
        <f>IF(K219="","",INDEX(Интервалы!$E$2:$E$513,MATCH(K219,Интервалы!$G$2:$G$513,0)))</f>
        <v/>
      </c>
      <c r="G219" s="5">
        <f>IF(K219="","",IF(H219=1,INDEX('По дням'!$B$2:$B$4000,MATCH(C219,'По дням'!$A$2:$A$4000,0)),"по периодам ставки"))</f>
        <v/>
      </c>
      <c r="H219" s="5">
        <f>IF(K219="","",INDEX(Интервалы!$I$2:$I$513,MATCH(K219,Интервалы!$G$2:$G$513,0)))</f>
        <v/>
      </c>
      <c r="I219" s="9">
        <f>IF(K219="","",INDEX(Интервалы!$F$2:$F$513,MATCH(K219,Интервалы!$G$2:$G$513,0)))</f>
        <v/>
      </c>
      <c r="J219" s="9">
        <f>IF(K219="","",INDEX(Интервалы!$H$2:$H$513,MATCH(K219,Интервалы!$G$2:$G$513,0)))</f>
        <v/>
      </c>
      <c r="K219">
        <f>IFERROR(SMALL(Интервалы!$G$2:$G$513,213),"")</f>
        <v/>
      </c>
      <c r="L219">
        <f>IF(K219="","",INDEX(Интервалы!$B$2:$B$513,MATCH(K219,Интервалы!$G$2:$G$513,0)))</f>
        <v/>
      </c>
    </row>
    <row r="220">
      <c r="A220" s="5">
        <f>IF(K220="","",214)</f>
        <v/>
      </c>
      <c r="B220" s="5">
        <f>IF(K220="","",INDEX(Интервалы!$A$2:$A$513,MATCH(K220,Интервалы!$G$2:$G$513,0)))</f>
        <v/>
      </c>
      <c r="C220" s="17">
        <f>IF(K220="","",INDEX(Интервалы!$C$2:$C$513,MATCH(K220,Интервалы!$G$2:$G$513,0)))</f>
        <v/>
      </c>
      <c r="D220" s="17">
        <f>IF(K220="","",INDEX(Интервалы!$D$2:$D$513,MATCH(K220,Интервалы!$G$2:$G$513,0)))</f>
        <v/>
      </c>
      <c r="E220" s="5">
        <f>IF(K220="","",D220-C220+1)</f>
        <v/>
      </c>
      <c r="F220" s="9">
        <f>IF(K220="","",INDEX(Интервалы!$E$2:$E$513,MATCH(K220,Интервалы!$G$2:$G$513,0)))</f>
        <v/>
      </c>
      <c r="G220" s="5">
        <f>IF(K220="","",IF(H220=1,INDEX('По дням'!$B$2:$B$4000,MATCH(C220,'По дням'!$A$2:$A$4000,0)),"по периодам ставки"))</f>
        <v/>
      </c>
      <c r="H220" s="5">
        <f>IF(K220="","",INDEX(Интервалы!$I$2:$I$513,MATCH(K220,Интервалы!$G$2:$G$513,0)))</f>
        <v/>
      </c>
      <c r="I220" s="9">
        <f>IF(K220="","",INDEX(Интервалы!$F$2:$F$513,MATCH(K220,Интервалы!$G$2:$G$513,0)))</f>
        <v/>
      </c>
      <c r="J220" s="9">
        <f>IF(K220="","",INDEX(Интервалы!$H$2:$H$513,MATCH(K220,Интервалы!$G$2:$G$513,0)))</f>
        <v/>
      </c>
      <c r="K220">
        <f>IFERROR(SMALL(Интервалы!$G$2:$G$513,214),"")</f>
        <v/>
      </c>
      <c r="L220">
        <f>IF(K220="","",INDEX(Интервалы!$B$2:$B$513,MATCH(K220,Интервалы!$G$2:$G$513,0)))</f>
        <v/>
      </c>
    </row>
    <row r="221">
      <c r="A221" s="5">
        <f>IF(K221="","",215)</f>
        <v/>
      </c>
      <c r="B221" s="5">
        <f>IF(K221="","",INDEX(Интервалы!$A$2:$A$513,MATCH(K221,Интервалы!$G$2:$G$513,0)))</f>
        <v/>
      </c>
      <c r="C221" s="17">
        <f>IF(K221="","",INDEX(Интервалы!$C$2:$C$513,MATCH(K221,Интервалы!$G$2:$G$513,0)))</f>
        <v/>
      </c>
      <c r="D221" s="17">
        <f>IF(K221="","",INDEX(Интервалы!$D$2:$D$513,MATCH(K221,Интервалы!$G$2:$G$513,0)))</f>
        <v/>
      </c>
      <c r="E221" s="5">
        <f>IF(K221="","",D221-C221+1)</f>
        <v/>
      </c>
      <c r="F221" s="9">
        <f>IF(K221="","",INDEX(Интервалы!$E$2:$E$513,MATCH(K221,Интервалы!$G$2:$G$513,0)))</f>
        <v/>
      </c>
      <c r="G221" s="5">
        <f>IF(K221="","",IF(H221=1,INDEX('По дням'!$B$2:$B$4000,MATCH(C221,'По дням'!$A$2:$A$4000,0)),"по периодам ставки"))</f>
        <v/>
      </c>
      <c r="H221" s="5">
        <f>IF(K221="","",INDEX(Интервалы!$I$2:$I$513,MATCH(K221,Интервалы!$G$2:$G$513,0)))</f>
        <v/>
      </c>
      <c r="I221" s="9">
        <f>IF(K221="","",INDEX(Интервалы!$F$2:$F$513,MATCH(K221,Интервалы!$G$2:$G$513,0)))</f>
        <v/>
      </c>
      <c r="J221" s="9">
        <f>IF(K221="","",INDEX(Интервалы!$H$2:$H$513,MATCH(K221,Интервалы!$G$2:$G$513,0)))</f>
        <v/>
      </c>
      <c r="K221">
        <f>IFERROR(SMALL(Интервалы!$G$2:$G$513,215),"")</f>
        <v/>
      </c>
      <c r="L221">
        <f>IF(K221="","",INDEX(Интервалы!$B$2:$B$513,MATCH(K221,Интервалы!$G$2:$G$513,0)))</f>
        <v/>
      </c>
    </row>
    <row r="222">
      <c r="A222" s="5">
        <f>IF(K222="","",216)</f>
        <v/>
      </c>
      <c r="B222" s="5">
        <f>IF(K222="","",INDEX(Интервалы!$A$2:$A$513,MATCH(K222,Интервалы!$G$2:$G$513,0)))</f>
        <v/>
      </c>
      <c r="C222" s="17">
        <f>IF(K222="","",INDEX(Интервалы!$C$2:$C$513,MATCH(K222,Интервалы!$G$2:$G$513,0)))</f>
        <v/>
      </c>
      <c r="D222" s="17">
        <f>IF(K222="","",INDEX(Интервалы!$D$2:$D$513,MATCH(K222,Интервалы!$G$2:$G$513,0)))</f>
        <v/>
      </c>
      <c r="E222" s="5">
        <f>IF(K222="","",D222-C222+1)</f>
        <v/>
      </c>
      <c r="F222" s="9">
        <f>IF(K222="","",INDEX(Интервалы!$E$2:$E$513,MATCH(K222,Интервалы!$G$2:$G$513,0)))</f>
        <v/>
      </c>
      <c r="G222" s="5">
        <f>IF(K222="","",IF(H222=1,INDEX('По дням'!$B$2:$B$4000,MATCH(C222,'По дням'!$A$2:$A$4000,0)),"по периодам ставки"))</f>
        <v/>
      </c>
      <c r="H222" s="5">
        <f>IF(K222="","",INDEX(Интервалы!$I$2:$I$513,MATCH(K222,Интервалы!$G$2:$G$513,0)))</f>
        <v/>
      </c>
      <c r="I222" s="9">
        <f>IF(K222="","",INDEX(Интервалы!$F$2:$F$513,MATCH(K222,Интервалы!$G$2:$G$513,0)))</f>
        <v/>
      </c>
      <c r="J222" s="9">
        <f>IF(K222="","",INDEX(Интервалы!$H$2:$H$513,MATCH(K222,Интервалы!$G$2:$G$513,0)))</f>
        <v/>
      </c>
      <c r="K222">
        <f>IFERROR(SMALL(Интервалы!$G$2:$G$513,216),"")</f>
        <v/>
      </c>
      <c r="L222">
        <f>IF(K222="","",INDEX(Интервалы!$B$2:$B$513,MATCH(K222,Интервалы!$G$2:$G$513,0)))</f>
        <v/>
      </c>
    </row>
    <row r="223">
      <c r="A223" s="5">
        <f>IF(K223="","",217)</f>
        <v/>
      </c>
      <c r="B223" s="5">
        <f>IF(K223="","",INDEX(Интервалы!$A$2:$A$513,MATCH(K223,Интервалы!$G$2:$G$513,0)))</f>
        <v/>
      </c>
      <c r="C223" s="17">
        <f>IF(K223="","",INDEX(Интервалы!$C$2:$C$513,MATCH(K223,Интервалы!$G$2:$G$513,0)))</f>
        <v/>
      </c>
      <c r="D223" s="17">
        <f>IF(K223="","",INDEX(Интервалы!$D$2:$D$513,MATCH(K223,Интервалы!$G$2:$G$513,0)))</f>
        <v/>
      </c>
      <c r="E223" s="5">
        <f>IF(K223="","",D223-C223+1)</f>
        <v/>
      </c>
      <c r="F223" s="9">
        <f>IF(K223="","",INDEX(Интервалы!$E$2:$E$513,MATCH(K223,Интервалы!$G$2:$G$513,0)))</f>
        <v/>
      </c>
      <c r="G223" s="5">
        <f>IF(K223="","",IF(H223=1,INDEX('По дням'!$B$2:$B$4000,MATCH(C223,'По дням'!$A$2:$A$4000,0)),"по периодам ставки"))</f>
        <v/>
      </c>
      <c r="H223" s="5">
        <f>IF(K223="","",INDEX(Интервалы!$I$2:$I$513,MATCH(K223,Интервалы!$G$2:$G$513,0)))</f>
        <v/>
      </c>
      <c r="I223" s="9">
        <f>IF(K223="","",INDEX(Интервалы!$F$2:$F$513,MATCH(K223,Интервалы!$G$2:$G$513,0)))</f>
        <v/>
      </c>
      <c r="J223" s="9">
        <f>IF(K223="","",INDEX(Интервалы!$H$2:$H$513,MATCH(K223,Интервалы!$G$2:$G$513,0)))</f>
        <v/>
      </c>
      <c r="K223">
        <f>IFERROR(SMALL(Интервалы!$G$2:$G$513,217),"")</f>
        <v/>
      </c>
      <c r="L223">
        <f>IF(K223="","",INDEX(Интервалы!$B$2:$B$513,MATCH(K223,Интервалы!$G$2:$G$513,0)))</f>
        <v/>
      </c>
    </row>
    <row r="224">
      <c r="A224" s="5">
        <f>IF(K224="","",218)</f>
        <v/>
      </c>
      <c r="B224" s="5">
        <f>IF(K224="","",INDEX(Интервалы!$A$2:$A$513,MATCH(K224,Интервалы!$G$2:$G$513,0)))</f>
        <v/>
      </c>
      <c r="C224" s="17">
        <f>IF(K224="","",INDEX(Интервалы!$C$2:$C$513,MATCH(K224,Интервалы!$G$2:$G$513,0)))</f>
        <v/>
      </c>
      <c r="D224" s="17">
        <f>IF(K224="","",INDEX(Интервалы!$D$2:$D$513,MATCH(K224,Интервалы!$G$2:$G$513,0)))</f>
        <v/>
      </c>
      <c r="E224" s="5">
        <f>IF(K224="","",D224-C224+1)</f>
        <v/>
      </c>
      <c r="F224" s="9">
        <f>IF(K224="","",INDEX(Интервалы!$E$2:$E$513,MATCH(K224,Интервалы!$G$2:$G$513,0)))</f>
        <v/>
      </c>
      <c r="G224" s="5">
        <f>IF(K224="","",IF(H224=1,INDEX('По дням'!$B$2:$B$4000,MATCH(C224,'По дням'!$A$2:$A$4000,0)),"по периодам ставки"))</f>
        <v/>
      </c>
      <c r="H224" s="5">
        <f>IF(K224="","",INDEX(Интервалы!$I$2:$I$513,MATCH(K224,Интервалы!$G$2:$G$513,0)))</f>
        <v/>
      </c>
      <c r="I224" s="9">
        <f>IF(K224="","",INDEX(Интервалы!$F$2:$F$513,MATCH(K224,Интервалы!$G$2:$G$513,0)))</f>
        <v/>
      </c>
      <c r="J224" s="9">
        <f>IF(K224="","",INDEX(Интервалы!$H$2:$H$513,MATCH(K224,Интервалы!$G$2:$G$513,0)))</f>
        <v/>
      </c>
      <c r="K224">
        <f>IFERROR(SMALL(Интервалы!$G$2:$G$513,218),"")</f>
        <v/>
      </c>
      <c r="L224">
        <f>IF(K224="","",INDEX(Интервалы!$B$2:$B$513,MATCH(K224,Интервалы!$G$2:$G$513,0)))</f>
        <v/>
      </c>
    </row>
    <row r="225">
      <c r="A225" s="5">
        <f>IF(K225="","",219)</f>
        <v/>
      </c>
      <c r="B225" s="5">
        <f>IF(K225="","",INDEX(Интервалы!$A$2:$A$513,MATCH(K225,Интервалы!$G$2:$G$513,0)))</f>
        <v/>
      </c>
      <c r="C225" s="17">
        <f>IF(K225="","",INDEX(Интервалы!$C$2:$C$513,MATCH(K225,Интервалы!$G$2:$G$513,0)))</f>
        <v/>
      </c>
      <c r="D225" s="17">
        <f>IF(K225="","",INDEX(Интервалы!$D$2:$D$513,MATCH(K225,Интервалы!$G$2:$G$513,0)))</f>
        <v/>
      </c>
      <c r="E225" s="5">
        <f>IF(K225="","",D225-C225+1)</f>
        <v/>
      </c>
      <c r="F225" s="9">
        <f>IF(K225="","",INDEX(Интервалы!$E$2:$E$513,MATCH(K225,Интервалы!$G$2:$G$513,0)))</f>
        <v/>
      </c>
      <c r="G225" s="5">
        <f>IF(K225="","",IF(H225=1,INDEX('По дням'!$B$2:$B$4000,MATCH(C225,'По дням'!$A$2:$A$4000,0)),"по периодам ставки"))</f>
        <v/>
      </c>
      <c r="H225" s="5">
        <f>IF(K225="","",INDEX(Интервалы!$I$2:$I$513,MATCH(K225,Интервалы!$G$2:$G$513,0)))</f>
        <v/>
      </c>
      <c r="I225" s="9">
        <f>IF(K225="","",INDEX(Интервалы!$F$2:$F$513,MATCH(K225,Интервалы!$G$2:$G$513,0)))</f>
        <v/>
      </c>
      <c r="J225" s="9">
        <f>IF(K225="","",INDEX(Интервалы!$H$2:$H$513,MATCH(K225,Интервалы!$G$2:$G$513,0)))</f>
        <v/>
      </c>
      <c r="K225">
        <f>IFERROR(SMALL(Интервалы!$G$2:$G$513,219),"")</f>
        <v/>
      </c>
      <c r="L225">
        <f>IF(K225="","",INDEX(Интервалы!$B$2:$B$513,MATCH(K225,Интервалы!$G$2:$G$513,0)))</f>
        <v/>
      </c>
    </row>
    <row r="226">
      <c r="A226" s="5">
        <f>IF(K226="","",220)</f>
        <v/>
      </c>
      <c r="B226" s="5">
        <f>IF(K226="","",INDEX(Интервалы!$A$2:$A$513,MATCH(K226,Интервалы!$G$2:$G$513,0)))</f>
        <v/>
      </c>
      <c r="C226" s="17">
        <f>IF(K226="","",INDEX(Интервалы!$C$2:$C$513,MATCH(K226,Интервалы!$G$2:$G$513,0)))</f>
        <v/>
      </c>
      <c r="D226" s="17">
        <f>IF(K226="","",INDEX(Интервалы!$D$2:$D$513,MATCH(K226,Интервалы!$G$2:$G$513,0)))</f>
        <v/>
      </c>
      <c r="E226" s="5">
        <f>IF(K226="","",D226-C226+1)</f>
        <v/>
      </c>
      <c r="F226" s="9">
        <f>IF(K226="","",INDEX(Интервалы!$E$2:$E$513,MATCH(K226,Интервалы!$G$2:$G$513,0)))</f>
        <v/>
      </c>
      <c r="G226" s="5">
        <f>IF(K226="","",IF(H226=1,INDEX('По дням'!$B$2:$B$4000,MATCH(C226,'По дням'!$A$2:$A$4000,0)),"по периодам ставки"))</f>
        <v/>
      </c>
      <c r="H226" s="5">
        <f>IF(K226="","",INDEX(Интервалы!$I$2:$I$513,MATCH(K226,Интервалы!$G$2:$G$513,0)))</f>
        <v/>
      </c>
      <c r="I226" s="9">
        <f>IF(K226="","",INDEX(Интервалы!$F$2:$F$513,MATCH(K226,Интервалы!$G$2:$G$513,0)))</f>
        <v/>
      </c>
      <c r="J226" s="9">
        <f>IF(K226="","",INDEX(Интервалы!$H$2:$H$513,MATCH(K226,Интервалы!$G$2:$G$513,0)))</f>
        <v/>
      </c>
      <c r="K226">
        <f>IFERROR(SMALL(Интервалы!$G$2:$G$513,220),"")</f>
        <v/>
      </c>
      <c r="L226">
        <f>IF(K226="","",INDEX(Интервалы!$B$2:$B$513,MATCH(K226,Интервалы!$G$2:$G$513,0)))</f>
        <v/>
      </c>
    </row>
    <row r="227">
      <c r="A227" s="5">
        <f>IF(K227="","",221)</f>
        <v/>
      </c>
      <c r="B227" s="5">
        <f>IF(K227="","",INDEX(Интервалы!$A$2:$A$513,MATCH(K227,Интервалы!$G$2:$G$513,0)))</f>
        <v/>
      </c>
      <c r="C227" s="17">
        <f>IF(K227="","",INDEX(Интервалы!$C$2:$C$513,MATCH(K227,Интервалы!$G$2:$G$513,0)))</f>
        <v/>
      </c>
      <c r="D227" s="17">
        <f>IF(K227="","",INDEX(Интервалы!$D$2:$D$513,MATCH(K227,Интервалы!$G$2:$G$513,0)))</f>
        <v/>
      </c>
      <c r="E227" s="5">
        <f>IF(K227="","",D227-C227+1)</f>
        <v/>
      </c>
      <c r="F227" s="9">
        <f>IF(K227="","",INDEX(Интервалы!$E$2:$E$513,MATCH(K227,Интервалы!$G$2:$G$513,0)))</f>
        <v/>
      </c>
      <c r="G227" s="5">
        <f>IF(K227="","",IF(H227=1,INDEX('По дням'!$B$2:$B$4000,MATCH(C227,'По дням'!$A$2:$A$4000,0)),"по периодам ставки"))</f>
        <v/>
      </c>
      <c r="H227" s="5">
        <f>IF(K227="","",INDEX(Интервалы!$I$2:$I$513,MATCH(K227,Интервалы!$G$2:$G$513,0)))</f>
        <v/>
      </c>
      <c r="I227" s="9">
        <f>IF(K227="","",INDEX(Интервалы!$F$2:$F$513,MATCH(K227,Интервалы!$G$2:$G$513,0)))</f>
        <v/>
      </c>
      <c r="J227" s="9">
        <f>IF(K227="","",INDEX(Интервалы!$H$2:$H$513,MATCH(K227,Интервалы!$G$2:$G$513,0)))</f>
        <v/>
      </c>
      <c r="K227">
        <f>IFERROR(SMALL(Интервалы!$G$2:$G$513,221),"")</f>
        <v/>
      </c>
      <c r="L227">
        <f>IF(K227="","",INDEX(Интервалы!$B$2:$B$513,MATCH(K227,Интервалы!$G$2:$G$513,0)))</f>
        <v/>
      </c>
    </row>
    <row r="228">
      <c r="A228" s="5">
        <f>IF(K228="","",222)</f>
        <v/>
      </c>
      <c r="B228" s="5">
        <f>IF(K228="","",INDEX(Интервалы!$A$2:$A$513,MATCH(K228,Интервалы!$G$2:$G$513,0)))</f>
        <v/>
      </c>
      <c r="C228" s="17">
        <f>IF(K228="","",INDEX(Интервалы!$C$2:$C$513,MATCH(K228,Интервалы!$G$2:$G$513,0)))</f>
        <v/>
      </c>
      <c r="D228" s="17">
        <f>IF(K228="","",INDEX(Интервалы!$D$2:$D$513,MATCH(K228,Интервалы!$G$2:$G$513,0)))</f>
        <v/>
      </c>
      <c r="E228" s="5">
        <f>IF(K228="","",D228-C228+1)</f>
        <v/>
      </c>
      <c r="F228" s="9">
        <f>IF(K228="","",INDEX(Интервалы!$E$2:$E$513,MATCH(K228,Интервалы!$G$2:$G$513,0)))</f>
        <v/>
      </c>
      <c r="G228" s="5">
        <f>IF(K228="","",IF(H228=1,INDEX('По дням'!$B$2:$B$4000,MATCH(C228,'По дням'!$A$2:$A$4000,0)),"по периодам ставки"))</f>
        <v/>
      </c>
      <c r="H228" s="5">
        <f>IF(K228="","",INDEX(Интервалы!$I$2:$I$513,MATCH(K228,Интервалы!$G$2:$G$513,0)))</f>
        <v/>
      </c>
      <c r="I228" s="9">
        <f>IF(K228="","",INDEX(Интервалы!$F$2:$F$513,MATCH(K228,Интервалы!$G$2:$G$513,0)))</f>
        <v/>
      </c>
      <c r="J228" s="9">
        <f>IF(K228="","",INDEX(Интервалы!$H$2:$H$513,MATCH(K228,Интервалы!$G$2:$G$513,0)))</f>
        <v/>
      </c>
      <c r="K228">
        <f>IFERROR(SMALL(Интервалы!$G$2:$G$513,222),"")</f>
        <v/>
      </c>
      <c r="L228">
        <f>IF(K228="","",INDEX(Интервалы!$B$2:$B$513,MATCH(K228,Интервалы!$G$2:$G$513,0)))</f>
        <v/>
      </c>
    </row>
    <row r="229">
      <c r="A229" s="5">
        <f>IF(K229="","",223)</f>
        <v/>
      </c>
      <c r="B229" s="5">
        <f>IF(K229="","",INDEX(Интервалы!$A$2:$A$513,MATCH(K229,Интервалы!$G$2:$G$513,0)))</f>
        <v/>
      </c>
      <c r="C229" s="17">
        <f>IF(K229="","",INDEX(Интервалы!$C$2:$C$513,MATCH(K229,Интервалы!$G$2:$G$513,0)))</f>
        <v/>
      </c>
      <c r="D229" s="17">
        <f>IF(K229="","",INDEX(Интервалы!$D$2:$D$513,MATCH(K229,Интервалы!$G$2:$G$513,0)))</f>
        <v/>
      </c>
      <c r="E229" s="5">
        <f>IF(K229="","",D229-C229+1)</f>
        <v/>
      </c>
      <c r="F229" s="9">
        <f>IF(K229="","",INDEX(Интервалы!$E$2:$E$513,MATCH(K229,Интервалы!$G$2:$G$513,0)))</f>
        <v/>
      </c>
      <c r="G229" s="5">
        <f>IF(K229="","",IF(H229=1,INDEX('По дням'!$B$2:$B$4000,MATCH(C229,'По дням'!$A$2:$A$4000,0)),"по периодам ставки"))</f>
        <v/>
      </c>
      <c r="H229" s="5">
        <f>IF(K229="","",INDEX(Интервалы!$I$2:$I$513,MATCH(K229,Интервалы!$G$2:$G$513,0)))</f>
        <v/>
      </c>
      <c r="I229" s="9">
        <f>IF(K229="","",INDEX(Интервалы!$F$2:$F$513,MATCH(K229,Интервалы!$G$2:$G$513,0)))</f>
        <v/>
      </c>
      <c r="J229" s="9">
        <f>IF(K229="","",INDEX(Интервалы!$H$2:$H$513,MATCH(K229,Интервалы!$G$2:$G$513,0)))</f>
        <v/>
      </c>
      <c r="K229">
        <f>IFERROR(SMALL(Интервалы!$G$2:$G$513,223),"")</f>
        <v/>
      </c>
      <c r="L229">
        <f>IF(K229="","",INDEX(Интервалы!$B$2:$B$513,MATCH(K229,Интервалы!$G$2:$G$513,0)))</f>
        <v/>
      </c>
    </row>
    <row r="230">
      <c r="A230" s="5">
        <f>IF(K230="","",224)</f>
        <v/>
      </c>
      <c r="B230" s="5">
        <f>IF(K230="","",INDEX(Интервалы!$A$2:$A$513,MATCH(K230,Интервалы!$G$2:$G$513,0)))</f>
        <v/>
      </c>
      <c r="C230" s="17">
        <f>IF(K230="","",INDEX(Интервалы!$C$2:$C$513,MATCH(K230,Интервалы!$G$2:$G$513,0)))</f>
        <v/>
      </c>
      <c r="D230" s="17">
        <f>IF(K230="","",INDEX(Интервалы!$D$2:$D$513,MATCH(K230,Интервалы!$G$2:$G$513,0)))</f>
        <v/>
      </c>
      <c r="E230" s="5">
        <f>IF(K230="","",D230-C230+1)</f>
        <v/>
      </c>
      <c r="F230" s="9">
        <f>IF(K230="","",INDEX(Интервалы!$E$2:$E$513,MATCH(K230,Интервалы!$G$2:$G$513,0)))</f>
        <v/>
      </c>
      <c r="G230" s="5">
        <f>IF(K230="","",IF(H230=1,INDEX('По дням'!$B$2:$B$4000,MATCH(C230,'По дням'!$A$2:$A$4000,0)),"по периодам ставки"))</f>
        <v/>
      </c>
      <c r="H230" s="5">
        <f>IF(K230="","",INDEX(Интервалы!$I$2:$I$513,MATCH(K230,Интервалы!$G$2:$G$513,0)))</f>
        <v/>
      </c>
      <c r="I230" s="9">
        <f>IF(K230="","",INDEX(Интервалы!$F$2:$F$513,MATCH(K230,Интервалы!$G$2:$G$513,0)))</f>
        <v/>
      </c>
      <c r="J230" s="9">
        <f>IF(K230="","",INDEX(Интервалы!$H$2:$H$513,MATCH(K230,Интервалы!$G$2:$G$513,0)))</f>
        <v/>
      </c>
      <c r="K230">
        <f>IFERROR(SMALL(Интервалы!$G$2:$G$513,224),"")</f>
        <v/>
      </c>
      <c r="L230">
        <f>IF(K230="","",INDEX(Интервалы!$B$2:$B$513,MATCH(K230,Интервалы!$G$2:$G$513,0)))</f>
        <v/>
      </c>
    </row>
    <row r="231">
      <c r="A231" s="5">
        <f>IF(K231="","",225)</f>
        <v/>
      </c>
      <c r="B231" s="5">
        <f>IF(K231="","",INDEX(Интервалы!$A$2:$A$513,MATCH(K231,Интервалы!$G$2:$G$513,0)))</f>
        <v/>
      </c>
      <c r="C231" s="17">
        <f>IF(K231="","",INDEX(Интервалы!$C$2:$C$513,MATCH(K231,Интервалы!$G$2:$G$513,0)))</f>
        <v/>
      </c>
      <c r="D231" s="17">
        <f>IF(K231="","",INDEX(Интервалы!$D$2:$D$513,MATCH(K231,Интервалы!$G$2:$G$513,0)))</f>
        <v/>
      </c>
      <c r="E231" s="5">
        <f>IF(K231="","",D231-C231+1)</f>
        <v/>
      </c>
      <c r="F231" s="9">
        <f>IF(K231="","",INDEX(Интервалы!$E$2:$E$513,MATCH(K231,Интервалы!$G$2:$G$513,0)))</f>
        <v/>
      </c>
      <c r="G231" s="5">
        <f>IF(K231="","",IF(H231=1,INDEX('По дням'!$B$2:$B$4000,MATCH(C231,'По дням'!$A$2:$A$4000,0)),"по периодам ставки"))</f>
        <v/>
      </c>
      <c r="H231" s="5">
        <f>IF(K231="","",INDEX(Интервалы!$I$2:$I$513,MATCH(K231,Интервалы!$G$2:$G$513,0)))</f>
        <v/>
      </c>
      <c r="I231" s="9">
        <f>IF(K231="","",INDEX(Интервалы!$F$2:$F$513,MATCH(K231,Интервалы!$G$2:$G$513,0)))</f>
        <v/>
      </c>
      <c r="J231" s="9">
        <f>IF(K231="","",INDEX(Интервалы!$H$2:$H$513,MATCH(K231,Интервалы!$G$2:$G$513,0)))</f>
        <v/>
      </c>
      <c r="K231">
        <f>IFERROR(SMALL(Интервалы!$G$2:$G$513,225),"")</f>
        <v/>
      </c>
      <c r="L231">
        <f>IF(K231="","",INDEX(Интервалы!$B$2:$B$513,MATCH(K231,Интервалы!$G$2:$G$513,0)))</f>
        <v/>
      </c>
    </row>
    <row r="232">
      <c r="A232" s="5">
        <f>IF(K232="","",226)</f>
        <v/>
      </c>
      <c r="B232" s="5">
        <f>IF(K232="","",INDEX(Интервалы!$A$2:$A$513,MATCH(K232,Интервалы!$G$2:$G$513,0)))</f>
        <v/>
      </c>
      <c r="C232" s="17">
        <f>IF(K232="","",INDEX(Интервалы!$C$2:$C$513,MATCH(K232,Интервалы!$G$2:$G$513,0)))</f>
        <v/>
      </c>
      <c r="D232" s="17">
        <f>IF(K232="","",INDEX(Интервалы!$D$2:$D$513,MATCH(K232,Интервалы!$G$2:$G$513,0)))</f>
        <v/>
      </c>
      <c r="E232" s="5">
        <f>IF(K232="","",D232-C232+1)</f>
        <v/>
      </c>
      <c r="F232" s="9">
        <f>IF(K232="","",INDEX(Интервалы!$E$2:$E$513,MATCH(K232,Интервалы!$G$2:$G$513,0)))</f>
        <v/>
      </c>
      <c r="G232" s="5">
        <f>IF(K232="","",IF(H232=1,INDEX('По дням'!$B$2:$B$4000,MATCH(C232,'По дням'!$A$2:$A$4000,0)),"по периодам ставки"))</f>
        <v/>
      </c>
      <c r="H232" s="5">
        <f>IF(K232="","",INDEX(Интервалы!$I$2:$I$513,MATCH(K232,Интервалы!$G$2:$G$513,0)))</f>
        <v/>
      </c>
      <c r="I232" s="9">
        <f>IF(K232="","",INDEX(Интервалы!$F$2:$F$513,MATCH(K232,Интервалы!$G$2:$G$513,0)))</f>
        <v/>
      </c>
      <c r="J232" s="9">
        <f>IF(K232="","",INDEX(Интервалы!$H$2:$H$513,MATCH(K232,Интервалы!$G$2:$G$513,0)))</f>
        <v/>
      </c>
      <c r="K232">
        <f>IFERROR(SMALL(Интервалы!$G$2:$G$513,226),"")</f>
        <v/>
      </c>
      <c r="L232">
        <f>IF(K232="","",INDEX(Интервалы!$B$2:$B$513,MATCH(K232,Интервалы!$G$2:$G$513,0)))</f>
        <v/>
      </c>
    </row>
    <row r="233">
      <c r="A233" s="5">
        <f>IF(K233="","",227)</f>
        <v/>
      </c>
      <c r="B233" s="5">
        <f>IF(K233="","",INDEX(Интервалы!$A$2:$A$513,MATCH(K233,Интервалы!$G$2:$G$513,0)))</f>
        <v/>
      </c>
      <c r="C233" s="17">
        <f>IF(K233="","",INDEX(Интервалы!$C$2:$C$513,MATCH(K233,Интервалы!$G$2:$G$513,0)))</f>
        <v/>
      </c>
      <c r="D233" s="17">
        <f>IF(K233="","",INDEX(Интервалы!$D$2:$D$513,MATCH(K233,Интервалы!$G$2:$G$513,0)))</f>
        <v/>
      </c>
      <c r="E233" s="5">
        <f>IF(K233="","",D233-C233+1)</f>
        <v/>
      </c>
      <c r="F233" s="9">
        <f>IF(K233="","",INDEX(Интервалы!$E$2:$E$513,MATCH(K233,Интервалы!$G$2:$G$513,0)))</f>
        <v/>
      </c>
      <c r="G233" s="5">
        <f>IF(K233="","",IF(H233=1,INDEX('По дням'!$B$2:$B$4000,MATCH(C233,'По дням'!$A$2:$A$4000,0)),"по периодам ставки"))</f>
        <v/>
      </c>
      <c r="H233" s="5">
        <f>IF(K233="","",INDEX(Интервалы!$I$2:$I$513,MATCH(K233,Интервалы!$G$2:$G$513,0)))</f>
        <v/>
      </c>
      <c r="I233" s="9">
        <f>IF(K233="","",INDEX(Интервалы!$F$2:$F$513,MATCH(K233,Интервалы!$G$2:$G$513,0)))</f>
        <v/>
      </c>
      <c r="J233" s="9">
        <f>IF(K233="","",INDEX(Интервалы!$H$2:$H$513,MATCH(K233,Интервалы!$G$2:$G$513,0)))</f>
        <v/>
      </c>
      <c r="K233">
        <f>IFERROR(SMALL(Интервалы!$G$2:$G$513,227),"")</f>
        <v/>
      </c>
      <c r="L233">
        <f>IF(K233="","",INDEX(Интервалы!$B$2:$B$513,MATCH(K233,Интервалы!$G$2:$G$513,0)))</f>
        <v/>
      </c>
    </row>
    <row r="234">
      <c r="A234" s="5">
        <f>IF(K234="","",228)</f>
        <v/>
      </c>
      <c r="B234" s="5">
        <f>IF(K234="","",INDEX(Интервалы!$A$2:$A$513,MATCH(K234,Интервалы!$G$2:$G$513,0)))</f>
        <v/>
      </c>
      <c r="C234" s="17">
        <f>IF(K234="","",INDEX(Интервалы!$C$2:$C$513,MATCH(K234,Интервалы!$G$2:$G$513,0)))</f>
        <v/>
      </c>
      <c r="D234" s="17">
        <f>IF(K234="","",INDEX(Интервалы!$D$2:$D$513,MATCH(K234,Интервалы!$G$2:$G$513,0)))</f>
        <v/>
      </c>
      <c r="E234" s="5">
        <f>IF(K234="","",D234-C234+1)</f>
        <v/>
      </c>
      <c r="F234" s="9">
        <f>IF(K234="","",INDEX(Интервалы!$E$2:$E$513,MATCH(K234,Интервалы!$G$2:$G$513,0)))</f>
        <v/>
      </c>
      <c r="G234" s="5">
        <f>IF(K234="","",IF(H234=1,INDEX('По дням'!$B$2:$B$4000,MATCH(C234,'По дням'!$A$2:$A$4000,0)),"по периодам ставки"))</f>
        <v/>
      </c>
      <c r="H234" s="5">
        <f>IF(K234="","",INDEX(Интервалы!$I$2:$I$513,MATCH(K234,Интервалы!$G$2:$G$513,0)))</f>
        <v/>
      </c>
      <c r="I234" s="9">
        <f>IF(K234="","",INDEX(Интервалы!$F$2:$F$513,MATCH(K234,Интервалы!$G$2:$G$513,0)))</f>
        <v/>
      </c>
      <c r="J234" s="9">
        <f>IF(K234="","",INDEX(Интервалы!$H$2:$H$513,MATCH(K234,Интервалы!$G$2:$G$513,0)))</f>
        <v/>
      </c>
      <c r="K234">
        <f>IFERROR(SMALL(Интервалы!$G$2:$G$513,228),"")</f>
        <v/>
      </c>
      <c r="L234">
        <f>IF(K234="","",INDEX(Интервалы!$B$2:$B$513,MATCH(K234,Интервалы!$G$2:$G$513,0)))</f>
        <v/>
      </c>
    </row>
    <row r="235">
      <c r="A235" s="5">
        <f>IF(K235="","",229)</f>
        <v/>
      </c>
      <c r="B235" s="5">
        <f>IF(K235="","",INDEX(Интервалы!$A$2:$A$513,MATCH(K235,Интервалы!$G$2:$G$513,0)))</f>
        <v/>
      </c>
      <c r="C235" s="17">
        <f>IF(K235="","",INDEX(Интервалы!$C$2:$C$513,MATCH(K235,Интервалы!$G$2:$G$513,0)))</f>
        <v/>
      </c>
      <c r="D235" s="17">
        <f>IF(K235="","",INDEX(Интервалы!$D$2:$D$513,MATCH(K235,Интервалы!$G$2:$G$513,0)))</f>
        <v/>
      </c>
      <c r="E235" s="5">
        <f>IF(K235="","",D235-C235+1)</f>
        <v/>
      </c>
      <c r="F235" s="9">
        <f>IF(K235="","",INDEX(Интервалы!$E$2:$E$513,MATCH(K235,Интервалы!$G$2:$G$513,0)))</f>
        <v/>
      </c>
      <c r="G235" s="5">
        <f>IF(K235="","",IF(H235=1,INDEX('По дням'!$B$2:$B$4000,MATCH(C235,'По дням'!$A$2:$A$4000,0)),"по периодам ставки"))</f>
        <v/>
      </c>
      <c r="H235" s="5">
        <f>IF(K235="","",INDEX(Интервалы!$I$2:$I$513,MATCH(K235,Интервалы!$G$2:$G$513,0)))</f>
        <v/>
      </c>
      <c r="I235" s="9">
        <f>IF(K235="","",INDEX(Интервалы!$F$2:$F$513,MATCH(K235,Интервалы!$G$2:$G$513,0)))</f>
        <v/>
      </c>
      <c r="J235" s="9">
        <f>IF(K235="","",INDEX(Интервалы!$H$2:$H$513,MATCH(K235,Интервалы!$G$2:$G$513,0)))</f>
        <v/>
      </c>
      <c r="K235">
        <f>IFERROR(SMALL(Интервалы!$G$2:$G$513,229),"")</f>
        <v/>
      </c>
      <c r="L235">
        <f>IF(K235="","",INDEX(Интервалы!$B$2:$B$513,MATCH(K235,Интервалы!$G$2:$G$513,0)))</f>
        <v/>
      </c>
    </row>
    <row r="236">
      <c r="A236" s="5">
        <f>IF(K236="","",230)</f>
        <v/>
      </c>
      <c r="B236" s="5">
        <f>IF(K236="","",INDEX(Интервалы!$A$2:$A$513,MATCH(K236,Интервалы!$G$2:$G$513,0)))</f>
        <v/>
      </c>
      <c r="C236" s="17">
        <f>IF(K236="","",INDEX(Интервалы!$C$2:$C$513,MATCH(K236,Интервалы!$G$2:$G$513,0)))</f>
        <v/>
      </c>
      <c r="D236" s="17">
        <f>IF(K236="","",INDEX(Интервалы!$D$2:$D$513,MATCH(K236,Интервалы!$G$2:$G$513,0)))</f>
        <v/>
      </c>
      <c r="E236" s="5">
        <f>IF(K236="","",D236-C236+1)</f>
        <v/>
      </c>
      <c r="F236" s="9">
        <f>IF(K236="","",INDEX(Интервалы!$E$2:$E$513,MATCH(K236,Интервалы!$G$2:$G$513,0)))</f>
        <v/>
      </c>
      <c r="G236" s="5">
        <f>IF(K236="","",IF(H236=1,INDEX('По дням'!$B$2:$B$4000,MATCH(C236,'По дням'!$A$2:$A$4000,0)),"по периодам ставки"))</f>
        <v/>
      </c>
      <c r="H236" s="5">
        <f>IF(K236="","",INDEX(Интервалы!$I$2:$I$513,MATCH(K236,Интервалы!$G$2:$G$513,0)))</f>
        <v/>
      </c>
      <c r="I236" s="9">
        <f>IF(K236="","",INDEX(Интервалы!$F$2:$F$513,MATCH(K236,Интервалы!$G$2:$G$513,0)))</f>
        <v/>
      </c>
      <c r="J236" s="9">
        <f>IF(K236="","",INDEX(Интервалы!$H$2:$H$513,MATCH(K236,Интервалы!$G$2:$G$513,0)))</f>
        <v/>
      </c>
      <c r="K236">
        <f>IFERROR(SMALL(Интервалы!$G$2:$G$513,230),"")</f>
        <v/>
      </c>
      <c r="L236">
        <f>IF(K236="","",INDEX(Интервалы!$B$2:$B$513,MATCH(K236,Интервалы!$G$2:$G$513,0)))</f>
        <v/>
      </c>
    </row>
    <row r="237">
      <c r="A237" s="5">
        <f>IF(K237="","",231)</f>
        <v/>
      </c>
      <c r="B237" s="5">
        <f>IF(K237="","",INDEX(Интервалы!$A$2:$A$513,MATCH(K237,Интервалы!$G$2:$G$513,0)))</f>
        <v/>
      </c>
      <c r="C237" s="17">
        <f>IF(K237="","",INDEX(Интервалы!$C$2:$C$513,MATCH(K237,Интервалы!$G$2:$G$513,0)))</f>
        <v/>
      </c>
      <c r="D237" s="17">
        <f>IF(K237="","",INDEX(Интервалы!$D$2:$D$513,MATCH(K237,Интервалы!$G$2:$G$513,0)))</f>
        <v/>
      </c>
      <c r="E237" s="5">
        <f>IF(K237="","",D237-C237+1)</f>
        <v/>
      </c>
      <c r="F237" s="9">
        <f>IF(K237="","",INDEX(Интервалы!$E$2:$E$513,MATCH(K237,Интервалы!$G$2:$G$513,0)))</f>
        <v/>
      </c>
      <c r="G237" s="5">
        <f>IF(K237="","",IF(H237=1,INDEX('По дням'!$B$2:$B$4000,MATCH(C237,'По дням'!$A$2:$A$4000,0)),"по периодам ставки"))</f>
        <v/>
      </c>
      <c r="H237" s="5">
        <f>IF(K237="","",INDEX(Интервалы!$I$2:$I$513,MATCH(K237,Интервалы!$G$2:$G$513,0)))</f>
        <v/>
      </c>
      <c r="I237" s="9">
        <f>IF(K237="","",INDEX(Интервалы!$F$2:$F$513,MATCH(K237,Интервалы!$G$2:$G$513,0)))</f>
        <v/>
      </c>
      <c r="J237" s="9">
        <f>IF(K237="","",INDEX(Интервалы!$H$2:$H$513,MATCH(K237,Интервалы!$G$2:$G$513,0)))</f>
        <v/>
      </c>
      <c r="K237">
        <f>IFERROR(SMALL(Интервалы!$G$2:$G$513,231),"")</f>
        <v/>
      </c>
      <c r="L237">
        <f>IF(K237="","",INDEX(Интервалы!$B$2:$B$513,MATCH(K237,Интервалы!$G$2:$G$513,0)))</f>
        <v/>
      </c>
    </row>
    <row r="238">
      <c r="A238" s="5">
        <f>IF(K238="","",232)</f>
        <v/>
      </c>
      <c r="B238" s="5">
        <f>IF(K238="","",INDEX(Интервалы!$A$2:$A$513,MATCH(K238,Интервалы!$G$2:$G$513,0)))</f>
        <v/>
      </c>
      <c r="C238" s="17">
        <f>IF(K238="","",INDEX(Интервалы!$C$2:$C$513,MATCH(K238,Интервалы!$G$2:$G$513,0)))</f>
        <v/>
      </c>
      <c r="D238" s="17">
        <f>IF(K238="","",INDEX(Интервалы!$D$2:$D$513,MATCH(K238,Интервалы!$G$2:$G$513,0)))</f>
        <v/>
      </c>
      <c r="E238" s="5">
        <f>IF(K238="","",D238-C238+1)</f>
        <v/>
      </c>
      <c r="F238" s="9">
        <f>IF(K238="","",INDEX(Интервалы!$E$2:$E$513,MATCH(K238,Интервалы!$G$2:$G$513,0)))</f>
        <v/>
      </c>
      <c r="G238" s="5">
        <f>IF(K238="","",IF(H238=1,INDEX('По дням'!$B$2:$B$4000,MATCH(C238,'По дням'!$A$2:$A$4000,0)),"по периодам ставки"))</f>
        <v/>
      </c>
      <c r="H238" s="5">
        <f>IF(K238="","",INDEX(Интервалы!$I$2:$I$513,MATCH(K238,Интервалы!$G$2:$G$513,0)))</f>
        <v/>
      </c>
      <c r="I238" s="9">
        <f>IF(K238="","",INDEX(Интервалы!$F$2:$F$513,MATCH(K238,Интервалы!$G$2:$G$513,0)))</f>
        <v/>
      </c>
      <c r="J238" s="9">
        <f>IF(K238="","",INDEX(Интервалы!$H$2:$H$513,MATCH(K238,Интервалы!$G$2:$G$513,0)))</f>
        <v/>
      </c>
      <c r="K238">
        <f>IFERROR(SMALL(Интервалы!$G$2:$G$513,232),"")</f>
        <v/>
      </c>
      <c r="L238">
        <f>IF(K238="","",INDEX(Интервалы!$B$2:$B$513,MATCH(K238,Интервалы!$G$2:$G$513,0)))</f>
        <v/>
      </c>
    </row>
    <row r="239">
      <c r="A239" s="5">
        <f>IF(K239="","",233)</f>
        <v/>
      </c>
      <c r="B239" s="5">
        <f>IF(K239="","",INDEX(Интервалы!$A$2:$A$513,MATCH(K239,Интервалы!$G$2:$G$513,0)))</f>
        <v/>
      </c>
      <c r="C239" s="17">
        <f>IF(K239="","",INDEX(Интервалы!$C$2:$C$513,MATCH(K239,Интервалы!$G$2:$G$513,0)))</f>
        <v/>
      </c>
      <c r="D239" s="17">
        <f>IF(K239="","",INDEX(Интервалы!$D$2:$D$513,MATCH(K239,Интервалы!$G$2:$G$513,0)))</f>
        <v/>
      </c>
      <c r="E239" s="5">
        <f>IF(K239="","",D239-C239+1)</f>
        <v/>
      </c>
      <c r="F239" s="9">
        <f>IF(K239="","",INDEX(Интервалы!$E$2:$E$513,MATCH(K239,Интервалы!$G$2:$G$513,0)))</f>
        <v/>
      </c>
      <c r="G239" s="5">
        <f>IF(K239="","",IF(H239=1,INDEX('По дням'!$B$2:$B$4000,MATCH(C239,'По дням'!$A$2:$A$4000,0)),"по периодам ставки"))</f>
        <v/>
      </c>
      <c r="H239" s="5">
        <f>IF(K239="","",INDEX(Интервалы!$I$2:$I$513,MATCH(K239,Интервалы!$G$2:$G$513,0)))</f>
        <v/>
      </c>
      <c r="I239" s="9">
        <f>IF(K239="","",INDEX(Интервалы!$F$2:$F$513,MATCH(K239,Интервалы!$G$2:$G$513,0)))</f>
        <v/>
      </c>
      <c r="J239" s="9">
        <f>IF(K239="","",INDEX(Интервалы!$H$2:$H$513,MATCH(K239,Интервалы!$G$2:$G$513,0)))</f>
        <v/>
      </c>
      <c r="K239">
        <f>IFERROR(SMALL(Интервалы!$G$2:$G$513,233),"")</f>
        <v/>
      </c>
      <c r="L239">
        <f>IF(K239="","",INDEX(Интервалы!$B$2:$B$513,MATCH(K239,Интервалы!$G$2:$G$513,0)))</f>
        <v/>
      </c>
    </row>
    <row r="240">
      <c r="A240" s="5">
        <f>IF(K240="","",234)</f>
        <v/>
      </c>
      <c r="B240" s="5">
        <f>IF(K240="","",INDEX(Интервалы!$A$2:$A$513,MATCH(K240,Интервалы!$G$2:$G$513,0)))</f>
        <v/>
      </c>
      <c r="C240" s="17">
        <f>IF(K240="","",INDEX(Интервалы!$C$2:$C$513,MATCH(K240,Интервалы!$G$2:$G$513,0)))</f>
        <v/>
      </c>
      <c r="D240" s="17">
        <f>IF(K240="","",INDEX(Интервалы!$D$2:$D$513,MATCH(K240,Интервалы!$G$2:$G$513,0)))</f>
        <v/>
      </c>
      <c r="E240" s="5">
        <f>IF(K240="","",D240-C240+1)</f>
        <v/>
      </c>
      <c r="F240" s="9">
        <f>IF(K240="","",INDEX(Интервалы!$E$2:$E$513,MATCH(K240,Интервалы!$G$2:$G$513,0)))</f>
        <v/>
      </c>
      <c r="G240" s="5">
        <f>IF(K240="","",IF(H240=1,INDEX('По дням'!$B$2:$B$4000,MATCH(C240,'По дням'!$A$2:$A$4000,0)),"по периодам ставки"))</f>
        <v/>
      </c>
      <c r="H240" s="5">
        <f>IF(K240="","",INDEX(Интервалы!$I$2:$I$513,MATCH(K240,Интервалы!$G$2:$G$513,0)))</f>
        <v/>
      </c>
      <c r="I240" s="9">
        <f>IF(K240="","",INDEX(Интервалы!$F$2:$F$513,MATCH(K240,Интервалы!$G$2:$G$513,0)))</f>
        <v/>
      </c>
      <c r="J240" s="9">
        <f>IF(K240="","",INDEX(Интервалы!$H$2:$H$513,MATCH(K240,Интервалы!$G$2:$G$513,0)))</f>
        <v/>
      </c>
      <c r="K240">
        <f>IFERROR(SMALL(Интервалы!$G$2:$G$513,234),"")</f>
        <v/>
      </c>
      <c r="L240">
        <f>IF(K240="","",INDEX(Интервалы!$B$2:$B$513,MATCH(K240,Интервалы!$G$2:$G$513,0)))</f>
        <v/>
      </c>
    </row>
    <row r="241">
      <c r="A241" s="5">
        <f>IF(K241="","",235)</f>
        <v/>
      </c>
      <c r="B241" s="5">
        <f>IF(K241="","",INDEX(Интервалы!$A$2:$A$513,MATCH(K241,Интервалы!$G$2:$G$513,0)))</f>
        <v/>
      </c>
      <c r="C241" s="17">
        <f>IF(K241="","",INDEX(Интервалы!$C$2:$C$513,MATCH(K241,Интервалы!$G$2:$G$513,0)))</f>
        <v/>
      </c>
      <c r="D241" s="17">
        <f>IF(K241="","",INDEX(Интервалы!$D$2:$D$513,MATCH(K241,Интервалы!$G$2:$G$513,0)))</f>
        <v/>
      </c>
      <c r="E241" s="5">
        <f>IF(K241="","",D241-C241+1)</f>
        <v/>
      </c>
      <c r="F241" s="9">
        <f>IF(K241="","",INDEX(Интервалы!$E$2:$E$513,MATCH(K241,Интервалы!$G$2:$G$513,0)))</f>
        <v/>
      </c>
      <c r="G241" s="5">
        <f>IF(K241="","",IF(H241=1,INDEX('По дням'!$B$2:$B$4000,MATCH(C241,'По дням'!$A$2:$A$4000,0)),"по периодам ставки"))</f>
        <v/>
      </c>
      <c r="H241" s="5">
        <f>IF(K241="","",INDEX(Интервалы!$I$2:$I$513,MATCH(K241,Интервалы!$G$2:$G$513,0)))</f>
        <v/>
      </c>
      <c r="I241" s="9">
        <f>IF(K241="","",INDEX(Интервалы!$F$2:$F$513,MATCH(K241,Интервалы!$G$2:$G$513,0)))</f>
        <v/>
      </c>
      <c r="J241" s="9">
        <f>IF(K241="","",INDEX(Интервалы!$H$2:$H$513,MATCH(K241,Интервалы!$G$2:$G$513,0)))</f>
        <v/>
      </c>
      <c r="K241">
        <f>IFERROR(SMALL(Интервалы!$G$2:$G$513,235),"")</f>
        <v/>
      </c>
      <c r="L241">
        <f>IF(K241="","",INDEX(Интервалы!$B$2:$B$513,MATCH(K241,Интервалы!$G$2:$G$513,0)))</f>
        <v/>
      </c>
    </row>
    <row r="242">
      <c r="A242" s="5">
        <f>IF(K242="","",236)</f>
        <v/>
      </c>
      <c r="B242" s="5">
        <f>IF(K242="","",INDEX(Интервалы!$A$2:$A$513,MATCH(K242,Интервалы!$G$2:$G$513,0)))</f>
        <v/>
      </c>
      <c r="C242" s="17">
        <f>IF(K242="","",INDEX(Интервалы!$C$2:$C$513,MATCH(K242,Интервалы!$G$2:$G$513,0)))</f>
        <v/>
      </c>
      <c r="D242" s="17">
        <f>IF(K242="","",INDEX(Интервалы!$D$2:$D$513,MATCH(K242,Интервалы!$G$2:$G$513,0)))</f>
        <v/>
      </c>
      <c r="E242" s="5">
        <f>IF(K242="","",D242-C242+1)</f>
        <v/>
      </c>
      <c r="F242" s="9">
        <f>IF(K242="","",INDEX(Интервалы!$E$2:$E$513,MATCH(K242,Интервалы!$G$2:$G$513,0)))</f>
        <v/>
      </c>
      <c r="G242" s="5">
        <f>IF(K242="","",IF(H242=1,INDEX('По дням'!$B$2:$B$4000,MATCH(C242,'По дням'!$A$2:$A$4000,0)),"по периодам ставки"))</f>
        <v/>
      </c>
      <c r="H242" s="5">
        <f>IF(K242="","",INDEX(Интервалы!$I$2:$I$513,MATCH(K242,Интервалы!$G$2:$G$513,0)))</f>
        <v/>
      </c>
      <c r="I242" s="9">
        <f>IF(K242="","",INDEX(Интервалы!$F$2:$F$513,MATCH(K242,Интервалы!$G$2:$G$513,0)))</f>
        <v/>
      </c>
      <c r="J242" s="9">
        <f>IF(K242="","",INDEX(Интервалы!$H$2:$H$513,MATCH(K242,Интервалы!$G$2:$G$513,0)))</f>
        <v/>
      </c>
      <c r="K242">
        <f>IFERROR(SMALL(Интервалы!$G$2:$G$513,236),"")</f>
        <v/>
      </c>
      <c r="L242">
        <f>IF(K242="","",INDEX(Интервалы!$B$2:$B$513,MATCH(K242,Интервалы!$G$2:$G$513,0)))</f>
        <v/>
      </c>
    </row>
    <row r="243">
      <c r="A243" s="5">
        <f>IF(K243="","",237)</f>
        <v/>
      </c>
      <c r="B243" s="5">
        <f>IF(K243="","",INDEX(Интервалы!$A$2:$A$513,MATCH(K243,Интервалы!$G$2:$G$513,0)))</f>
        <v/>
      </c>
      <c r="C243" s="17">
        <f>IF(K243="","",INDEX(Интервалы!$C$2:$C$513,MATCH(K243,Интервалы!$G$2:$G$513,0)))</f>
        <v/>
      </c>
      <c r="D243" s="17">
        <f>IF(K243="","",INDEX(Интервалы!$D$2:$D$513,MATCH(K243,Интервалы!$G$2:$G$513,0)))</f>
        <v/>
      </c>
      <c r="E243" s="5">
        <f>IF(K243="","",D243-C243+1)</f>
        <v/>
      </c>
      <c r="F243" s="9">
        <f>IF(K243="","",INDEX(Интервалы!$E$2:$E$513,MATCH(K243,Интервалы!$G$2:$G$513,0)))</f>
        <v/>
      </c>
      <c r="G243" s="5">
        <f>IF(K243="","",IF(H243=1,INDEX('По дням'!$B$2:$B$4000,MATCH(C243,'По дням'!$A$2:$A$4000,0)),"по периодам ставки"))</f>
        <v/>
      </c>
      <c r="H243" s="5">
        <f>IF(K243="","",INDEX(Интервалы!$I$2:$I$513,MATCH(K243,Интервалы!$G$2:$G$513,0)))</f>
        <v/>
      </c>
      <c r="I243" s="9">
        <f>IF(K243="","",INDEX(Интервалы!$F$2:$F$513,MATCH(K243,Интервалы!$G$2:$G$513,0)))</f>
        <v/>
      </c>
      <c r="J243" s="9">
        <f>IF(K243="","",INDEX(Интервалы!$H$2:$H$513,MATCH(K243,Интервалы!$G$2:$G$513,0)))</f>
        <v/>
      </c>
      <c r="K243">
        <f>IFERROR(SMALL(Интервалы!$G$2:$G$513,237),"")</f>
        <v/>
      </c>
      <c r="L243">
        <f>IF(K243="","",INDEX(Интервалы!$B$2:$B$513,MATCH(K243,Интервалы!$G$2:$G$513,0)))</f>
        <v/>
      </c>
    </row>
    <row r="244">
      <c r="A244" s="5">
        <f>IF(K244="","",238)</f>
        <v/>
      </c>
      <c r="B244" s="5">
        <f>IF(K244="","",INDEX(Интервалы!$A$2:$A$513,MATCH(K244,Интервалы!$G$2:$G$513,0)))</f>
        <v/>
      </c>
      <c r="C244" s="17">
        <f>IF(K244="","",INDEX(Интервалы!$C$2:$C$513,MATCH(K244,Интервалы!$G$2:$G$513,0)))</f>
        <v/>
      </c>
      <c r="D244" s="17">
        <f>IF(K244="","",INDEX(Интервалы!$D$2:$D$513,MATCH(K244,Интервалы!$G$2:$G$513,0)))</f>
        <v/>
      </c>
      <c r="E244" s="5">
        <f>IF(K244="","",D244-C244+1)</f>
        <v/>
      </c>
      <c r="F244" s="9">
        <f>IF(K244="","",INDEX(Интервалы!$E$2:$E$513,MATCH(K244,Интервалы!$G$2:$G$513,0)))</f>
        <v/>
      </c>
      <c r="G244" s="5">
        <f>IF(K244="","",IF(H244=1,INDEX('По дням'!$B$2:$B$4000,MATCH(C244,'По дням'!$A$2:$A$4000,0)),"по периодам ставки"))</f>
        <v/>
      </c>
      <c r="H244" s="5">
        <f>IF(K244="","",INDEX(Интервалы!$I$2:$I$513,MATCH(K244,Интервалы!$G$2:$G$513,0)))</f>
        <v/>
      </c>
      <c r="I244" s="9">
        <f>IF(K244="","",INDEX(Интервалы!$F$2:$F$513,MATCH(K244,Интервалы!$G$2:$G$513,0)))</f>
        <v/>
      </c>
      <c r="J244" s="9">
        <f>IF(K244="","",INDEX(Интервалы!$H$2:$H$513,MATCH(K244,Интервалы!$G$2:$G$513,0)))</f>
        <v/>
      </c>
      <c r="K244">
        <f>IFERROR(SMALL(Интервалы!$G$2:$G$513,238),"")</f>
        <v/>
      </c>
      <c r="L244">
        <f>IF(K244="","",INDEX(Интервалы!$B$2:$B$513,MATCH(K244,Интервалы!$G$2:$G$513,0)))</f>
        <v/>
      </c>
    </row>
    <row r="245">
      <c r="A245" s="5">
        <f>IF(K245="","",239)</f>
        <v/>
      </c>
      <c r="B245" s="5">
        <f>IF(K245="","",INDEX(Интервалы!$A$2:$A$513,MATCH(K245,Интервалы!$G$2:$G$513,0)))</f>
        <v/>
      </c>
      <c r="C245" s="17">
        <f>IF(K245="","",INDEX(Интервалы!$C$2:$C$513,MATCH(K245,Интервалы!$G$2:$G$513,0)))</f>
        <v/>
      </c>
      <c r="D245" s="17">
        <f>IF(K245="","",INDEX(Интервалы!$D$2:$D$513,MATCH(K245,Интервалы!$G$2:$G$513,0)))</f>
        <v/>
      </c>
      <c r="E245" s="5">
        <f>IF(K245="","",D245-C245+1)</f>
        <v/>
      </c>
      <c r="F245" s="9">
        <f>IF(K245="","",INDEX(Интервалы!$E$2:$E$513,MATCH(K245,Интервалы!$G$2:$G$513,0)))</f>
        <v/>
      </c>
      <c r="G245" s="5">
        <f>IF(K245="","",IF(H245=1,INDEX('По дням'!$B$2:$B$4000,MATCH(C245,'По дням'!$A$2:$A$4000,0)),"по периодам ставки"))</f>
        <v/>
      </c>
      <c r="H245" s="5">
        <f>IF(K245="","",INDEX(Интервалы!$I$2:$I$513,MATCH(K245,Интервалы!$G$2:$G$513,0)))</f>
        <v/>
      </c>
      <c r="I245" s="9">
        <f>IF(K245="","",INDEX(Интервалы!$F$2:$F$513,MATCH(K245,Интервалы!$G$2:$G$513,0)))</f>
        <v/>
      </c>
      <c r="J245" s="9">
        <f>IF(K245="","",INDEX(Интервалы!$H$2:$H$513,MATCH(K245,Интервалы!$G$2:$G$513,0)))</f>
        <v/>
      </c>
      <c r="K245">
        <f>IFERROR(SMALL(Интервалы!$G$2:$G$513,239),"")</f>
        <v/>
      </c>
      <c r="L245">
        <f>IF(K245="","",INDEX(Интервалы!$B$2:$B$513,MATCH(K245,Интервалы!$G$2:$G$513,0)))</f>
        <v/>
      </c>
    </row>
    <row r="246">
      <c r="A246" s="5">
        <f>IF(K246="","",240)</f>
        <v/>
      </c>
      <c r="B246" s="5">
        <f>IF(K246="","",INDEX(Интервалы!$A$2:$A$513,MATCH(K246,Интервалы!$G$2:$G$513,0)))</f>
        <v/>
      </c>
      <c r="C246" s="17">
        <f>IF(K246="","",INDEX(Интервалы!$C$2:$C$513,MATCH(K246,Интервалы!$G$2:$G$513,0)))</f>
        <v/>
      </c>
      <c r="D246" s="17">
        <f>IF(K246="","",INDEX(Интервалы!$D$2:$D$513,MATCH(K246,Интервалы!$G$2:$G$513,0)))</f>
        <v/>
      </c>
      <c r="E246" s="5">
        <f>IF(K246="","",D246-C246+1)</f>
        <v/>
      </c>
      <c r="F246" s="9">
        <f>IF(K246="","",INDEX(Интервалы!$E$2:$E$513,MATCH(K246,Интервалы!$G$2:$G$513,0)))</f>
        <v/>
      </c>
      <c r="G246" s="5">
        <f>IF(K246="","",IF(H246=1,INDEX('По дням'!$B$2:$B$4000,MATCH(C246,'По дням'!$A$2:$A$4000,0)),"по периодам ставки"))</f>
        <v/>
      </c>
      <c r="H246" s="5">
        <f>IF(K246="","",INDEX(Интервалы!$I$2:$I$513,MATCH(K246,Интервалы!$G$2:$G$513,0)))</f>
        <v/>
      </c>
      <c r="I246" s="9">
        <f>IF(K246="","",INDEX(Интервалы!$F$2:$F$513,MATCH(K246,Интервалы!$G$2:$G$513,0)))</f>
        <v/>
      </c>
      <c r="J246" s="9">
        <f>IF(K246="","",INDEX(Интервалы!$H$2:$H$513,MATCH(K246,Интервалы!$G$2:$G$513,0)))</f>
        <v/>
      </c>
      <c r="K246">
        <f>IFERROR(SMALL(Интервалы!$G$2:$G$513,240),"")</f>
        <v/>
      </c>
      <c r="L246">
        <f>IF(K246="","",INDEX(Интервалы!$B$2:$B$513,MATCH(K246,Интервалы!$G$2:$G$513,0)))</f>
        <v/>
      </c>
    </row>
    <row r="247">
      <c r="A247" s="5">
        <f>IF(K247="","",241)</f>
        <v/>
      </c>
      <c r="B247" s="5">
        <f>IF(K247="","",INDEX(Интервалы!$A$2:$A$513,MATCH(K247,Интервалы!$G$2:$G$513,0)))</f>
        <v/>
      </c>
      <c r="C247" s="17">
        <f>IF(K247="","",INDEX(Интервалы!$C$2:$C$513,MATCH(K247,Интервалы!$G$2:$G$513,0)))</f>
        <v/>
      </c>
      <c r="D247" s="17">
        <f>IF(K247="","",INDEX(Интервалы!$D$2:$D$513,MATCH(K247,Интервалы!$G$2:$G$513,0)))</f>
        <v/>
      </c>
      <c r="E247" s="5">
        <f>IF(K247="","",D247-C247+1)</f>
        <v/>
      </c>
      <c r="F247" s="9">
        <f>IF(K247="","",INDEX(Интервалы!$E$2:$E$513,MATCH(K247,Интервалы!$G$2:$G$513,0)))</f>
        <v/>
      </c>
      <c r="G247" s="5">
        <f>IF(K247="","",IF(H247=1,INDEX('По дням'!$B$2:$B$4000,MATCH(C247,'По дням'!$A$2:$A$4000,0)),"по периодам ставки"))</f>
        <v/>
      </c>
      <c r="H247" s="5">
        <f>IF(K247="","",INDEX(Интервалы!$I$2:$I$513,MATCH(K247,Интервалы!$G$2:$G$513,0)))</f>
        <v/>
      </c>
      <c r="I247" s="9">
        <f>IF(K247="","",INDEX(Интервалы!$F$2:$F$513,MATCH(K247,Интервалы!$G$2:$G$513,0)))</f>
        <v/>
      </c>
      <c r="J247" s="9">
        <f>IF(K247="","",INDEX(Интервалы!$H$2:$H$513,MATCH(K247,Интервалы!$G$2:$G$513,0)))</f>
        <v/>
      </c>
      <c r="K247">
        <f>IFERROR(SMALL(Интервалы!$G$2:$G$513,241),"")</f>
        <v/>
      </c>
      <c r="L247">
        <f>IF(K247="","",INDEX(Интервалы!$B$2:$B$513,MATCH(K247,Интервалы!$G$2:$G$513,0)))</f>
        <v/>
      </c>
    </row>
    <row r="248">
      <c r="A248" s="5">
        <f>IF(K248="","",242)</f>
        <v/>
      </c>
      <c r="B248" s="5">
        <f>IF(K248="","",INDEX(Интервалы!$A$2:$A$513,MATCH(K248,Интервалы!$G$2:$G$513,0)))</f>
        <v/>
      </c>
      <c r="C248" s="17">
        <f>IF(K248="","",INDEX(Интервалы!$C$2:$C$513,MATCH(K248,Интервалы!$G$2:$G$513,0)))</f>
        <v/>
      </c>
      <c r="D248" s="17">
        <f>IF(K248="","",INDEX(Интервалы!$D$2:$D$513,MATCH(K248,Интервалы!$G$2:$G$513,0)))</f>
        <v/>
      </c>
      <c r="E248" s="5">
        <f>IF(K248="","",D248-C248+1)</f>
        <v/>
      </c>
      <c r="F248" s="9">
        <f>IF(K248="","",INDEX(Интервалы!$E$2:$E$513,MATCH(K248,Интервалы!$G$2:$G$513,0)))</f>
        <v/>
      </c>
      <c r="G248" s="5">
        <f>IF(K248="","",IF(H248=1,INDEX('По дням'!$B$2:$B$4000,MATCH(C248,'По дням'!$A$2:$A$4000,0)),"по периодам ставки"))</f>
        <v/>
      </c>
      <c r="H248" s="5">
        <f>IF(K248="","",INDEX(Интервалы!$I$2:$I$513,MATCH(K248,Интервалы!$G$2:$G$513,0)))</f>
        <v/>
      </c>
      <c r="I248" s="9">
        <f>IF(K248="","",INDEX(Интервалы!$F$2:$F$513,MATCH(K248,Интервалы!$G$2:$G$513,0)))</f>
        <v/>
      </c>
      <c r="J248" s="9">
        <f>IF(K248="","",INDEX(Интервалы!$H$2:$H$513,MATCH(K248,Интервалы!$G$2:$G$513,0)))</f>
        <v/>
      </c>
      <c r="K248">
        <f>IFERROR(SMALL(Интервалы!$G$2:$G$513,242),"")</f>
        <v/>
      </c>
      <c r="L248">
        <f>IF(K248="","",INDEX(Интервалы!$B$2:$B$513,MATCH(K248,Интервалы!$G$2:$G$513,0)))</f>
        <v/>
      </c>
    </row>
    <row r="249">
      <c r="A249" s="5">
        <f>IF(K249="","",243)</f>
        <v/>
      </c>
      <c r="B249" s="5">
        <f>IF(K249="","",INDEX(Интервалы!$A$2:$A$513,MATCH(K249,Интервалы!$G$2:$G$513,0)))</f>
        <v/>
      </c>
      <c r="C249" s="17">
        <f>IF(K249="","",INDEX(Интервалы!$C$2:$C$513,MATCH(K249,Интервалы!$G$2:$G$513,0)))</f>
        <v/>
      </c>
      <c r="D249" s="17">
        <f>IF(K249="","",INDEX(Интервалы!$D$2:$D$513,MATCH(K249,Интервалы!$G$2:$G$513,0)))</f>
        <v/>
      </c>
      <c r="E249" s="5">
        <f>IF(K249="","",D249-C249+1)</f>
        <v/>
      </c>
      <c r="F249" s="9">
        <f>IF(K249="","",INDEX(Интервалы!$E$2:$E$513,MATCH(K249,Интервалы!$G$2:$G$513,0)))</f>
        <v/>
      </c>
      <c r="G249" s="5">
        <f>IF(K249="","",IF(H249=1,INDEX('По дням'!$B$2:$B$4000,MATCH(C249,'По дням'!$A$2:$A$4000,0)),"по периодам ставки"))</f>
        <v/>
      </c>
      <c r="H249" s="5">
        <f>IF(K249="","",INDEX(Интервалы!$I$2:$I$513,MATCH(K249,Интервалы!$G$2:$G$513,0)))</f>
        <v/>
      </c>
      <c r="I249" s="9">
        <f>IF(K249="","",INDEX(Интервалы!$F$2:$F$513,MATCH(K249,Интервалы!$G$2:$G$513,0)))</f>
        <v/>
      </c>
      <c r="J249" s="9">
        <f>IF(K249="","",INDEX(Интервалы!$H$2:$H$513,MATCH(K249,Интервалы!$G$2:$G$513,0)))</f>
        <v/>
      </c>
      <c r="K249">
        <f>IFERROR(SMALL(Интервалы!$G$2:$G$513,243),"")</f>
        <v/>
      </c>
      <c r="L249">
        <f>IF(K249="","",INDEX(Интервалы!$B$2:$B$513,MATCH(K249,Интервалы!$G$2:$G$513,0)))</f>
        <v/>
      </c>
    </row>
    <row r="250">
      <c r="A250" s="5">
        <f>IF(K250="","",244)</f>
        <v/>
      </c>
      <c r="B250" s="5">
        <f>IF(K250="","",INDEX(Интервалы!$A$2:$A$513,MATCH(K250,Интервалы!$G$2:$G$513,0)))</f>
        <v/>
      </c>
      <c r="C250" s="17">
        <f>IF(K250="","",INDEX(Интервалы!$C$2:$C$513,MATCH(K250,Интервалы!$G$2:$G$513,0)))</f>
        <v/>
      </c>
      <c r="D250" s="17">
        <f>IF(K250="","",INDEX(Интервалы!$D$2:$D$513,MATCH(K250,Интервалы!$G$2:$G$513,0)))</f>
        <v/>
      </c>
      <c r="E250" s="5">
        <f>IF(K250="","",D250-C250+1)</f>
        <v/>
      </c>
      <c r="F250" s="9">
        <f>IF(K250="","",INDEX(Интервалы!$E$2:$E$513,MATCH(K250,Интервалы!$G$2:$G$513,0)))</f>
        <v/>
      </c>
      <c r="G250" s="5">
        <f>IF(K250="","",IF(H250=1,INDEX('По дням'!$B$2:$B$4000,MATCH(C250,'По дням'!$A$2:$A$4000,0)),"по периодам ставки"))</f>
        <v/>
      </c>
      <c r="H250" s="5">
        <f>IF(K250="","",INDEX(Интервалы!$I$2:$I$513,MATCH(K250,Интервалы!$G$2:$G$513,0)))</f>
        <v/>
      </c>
      <c r="I250" s="9">
        <f>IF(K250="","",INDEX(Интервалы!$F$2:$F$513,MATCH(K250,Интервалы!$G$2:$G$513,0)))</f>
        <v/>
      </c>
      <c r="J250" s="9">
        <f>IF(K250="","",INDEX(Интервалы!$H$2:$H$513,MATCH(K250,Интервалы!$G$2:$G$513,0)))</f>
        <v/>
      </c>
      <c r="K250">
        <f>IFERROR(SMALL(Интервалы!$G$2:$G$513,244),"")</f>
        <v/>
      </c>
      <c r="L250">
        <f>IF(K250="","",INDEX(Интервалы!$B$2:$B$513,MATCH(K250,Интервалы!$G$2:$G$513,0)))</f>
        <v/>
      </c>
    </row>
    <row r="251">
      <c r="A251" s="5">
        <f>IF(K251="","",245)</f>
        <v/>
      </c>
      <c r="B251" s="5">
        <f>IF(K251="","",INDEX(Интервалы!$A$2:$A$513,MATCH(K251,Интервалы!$G$2:$G$513,0)))</f>
        <v/>
      </c>
      <c r="C251" s="17">
        <f>IF(K251="","",INDEX(Интервалы!$C$2:$C$513,MATCH(K251,Интервалы!$G$2:$G$513,0)))</f>
        <v/>
      </c>
      <c r="D251" s="17">
        <f>IF(K251="","",INDEX(Интервалы!$D$2:$D$513,MATCH(K251,Интервалы!$G$2:$G$513,0)))</f>
        <v/>
      </c>
      <c r="E251" s="5">
        <f>IF(K251="","",D251-C251+1)</f>
        <v/>
      </c>
      <c r="F251" s="9">
        <f>IF(K251="","",INDEX(Интервалы!$E$2:$E$513,MATCH(K251,Интервалы!$G$2:$G$513,0)))</f>
        <v/>
      </c>
      <c r="G251" s="5">
        <f>IF(K251="","",IF(H251=1,INDEX('По дням'!$B$2:$B$4000,MATCH(C251,'По дням'!$A$2:$A$4000,0)),"по периодам ставки"))</f>
        <v/>
      </c>
      <c r="H251" s="5">
        <f>IF(K251="","",INDEX(Интервалы!$I$2:$I$513,MATCH(K251,Интервалы!$G$2:$G$513,0)))</f>
        <v/>
      </c>
      <c r="I251" s="9">
        <f>IF(K251="","",INDEX(Интервалы!$F$2:$F$513,MATCH(K251,Интервалы!$G$2:$G$513,0)))</f>
        <v/>
      </c>
      <c r="J251" s="9">
        <f>IF(K251="","",INDEX(Интервалы!$H$2:$H$513,MATCH(K251,Интервалы!$G$2:$G$513,0)))</f>
        <v/>
      </c>
      <c r="K251">
        <f>IFERROR(SMALL(Интервалы!$G$2:$G$513,245),"")</f>
        <v/>
      </c>
      <c r="L251">
        <f>IF(K251="","",INDEX(Интервалы!$B$2:$B$513,MATCH(K251,Интервалы!$G$2:$G$513,0)))</f>
        <v/>
      </c>
    </row>
    <row r="252">
      <c r="A252" s="5">
        <f>IF(K252="","",246)</f>
        <v/>
      </c>
      <c r="B252" s="5">
        <f>IF(K252="","",INDEX(Интервалы!$A$2:$A$513,MATCH(K252,Интервалы!$G$2:$G$513,0)))</f>
        <v/>
      </c>
      <c r="C252" s="17">
        <f>IF(K252="","",INDEX(Интервалы!$C$2:$C$513,MATCH(K252,Интервалы!$G$2:$G$513,0)))</f>
        <v/>
      </c>
      <c r="D252" s="17">
        <f>IF(K252="","",INDEX(Интервалы!$D$2:$D$513,MATCH(K252,Интервалы!$G$2:$G$513,0)))</f>
        <v/>
      </c>
      <c r="E252" s="5">
        <f>IF(K252="","",D252-C252+1)</f>
        <v/>
      </c>
      <c r="F252" s="9">
        <f>IF(K252="","",INDEX(Интервалы!$E$2:$E$513,MATCH(K252,Интервалы!$G$2:$G$513,0)))</f>
        <v/>
      </c>
      <c r="G252" s="5">
        <f>IF(K252="","",IF(H252=1,INDEX('По дням'!$B$2:$B$4000,MATCH(C252,'По дням'!$A$2:$A$4000,0)),"по периодам ставки"))</f>
        <v/>
      </c>
      <c r="H252" s="5">
        <f>IF(K252="","",INDEX(Интервалы!$I$2:$I$513,MATCH(K252,Интервалы!$G$2:$G$513,0)))</f>
        <v/>
      </c>
      <c r="I252" s="9">
        <f>IF(K252="","",INDEX(Интервалы!$F$2:$F$513,MATCH(K252,Интервалы!$G$2:$G$513,0)))</f>
        <v/>
      </c>
      <c r="J252" s="9">
        <f>IF(K252="","",INDEX(Интервалы!$H$2:$H$513,MATCH(K252,Интервалы!$G$2:$G$513,0)))</f>
        <v/>
      </c>
      <c r="K252">
        <f>IFERROR(SMALL(Интервалы!$G$2:$G$513,246),"")</f>
        <v/>
      </c>
      <c r="L252">
        <f>IF(K252="","",INDEX(Интервалы!$B$2:$B$513,MATCH(K252,Интервалы!$G$2:$G$513,0)))</f>
        <v/>
      </c>
    </row>
    <row r="253">
      <c r="A253" s="5">
        <f>IF(K253="","",247)</f>
        <v/>
      </c>
      <c r="B253" s="5">
        <f>IF(K253="","",INDEX(Интервалы!$A$2:$A$513,MATCH(K253,Интервалы!$G$2:$G$513,0)))</f>
        <v/>
      </c>
      <c r="C253" s="17">
        <f>IF(K253="","",INDEX(Интервалы!$C$2:$C$513,MATCH(K253,Интервалы!$G$2:$G$513,0)))</f>
        <v/>
      </c>
      <c r="D253" s="17">
        <f>IF(K253="","",INDEX(Интервалы!$D$2:$D$513,MATCH(K253,Интервалы!$G$2:$G$513,0)))</f>
        <v/>
      </c>
      <c r="E253" s="5">
        <f>IF(K253="","",D253-C253+1)</f>
        <v/>
      </c>
      <c r="F253" s="9">
        <f>IF(K253="","",INDEX(Интервалы!$E$2:$E$513,MATCH(K253,Интервалы!$G$2:$G$513,0)))</f>
        <v/>
      </c>
      <c r="G253" s="5">
        <f>IF(K253="","",IF(H253=1,INDEX('По дням'!$B$2:$B$4000,MATCH(C253,'По дням'!$A$2:$A$4000,0)),"по периодам ставки"))</f>
        <v/>
      </c>
      <c r="H253" s="5">
        <f>IF(K253="","",INDEX(Интервалы!$I$2:$I$513,MATCH(K253,Интервалы!$G$2:$G$513,0)))</f>
        <v/>
      </c>
      <c r="I253" s="9">
        <f>IF(K253="","",INDEX(Интервалы!$F$2:$F$513,MATCH(K253,Интервалы!$G$2:$G$513,0)))</f>
        <v/>
      </c>
      <c r="J253" s="9">
        <f>IF(K253="","",INDEX(Интервалы!$H$2:$H$513,MATCH(K253,Интервалы!$G$2:$G$513,0)))</f>
        <v/>
      </c>
      <c r="K253">
        <f>IFERROR(SMALL(Интервалы!$G$2:$G$513,247),"")</f>
        <v/>
      </c>
      <c r="L253">
        <f>IF(K253="","",INDEX(Интервалы!$B$2:$B$513,MATCH(K253,Интервалы!$G$2:$G$513,0)))</f>
        <v/>
      </c>
    </row>
    <row r="254">
      <c r="A254" s="5">
        <f>IF(K254="","",248)</f>
        <v/>
      </c>
      <c r="B254" s="5">
        <f>IF(K254="","",INDEX(Интервалы!$A$2:$A$513,MATCH(K254,Интервалы!$G$2:$G$513,0)))</f>
        <v/>
      </c>
      <c r="C254" s="17">
        <f>IF(K254="","",INDEX(Интервалы!$C$2:$C$513,MATCH(K254,Интервалы!$G$2:$G$513,0)))</f>
        <v/>
      </c>
      <c r="D254" s="17">
        <f>IF(K254="","",INDEX(Интервалы!$D$2:$D$513,MATCH(K254,Интервалы!$G$2:$G$513,0)))</f>
        <v/>
      </c>
      <c r="E254" s="5">
        <f>IF(K254="","",D254-C254+1)</f>
        <v/>
      </c>
      <c r="F254" s="9">
        <f>IF(K254="","",INDEX(Интервалы!$E$2:$E$513,MATCH(K254,Интервалы!$G$2:$G$513,0)))</f>
        <v/>
      </c>
      <c r="G254" s="5">
        <f>IF(K254="","",IF(H254=1,INDEX('По дням'!$B$2:$B$4000,MATCH(C254,'По дням'!$A$2:$A$4000,0)),"по периодам ставки"))</f>
        <v/>
      </c>
      <c r="H254" s="5">
        <f>IF(K254="","",INDEX(Интервалы!$I$2:$I$513,MATCH(K254,Интервалы!$G$2:$G$513,0)))</f>
        <v/>
      </c>
      <c r="I254" s="9">
        <f>IF(K254="","",INDEX(Интервалы!$F$2:$F$513,MATCH(K254,Интервалы!$G$2:$G$513,0)))</f>
        <v/>
      </c>
      <c r="J254" s="9">
        <f>IF(K254="","",INDEX(Интервалы!$H$2:$H$513,MATCH(K254,Интервалы!$G$2:$G$513,0)))</f>
        <v/>
      </c>
      <c r="K254">
        <f>IFERROR(SMALL(Интервалы!$G$2:$G$513,248),"")</f>
        <v/>
      </c>
      <c r="L254">
        <f>IF(K254="","",INDEX(Интервалы!$B$2:$B$513,MATCH(K254,Интервалы!$G$2:$G$513,0)))</f>
        <v/>
      </c>
    </row>
    <row r="255">
      <c r="A255" s="5">
        <f>IF(K255="","",249)</f>
        <v/>
      </c>
      <c r="B255" s="5">
        <f>IF(K255="","",INDEX(Интервалы!$A$2:$A$513,MATCH(K255,Интервалы!$G$2:$G$513,0)))</f>
        <v/>
      </c>
      <c r="C255" s="17">
        <f>IF(K255="","",INDEX(Интервалы!$C$2:$C$513,MATCH(K255,Интервалы!$G$2:$G$513,0)))</f>
        <v/>
      </c>
      <c r="D255" s="17">
        <f>IF(K255="","",INDEX(Интервалы!$D$2:$D$513,MATCH(K255,Интервалы!$G$2:$G$513,0)))</f>
        <v/>
      </c>
      <c r="E255" s="5">
        <f>IF(K255="","",D255-C255+1)</f>
        <v/>
      </c>
      <c r="F255" s="9">
        <f>IF(K255="","",INDEX(Интервалы!$E$2:$E$513,MATCH(K255,Интервалы!$G$2:$G$513,0)))</f>
        <v/>
      </c>
      <c r="G255" s="5">
        <f>IF(K255="","",IF(H255=1,INDEX('По дням'!$B$2:$B$4000,MATCH(C255,'По дням'!$A$2:$A$4000,0)),"по периодам ставки"))</f>
        <v/>
      </c>
      <c r="H255" s="5">
        <f>IF(K255="","",INDEX(Интервалы!$I$2:$I$513,MATCH(K255,Интервалы!$G$2:$G$513,0)))</f>
        <v/>
      </c>
      <c r="I255" s="9">
        <f>IF(K255="","",INDEX(Интервалы!$F$2:$F$513,MATCH(K255,Интервалы!$G$2:$G$513,0)))</f>
        <v/>
      </c>
      <c r="J255" s="9">
        <f>IF(K255="","",INDEX(Интервалы!$H$2:$H$513,MATCH(K255,Интервалы!$G$2:$G$513,0)))</f>
        <v/>
      </c>
      <c r="K255">
        <f>IFERROR(SMALL(Интервалы!$G$2:$G$513,249),"")</f>
        <v/>
      </c>
      <c r="L255">
        <f>IF(K255="","",INDEX(Интервалы!$B$2:$B$513,MATCH(K255,Интервалы!$G$2:$G$513,0)))</f>
        <v/>
      </c>
    </row>
    <row r="256">
      <c r="A256" s="5">
        <f>IF(K256="","",250)</f>
        <v/>
      </c>
      <c r="B256" s="5">
        <f>IF(K256="","",INDEX(Интервалы!$A$2:$A$513,MATCH(K256,Интервалы!$G$2:$G$513,0)))</f>
        <v/>
      </c>
      <c r="C256" s="17">
        <f>IF(K256="","",INDEX(Интервалы!$C$2:$C$513,MATCH(K256,Интервалы!$G$2:$G$513,0)))</f>
        <v/>
      </c>
      <c r="D256" s="17">
        <f>IF(K256="","",INDEX(Интервалы!$D$2:$D$513,MATCH(K256,Интервалы!$G$2:$G$513,0)))</f>
        <v/>
      </c>
      <c r="E256" s="5">
        <f>IF(K256="","",D256-C256+1)</f>
        <v/>
      </c>
      <c r="F256" s="9">
        <f>IF(K256="","",INDEX(Интервалы!$E$2:$E$513,MATCH(K256,Интервалы!$G$2:$G$513,0)))</f>
        <v/>
      </c>
      <c r="G256" s="5">
        <f>IF(K256="","",IF(H256=1,INDEX('По дням'!$B$2:$B$4000,MATCH(C256,'По дням'!$A$2:$A$4000,0)),"по периодам ставки"))</f>
        <v/>
      </c>
      <c r="H256" s="5">
        <f>IF(K256="","",INDEX(Интервалы!$I$2:$I$513,MATCH(K256,Интервалы!$G$2:$G$513,0)))</f>
        <v/>
      </c>
      <c r="I256" s="9">
        <f>IF(K256="","",INDEX(Интервалы!$F$2:$F$513,MATCH(K256,Интервалы!$G$2:$G$513,0)))</f>
        <v/>
      </c>
      <c r="J256" s="9">
        <f>IF(K256="","",INDEX(Интервалы!$H$2:$H$513,MATCH(K256,Интервалы!$G$2:$G$513,0)))</f>
        <v/>
      </c>
      <c r="K256">
        <f>IFERROR(SMALL(Интервалы!$G$2:$G$513,250),"")</f>
        <v/>
      </c>
      <c r="L256">
        <f>IF(K256="","",INDEX(Интервалы!$B$2:$B$513,MATCH(K256,Интервалы!$G$2:$G$513,0)))</f>
        <v/>
      </c>
    </row>
    <row r="257">
      <c r="A257" s="5">
        <f>IF(K257="","",251)</f>
        <v/>
      </c>
      <c r="B257" s="5">
        <f>IF(K257="","",INDEX(Интервалы!$A$2:$A$513,MATCH(K257,Интервалы!$G$2:$G$513,0)))</f>
        <v/>
      </c>
      <c r="C257" s="17">
        <f>IF(K257="","",INDEX(Интервалы!$C$2:$C$513,MATCH(K257,Интервалы!$G$2:$G$513,0)))</f>
        <v/>
      </c>
      <c r="D257" s="17">
        <f>IF(K257="","",INDEX(Интервалы!$D$2:$D$513,MATCH(K257,Интервалы!$G$2:$G$513,0)))</f>
        <v/>
      </c>
      <c r="E257" s="5">
        <f>IF(K257="","",D257-C257+1)</f>
        <v/>
      </c>
      <c r="F257" s="9">
        <f>IF(K257="","",INDEX(Интервалы!$E$2:$E$513,MATCH(K257,Интервалы!$G$2:$G$513,0)))</f>
        <v/>
      </c>
      <c r="G257" s="5">
        <f>IF(K257="","",IF(H257=1,INDEX('По дням'!$B$2:$B$4000,MATCH(C257,'По дням'!$A$2:$A$4000,0)),"по периодам ставки"))</f>
        <v/>
      </c>
      <c r="H257" s="5">
        <f>IF(K257="","",INDEX(Интервалы!$I$2:$I$513,MATCH(K257,Интервалы!$G$2:$G$513,0)))</f>
        <v/>
      </c>
      <c r="I257" s="9">
        <f>IF(K257="","",INDEX(Интервалы!$F$2:$F$513,MATCH(K257,Интервалы!$G$2:$G$513,0)))</f>
        <v/>
      </c>
      <c r="J257" s="9">
        <f>IF(K257="","",INDEX(Интервалы!$H$2:$H$513,MATCH(K257,Интервалы!$G$2:$G$513,0)))</f>
        <v/>
      </c>
      <c r="K257">
        <f>IFERROR(SMALL(Интервалы!$G$2:$G$513,251),"")</f>
        <v/>
      </c>
      <c r="L257">
        <f>IF(K257="","",INDEX(Интервалы!$B$2:$B$513,MATCH(K257,Интервалы!$G$2:$G$513,0)))</f>
        <v/>
      </c>
    </row>
    <row r="258">
      <c r="A258" s="5">
        <f>IF(K258="","",252)</f>
        <v/>
      </c>
      <c r="B258" s="5">
        <f>IF(K258="","",INDEX(Интервалы!$A$2:$A$513,MATCH(K258,Интервалы!$G$2:$G$513,0)))</f>
        <v/>
      </c>
      <c r="C258" s="17">
        <f>IF(K258="","",INDEX(Интервалы!$C$2:$C$513,MATCH(K258,Интервалы!$G$2:$G$513,0)))</f>
        <v/>
      </c>
      <c r="D258" s="17">
        <f>IF(K258="","",INDEX(Интервалы!$D$2:$D$513,MATCH(K258,Интервалы!$G$2:$G$513,0)))</f>
        <v/>
      </c>
      <c r="E258" s="5">
        <f>IF(K258="","",D258-C258+1)</f>
        <v/>
      </c>
      <c r="F258" s="9">
        <f>IF(K258="","",INDEX(Интервалы!$E$2:$E$513,MATCH(K258,Интервалы!$G$2:$G$513,0)))</f>
        <v/>
      </c>
      <c r="G258" s="5">
        <f>IF(K258="","",IF(H258=1,INDEX('По дням'!$B$2:$B$4000,MATCH(C258,'По дням'!$A$2:$A$4000,0)),"по периодам ставки"))</f>
        <v/>
      </c>
      <c r="H258" s="5">
        <f>IF(K258="","",INDEX(Интервалы!$I$2:$I$513,MATCH(K258,Интервалы!$G$2:$G$513,0)))</f>
        <v/>
      </c>
      <c r="I258" s="9">
        <f>IF(K258="","",INDEX(Интервалы!$F$2:$F$513,MATCH(K258,Интервалы!$G$2:$G$513,0)))</f>
        <v/>
      </c>
      <c r="J258" s="9">
        <f>IF(K258="","",INDEX(Интервалы!$H$2:$H$513,MATCH(K258,Интервалы!$G$2:$G$513,0)))</f>
        <v/>
      </c>
      <c r="K258">
        <f>IFERROR(SMALL(Интервалы!$G$2:$G$513,252),"")</f>
        <v/>
      </c>
      <c r="L258">
        <f>IF(K258="","",INDEX(Интервалы!$B$2:$B$513,MATCH(K258,Интервалы!$G$2:$G$513,0)))</f>
        <v/>
      </c>
    </row>
    <row r="259">
      <c r="A259" s="5">
        <f>IF(K259="","",253)</f>
        <v/>
      </c>
      <c r="B259" s="5">
        <f>IF(K259="","",INDEX(Интервалы!$A$2:$A$513,MATCH(K259,Интервалы!$G$2:$G$513,0)))</f>
        <v/>
      </c>
      <c r="C259" s="17">
        <f>IF(K259="","",INDEX(Интервалы!$C$2:$C$513,MATCH(K259,Интервалы!$G$2:$G$513,0)))</f>
        <v/>
      </c>
      <c r="D259" s="17">
        <f>IF(K259="","",INDEX(Интервалы!$D$2:$D$513,MATCH(K259,Интервалы!$G$2:$G$513,0)))</f>
        <v/>
      </c>
      <c r="E259" s="5">
        <f>IF(K259="","",D259-C259+1)</f>
        <v/>
      </c>
      <c r="F259" s="9">
        <f>IF(K259="","",INDEX(Интервалы!$E$2:$E$513,MATCH(K259,Интервалы!$G$2:$G$513,0)))</f>
        <v/>
      </c>
      <c r="G259" s="5">
        <f>IF(K259="","",IF(H259=1,INDEX('По дням'!$B$2:$B$4000,MATCH(C259,'По дням'!$A$2:$A$4000,0)),"по периодам ставки"))</f>
        <v/>
      </c>
      <c r="H259" s="5">
        <f>IF(K259="","",INDEX(Интервалы!$I$2:$I$513,MATCH(K259,Интервалы!$G$2:$G$513,0)))</f>
        <v/>
      </c>
      <c r="I259" s="9">
        <f>IF(K259="","",INDEX(Интервалы!$F$2:$F$513,MATCH(K259,Интервалы!$G$2:$G$513,0)))</f>
        <v/>
      </c>
      <c r="J259" s="9">
        <f>IF(K259="","",INDEX(Интервалы!$H$2:$H$513,MATCH(K259,Интервалы!$G$2:$G$513,0)))</f>
        <v/>
      </c>
      <c r="K259">
        <f>IFERROR(SMALL(Интервалы!$G$2:$G$513,253),"")</f>
        <v/>
      </c>
      <c r="L259">
        <f>IF(K259="","",INDEX(Интервалы!$B$2:$B$513,MATCH(K259,Интервалы!$G$2:$G$513,0)))</f>
        <v/>
      </c>
    </row>
    <row r="260">
      <c r="A260" s="5">
        <f>IF(K260="","",254)</f>
        <v/>
      </c>
      <c r="B260" s="5">
        <f>IF(K260="","",INDEX(Интервалы!$A$2:$A$513,MATCH(K260,Интервалы!$G$2:$G$513,0)))</f>
        <v/>
      </c>
      <c r="C260" s="17">
        <f>IF(K260="","",INDEX(Интервалы!$C$2:$C$513,MATCH(K260,Интервалы!$G$2:$G$513,0)))</f>
        <v/>
      </c>
      <c r="D260" s="17">
        <f>IF(K260="","",INDEX(Интервалы!$D$2:$D$513,MATCH(K260,Интервалы!$G$2:$G$513,0)))</f>
        <v/>
      </c>
      <c r="E260" s="5">
        <f>IF(K260="","",D260-C260+1)</f>
        <v/>
      </c>
      <c r="F260" s="9">
        <f>IF(K260="","",INDEX(Интервалы!$E$2:$E$513,MATCH(K260,Интервалы!$G$2:$G$513,0)))</f>
        <v/>
      </c>
      <c r="G260" s="5">
        <f>IF(K260="","",IF(H260=1,INDEX('По дням'!$B$2:$B$4000,MATCH(C260,'По дням'!$A$2:$A$4000,0)),"по периодам ставки"))</f>
        <v/>
      </c>
      <c r="H260" s="5">
        <f>IF(K260="","",INDEX(Интервалы!$I$2:$I$513,MATCH(K260,Интервалы!$G$2:$G$513,0)))</f>
        <v/>
      </c>
      <c r="I260" s="9">
        <f>IF(K260="","",INDEX(Интервалы!$F$2:$F$513,MATCH(K260,Интервалы!$G$2:$G$513,0)))</f>
        <v/>
      </c>
      <c r="J260" s="9">
        <f>IF(K260="","",INDEX(Интервалы!$H$2:$H$513,MATCH(K260,Интервалы!$G$2:$G$513,0)))</f>
        <v/>
      </c>
      <c r="K260">
        <f>IFERROR(SMALL(Интервалы!$G$2:$G$513,254),"")</f>
        <v/>
      </c>
      <c r="L260">
        <f>IF(K260="","",INDEX(Интервалы!$B$2:$B$513,MATCH(K260,Интервалы!$G$2:$G$513,0)))</f>
        <v/>
      </c>
    </row>
    <row r="261">
      <c r="A261" s="5">
        <f>IF(K261="","",255)</f>
        <v/>
      </c>
      <c r="B261" s="5">
        <f>IF(K261="","",INDEX(Интервалы!$A$2:$A$513,MATCH(K261,Интервалы!$G$2:$G$513,0)))</f>
        <v/>
      </c>
      <c r="C261" s="17">
        <f>IF(K261="","",INDEX(Интервалы!$C$2:$C$513,MATCH(K261,Интервалы!$G$2:$G$513,0)))</f>
        <v/>
      </c>
      <c r="D261" s="17">
        <f>IF(K261="","",INDEX(Интервалы!$D$2:$D$513,MATCH(K261,Интервалы!$G$2:$G$513,0)))</f>
        <v/>
      </c>
      <c r="E261" s="5">
        <f>IF(K261="","",D261-C261+1)</f>
        <v/>
      </c>
      <c r="F261" s="9">
        <f>IF(K261="","",INDEX(Интервалы!$E$2:$E$513,MATCH(K261,Интервалы!$G$2:$G$513,0)))</f>
        <v/>
      </c>
      <c r="G261" s="5">
        <f>IF(K261="","",IF(H261=1,INDEX('По дням'!$B$2:$B$4000,MATCH(C261,'По дням'!$A$2:$A$4000,0)),"по периодам ставки"))</f>
        <v/>
      </c>
      <c r="H261" s="5">
        <f>IF(K261="","",INDEX(Интервалы!$I$2:$I$513,MATCH(K261,Интервалы!$G$2:$G$513,0)))</f>
        <v/>
      </c>
      <c r="I261" s="9">
        <f>IF(K261="","",INDEX(Интервалы!$F$2:$F$513,MATCH(K261,Интервалы!$G$2:$G$513,0)))</f>
        <v/>
      </c>
      <c r="J261" s="9">
        <f>IF(K261="","",INDEX(Интервалы!$H$2:$H$513,MATCH(K261,Интервалы!$G$2:$G$513,0)))</f>
        <v/>
      </c>
      <c r="K261">
        <f>IFERROR(SMALL(Интервалы!$G$2:$G$513,255),"")</f>
        <v/>
      </c>
      <c r="L261">
        <f>IF(K261="","",INDEX(Интервалы!$B$2:$B$513,MATCH(K261,Интервалы!$G$2:$G$513,0)))</f>
        <v/>
      </c>
    </row>
    <row r="262">
      <c r="A262" s="5">
        <f>IF(K262="","",256)</f>
        <v/>
      </c>
      <c r="B262" s="5">
        <f>IF(K262="","",INDEX(Интервалы!$A$2:$A$513,MATCH(K262,Интервалы!$G$2:$G$513,0)))</f>
        <v/>
      </c>
      <c r="C262" s="17">
        <f>IF(K262="","",INDEX(Интервалы!$C$2:$C$513,MATCH(K262,Интервалы!$G$2:$G$513,0)))</f>
        <v/>
      </c>
      <c r="D262" s="17">
        <f>IF(K262="","",INDEX(Интервалы!$D$2:$D$513,MATCH(K262,Интервалы!$G$2:$G$513,0)))</f>
        <v/>
      </c>
      <c r="E262" s="5">
        <f>IF(K262="","",D262-C262+1)</f>
        <v/>
      </c>
      <c r="F262" s="9">
        <f>IF(K262="","",INDEX(Интервалы!$E$2:$E$513,MATCH(K262,Интервалы!$G$2:$G$513,0)))</f>
        <v/>
      </c>
      <c r="G262" s="5">
        <f>IF(K262="","",IF(H262=1,INDEX('По дням'!$B$2:$B$4000,MATCH(C262,'По дням'!$A$2:$A$4000,0)),"по периодам ставки"))</f>
        <v/>
      </c>
      <c r="H262" s="5">
        <f>IF(K262="","",INDEX(Интервалы!$I$2:$I$513,MATCH(K262,Интервалы!$G$2:$G$513,0)))</f>
        <v/>
      </c>
      <c r="I262" s="9">
        <f>IF(K262="","",INDEX(Интервалы!$F$2:$F$513,MATCH(K262,Интервалы!$G$2:$G$513,0)))</f>
        <v/>
      </c>
      <c r="J262" s="9">
        <f>IF(K262="","",INDEX(Интервалы!$H$2:$H$513,MATCH(K262,Интервалы!$G$2:$G$513,0)))</f>
        <v/>
      </c>
      <c r="K262">
        <f>IFERROR(SMALL(Интервалы!$G$2:$G$513,256),"")</f>
        <v/>
      </c>
      <c r="L262">
        <f>IF(K262="","",INDEX(Интервалы!$B$2:$B$513,MATCH(K262,Интервалы!$G$2:$G$513,0)))</f>
        <v/>
      </c>
    </row>
    <row r="263">
      <c r="A263" s="5">
        <f>IF(K263="","",257)</f>
        <v/>
      </c>
      <c r="B263" s="5">
        <f>IF(K263="","",INDEX(Интервалы!$A$2:$A$513,MATCH(K263,Интервалы!$G$2:$G$513,0)))</f>
        <v/>
      </c>
      <c r="C263" s="17">
        <f>IF(K263="","",INDEX(Интервалы!$C$2:$C$513,MATCH(K263,Интервалы!$G$2:$G$513,0)))</f>
        <v/>
      </c>
      <c r="D263" s="17">
        <f>IF(K263="","",INDEX(Интервалы!$D$2:$D$513,MATCH(K263,Интервалы!$G$2:$G$513,0)))</f>
        <v/>
      </c>
      <c r="E263" s="5">
        <f>IF(K263="","",D263-C263+1)</f>
        <v/>
      </c>
      <c r="F263" s="9">
        <f>IF(K263="","",INDEX(Интервалы!$E$2:$E$513,MATCH(K263,Интервалы!$G$2:$G$513,0)))</f>
        <v/>
      </c>
      <c r="G263" s="5">
        <f>IF(K263="","",IF(H263=1,INDEX('По дням'!$B$2:$B$4000,MATCH(C263,'По дням'!$A$2:$A$4000,0)),"по периодам ставки"))</f>
        <v/>
      </c>
      <c r="H263" s="5">
        <f>IF(K263="","",INDEX(Интервалы!$I$2:$I$513,MATCH(K263,Интервалы!$G$2:$G$513,0)))</f>
        <v/>
      </c>
      <c r="I263" s="9">
        <f>IF(K263="","",INDEX(Интервалы!$F$2:$F$513,MATCH(K263,Интервалы!$G$2:$G$513,0)))</f>
        <v/>
      </c>
      <c r="J263" s="9">
        <f>IF(K263="","",INDEX(Интервалы!$H$2:$H$513,MATCH(K263,Интервалы!$G$2:$G$513,0)))</f>
        <v/>
      </c>
      <c r="K263">
        <f>IFERROR(SMALL(Интервалы!$G$2:$G$513,257),"")</f>
        <v/>
      </c>
      <c r="L263">
        <f>IF(K263="","",INDEX(Интервалы!$B$2:$B$513,MATCH(K263,Интервалы!$G$2:$G$513,0)))</f>
        <v/>
      </c>
    </row>
    <row r="264">
      <c r="A264" s="5">
        <f>IF(K264="","",258)</f>
        <v/>
      </c>
      <c r="B264" s="5">
        <f>IF(K264="","",INDEX(Интервалы!$A$2:$A$513,MATCH(K264,Интервалы!$G$2:$G$513,0)))</f>
        <v/>
      </c>
      <c r="C264" s="17">
        <f>IF(K264="","",INDEX(Интервалы!$C$2:$C$513,MATCH(K264,Интервалы!$G$2:$G$513,0)))</f>
        <v/>
      </c>
      <c r="D264" s="17">
        <f>IF(K264="","",INDEX(Интервалы!$D$2:$D$513,MATCH(K264,Интервалы!$G$2:$G$513,0)))</f>
        <v/>
      </c>
      <c r="E264" s="5">
        <f>IF(K264="","",D264-C264+1)</f>
        <v/>
      </c>
      <c r="F264" s="9">
        <f>IF(K264="","",INDEX(Интервалы!$E$2:$E$513,MATCH(K264,Интервалы!$G$2:$G$513,0)))</f>
        <v/>
      </c>
      <c r="G264" s="5">
        <f>IF(K264="","",IF(H264=1,INDEX('По дням'!$B$2:$B$4000,MATCH(C264,'По дням'!$A$2:$A$4000,0)),"по периодам ставки"))</f>
        <v/>
      </c>
      <c r="H264" s="5">
        <f>IF(K264="","",INDEX(Интервалы!$I$2:$I$513,MATCH(K264,Интервалы!$G$2:$G$513,0)))</f>
        <v/>
      </c>
      <c r="I264" s="9">
        <f>IF(K264="","",INDEX(Интервалы!$F$2:$F$513,MATCH(K264,Интервалы!$G$2:$G$513,0)))</f>
        <v/>
      </c>
      <c r="J264" s="9">
        <f>IF(K264="","",INDEX(Интервалы!$H$2:$H$513,MATCH(K264,Интервалы!$G$2:$G$513,0)))</f>
        <v/>
      </c>
      <c r="K264">
        <f>IFERROR(SMALL(Интервалы!$G$2:$G$513,258),"")</f>
        <v/>
      </c>
      <c r="L264">
        <f>IF(K264="","",INDEX(Интервалы!$B$2:$B$513,MATCH(K264,Интервалы!$G$2:$G$513,0)))</f>
        <v/>
      </c>
    </row>
    <row r="265">
      <c r="A265" s="5">
        <f>IF(K265="","",259)</f>
        <v/>
      </c>
      <c r="B265" s="5">
        <f>IF(K265="","",INDEX(Интервалы!$A$2:$A$513,MATCH(K265,Интервалы!$G$2:$G$513,0)))</f>
        <v/>
      </c>
      <c r="C265" s="17">
        <f>IF(K265="","",INDEX(Интервалы!$C$2:$C$513,MATCH(K265,Интервалы!$G$2:$G$513,0)))</f>
        <v/>
      </c>
      <c r="D265" s="17">
        <f>IF(K265="","",INDEX(Интервалы!$D$2:$D$513,MATCH(K265,Интервалы!$G$2:$G$513,0)))</f>
        <v/>
      </c>
      <c r="E265" s="5">
        <f>IF(K265="","",D265-C265+1)</f>
        <v/>
      </c>
      <c r="F265" s="9">
        <f>IF(K265="","",INDEX(Интервалы!$E$2:$E$513,MATCH(K265,Интервалы!$G$2:$G$513,0)))</f>
        <v/>
      </c>
      <c r="G265" s="5">
        <f>IF(K265="","",IF(H265=1,INDEX('По дням'!$B$2:$B$4000,MATCH(C265,'По дням'!$A$2:$A$4000,0)),"по периодам ставки"))</f>
        <v/>
      </c>
      <c r="H265" s="5">
        <f>IF(K265="","",INDEX(Интервалы!$I$2:$I$513,MATCH(K265,Интервалы!$G$2:$G$513,0)))</f>
        <v/>
      </c>
      <c r="I265" s="9">
        <f>IF(K265="","",INDEX(Интервалы!$F$2:$F$513,MATCH(K265,Интервалы!$G$2:$G$513,0)))</f>
        <v/>
      </c>
      <c r="J265" s="9">
        <f>IF(K265="","",INDEX(Интервалы!$H$2:$H$513,MATCH(K265,Интервалы!$G$2:$G$513,0)))</f>
        <v/>
      </c>
      <c r="K265">
        <f>IFERROR(SMALL(Интервалы!$G$2:$G$513,259),"")</f>
        <v/>
      </c>
      <c r="L265">
        <f>IF(K265="","",INDEX(Интервалы!$B$2:$B$513,MATCH(K265,Интервалы!$G$2:$G$513,0)))</f>
        <v/>
      </c>
    </row>
    <row r="266">
      <c r="A266" s="5">
        <f>IF(K266="","",260)</f>
        <v/>
      </c>
      <c r="B266" s="5">
        <f>IF(K266="","",INDEX(Интервалы!$A$2:$A$513,MATCH(K266,Интервалы!$G$2:$G$513,0)))</f>
        <v/>
      </c>
      <c r="C266" s="17">
        <f>IF(K266="","",INDEX(Интервалы!$C$2:$C$513,MATCH(K266,Интервалы!$G$2:$G$513,0)))</f>
        <v/>
      </c>
      <c r="D266" s="17">
        <f>IF(K266="","",INDEX(Интервалы!$D$2:$D$513,MATCH(K266,Интервалы!$G$2:$G$513,0)))</f>
        <v/>
      </c>
      <c r="E266" s="5">
        <f>IF(K266="","",D266-C266+1)</f>
        <v/>
      </c>
      <c r="F266" s="9">
        <f>IF(K266="","",INDEX(Интервалы!$E$2:$E$513,MATCH(K266,Интервалы!$G$2:$G$513,0)))</f>
        <v/>
      </c>
      <c r="G266" s="5">
        <f>IF(K266="","",IF(H266=1,INDEX('По дням'!$B$2:$B$4000,MATCH(C266,'По дням'!$A$2:$A$4000,0)),"по периодам ставки"))</f>
        <v/>
      </c>
      <c r="H266" s="5">
        <f>IF(K266="","",INDEX(Интервалы!$I$2:$I$513,MATCH(K266,Интервалы!$G$2:$G$513,0)))</f>
        <v/>
      </c>
      <c r="I266" s="9">
        <f>IF(K266="","",INDEX(Интервалы!$F$2:$F$513,MATCH(K266,Интервалы!$G$2:$G$513,0)))</f>
        <v/>
      </c>
      <c r="J266" s="9">
        <f>IF(K266="","",INDEX(Интервалы!$H$2:$H$513,MATCH(K266,Интервалы!$G$2:$G$513,0)))</f>
        <v/>
      </c>
      <c r="K266">
        <f>IFERROR(SMALL(Интервалы!$G$2:$G$513,260),"")</f>
        <v/>
      </c>
      <c r="L266">
        <f>IF(K266="","",INDEX(Интервалы!$B$2:$B$513,MATCH(K266,Интервалы!$G$2:$G$513,0)))</f>
        <v/>
      </c>
    </row>
    <row r="267">
      <c r="A267" s="5">
        <f>IF(K267="","",261)</f>
        <v/>
      </c>
      <c r="B267" s="5">
        <f>IF(K267="","",INDEX(Интервалы!$A$2:$A$513,MATCH(K267,Интервалы!$G$2:$G$513,0)))</f>
        <v/>
      </c>
      <c r="C267" s="17">
        <f>IF(K267="","",INDEX(Интервалы!$C$2:$C$513,MATCH(K267,Интервалы!$G$2:$G$513,0)))</f>
        <v/>
      </c>
      <c r="D267" s="17">
        <f>IF(K267="","",INDEX(Интервалы!$D$2:$D$513,MATCH(K267,Интервалы!$G$2:$G$513,0)))</f>
        <v/>
      </c>
      <c r="E267" s="5">
        <f>IF(K267="","",D267-C267+1)</f>
        <v/>
      </c>
      <c r="F267" s="9">
        <f>IF(K267="","",INDEX(Интервалы!$E$2:$E$513,MATCH(K267,Интервалы!$G$2:$G$513,0)))</f>
        <v/>
      </c>
      <c r="G267" s="5">
        <f>IF(K267="","",IF(H267=1,INDEX('По дням'!$B$2:$B$4000,MATCH(C267,'По дням'!$A$2:$A$4000,0)),"по периодам ставки"))</f>
        <v/>
      </c>
      <c r="H267" s="5">
        <f>IF(K267="","",INDEX(Интервалы!$I$2:$I$513,MATCH(K267,Интервалы!$G$2:$G$513,0)))</f>
        <v/>
      </c>
      <c r="I267" s="9">
        <f>IF(K267="","",INDEX(Интервалы!$F$2:$F$513,MATCH(K267,Интервалы!$G$2:$G$513,0)))</f>
        <v/>
      </c>
      <c r="J267" s="9">
        <f>IF(K267="","",INDEX(Интервалы!$H$2:$H$513,MATCH(K267,Интервалы!$G$2:$G$513,0)))</f>
        <v/>
      </c>
      <c r="K267">
        <f>IFERROR(SMALL(Интервалы!$G$2:$G$513,261),"")</f>
        <v/>
      </c>
      <c r="L267">
        <f>IF(K267="","",INDEX(Интервалы!$B$2:$B$513,MATCH(K267,Интервалы!$G$2:$G$513,0)))</f>
        <v/>
      </c>
    </row>
    <row r="268">
      <c r="A268" s="5">
        <f>IF(K268="","",262)</f>
        <v/>
      </c>
      <c r="B268" s="5">
        <f>IF(K268="","",INDEX(Интервалы!$A$2:$A$513,MATCH(K268,Интервалы!$G$2:$G$513,0)))</f>
        <v/>
      </c>
      <c r="C268" s="17">
        <f>IF(K268="","",INDEX(Интервалы!$C$2:$C$513,MATCH(K268,Интервалы!$G$2:$G$513,0)))</f>
        <v/>
      </c>
      <c r="D268" s="17">
        <f>IF(K268="","",INDEX(Интервалы!$D$2:$D$513,MATCH(K268,Интервалы!$G$2:$G$513,0)))</f>
        <v/>
      </c>
      <c r="E268" s="5">
        <f>IF(K268="","",D268-C268+1)</f>
        <v/>
      </c>
      <c r="F268" s="9">
        <f>IF(K268="","",INDEX(Интервалы!$E$2:$E$513,MATCH(K268,Интервалы!$G$2:$G$513,0)))</f>
        <v/>
      </c>
      <c r="G268" s="5">
        <f>IF(K268="","",IF(H268=1,INDEX('По дням'!$B$2:$B$4000,MATCH(C268,'По дням'!$A$2:$A$4000,0)),"по периодам ставки"))</f>
        <v/>
      </c>
      <c r="H268" s="5">
        <f>IF(K268="","",INDEX(Интервалы!$I$2:$I$513,MATCH(K268,Интервалы!$G$2:$G$513,0)))</f>
        <v/>
      </c>
      <c r="I268" s="9">
        <f>IF(K268="","",INDEX(Интервалы!$F$2:$F$513,MATCH(K268,Интервалы!$G$2:$G$513,0)))</f>
        <v/>
      </c>
      <c r="J268" s="9">
        <f>IF(K268="","",INDEX(Интервалы!$H$2:$H$513,MATCH(K268,Интервалы!$G$2:$G$513,0)))</f>
        <v/>
      </c>
      <c r="K268">
        <f>IFERROR(SMALL(Интервалы!$G$2:$G$513,262),"")</f>
        <v/>
      </c>
      <c r="L268">
        <f>IF(K268="","",INDEX(Интервалы!$B$2:$B$513,MATCH(K268,Интервалы!$G$2:$G$513,0)))</f>
        <v/>
      </c>
    </row>
    <row r="269">
      <c r="A269" s="5">
        <f>IF(K269="","",263)</f>
        <v/>
      </c>
      <c r="B269" s="5">
        <f>IF(K269="","",INDEX(Интервалы!$A$2:$A$513,MATCH(K269,Интервалы!$G$2:$G$513,0)))</f>
        <v/>
      </c>
      <c r="C269" s="17">
        <f>IF(K269="","",INDEX(Интервалы!$C$2:$C$513,MATCH(K269,Интервалы!$G$2:$G$513,0)))</f>
        <v/>
      </c>
      <c r="D269" s="17">
        <f>IF(K269="","",INDEX(Интервалы!$D$2:$D$513,MATCH(K269,Интервалы!$G$2:$G$513,0)))</f>
        <v/>
      </c>
      <c r="E269" s="5">
        <f>IF(K269="","",D269-C269+1)</f>
        <v/>
      </c>
      <c r="F269" s="9">
        <f>IF(K269="","",INDEX(Интервалы!$E$2:$E$513,MATCH(K269,Интервалы!$G$2:$G$513,0)))</f>
        <v/>
      </c>
      <c r="G269" s="5">
        <f>IF(K269="","",IF(H269=1,INDEX('По дням'!$B$2:$B$4000,MATCH(C269,'По дням'!$A$2:$A$4000,0)),"по периодам ставки"))</f>
        <v/>
      </c>
      <c r="H269" s="5">
        <f>IF(K269="","",INDEX(Интервалы!$I$2:$I$513,MATCH(K269,Интервалы!$G$2:$G$513,0)))</f>
        <v/>
      </c>
      <c r="I269" s="9">
        <f>IF(K269="","",INDEX(Интервалы!$F$2:$F$513,MATCH(K269,Интервалы!$G$2:$G$513,0)))</f>
        <v/>
      </c>
      <c r="J269" s="9">
        <f>IF(K269="","",INDEX(Интервалы!$H$2:$H$513,MATCH(K269,Интервалы!$G$2:$G$513,0)))</f>
        <v/>
      </c>
      <c r="K269">
        <f>IFERROR(SMALL(Интервалы!$G$2:$G$513,263),"")</f>
        <v/>
      </c>
      <c r="L269">
        <f>IF(K269="","",INDEX(Интервалы!$B$2:$B$513,MATCH(K269,Интервалы!$G$2:$G$513,0)))</f>
        <v/>
      </c>
    </row>
    <row r="270">
      <c r="A270" s="5">
        <f>IF(K270="","",264)</f>
        <v/>
      </c>
      <c r="B270" s="5">
        <f>IF(K270="","",INDEX(Интервалы!$A$2:$A$513,MATCH(K270,Интервалы!$G$2:$G$513,0)))</f>
        <v/>
      </c>
      <c r="C270" s="17">
        <f>IF(K270="","",INDEX(Интервалы!$C$2:$C$513,MATCH(K270,Интервалы!$G$2:$G$513,0)))</f>
        <v/>
      </c>
      <c r="D270" s="17">
        <f>IF(K270="","",INDEX(Интервалы!$D$2:$D$513,MATCH(K270,Интервалы!$G$2:$G$513,0)))</f>
        <v/>
      </c>
      <c r="E270" s="5">
        <f>IF(K270="","",D270-C270+1)</f>
        <v/>
      </c>
      <c r="F270" s="9">
        <f>IF(K270="","",INDEX(Интервалы!$E$2:$E$513,MATCH(K270,Интервалы!$G$2:$G$513,0)))</f>
        <v/>
      </c>
      <c r="G270" s="5">
        <f>IF(K270="","",IF(H270=1,INDEX('По дням'!$B$2:$B$4000,MATCH(C270,'По дням'!$A$2:$A$4000,0)),"по периодам ставки"))</f>
        <v/>
      </c>
      <c r="H270" s="5">
        <f>IF(K270="","",INDEX(Интервалы!$I$2:$I$513,MATCH(K270,Интервалы!$G$2:$G$513,0)))</f>
        <v/>
      </c>
      <c r="I270" s="9">
        <f>IF(K270="","",INDEX(Интервалы!$F$2:$F$513,MATCH(K270,Интервалы!$G$2:$G$513,0)))</f>
        <v/>
      </c>
      <c r="J270" s="9">
        <f>IF(K270="","",INDEX(Интервалы!$H$2:$H$513,MATCH(K270,Интервалы!$G$2:$G$513,0)))</f>
        <v/>
      </c>
      <c r="K270">
        <f>IFERROR(SMALL(Интервалы!$G$2:$G$513,264),"")</f>
        <v/>
      </c>
      <c r="L270">
        <f>IF(K270="","",INDEX(Интервалы!$B$2:$B$513,MATCH(K270,Интервалы!$G$2:$G$513,0)))</f>
        <v/>
      </c>
    </row>
    <row r="271">
      <c r="A271" s="5">
        <f>IF(K271="","",265)</f>
        <v/>
      </c>
      <c r="B271" s="5">
        <f>IF(K271="","",INDEX(Интервалы!$A$2:$A$513,MATCH(K271,Интервалы!$G$2:$G$513,0)))</f>
        <v/>
      </c>
      <c r="C271" s="17">
        <f>IF(K271="","",INDEX(Интервалы!$C$2:$C$513,MATCH(K271,Интервалы!$G$2:$G$513,0)))</f>
        <v/>
      </c>
      <c r="D271" s="17">
        <f>IF(K271="","",INDEX(Интервалы!$D$2:$D$513,MATCH(K271,Интервалы!$G$2:$G$513,0)))</f>
        <v/>
      </c>
      <c r="E271" s="5">
        <f>IF(K271="","",D271-C271+1)</f>
        <v/>
      </c>
      <c r="F271" s="9">
        <f>IF(K271="","",INDEX(Интервалы!$E$2:$E$513,MATCH(K271,Интервалы!$G$2:$G$513,0)))</f>
        <v/>
      </c>
      <c r="G271" s="5">
        <f>IF(K271="","",IF(H271=1,INDEX('По дням'!$B$2:$B$4000,MATCH(C271,'По дням'!$A$2:$A$4000,0)),"по периодам ставки"))</f>
        <v/>
      </c>
      <c r="H271" s="5">
        <f>IF(K271="","",INDEX(Интервалы!$I$2:$I$513,MATCH(K271,Интервалы!$G$2:$G$513,0)))</f>
        <v/>
      </c>
      <c r="I271" s="9">
        <f>IF(K271="","",INDEX(Интервалы!$F$2:$F$513,MATCH(K271,Интервалы!$G$2:$G$513,0)))</f>
        <v/>
      </c>
      <c r="J271" s="9">
        <f>IF(K271="","",INDEX(Интервалы!$H$2:$H$513,MATCH(K271,Интервалы!$G$2:$G$513,0)))</f>
        <v/>
      </c>
      <c r="K271">
        <f>IFERROR(SMALL(Интервалы!$G$2:$G$513,265),"")</f>
        <v/>
      </c>
      <c r="L271">
        <f>IF(K271="","",INDEX(Интервалы!$B$2:$B$513,MATCH(K271,Интервалы!$G$2:$G$513,0)))</f>
        <v/>
      </c>
    </row>
    <row r="272">
      <c r="A272" s="5">
        <f>IF(K272="","",266)</f>
        <v/>
      </c>
      <c r="B272" s="5">
        <f>IF(K272="","",INDEX(Интервалы!$A$2:$A$513,MATCH(K272,Интервалы!$G$2:$G$513,0)))</f>
        <v/>
      </c>
      <c r="C272" s="17">
        <f>IF(K272="","",INDEX(Интервалы!$C$2:$C$513,MATCH(K272,Интервалы!$G$2:$G$513,0)))</f>
        <v/>
      </c>
      <c r="D272" s="17">
        <f>IF(K272="","",INDEX(Интервалы!$D$2:$D$513,MATCH(K272,Интервалы!$G$2:$G$513,0)))</f>
        <v/>
      </c>
      <c r="E272" s="5">
        <f>IF(K272="","",D272-C272+1)</f>
        <v/>
      </c>
      <c r="F272" s="9">
        <f>IF(K272="","",INDEX(Интервалы!$E$2:$E$513,MATCH(K272,Интервалы!$G$2:$G$513,0)))</f>
        <v/>
      </c>
      <c r="G272" s="5">
        <f>IF(K272="","",IF(H272=1,INDEX('По дням'!$B$2:$B$4000,MATCH(C272,'По дням'!$A$2:$A$4000,0)),"по периодам ставки"))</f>
        <v/>
      </c>
      <c r="H272" s="5">
        <f>IF(K272="","",INDEX(Интервалы!$I$2:$I$513,MATCH(K272,Интервалы!$G$2:$G$513,0)))</f>
        <v/>
      </c>
      <c r="I272" s="9">
        <f>IF(K272="","",INDEX(Интервалы!$F$2:$F$513,MATCH(K272,Интервалы!$G$2:$G$513,0)))</f>
        <v/>
      </c>
      <c r="J272" s="9">
        <f>IF(K272="","",INDEX(Интервалы!$H$2:$H$513,MATCH(K272,Интервалы!$G$2:$G$513,0)))</f>
        <v/>
      </c>
      <c r="K272">
        <f>IFERROR(SMALL(Интервалы!$G$2:$G$513,266),"")</f>
        <v/>
      </c>
      <c r="L272">
        <f>IF(K272="","",INDEX(Интервалы!$B$2:$B$513,MATCH(K272,Интервалы!$G$2:$G$513,0)))</f>
        <v/>
      </c>
    </row>
    <row r="273">
      <c r="A273" s="5">
        <f>IF(K273="","",267)</f>
        <v/>
      </c>
      <c r="B273" s="5">
        <f>IF(K273="","",INDEX(Интервалы!$A$2:$A$513,MATCH(K273,Интервалы!$G$2:$G$513,0)))</f>
        <v/>
      </c>
      <c r="C273" s="17">
        <f>IF(K273="","",INDEX(Интервалы!$C$2:$C$513,MATCH(K273,Интервалы!$G$2:$G$513,0)))</f>
        <v/>
      </c>
      <c r="D273" s="17">
        <f>IF(K273="","",INDEX(Интервалы!$D$2:$D$513,MATCH(K273,Интервалы!$G$2:$G$513,0)))</f>
        <v/>
      </c>
      <c r="E273" s="5">
        <f>IF(K273="","",D273-C273+1)</f>
        <v/>
      </c>
      <c r="F273" s="9">
        <f>IF(K273="","",INDEX(Интервалы!$E$2:$E$513,MATCH(K273,Интервалы!$G$2:$G$513,0)))</f>
        <v/>
      </c>
      <c r="G273" s="5">
        <f>IF(K273="","",IF(H273=1,INDEX('По дням'!$B$2:$B$4000,MATCH(C273,'По дням'!$A$2:$A$4000,0)),"по периодам ставки"))</f>
        <v/>
      </c>
      <c r="H273" s="5">
        <f>IF(K273="","",INDEX(Интервалы!$I$2:$I$513,MATCH(K273,Интервалы!$G$2:$G$513,0)))</f>
        <v/>
      </c>
      <c r="I273" s="9">
        <f>IF(K273="","",INDEX(Интервалы!$F$2:$F$513,MATCH(K273,Интервалы!$G$2:$G$513,0)))</f>
        <v/>
      </c>
      <c r="J273" s="9">
        <f>IF(K273="","",INDEX(Интервалы!$H$2:$H$513,MATCH(K273,Интервалы!$G$2:$G$513,0)))</f>
        <v/>
      </c>
      <c r="K273">
        <f>IFERROR(SMALL(Интервалы!$G$2:$G$513,267),"")</f>
        <v/>
      </c>
      <c r="L273">
        <f>IF(K273="","",INDEX(Интервалы!$B$2:$B$513,MATCH(K273,Интервалы!$G$2:$G$513,0)))</f>
        <v/>
      </c>
    </row>
    <row r="274">
      <c r="A274" s="5">
        <f>IF(K274="","",268)</f>
        <v/>
      </c>
      <c r="B274" s="5">
        <f>IF(K274="","",INDEX(Интервалы!$A$2:$A$513,MATCH(K274,Интервалы!$G$2:$G$513,0)))</f>
        <v/>
      </c>
      <c r="C274" s="17">
        <f>IF(K274="","",INDEX(Интервалы!$C$2:$C$513,MATCH(K274,Интервалы!$G$2:$G$513,0)))</f>
        <v/>
      </c>
      <c r="D274" s="17">
        <f>IF(K274="","",INDEX(Интервалы!$D$2:$D$513,MATCH(K274,Интервалы!$G$2:$G$513,0)))</f>
        <v/>
      </c>
      <c r="E274" s="5">
        <f>IF(K274="","",D274-C274+1)</f>
        <v/>
      </c>
      <c r="F274" s="9">
        <f>IF(K274="","",INDEX(Интервалы!$E$2:$E$513,MATCH(K274,Интервалы!$G$2:$G$513,0)))</f>
        <v/>
      </c>
      <c r="G274" s="5">
        <f>IF(K274="","",IF(H274=1,INDEX('По дням'!$B$2:$B$4000,MATCH(C274,'По дням'!$A$2:$A$4000,0)),"по периодам ставки"))</f>
        <v/>
      </c>
      <c r="H274" s="5">
        <f>IF(K274="","",INDEX(Интервалы!$I$2:$I$513,MATCH(K274,Интервалы!$G$2:$G$513,0)))</f>
        <v/>
      </c>
      <c r="I274" s="9">
        <f>IF(K274="","",INDEX(Интервалы!$F$2:$F$513,MATCH(K274,Интервалы!$G$2:$G$513,0)))</f>
        <v/>
      </c>
      <c r="J274" s="9">
        <f>IF(K274="","",INDEX(Интервалы!$H$2:$H$513,MATCH(K274,Интервалы!$G$2:$G$513,0)))</f>
        <v/>
      </c>
      <c r="K274">
        <f>IFERROR(SMALL(Интервалы!$G$2:$G$513,268),"")</f>
        <v/>
      </c>
      <c r="L274">
        <f>IF(K274="","",INDEX(Интервалы!$B$2:$B$513,MATCH(K274,Интервалы!$G$2:$G$513,0)))</f>
        <v/>
      </c>
    </row>
    <row r="275">
      <c r="A275" s="5">
        <f>IF(K275="","",269)</f>
        <v/>
      </c>
      <c r="B275" s="5">
        <f>IF(K275="","",INDEX(Интервалы!$A$2:$A$513,MATCH(K275,Интервалы!$G$2:$G$513,0)))</f>
        <v/>
      </c>
      <c r="C275" s="17">
        <f>IF(K275="","",INDEX(Интервалы!$C$2:$C$513,MATCH(K275,Интервалы!$G$2:$G$513,0)))</f>
        <v/>
      </c>
      <c r="D275" s="17">
        <f>IF(K275="","",INDEX(Интервалы!$D$2:$D$513,MATCH(K275,Интервалы!$G$2:$G$513,0)))</f>
        <v/>
      </c>
      <c r="E275" s="5">
        <f>IF(K275="","",D275-C275+1)</f>
        <v/>
      </c>
      <c r="F275" s="9">
        <f>IF(K275="","",INDEX(Интервалы!$E$2:$E$513,MATCH(K275,Интервалы!$G$2:$G$513,0)))</f>
        <v/>
      </c>
      <c r="G275" s="5">
        <f>IF(K275="","",IF(H275=1,INDEX('По дням'!$B$2:$B$4000,MATCH(C275,'По дням'!$A$2:$A$4000,0)),"по периодам ставки"))</f>
        <v/>
      </c>
      <c r="H275" s="5">
        <f>IF(K275="","",INDEX(Интервалы!$I$2:$I$513,MATCH(K275,Интервалы!$G$2:$G$513,0)))</f>
        <v/>
      </c>
      <c r="I275" s="9">
        <f>IF(K275="","",INDEX(Интервалы!$F$2:$F$513,MATCH(K275,Интервалы!$G$2:$G$513,0)))</f>
        <v/>
      </c>
      <c r="J275" s="9">
        <f>IF(K275="","",INDEX(Интервалы!$H$2:$H$513,MATCH(K275,Интервалы!$G$2:$G$513,0)))</f>
        <v/>
      </c>
      <c r="K275">
        <f>IFERROR(SMALL(Интервалы!$G$2:$G$513,269),"")</f>
        <v/>
      </c>
      <c r="L275">
        <f>IF(K275="","",INDEX(Интервалы!$B$2:$B$513,MATCH(K275,Интервалы!$G$2:$G$513,0)))</f>
        <v/>
      </c>
    </row>
    <row r="276">
      <c r="A276" s="5">
        <f>IF(K276="","",270)</f>
        <v/>
      </c>
      <c r="B276" s="5">
        <f>IF(K276="","",INDEX(Интервалы!$A$2:$A$513,MATCH(K276,Интервалы!$G$2:$G$513,0)))</f>
        <v/>
      </c>
      <c r="C276" s="17">
        <f>IF(K276="","",INDEX(Интервалы!$C$2:$C$513,MATCH(K276,Интервалы!$G$2:$G$513,0)))</f>
        <v/>
      </c>
      <c r="D276" s="17">
        <f>IF(K276="","",INDEX(Интервалы!$D$2:$D$513,MATCH(K276,Интервалы!$G$2:$G$513,0)))</f>
        <v/>
      </c>
      <c r="E276" s="5">
        <f>IF(K276="","",D276-C276+1)</f>
        <v/>
      </c>
      <c r="F276" s="9">
        <f>IF(K276="","",INDEX(Интервалы!$E$2:$E$513,MATCH(K276,Интервалы!$G$2:$G$513,0)))</f>
        <v/>
      </c>
      <c r="G276" s="5">
        <f>IF(K276="","",IF(H276=1,INDEX('По дням'!$B$2:$B$4000,MATCH(C276,'По дням'!$A$2:$A$4000,0)),"по периодам ставки"))</f>
        <v/>
      </c>
      <c r="H276" s="5">
        <f>IF(K276="","",INDEX(Интервалы!$I$2:$I$513,MATCH(K276,Интервалы!$G$2:$G$513,0)))</f>
        <v/>
      </c>
      <c r="I276" s="9">
        <f>IF(K276="","",INDEX(Интервалы!$F$2:$F$513,MATCH(K276,Интервалы!$G$2:$G$513,0)))</f>
        <v/>
      </c>
      <c r="J276" s="9">
        <f>IF(K276="","",INDEX(Интервалы!$H$2:$H$513,MATCH(K276,Интервалы!$G$2:$G$513,0)))</f>
        <v/>
      </c>
      <c r="K276">
        <f>IFERROR(SMALL(Интервалы!$G$2:$G$513,270),"")</f>
        <v/>
      </c>
      <c r="L276">
        <f>IF(K276="","",INDEX(Интервалы!$B$2:$B$513,MATCH(K276,Интервалы!$G$2:$G$513,0)))</f>
        <v/>
      </c>
    </row>
    <row r="277">
      <c r="A277" s="5">
        <f>IF(K277="","",271)</f>
        <v/>
      </c>
      <c r="B277" s="5">
        <f>IF(K277="","",INDEX(Интервалы!$A$2:$A$513,MATCH(K277,Интервалы!$G$2:$G$513,0)))</f>
        <v/>
      </c>
      <c r="C277" s="17">
        <f>IF(K277="","",INDEX(Интервалы!$C$2:$C$513,MATCH(K277,Интервалы!$G$2:$G$513,0)))</f>
        <v/>
      </c>
      <c r="D277" s="17">
        <f>IF(K277="","",INDEX(Интервалы!$D$2:$D$513,MATCH(K277,Интервалы!$G$2:$G$513,0)))</f>
        <v/>
      </c>
      <c r="E277" s="5">
        <f>IF(K277="","",D277-C277+1)</f>
        <v/>
      </c>
      <c r="F277" s="9">
        <f>IF(K277="","",INDEX(Интервалы!$E$2:$E$513,MATCH(K277,Интервалы!$G$2:$G$513,0)))</f>
        <v/>
      </c>
      <c r="G277" s="5">
        <f>IF(K277="","",IF(H277=1,INDEX('По дням'!$B$2:$B$4000,MATCH(C277,'По дням'!$A$2:$A$4000,0)),"по периодам ставки"))</f>
        <v/>
      </c>
      <c r="H277" s="5">
        <f>IF(K277="","",INDEX(Интервалы!$I$2:$I$513,MATCH(K277,Интервалы!$G$2:$G$513,0)))</f>
        <v/>
      </c>
      <c r="I277" s="9">
        <f>IF(K277="","",INDEX(Интервалы!$F$2:$F$513,MATCH(K277,Интервалы!$G$2:$G$513,0)))</f>
        <v/>
      </c>
      <c r="J277" s="9">
        <f>IF(K277="","",INDEX(Интервалы!$H$2:$H$513,MATCH(K277,Интервалы!$G$2:$G$513,0)))</f>
        <v/>
      </c>
      <c r="K277">
        <f>IFERROR(SMALL(Интервалы!$G$2:$G$513,271),"")</f>
        <v/>
      </c>
      <c r="L277">
        <f>IF(K277="","",INDEX(Интервалы!$B$2:$B$513,MATCH(K277,Интервалы!$G$2:$G$513,0)))</f>
        <v/>
      </c>
    </row>
    <row r="278">
      <c r="A278" s="5">
        <f>IF(K278="","",272)</f>
        <v/>
      </c>
      <c r="B278" s="5">
        <f>IF(K278="","",INDEX(Интервалы!$A$2:$A$513,MATCH(K278,Интервалы!$G$2:$G$513,0)))</f>
        <v/>
      </c>
      <c r="C278" s="17">
        <f>IF(K278="","",INDEX(Интервалы!$C$2:$C$513,MATCH(K278,Интервалы!$G$2:$G$513,0)))</f>
        <v/>
      </c>
      <c r="D278" s="17">
        <f>IF(K278="","",INDEX(Интервалы!$D$2:$D$513,MATCH(K278,Интервалы!$G$2:$G$513,0)))</f>
        <v/>
      </c>
      <c r="E278" s="5">
        <f>IF(K278="","",D278-C278+1)</f>
        <v/>
      </c>
      <c r="F278" s="9">
        <f>IF(K278="","",INDEX(Интервалы!$E$2:$E$513,MATCH(K278,Интервалы!$G$2:$G$513,0)))</f>
        <v/>
      </c>
      <c r="G278" s="5">
        <f>IF(K278="","",IF(H278=1,INDEX('По дням'!$B$2:$B$4000,MATCH(C278,'По дням'!$A$2:$A$4000,0)),"по периодам ставки"))</f>
        <v/>
      </c>
      <c r="H278" s="5">
        <f>IF(K278="","",INDEX(Интервалы!$I$2:$I$513,MATCH(K278,Интервалы!$G$2:$G$513,0)))</f>
        <v/>
      </c>
      <c r="I278" s="9">
        <f>IF(K278="","",INDEX(Интервалы!$F$2:$F$513,MATCH(K278,Интервалы!$G$2:$G$513,0)))</f>
        <v/>
      </c>
      <c r="J278" s="9">
        <f>IF(K278="","",INDEX(Интервалы!$H$2:$H$513,MATCH(K278,Интервалы!$G$2:$G$513,0)))</f>
        <v/>
      </c>
      <c r="K278">
        <f>IFERROR(SMALL(Интервалы!$G$2:$G$513,272),"")</f>
        <v/>
      </c>
      <c r="L278">
        <f>IF(K278="","",INDEX(Интервалы!$B$2:$B$513,MATCH(K278,Интервалы!$G$2:$G$513,0)))</f>
        <v/>
      </c>
    </row>
    <row r="279">
      <c r="A279" s="5">
        <f>IF(K279="","",273)</f>
        <v/>
      </c>
      <c r="B279" s="5">
        <f>IF(K279="","",INDEX(Интервалы!$A$2:$A$513,MATCH(K279,Интервалы!$G$2:$G$513,0)))</f>
        <v/>
      </c>
      <c r="C279" s="17">
        <f>IF(K279="","",INDEX(Интервалы!$C$2:$C$513,MATCH(K279,Интервалы!$G$2:$G$513,0)))</f>
        <v/>
      </c>
      <c r="D279" s="17">
        <f>IF(K279="","",INDEX(Интервалы!$D$2:$D$513,MATCH(K279,Интервалы!$G$2:$G$513,0)))</f>
        <v/>
      </c>
      <c r="E279" s="5">
        <f>IF(K279="","",D279-C279+1)</f>
        <v/>
      </c>
      <c r="F279" s="9">
        <f>IF(K279="","",INDEX(Интервалы!$E$2:$E$513,MATCH(K279,Интервалы!$G$2:$G$513,0)))</f>
        <v/>
      </c>
      <c r="G279" s="5">
        <f>IF(K279="","",IF(H279=1,INDEX('По дням'!$B$2:$B$4000,MATCH(C279,'По дням'!$A$2:$A$4000,0)),"по периодам ставки"))</f>
        <v/>
      </c>
      <c r="H279" s="5">
        <f>IF(K279="","",INDEX(Интервалы!$I$2:$I$513,MATCH(K279,Интервалы!$G$2:$G$513,0)))</f>
        <v/>
      </c>
      <c r="I279" s="9">
        <f>IF(K279="","",INDEX(Интервалы!$F$2:$F$513,MATCH(K279,Интервалы!$G$2:$G$513,0)))</f>
        <v/>
      </c>
      <c r="J279" s="9">
        <f>IF(K279="","",INDEX(Интервалы!$H$2:$H$513,MATCH(K279,Интервалы!$G$2:$G$513,0)))</f>
        <v/>
      </c>
      <c r="K279">
        <f>IFERROR(SMALL(Интервалы!$G$2:$G$513,273),"")</f>
        <v/>
      </c>
      <c r="L279">
        <f>IF(K279="","",INDEX(Интервалы!$B$2:$B$513,MATCH(K279,Интервалы!$G$2:$G$513,0)))</f>
        <v/>
      </c>
    </row>
    <row r="280">
      <c r="A280" s="5">
        <f>IF(K280="","",274)</f>
        <v/>
      </c>
      <c r="B280" s="5">
        <f>IF(K280="","",INDEX(Интервалы!$A$2:$A$513,MATCH(K280,Интервалы!$G$2:$G$513,0)))</f>
        <v/>
      </c>
      <c r="C280" s="17">
        <f>IF(K280="","",INDEX(Интервалы!$C$2:$C$513,MATCH(K280,Интервалы!$G$2:$G$513,0)))</f>
        <v/>
      </c>
      <c r="D280" s="17">
        <f>IF(K280="","",INDEX(Интервалы!$D$2:$D$513,MATCH(K280,Интервалы!$G$2:$G$513,0)))</f>
        <v/>
      </c>
      <c r="E280" s="5">
        <f>IF(K280="","",D280-C280+1)</f>
        <v/>
      </c>
      <c r="F280" s="9">
        <f>IF(K280="","",INDEX(Интервалы!$E$2:$E$513,MATCH(K280,Интервалы!$G$2:$G$513,0)))</f>
        <v/>
      </c>
      <c r="G280" s="5">
        <f>IF(K280="","",IF(H280=1,INDEX('По дням'!$B$2:$B$4000,MATCH(C280,'По дням'!$A$2:$A$4000,0)),"по периодам ставки"))</f>
        <v/>
      </c>
      <c r="H280" s="5">
        <f>IF(K280="","",INDEX(Интервалы!$I$2:$I$513,MATCH(K280,Интервалы!$G$2:$G$513,0)))</f>
        <v/>
      </c>
      <c r="I280" s="9">
        <f>IF(K280="","",INDEX(Интервалы!$F$2:$F$513,MATCH(K280,Интервалы!$G$2:$G$513,0)))</f>
        <v/>
      </c>
      <c r="J280" s="9">
        <f>IF(K280="","",INDEX(Интервалы!$H$2:$H$513,MATCH(K280,Интервалы!$G$2:$G$513,0)))</f>
        <v/>
      </c>
      <c r="K280">
        <f>IFERROR(SMALL(Интервалы!$G$2:$G$513,274),"")</f>
        <v/>
      </c>
      <c r="L280">
        <f>IF(K280="","",INDEX(Интервалы!$B$2:$B$513,MATCH(K280,Интервалы!$G$2:$G$513,0)))</f>
        <v/>
      </c>
    </row>
    <row r="281">
      <c r="A281" s="5">
        <f>IF(K281="","",275)</f>
        <v/>
      </c>
      <c r="B281" s="5">
        <f>IF(K281="","",INDEX(Интервалы!$A$2:$A$513,MATCH(K281,Интервалы!$G$2:$G$513,0)))</f>
        <v/>
      </c>
      <c r="C281" s="17">
        <f>IF(K281="","",INDEX(Интервалы!$C$2:$C$513,MATCH(K281,Интервалы!$G$2:$G$513,0)))</f>
        <v/>
      </c>
      <c r="D281" s="17">
        <f>IF(K281="","",INDEX(Интервалы!$D$2:$D$513,MATCH(K281,Интервалы!$G$2:$G$513,0)))</f>
        <v/>
      </c>
      <c r="E281" s="5">
        <f>IF(K281="","",D281-C281+1)</f>
        <v/>
      </c>
      <c r="F281" s="9">
        <f>IF(K281="","",INDEX(Интервалы!$E$2:$E$513,MATCH(K281,Интервалы!$G$2:$G$513,0)))</f>
        <v/>
      </c>
      <c r="G281" s="5">
        <f>IF(K281="","",IF(H281=1,INDEX('По дням'!$B$2:$B$4000,MATCH(C281,'По дням'!$A$2:$A$4000,0)),"по периодам ставки"))</f>
        <v/>
      </c>
      <c r="H281" s="5">
        <f>IF(K281="","",INDEX(Интервалы!$I$2:$I$513,MATCH(K281,Интервалы!$G$2:$G$513,0)))</f>
        <v/>
      </c>
      <c r="I281" s="9">
        <f>IF(K281="","",INDEX(Интервалы!$F$2:$F$513,MATCH(K281,Интервалы!$G$2:$G$513,0)))</f>
        <v/>
      </c>
      <c r="J281" s="9">
        <f>IF(K281="","",INDEX(Интервалы!$H$2:$H$513,MATCH(K281,Интервалы!$G$2:$G$513,0)))</f>
        <v/>
      </c>
      <c r="K281">
        <f>IFERROR(SMALL(Интервалы!$G$2:$G$513,275),"")</f>
        <v/>
      </c>
      <c r="L281">
        <f>IF(K281="","",INDEX(Интервалы!$B$2:$B$513,MATCH(K281,Интервалы!$G$2:$G$513,0)))</f>
        <v/>
      </c>
    </row>
    <row r="282">
      <c r="A282" s="5">
        <f>IF(K282="","",276)</f>
        <v/>
      </c>
      <c r="B282" s="5">
        <f>IF(K282="","",INDEX(Интервалы!$A$2:$A$513,MATCH(K282,Интервалы!$G$2:$G$513,0)))</f>
        <v/>
      </c>
      <c r="C282" s="17">
        <f>IF(K282="","",INDEX(Интервалы!$C$2:$C$513,MATCH(K282,Интервалы!$G$2:$G$513,0)))</f>
        <v/>
      </c>
      <c r="D282" s="17">
        <f>IF(K282="","",INDEX(Интервалы!$D$2:$D$513,MATCH(K282,Интервалы!$G$2:$G$513,0)))</f>
        <v/>
      </c>
      <c r="E282" s="5">
        <f>IF(K282="","",D282-C282+1)</f>
        <v/>
      </c>
      <c r="F282" s="9">
        <f>IF(K282="","",INDEX(Интервалы!$E$2:$E$513,MATCH(K282,Интервалы!$G$2:$G$513,0)))</f>
        <v/>
      </c>
      <c r="G282" s="5">
        <f>IF(K282="","",IF(H282=1,INDEX('По дням'!$B$2:$B$4000,MATCH(C282,'По дням'!$A$2:$A$4000,0)),"по периодам ставки"))</f>
        <v/>
      </c>
      <c r="H282" s="5">
        <f>IF(K282="","",INDEX(Интервалы!$I$2:$I$513,MATCH(K282,Интервалы!$G$2:$G$513,0)))</f>
        <v/>
      </c>
      <c r="I282" s="9">
        <f>IF(K282="","",INDEX(Интервалы!$F$2:$F$513,MATCH(K282,Интервалы!$G$2:$G$513,0)))</f>
        <v/>
      </c>
      <c r="J282" s="9">
        <f>IF(K282="","",INDEX(Интервалы!$H$2:$H$513,MATCH(K282,Интервалы!$G$2:$G$513,0)))</f>
        <v/>
      </c>
      <c r="K282">
        <f>IFERROR(SMALL(Интервалы!$G$2:$G$513,276),"")</f>
        <v/>
      </c>
      <c r="L282">
        <f>IF(K282="","",INDEX(Интервалы!$B$2:$B$513,MATCH(K282,Интервалы!$G$2:$G$513,0)))</f>
        <v/>
      </c>
    </row>
    <row r="283">
      <c r="A283" s="5">
        <f>IF(K283="","",277)</f>
        <v/>
      </c>
      <c r="B283" s="5">
        <f>IF(K283="","",INDEX(Интервалы!$A$2:$A$513,MATCH(K283,Интервалы!$G$2:$G$513,0)))</f>
        <v/>
      </c>
      <c r="C283" s="17">
        <f>IF(K283="","",INDEX(Интервалы!$C$2:$C$513,MATCH(K283,Интервалы!$G$2:$G$513,0)))</f>
        <v/>
      </c>
      <c r="D283" s="17">
        <f>IF(K283="","",INDEX(Интервалы!$D$2:$D$513,MATCH(K283,Интервалы!$G$2:$G$513,0)))</f>
        <v/>
      </c>
      <c r="E283" s="5">
        <f>IF(K283="","",D283-C283+1)</f>
        <v/>
      </c>
      <c r="F283" s="9">
        <f>IF(K283="","",INDEX(Интервалы!$E$2:$E$513,MATCH(K283,Интервалы!$G$2:$G$513,0)))</f>
        <v/>
      </c>
      <c r="G283" s="5">
        <f>IF(K283="","",IF(H283=1,INDEX('По дням'!$B$2:$B$4000,MATCH(C283,'По дням'!$A$2:$A$4000,0)),"по периодам ставки"))</f>
        <v/>
      </c>
      <c r="H283" s="5">
        <f>IF(K283="","",INDEX(Интервалы!$I$2:$I$513,MATCH(K283,Интервалы!$G$2:$G$513,0)))</f>
        <v/>
      </c>
      <c r="I283" s="9">
        <f>IF(K283="","",INDEX(Интервалы!$F$2:$F$513,MATCH(K283,Интервалы!$G$2:$G$513,0)))</f>
        <v/>
      </c>
      <c r="J283" s="9">
        <f>IF(K283="","",INDEX(Интервалы!$H$2:$H$513,MATCH(K283,Интервалы!$G$2:$G$513,0)))</f>
        <v/>
      </c>
      <c r="K283">
        <f>IFERROR(SMALL(Интервалы!$G$2:$G$513,277),"")</f>
        <v/>
      </c>
      <c r="L283">
        <f>IF(K283="","",INDEX(Интервалы!$B$2:$B$513,MATCH(K283,Интервалы!$G$2:$G$513,0)))</f>
        <v/>
      </c>
    </row>
    <row r="284">
      <c r="A284" s="5">
        <f>IF(K284="","",278)</f>
        <v/>
      </c>
      <c r="B284" s="5">
        <f>IF(K284="","",INDEX(Интервалы!$A$2:$A$513,MATCH(K284,Интервалы!$G$2:$G$513,0)))</f>
        <v/>
      </c>
      <c r="C284" s="17">
        <f>IF(K284="","",INDEX(Интервалы!$C$2:$C$513,MATCH(K284,Интервалы!$G$2:$G$513,0)))</f>
        <v/>
      </c>
      <c r="D284" s="17">
        <f>IF(K284="","",INDEX(Интервалы!$D$2:$D$513,MATCH(K284,Интервалы!$G$2:$G$513,0)))</f>
        <v/>
      </c>
      <c r="E284" s="5">
        <f>IF(K284="","",D284-C284+1)</f>
        <v/>
      </c>
      <c r="F284" s="9">
        <f>IF(K284="","",INDEX(Интервалы!$E$2:$E$513,MATCH(K284,Интервалы!$G$2:$G$513,0)))</f>
        <v/>
      </c>
      <c r="G284" s="5">
        <f>IF(K284="","",IF(H284=1,INDEX('По дням'!$B$2:$B$4000,MATCH(C284,'По дням'!$A$2:$A$4000,0)),"по периодам ставки"))</f>
        <v/>
      </c>
      <c r="H284" s="5">
        <f>IF(K284="","",INDEX(Интервалы!$I$2:$I$513,MATCH(K284,Интервалы!$G$2:$G$513,0)))</f>
        <v/>
      </c>
      <c r="I284" s="9">
        <f>IF(K284="","",INDEX(Интервалы!$F$2:$F$513,MATCH(K284,Интервалы!$G$2:$G$513,0)))</f>
        <v/>
      </c>
      <c r="J284" s="9">
        <f>IF(K284="","",INDEX(Интервалы!$H$2:$H$513,MATCH(K284,Интервалы!$G$2:$G$513,0)))</f>
        <v/>
      </c>
      <c r="K284">
        <f>IFERROR(SMALL(Интервалы!$G$2:$G$513,278),"")</f>
        <v/>
      </c>
      <c r="L284">
        <f>IF(K284="","",INDEX(Интервалы!$B$2:$B$513,MATCH(K284,Интервалы!$G$2:$G$513,0)))</f>
        <v/>
      </c>
    </row>
    <row r="285">
      <c r="A285" s="5">
        <f>IF(K285="","",279)</f>
        <v/>
      </c>
      <c r="B285" s="5">
        <f>IF(K285="","",INDEX(Интервалы!$A$2:$A$513,MATCH(K285,Интервалы!$G$2:$G$513,0)))</f>
        <v/>
      </c>
      <c r="C285" s="17">
        <f>IF(K285="","",INDEX(Интервалы!$C$2:$C$513,MATCH(K285,Интервалы!$G$2:$G$513,0)))</f>
        <v/>
      </c>
      <c r="D285" s="17">
        <f>IF(K285="","",INDEX(Интервалы!$D$2:$D$513,MATCH(K285,Интервалы!$G$2:$G$513,0)))</f>
        <v/>
      </c>
      <c r="E285" s="5">
        <f>IF(K285="","",D285-C285+1)</f>
        <v/>
      </c>
      <c r="F285" s="9">
        <f>IF(K285="","",INDEX(Интервалы!$E$2:$E$513,MATCH(K285,Интервалы!$G$2:$G$513,0)))</f>
        <v/>
      </c>
      <c r="G285" s="5">
        <f>IF(K285="","",IF(H285=1,INDEX('По дням'!$B$2:$B$4000,MATCH(C285,'По дням'!$A$2:$A$4000,0)),"по периодам ставки"))</f>
        <v/>
      </c>
      <c r="H285" s="5">
        <f>IF(K285="","",INDEX(Интервалы!$I$2:$I$513,MATCH(K285,Интервалы!$G$2:$G$513,0)))</f>
        <v/>
      </c>
      <c r="I285" s="9">
        <f>IF(K285="","",INDEX(Интервалы!$F$2:$F$513,MATCH(K285,Интервалы!$G$2:$G$513,0)))</f>
        <v/>
      </c>
      <c r="J285" s="9">
        <f>IF(K285="","",INDEX(Интервалы!$H$2:$H$513,MATCH(K285,Интервалы!$G$2:$G$513,0)))</f>
        <v/>
      </c>
      <c r="K285">
        <f>IFERROR(SMALL(Интервалы!$G$2:$G$513,279),"")</f>
        <v/>
      </c>
      <c r="L285">
        <f>IF(K285="","",INDEX(Интервалы!$B$2:$B$513,MATCH(K285,Интервалы!$G$2:$G$513,0)))</f>
        <v/>
      </c>
    </row>
    <row r="286">
      <c r="A286" s="5">
        <f>IF(K286="","",280)</f>
        <v/>
      </c>
      <c r="B286" s="5">
        <f>IF(K286="","",INDEX(Интервалы!$A$2:$A$513,MATCH(K286,Интервалы!$G$2:$G$513,0)))</f>
        <v/>
      </c>
      <c r="C286" s="17">
        <f>IF(K286="","",INDEX(Интервалы!$C$2:$C$513,MATCH(K286,Интервалы!$G$2:$G$513,0)))</f>
        <v/>
      </c>
      <c r="D286" s="17">
        <f>IF(K286="","",INDEX(Интервалы!$D$2:$D$513,MATCH(K286,Интервалы!$G$2:$G$513,0)))</f>
        <v/>
      </c>
      <c r="E286" s="5">
        <f>IF(K286="","",D286-C286+1)</f>
        <v/>
      </c>
      <c r="F286" s="9">
        <f>IF(K286="","",INDEX(Интервалы!$E$2:$E$513,MATCH(K286,Интервалы!$G$2:$G$513,0)))</f>
        <v/>
      </c>
      <c r="G286" s="5">
        <f>IF(K286="","",IF(H286=1,INDEX('По дням'!$B$2:$B$4000,MATCH(C286,'По дням'!$A$2:$A$4000,0)),"по периодам ставки"))</f>
        <v/>
      </c>
      <c r="H286" s="5">
        <f>IF(K286="","",INDEX(Интервалы!$I$2:$I$513,MATCH(K286,Интервалы!$G$2:$G$513,0)))</f>
        <v/>
      </c>
      <c r="I286" s="9">
        <f>IF(K286="","",INDEX(Интервалы!$F$2:$F$513,MATCH(K286,Интервалы!$G$2:$G$513,0)))</f>
        <v/>
      </c>
      <c r="J286" s="9">
        <f>IF(K286="","",INDEX(Интервалы!$H$2:$H$513,MATCH(K286,Интервалы!$G$2:$G$513,0)))</f>
        <v/>
      </c>
      <c r="K286">
        <f>IFERROR(SMALL(Интервалы!$G$2:$G$513,280),"")</f>
        <v/>
      </c>
      <c r="L286">
        <f>IF(K286="","",INDEX(Интервалы!$B$2:$B$513,MATCH(K286,Интервалы!$G$2:$G$513,0)))</f>
        <v/>
      </c>
    </row>
    <row r="287">
      <c r="A287" s="5">
        <f>IF(K287="","",281)</f>
        <v/>
      </c>
      <c r="B287" s="5">
        <f>IF(K287="","",INDEX(Интервалы!$A$2:$A$513,MATCH(K287,Интервалы!$G$2:$G$513,0)))</f>
        <v/>
      </c>
      <c r="C287" s="17">
        <f>IF(K287="","",INDEX(Интервалы!$C$2:$C$513,MATCH(K287,Интервалы!$G$2:$G$513,0)))</f>
        <v/>
      </c>
      <c r="D287" s="17">
        <f>IF(K287="","",INDEX(Интервалы!$D$2:$D$513,MATCH(K287,Интервалы!$G$2:$G$513,0)))</f>
        <v/>
      </c>
      <c r="E287" s="5">
        <f>IF(K287="","",D287-C287+1)</f>
        <v/>
      </c>
      <c r="F287" s="9">
        <f>IF(K287="","",INDEX(Интервалы!$E$2:$E$513,MATCH(K287,Интервалы!$G$2:$G$513,0)))</f>
        <v/>
      </c>
      <c r="G287" s="5">
        <f>IF(K287="","",IF(H287=1,INDEX('По дням'!$B$2:$B$4000,MATCH(C287,'По дням'!$A$2:$A$4000,0)),"по периодам ставки"))</f>
        <v/>
      </c>
      <c r="H287" s="5">
        <f>IF(K287="","",INDEX(Интервалы!$I$2:$I$513,MATCH(K287,Интервалы!$G$2:$G$513,0)))</f>
        <v/>
      </c>
      <c r="I287" s="9">
        <f>IF(K287="","",INDEX(Интервалы!$F$2:$F$513,MATCH(K287,Интервалы!$G$2:$G$513,0)))</f>
        <v/>
      </c>
      <c r="J287" s="9">
        <f>IF(K287="","",INDEX(Интервалы!$H$2:$H$513,MATCH(K287,Интервалы!$G$2:$G$513,0)))</f>
        <v/>
      </c>
      <c r="K287">
        <f>IFERROR(SMALL(Интервалы!$G$2:$G$513,281),"")</f>
        <v/>
      </c>
      <c r="L287">
        <f>IF(K287="","",INDEX(Интервалы!$B$2:$B$513,MATCH(K287,Интервалы!$G$2:$G$513,0)))</f>
        <v/>
      </c>
    </row>
    <row r="288">
      <c r="A288" s="5">
        <f>IF(K288="","",282)</f>
        <v/>
      </c>
      <c r="B288" s="5">
        <f>IF(K288="","",INDEX(Интервалы!$A$2:$A$513,MATCH(K288,Интервалы!$G$2:$G$513,0)))</f>
        <v/>
      </c>
      <c r="C288" s="17">
        <f>IF(K288="","",INDEX(Интервалы!$C$2:$C$513,MATCH(K288,Интервалы!$G$2:$G$513,0)))</f>
        <v/>
      </c>
      <c r="D288" s="17">
        <f>IF(K288="","",INDEX(Интервалы!$D$2:$D$513,MATCH(K288,Интервалы!$G$2:$G$513,0)))</f>
        <v/>
      </c>
      <c r="E288" s="5">
        <f>IF(K288="","",D288-C288+1)</f>
        <v/>
      </c>
      <c r="F288" s="9">
        <f>IF(K288="","",INDEX(Интервалы!$E$2:$E$513,MATCH(K288,Интервалы!$G$2:$G$513,0)))</f>
        <v/>
      </c>
      <c r="G288" s="5">
        <f>IF(K288="","",IF(H288=1,INDEX('По дням'!$B$2:$B$4000,MATCH(C288,'По дням'!$A$2:$A$4000,0)),"по периодам ставки"))</f>
        <v/>
      </c>
      <c r="H288" s="5">
        <f>IF(K288="","",INDEX(Интервалы!$I$2:$I$513,MATCH(K288,Интервалы!$G$2:$G$513,0)))</f>
        <v/>
      </c>
      <c r="I288" s="9">
        <f>IF(K288="","",INDEX(Интервалы!$F$2:$F$513,MATCH(K288,Интервалы!$G$2:$G$513,0)))</f>
        <v/>
      </c>
      <c r="J288" s="9">
        <f>IF(K288="","",INDEX(Интервалы!$H$2:$H$513,MATCH(K288,Интервалы!$G$2:$G$513,0)))</f>
        <v/>
      </c>
      <c r="K288">
        <f>IFERROR(SMALL(Интервалы!$G$2:$G$513,282),"")</f>
        <v/>
      </c>
      <c r="L288">
        <f>IF(K288="","",INDEX(Интервалы!$B$2:$B$513,MATCH(K288,Интервалы!$G$2:$G$513,0)))</f>
        <v/>
      </c>
    </row>
    <row r="289">
      <c r="A289" s="5">
        <f>IF(K289="","",283)</f>
        <v/>
      </c>
      <c r="B289" s="5">
        <f>IF(K289="","",INDEX(Интервалы!$A$2:$A$513,MATCH(K289,Интервалы!$G$2:$G$513,0)))</f>
        <v/>
      </c>
      <c r="C289" s="17">
        <f>IF(K289="","",INDEX(Интервалы!$C$2:$C$513,MATCH(K289,Интервалы!$G$2:$G$513,0)))</f>
        <v/>
      </c>
      <c r="D289" s="17">
        <f>IF(K289="","",INDEX(Интервалы!$D$2:$D$513,MATCH(K289,Интервалы!$G$2:$G$513,0)))</f>
        <v/>
      </c>
      <c r="E289" s="5">
        <f>IF(K289="","",D289-C289+1)</f>
        <v/>
      </c>
      <c r="F289" s="9">
        <f>IF(K289="","",INDEX(Интервалы!$E$2:$E$513,MATCH(K289,Интервалы!$G$2:$G$513,0)))</f>
        <v/>
      </c>
      <c r="G289" s="5">
        <f>IF(K289="","",IF(H289=1,INDEX('По дням'!$B$2:$B$4000,MATCH(C289,'По дням'!$A$2:$A$4000,0)),"по периодам ставки"))</f>
        <v/>
      </c>
      <c r="H289" s="5">
        <f>IF(K289="","",INDEX(Интервалы!$I$2:$I$513,MATCH(K289,Интервалы!$G$2:$G$513,0)))</f>
        <v/>
      </c>
      <c r="I289" s="9">
        <f>IF(K289="","",INDEX(Интервалы!$F$2:$F$513,MATCH(K289,Интервалы!$G$2:$G$513,0)))</f>
        <v/>
      </c>
      <c r="J289" s="9">
        <f>IF(K289="","",INDEX(Интервалы!$H$2:$H$513,MATCH(K289,Интервалы!$G$2:$G$513,0)))</f>
        <v/>
      </c>
      <c r="K289">
        <f>IFERROR(SMALL(Интервалы!$G$2:$G$513,283),"")</f>
        <v/>
      </c>
      <c r="L289">
        <f>IF(K289="","",INDEX(Интервалы!$B$2:$B$513,MATCH(K289,Интервалы!$G$2:$G$513,0)))</f>
        <v/>
      </c>
    </row>
    <row r="290">
      <c r="A290" s="5">
        <f>IF(K290="","",284)</f>
        <v/>
      </c>
      <c r="B290" s="5">
        <f>IF(K290="","",INDEX(Интервалы!$A$2:$A$513,MATCH(K290,Интервалы!$G$2:$G$513,0)))</f>
        <v/>
      </c>
      <c r="C290" s="17">
        <f>IF(K290="","",INDEX(Интервалы!$C$2:$C$513,MATCH(K290,Интервалы!$G$2:$G$513,0)))</f>
        <v/>
      </c>
      <c r="D290" s="17">
        <f>IF(K290="","",INDEX(Интервалы!$D$2:$D$513,MATCH(K290,Интервалы!$G$2:$G$513,0)))</f>
        <v/>
      </c>
      <c r="E290" s="5">
        <f>IF(K290="","",D290-C290+1)</f>
        <v/>
      </c>
      <c r="F290" s="9">
        <f>IF(K290="","",INDEX(Интервалы!$E$2:$E$513,MATCH(K290,Интервалы!$G$2:$G$513,0)))</f>
        <v/>
      </c>
      <c r="G290" s="5">
        <f>IF(K290="","",IF(H290=1,INDEX('По дням'!$B$2:$B$4000,MATCH(C290,'По дням'!$A$2:$A$4000,0)),"по периодам ставки"))</f>
        <v/>
      </c>
      <c r="H290" s="5">
        <f>IF(K290="","",INDEX(Интервалы!$I$2:$I$513,MATCH(K290,Интервалы!$G$2:$G$513,0)))</f>
        <v/>
      </c>
      <c r="I290" s="9">
        <f>IF(K290="","",INDEX(Интервалы!$F$2:$F$513,MATCH(K290,Интервалы!$G$2:$G$513,0)))</f>
        <v/>
      </c>
      <c r="J290" s="9">
        <f>IF(K290="","",INDEX(Интервалы!$H$2:$H$513,MATCH(K290,Интервалы!$G$2:$G$513,0)))</f>
        <v/>
      </c>
      <c r="K290">
        <f>IFERROR(SMALL(Интервалы!$G$2:$G$513,284),"")</f>
        <v/>
      </c>
      <c r="L290">
        <f>IF(K290="","",INDEX(Интервалы!$B$2:$B$513,MATCH(K290,Интервалы!$G$2:$G$513,0)))</f>
        <v/>
      </c>
    </row>
    <row r="291">
      <c r="A291" s="5">
        <f>IF(K291="","",285)</f>
        <v/>
      </c>
      <c r="B291" s="5">
        <f>IF(K291="","",INDEX(Интервалы!$A$2:$A$513,MATCH(K291,Интервалы!$G$2:$G$513,0)))</f>
        <v/>
      </c>
      <c r="C291" s="17">
        <f>IF(K291="","",INDEX(Интервалы!$C$2:$C$513,MATCH(K291,Интервалы!$G$2:$G$513,0)))</f>
        <v/>
      </c>
      <c r="D291" s="17">
        <f>IF(K291="","",INDEX(Интервалы!$D$2:$D$513,MATCH(K291,Интервалы!$G$2:$G$513,0)))</f>
        <v/>
      </c>
      <c r="E291" s="5">
        <f>IF(K291="","",D291-C291+1)</f>
        <v/>
      </c>
      <c r="F291" s="9">
        <f>IF(K291="","",INDEX(Интервалы!$E$2:$E$513,MATCH(K291,Интервалы!$G$2:$G$513,0)))</f>
        <v/>
      </c>
      <c r="G291" s="5">
        <f>IF(K291="","",IF(H291=1,INDEX('По дням'!$B$2:$B$4000,MATCH(C291,'По дням'!$A$2:$A$4000,0)),"по периодам ставки"))</f>
        <v/>
      </c>
      <c r="H291" s="5">
        <f>IF(K291="","",INDEX(Интервалы!$I$2:$I$513,MATCH(K291,Интервалы!$G$2:$G$513,0)))</f>
        <v/>
      </c>
      <c r="I291" s="9">
        <f>IF(K291="","",INDEX(Интервалы!$F$2:$F$513,MATCH(K291,Интервалы!$G$2:$G$513,0)))</f>
        <v/>
      </c>
      <c r="J291" s="9">
        <f>IF(K291="","",INDEX(Интервалы!$H$2:$H$513,MATCH(K291,Интервалы!$G$2:$G$513,0)))</f>
        <v/>
      </c>
      <c r="K291">
        <f>IFERROR(SMALL(Интервалы!$G$2:$G$513,285),"")</f>
        <v/>
      </c>
      <c r="L291">
        <f>IF(K291="","",INDEX(Интервалы!$B$2:$B$513,MATCH(K291,Интервалы!$G$2:$G$513,0)))</f>
        <v/>
      </c>
    </row>
    <row r="292">
      <c r="A292" s="5">
        <f>IF(K292="","",286)</f>
        <v/>
      </c>
      <c r="B292" s="5">
        <f>IF(K292="","",INDEX(Интервалы!$A$2:$A$513,MATCH(K292,Интервалы!$G$2:$G$513,0)))</f>
        <v/>
      </c>
      <c r="C292" s="17">
        <f>IF(K292="","",INDEX(Интервалы!$C$2:$C$513,MATCH(K292,Интервалы!$G$2:$G$513,0)))</f>
        <v/>
      </c>
      <c r="D292" s="17">
        <f>IF(K292="","",INDEX(Интервалы!$D$2:$D$513,MATCH(K292,Интервалы!$G$2:$G$513,0)))</f>
        <v/>
      </c>
      <c r="E292" s="5">
        <f>IF(K292="","",D292-C292+1)</f>
        <v/>
      </c>
      <c r="F292" s="9">
        <f>IF(K292="","",INDEX(Интервалы!$E$2:$E$513,MATCH(K292,Интервалы!$G$2:$G$513,0)))</f>
        <v/>
      </c>
      <c r="G292" s="5">
        <f>IF(K292="","",IF(H292=1,INDEX('По дням'!$B$2:$B$4000,MATCH(C292,'По дням'!$A$2:$A$4000,0)),"по периодам ставки"))</f>
        <v/>
      </c>
      <c r="H292" s="5">
        <f>IF(K292="","",INDEX(Интервалы!$I$2:$I$513,MATCH(K292,Интервалы!$G$2:$G$513,0)))</f>
        <v/>
      </c>
      <c r="I292" s="9">
        <f>IF(K292="","",INDEX(Интервалы!$F$2:$F$513,MATCH(K292,Интервалы!$G$2:$G$513,0)))</f>
        <v/>
      </c>
      <c r="J292" s="9">
        <f>IF(K292="","",INDEX(Интервалы!$H$2:$H$513,MATCH(K292,Интервалы!$G$2:$G$513,0)))</f>
        <v/>
      </c>
      <c r="K292">
        <f>IFERROR(SMALL(Интервалы!$G$2:$G$513,286),"")</f>
        <v/>
      </c>
      <c r="L292">
        <f>IF(K292="","",INDEX(Интервалы!$B$2:$B$513,MATCH(K292,Интервалы!$G$2:$G$513,0)))</f>
        <v/>
      </c>
    </row>
    <row r="293">
      <c r="A293" s="5">
        <f>IF(K293="","",287)</f>
        <v/>
      </c>
      <c r="B293" s="5">
        <f>IF(K293="","",INDEX(Интервалы!$A$2:$A$513,MATCH(K293,Интервалы!$G$2:$G$513,0)))</f>
        <v/>
      </c>
      <c r="C293" s="17">
        <f>IF(K293="","",INDEX(Интервалы!$C$2:$C$513,MATCH(K293,Интервалы!$G$2:$G$513,0)))</f>
        <v/>
      </c>
      <c r="D293" s="17">
        <f>IF(K293="","",INDEX(Интервалы!$D$2:$D$513,MATCH(K293,Интервалы!$G$2:$G$513,0)))</f>
        <v/>
      </c>
      <c r="E293" s="5">
        <f>IF(K293="","",D293-C293+1)</f>
        <v/>
      </c>
      <c r="F293" s="9">
        <f>IF(K293="","",INDEX(Интервалы!$E$2:$E$513,MATCH(K293,Интервалы!$G$2:$G$513,0)))</f>
        <v/>
      </c>
      <c r="G293" s="5">
        <f>IF(K293="","",IF(H293=1,INDEX('По дням'!$B$2:$B$4000,MATCH(C293,'По дням'!$A$2:$A$4000,0)),"по периодам ставки"))</f>
        <v/>
      </c>
      <c r="H293" s="5">
        <f>IF(K293="","",INDEX(Интервалы!$I$2:$I$513,MATCH(K293,Интервалы!$G$2:$G$513,0)))</f>
        <v/>
      </c>
      <c r="I293" s="9">
        <f>IF(K293="","",INDEX(Интервалы!$F$2:$F$513,MATCH(K293,Интервалы!$G$2:$G$513,0)))</f>
        <v/>
      </c>
      <c r="J293" s="9">
        <f>IF(K293="","",INDEX(Интервалы!$H$2:$H$513,MATCH(K293,Интервалы!$G$2:$G$513,0)))</f>
        <v/>
      </c>
      <c r="K293">
        <f>IFERROR(SMALL(Интервалы!$G$2:$G$513,287),"")</f>
        <v/>
      </c>
      <c r="L293">
        <f>IF(K293="","",INDEX(Интервалы!$B$2:$B$513,MATCH(K293,Интервалы!$G$2:$G$513,0)))</f>
        <v/>
      </c>
    </row>
    <row r="294">
      <c r="A294" s="5">
        <f>IF(K294="","",288)</f>
        <v/>
      </c>
      <c r="B294" s="5">
        <f>IF(K294="","",INDEX(Интервалы!$A$2:$A$513,MATCH(K294,Интервалы!$G$2:$G$513,0)))</f>
        <v/>
      </c>
      <c r="C294" s="17">
        <f>IF(K294="","",INDEX(Интервалы!$C$2:$C$513,MATCH(K294,Интервалы!$G$2:$G$513,0)))</f>
        <v/>
      </c>
      <c r="D294" s="17">
        <f>IF(K294="","",INDEX(Интервалы!$D$2:$D$513,MATCH(K294,Интервалы!$G$2:$G$513,0)))</f>
        <v/>
      </c>
      <c r="E294" s="5">
        <f>IF(K294="","",D294-C294+1)</f>
        <v/>
      </c>
      <c r="F294" s="9">
        <f>IF(K294="","",INDEX(Интервалы!$E$2:$E$513,MATCH(K294,Интервалы!$G$2:$G$513,0)))</f>
        <v/>
      </c>
      <c r="G294" s="5">
        <f>IF(K294="","",IF(H294=1,INDEX('По дням'!$B$2:$B$4000,MATCH(C294,'По дням'!$A$2:$A$4000,0)),"по периодам ставки"))</f>
        <v/>
      </c>
      <c r="H294" s="5">
        <f>IF(K294="","",INDEX(Интервалы!$I$2:$I$513,MATCH(K294,Интервалы!$G$2:$G$513,0)))</f>
        <v/>
      </c>
      <c r="I294" s="9">
        <f>IF(K294="","",INDEX(Интервалы!$F$2:$F$513,MATCH(K294,Интервалы!$G$2:$G$513,0)))</f>
        <v/>
      </c>
      <c r="J294" s="9">
        <f>IF(K294="","",INDEX(Интервалы!$H$2:$H$513,MATCH(K294,Интервалы!$G$2:$G$513,0)))</f>
        <v/>
      </c>
      <c r="K294">
        <f>IFERROR(SMALL(Интервалы!$G$2:$G$513,288),"")</f>
        <v/>
      </c>
      <c r="L294">
        <f>IF(K294="","",INDEX(Интервалы!$B$2:$B$513,MATCH(K294,Интервалы!$G$2:$G$513,0)))</f>
        <v/>
      </c>
    </row>
    <row r="295">
      <c r="A295" s="5">
        <f>IF(K295="","",289)</f>
        <v/>
      </c>
      <c r="B295" s="5">
        <f>IF(K295="","",INDEX(Интервалы!$A$2:$A$513,MATCH(K295,Интервалы!$G$2:$G$513,0)))</f>
        <v/>
      </c>
      <c r="C295" s="17">
        <f>IF(K295="","",INDEX(Интервалы!$C$2:$C$513,MATCH(K295,Интервалы!$G$2:$G$513,0)))</f>
        <v/>
      </c>
      <c r="D295" s="17">
        <f>IF(K295="","",INDEX(Интервалы!$D$2:$D$513,MATCH(K295,Интервалы!$G$2:$G$513,0)))</f>
        <v/>
      </c>
      <c r="E295" s="5">
        <f>IF(K295="","",D295-C295+1)</f>
        <v/>
      </c>
      <c r="F295" s="9">
        <f>IF(K295="","",INDEX(Интервалы!$E$2:$E$513,MATCH(K295,Интервалы!$G$2:$G$513,0)))</f>
        <v/>
      </c>
      <c r="G295" s="5">
        <f>IF(K295="","",IF(H295=1,INDEX('По дням'!$B$2:$B$4000,MATCH(C295,'По дням'!$A$2:$A$4000,0)),"по периодам ставки"))</f>
        <v/>
      </c>
      <c r="H295" s="5">
        <f>IF(K295="","",INDEX(Интервалы!$I$2:$I$513,MATCH(K295,Интервалы!$G$2:$G$513,0)))</f>
        <v/>
      </c>
      <c r="I295" s="9">
        <f>IF(K295="","",INDEX(Интервалы!$F$2:$F$513,MATCH(K295,Интервалы!$G$2:$G$513,0)))</f>
        <v/>
      </c>
      <c r="J295" s="9">
        <f>IF(K295="","",INDEX(Интервалы!$H$2:$H$513,MATCH(K295,Интервалы!$G$2:$G$513,0)))</f>
        <v/>
      </c>
      <c r="K295">
        <f>IFERROR(SMALL(Интервалы!$G$2:$G$513,289),"")</f>
        <v/>
      </c>
      <c r="L295">
        <f>IF(K295="","",INDEX(Интервалы!$B$2:$B$513,MATCH(K295,Интервалы!$G$2:$G$513,0)))</f>
        <v/>
      </c>
    </row>
    <row r="296">
      <c r="A296" s="5">
        <f>IF(K296="","",290)</f>
        <v/>
      </c>
      <c r="B296" s="5">
        <f>IF(K296="","",INDEX(Интервалы!$A$2:$A$513,MATCH(K296,Интервалы!$G$2:$G$513,0)))</f>
        <v/>
      </c>
      <c r="C296" s="17">
        <f>IF(K296="","",INDEX(Интервалы!$C$2:$C$513,MATCH(K296,Интервалы!$G$2:$G$513,0)))</f>
        <v/>
      </c>
      <c r="D296" s="17">
        <f>IF(K296="","",INDEX(Интервалы!$D$2:$D$513,MATCH(K296,Интервалы!$G$2:$G$513,0)))</f>
        <v/>
      </c>
      <c r="E296" s="5">
        <f>IF(K296="","",D296-C296+1)</f>
        <v/>
      </c>
      <c r="F296" s="9">
        <f>IF(K296="","",INDEX(Интервалы!$E$2:$E$513,MATCH(K296,Интервалы!$G$2:$G$513,0)))</f>
        <v/>
      </c>
      <c r="G296" s="5">
        <f>IF(K296="","",IF(H296=1,INDEX('По дням'!$B$2:$B$4000,MATCH(C296,'По дням'!$A$2:$A$4000,0)),"по периодам ставки"))</f>
        <v/>
      </c>
      <c r="H296" s="5">
        <f>IF(K296="","",INDEX(Интервалы!$I$2:$I$513,MATCH(K296,Интервалы!$G$2:$G$513,0)))</f>
        <v/>
      </c>
      <c r="I296" s="9">
        <f>IF(K296="","",INDEX(Интервалы!$F$2:$F$513,MATCH(K296,Интервалы!$G$2:$G$513,0)))</f>
        <v/>
      </c>
      <c r="J296" s="9">
        <f>IF(K296="","",INDEX(Интервалы!$H$2:$H$513,MATCH(K296,Интервалы!$G$2:$G$513,0)))</f>
        <v/>
      </c>
      <c r="K296">
        <f>IFERROR(SMALL(Интервалы!$G$2:$G$513,290),"")</f>
        <v/>
      </c>
      <c r="L296">
        <f>IF(K296="","",INDEX(Интервалы!$B$2:$B$513,MATCH(K296,Интервалы!$G$2:$G$513,0)))</f>
        <v/>
      </c>
    </row>
    <row r="297">
      <c r="A297" s="5">
        <f>IF(K297="","",291)</f>
        <v/>
      </c>
      <c r="B297" s="5">
        <f>IF(K297="","",INDEX(Интервалы!$A$2:$A$513,MATCH(K297,Интервалы!$G$2:$G$513,0)))</f>
        <v/>
      </c>
      <c r="C297" s="17">
        <f>IF(K297="","",INDEX(Интервалы!$C$2:$C$513,MATCH(K297,Интервалы!$G$2:$G$513,0)))</f>
        <v/>
      </c>
      <c r="D297" s="17">
        <f>IF(K297="","",INDEX(Интервалы!$D$2:$D$513,MATCH(K297,Интервалы!$G$2:$G$513,0)))</f>
        <v/>
      </c>
      <c r="E297" s="5">
        <f>IF(K297="","",D297-C297+1)</f>
        <v/>
      </c>
      <c r="F297" s="9">
        <f>IF(K297="","",INDEX(Интервалы!$E$2:$E$513,MATCH(K297,Интервалы!$G$2:$G$513,0)))</f>
        <v/>
      </c>
      <c r="G297" s="5">
        <f>IF(K297="","",IF(H297=1,INDEX('По дням'!$B$2:$B$4000,MATCH(C297,'По дням'!$A$2:$A$4000,0)),"по периодам ставки"))</f>
        <v/>
      </c>
      <c r="H297" s="5">
        <f>IF(K297="","",INDEX(Интервалы!$I$2:$I$513,MATCH(K297,Интервалы!$G$2:$G$513,0)))</f>
        <v/>
      </c>
      <c r="I297" s="9">
        <f>IF(K297="","",INDEX(Интервалы!$F$2:$F$513,MATCH(K297,Интервалы!$G$2:$G$513,0)))</f>
        <v/>
      </c>
      <c r="J297" s="9">
        <f>IF(K297="","",INDEX(Интервалы!$H$2:$H$513,MATCH(K297,Интервалы!$G$2:$G$513,0)))</f>
        <v/>
      </c>
      <c r="K297">
        <f>IFERROR(SMALL(Интервалы!$G$2:$G$513,291),"")</f>
        <v/>
      </c>
      <c r="L297">
        <f>IF(K297="","",INDEX(Интервалы!$B$2:$B$513,MATCH(K297,Интервалы!$G$2:$G$513,0)))</f>
        <v/>
      </c>
    </row>
    <row r="298">
      <c r="A298" s="5">
        <f>IF(K298="","",292)</f>
        <v/>
      </c>
      <c r="B298" s="5">
        <f>IF(K298="","",INDEX(Интервалы!$A$2:$A$513,MATCH(K298,Интервалы!$G$2:$G$513,0)))</f>
        <v/>
      </c>
      <c r="C298" s="17">
        <f>IF(K298="","",INDEX(Интервалы!$C$2:$C$513,MATCH(K298,Интервалы!$G$2:$G$513,0)))</f>
        <v/>
      </c>
      <c r="D298" s="17">
        <f>IF(K298="","",INDEX(Интервалы!$D$2:$D$513,MATCH(K298,Интервалы!$G$2:$G$513,0)))</f>
        <v/>
      </c>
      <c r="E298" s="5">
        <f>IF(K298="","",D298-C298+1)</f>
        <v/>
      </c>
      <c r="F298" s="9">
        <f>IF(K298="","",INDEX(Интервалы!$E$2:$E$513,MATCH(K298,Интервалы!$G$2:$G$513,0)))</f>
        <v/>
      </c>
      <c r="G298" s="5">
        <f>IF(K298="","",IF(H298=1,INDEX('По дням'!$B$2:$B$4000,MATCH(C298,'По дням'!$A$2:$A$4000,0)),"по периодам ставки"))</f>
        <v/>
      </c>
      <c r="H298" s="5">
        <f>IF(K298="","",INDEX(Интервалы!$I$2:$I$513,MATCH(K298,Интервалы!$G$2:$G$513,0)))</f>
        <v/>
      </c>
      <c r="I298" s="9">
        <f>IF(K298="","",INDEX(Интервалы!$F$2:$F$513,MATCH(K298,Интервалы!$G$2:$G$513,0)))</f>
        <v/>
      </c>
      <c r="J298" s="9">
        <f>IF(K298="","",INDEX(Интервалы!$H$2:$H$513,MATCH(K298,Интервалы!$G$2:$G$513,0)))</f>
        <v/>
      </c>
      <c r="K298">
        <f>IFERROR(SMALL(Интервалы!$G$2:$G$513,292),"")</f>
        <v/>
      </c>
      <c r="L298">
        <f>IF(K298="","",INDEX(Интервалы!$B$2:$B$513,MATCH(K298,Интервалы!$G$2:$G$513,0)))</f>
        <v/>
      </c>
    </row>
    <row r="299">
      <c r="A299" s="5">
        <f>IF(K299="","",293)</f>
        <v/>
      </c>
      <c r="B299" s="5">
        <f>IF(K299="","",INDEX(Интервалы!$A$2:$A$513,MATCH(K299,Интервалы!$G$2:$G$513,0)))</f>
        <v/>
      </c>
      <c r="C299" s="17">
        <f>IF(K299="","",INDEX(Интервалы!$C$2:$C$513,MATCH(K299,Интервалы!$G$2:$G$513,0)))</f>
        <v/>
      </c>
      <c r="D299" s="17">
        <f>IF(K299="","",INDEX(Интервалы!$D$2:$D$513,MATCH(K299,Интервалы!$G$2:$G$513,0)))</f>
        <v/>
      </c>
      <c r="E299" s="5">
        <f>IF(K299="","",D299-C299+1)</f>
        <v/>
      </c>
      <c r="F299" s="9">
        <f>IF(K299="","",INDEX(Интервалы!$E$2:$E$513,MATCH(K299,Интервалы!$G$2:$G$513,0)))</f>
        <v/>
      </c>
      <c r="G299" s="5">
        <f>IF(K299="","",IF(H299=1,INDEX('По дням'!$B$2:$B$4000,MATCH(C299,'По дням'!$A$2:$A$4000,0)),"по периодам ставки"))</f>
        <v/>
      </c>
      <c r="H299" s="5">
        <f>IF(K299="","",INDEX(Интервалы!$I$2:$I$513,MATCH(K299,Интервалы!$G$2:$G$513,0)))</f>
        <v/>
      </c>
      <c r="I299" s="9">
        <f>IF(K299="","",INDEX(Интервалы!$F$2:$F$513,MATCH(K299,Интервалы!$G$2:$G$513,0)))</f>
        <v/>
      </c>
      <c r="J299" s="9">
        <f>IF(K299="","",INDEX(Интервалы!$H$2:$H$513,MATCH(K299,Интервалы!$G$2:$G$513,0)))</f>
        <v/>
      </c>
      <c r="K299">
        <f>IFERROR(SMALL(Интервалы!$G$2:$G$513,293),"")</f>
        <v/>
      </c>
      <c r="L299">
        <f>IF(K299="","",INDEX(Интервалы!$B$2:$B$513,MATCH(K299,Интервалы!$G$2:$G$513,0)))</f>
        <v/>
      </c>
    </row>
    <row r="300">
      <c r="A300" s="5">
        <f>IF(K300="","",294)</f>
        <v/>
      </c>
      <c r="B300" s="5">
        <f>IF(K300="","",INDEX(Интервалы!$A$2:$A$513,MATCH(K300,Интервалы!$G$2:$G$513,0)))</f>
        <v/>
      </c>
      <c r="C300" s="17">
        <f>IF(K300="","",INDEX(Интервалы!$C$2:$C$513,MATCH(K300,Интервалы!$G$2:$G$513,0)))</f>
        <v/>
      </c>
      <c r="D300" s="17">
        <f>IF(K300="","",INDEX(Интервалы!$D$2:$D$513,MATCH(K300,Интервалы!$G$2:$G$513,0)))</f>
        <v/>
      </c>
      <c r="E300" s="5">
        <f>IF(K300="","",D300-C300+1)</f>
        <v/>
      </c>
      <c r="F300" s="9">
        <f>IF(K300="","",INDEX(Интервалы!$E$2:$E$513,MATCH(K300,Интервалы!$G$2:$G$513,0)))</f>
        <v/>
      </c>
      <c r="G300" s="5">
        <f>IF(K300="","",IF(H300=1,INDEX('По дням'!$B$2:$B$4000,MATCH(C300,'По дням'!$A$2:$A$4000,0)),"по периодам ставки"))</f>
        <v/>
      </c>
      <c r="H300" s="5">
        <f>IF(K300="","",INDEX(Интервалы!$I$2:$I$513,MATCH(K300,Интервалы!$G$2:$G$513,0)))</f>
        <v/>
      </c>
      <c r="I300" s="9">
        <f>IF(K300="","",INDEX(Интервалы!$F$2:$F$513,MATCH(K300,Интервалы!$G$2:$G$513,0)))</f>
        <v/>
      </c>
      <c r="J300" s="9">
        <f>IF(K300="","",INDEX(Интервалы!$H$2:$H$513,MATCH(K300,Интервалы!$G$2:$G$513,0)))</f>
        <v/>
      </c>
      <c r="K300">
        <f>IFERROR(SMALL(Интервалы!$G$2:$G$513,294),"")</f>
        <v/>
      </c>
      <c r="L300">
        <f>IF(K300="","",INDEX(Интервалы!$B$2:$B$513,MATCH(K300,Интервалы!$G$2:$G$513,0)))</f>
        <v/>
      </c>
    </row>
    <row r="301">
      <c r="A301" s="5">
        <f>IF(K301="","",295)</f>
        <v/>
      </c>
      <c r="B301" s="5">
        <f>IF(K301="","",INDEX(Интервалы!$A$2:$A$513,MATCH(K301,Интервалы!$G$2:$G$513,0)))</f>
        <v/>
      </c>
      <c r="C301" s="17">
        <f>IF(K301="","",INDEX(Интервалы!$C$2:$C$513,MATCH(K301,Интервалы!$G$2:$G$513,0)))</f>
        <v/>
      </c>
      <c r="D301" s="17">
        <f>IF(K301="","",INDEX(Интервалы!$D$2:$D$513,MATCH(K301,Интервалы!$G$2:$G$513,0)))</f>
        <v/>
      </c>
      <c r="E301" s="5">
        <f>IF(K301="","",D301-C301+1)</f>
        <v/>
      </c>
      <c r="F301" s="9">
        <f>IF(K301="","",INDEX(Интервалы!$E$2:$E$513,MATCH(K301,Интервалы!$G$2:$G$513,0)))</f>
        <v/>
      </c>
      <c r="G301" s="5">
        <f>IF(K301="","",IF(H301=1,INDEX('По дням'!$B$2:$B$4000,MATCH(C301,'По дням'!$A$2:$A$4000,0)),"по периодам ставки"))</f>
        <v/>
      </c>
      <c r="H301" s="5">
        <f>IF(K301="","",INDEX(Интервалы!$I$2:$I$513,MATCH(K301,Интервалы!$G$2:$G$513,0)))</f>
        <v/>
      </c>
      <c r="I301" s="9">
        <f>IF(K301="","",INDEX(Интервалы!$F$2:$F$513,MATCH(K301,Интервалы!$G$2:$G$513,0)))</f>
        <v/>
      </c>
      <c r="J301" s="9">
        <f>IF(K301="","",INDEX(Интервалы!$H$2:$H$513,MATCH(K301,Интервалы!$G$2:$G$513,0)))</f>
        <v/>
      </c>
      <c r="K301">
        <f>IFERROR(SMALL(Интервалы!$G$2:$G$513,295),"")</f>
        <v/>
      </c>
      <c r="L301">
        <f>IF(K301="","",INDEX(Интервалы!$B$2:$B$513,MATCH(K301,Интервалы!$G$2:$G$513,0)))</f>
        <v/>
      </c>
    </row>
    <row r="302">
      <c r="A302" s="5">
        <f>IF(K302="","",296)</f>
        <v/>
      </c>
      <c r="B302" s="5">
        <f>IF(K302="","",INDEX(Интервалы!$A$2:$A$513,MATCH(K302,Интервалы!$G$2:$G$513,0)))</f>
        <v/>
      </c>
      <c r="C302" s="17">
        <f>IF(K302="","",INDEX(Интервалы!$C$2:$C$513,MATCH(K302,Интервалы!$G$2:$G$513,0)))</f>
        <v/>
      </c>
      <c r="D302" s="17">
        <f>IF(K302="","",INDEX(Интервалы!$D$2:$D$513,MATCH(K302,Интервалы!$G$2:$G$513,0)))</f>
        <v/>
      </c>
      <c r="E302" s="5">
        <f>IF(K302="","",D302-C302+1)</f>
        <v/>
      </c>
      <c r="F302" s="9">
        <f>IF(K302="","",INDEX(Интервалы!$E$2:$E$513,MATCH(K302,Интервалы!$G$2:$G$513,0)))</f>
        <v/>
      </c>
      <c r="G302" s="5">
        <f>IF(K302="","",IF(H302=1,INDEX('По дням'!$B$2:$B$4000,MATCH(C302,'По дням'!$A$2:$A$4000,0)),"по периодам ставки"))</f>
        <v/>
      </c>
      <c r="H302" s="5">
        <f>IF(K302="","",INDEX(Интервалы!$I$2:$I$513,MATCH(K302,Интервалы!$G$2:$G$513,0)))</f>
        <v/>
      </c>
      <c r="I302" s="9">
        <f>IF(K302="","",INDEX(Интервалы!$F$2:$F$513,MATCH(K302,Интервалы!$G$2:$G$513,0)))</f>
        <v/>
      </c>
      <c r="J302" s="9">
        <f>IF(K302="","",INDEX(Интервалы!$H$2:$H$513,MATCH(K302,Интервалы!$G$2:$G$513,0)))</f>
        <v/>
      </c>
      <c r="K302">
        <f>IFERROR(SMALL(Интервалы!$G$2:$G$513,296),"")</f>
        <v/>
      </c>
      <c r="L302">
        <f>IF(K302="","",INDEX(Интервалы!$B$2:$B$513,MATCH(K302,Интервалы!$G$2:$G$513,0)))</f>
        <v/>
      </c>
    </row>
    <row r="303">
      <c r="A303" s="5">
        <f>IF(K303="","",297)</f>
        <v/>
      </c>
      <c r="B303" s="5">
        <f>IF(K303="","",INDEX(Интервалы!$A$2:$A$513,MATCH(K303,Интервалы!$G$2:$G$513,0)))</f>
        <v/>
      </c>
      <c r="C303" s="17">
        <f>IF(K303="","",INDEX(Интервалы!$C$2:$C$513,MATCH(K303,Интервалы!$G$2:$G$513,0)))</f>
        <v/>
      </c>
      <c r="D303" s="17">
        <f>IF(K303="","",INDEX(Интервалы!$D$2:$D$513,MATCH(K303,Интервалы!$G$2:$G$513,0)))</f>
        <v/>
      </c>
      <c r="E303" s="5">
        <f>IF(K303="","",D303-C303+1)</f>
        <v/>
      </c>
      <c r="F303" s="9">
        <f>IF(K303="","",INDEX(Интервалы!$E$2:$E$513,MATCH(K303,Интервалы!$G$2:$G$513,0)))</f>
        <v/>
      </c>
      <c r="G303" s="5">
        <f>IF(K303="","",IF(H303=1,INDEX('По дням'!$B$2:$B$4000,MATCH(C303,'По дням'!$A$2:$A$4000,0)),"по периодам ставки"))</f>
        <v/>
      </c>
      <c r="H303" s="5">
        <f>IF(K303="","",INDEX(Интервалы!$I$2:$I$513,MATCH(K303,Интервалы!$G$2:$G$513,0)))</f>
        <v/>
      </c>
      <c r="I303" s="9">
        <f>IF(K303="","",INDEX(Интервалы!$F$2:$F$513,MATCH(K303,Интервалы!$G$2:$G$513,0)))</f>
        <v/>
      </c>
      <c r="J303" s="9">
        <f>IF(K303="","",INDEX(Интервалы!$H$2:$H$513,MATCH(K303,Интервалы!$G$2:$G$513,0)))</f>
        <v/>
      </c>
      <c r="K303">
        <f>IFERROR(SMALL(Интервалы!$G$2:$G$513,297),"")</f>
        <v/>
      </c>
      <c r="L303">
        <f>IF(K303="","",INDEX(Интервалы!$B$2:$B$513,MATCH(K303,Интервалы!$G$2:$G$513,0)))</f>
        <v/>
      </c>
    </row>
    <row r="304">
      <c r="A304" s="5">
        <f>IF(K304="","",298)</f>
        <v/>
      </c>
      <c r="B304" s="5">
        <f>IF(K304="","",INDEX(Интервалы!$A$2:$A$513,MATCH(K304,Интервалы!$G$2:$G$513,0)))</f>
        <v/>
      </c>
      <c r="C304" s="17">
        <f>IF(K304="","",INDEX(Интервалы!$C$2:$C$513,MATCH(K304,Интервалы!$G$2:$G$513,0)))</f>
        <v/>
      </c>
      <c r="D304" s="17">
        <f>IF(K304="","",INDEX(Интервалы!$D$2:$D$513,MATCH(K304,Интервалы!$G$2:$G$513,0)))</f>
        <v/>
      </c>
      <c r="E304" s="5">
        <f>IF(K304="","",D304-C304+1)</f>
        <v/>
      </c>
      <c r="F304" s="9">
        <f>IF(K304="","",INDEX(Интервалы!$E$2:$E$513,MATCH(K304,Интервалы!$G$2:$G$513,0)))</f>
        <v/>
      </c>
      <c r="G304" s="5">
        <f>IF(K304="","",IF(H304=1,INDEX('По дням'!$B$2:$B$4000,MATCH(C304,'По дням'!$A$2:$A$4000,0)),"по периодам ставки"))</f>
        <v/>
      </c>
      <c r="H304" s="5">
        <f>IF(K304="","",INDEX(Интервалы!$I$2:$I$513,MATCH(K304,Интервалы!$G$2:$G$513,0)))</f>
        <v/>
      </c>
      <c r="I304" s="9">
        <f>IF(K304="","",INDEX(Интервалы!$F$2:$F$513,MATCH(K304,Интервалы!$G$2:$G$513,0)))</f>
        <v/>
      </c>
      <c r="J304" s="9">
        <f>IF(K304="","",INDEX(Интервалы!$H$2:$H$513,MATCH(K304,Интервалы!$G$2:$G$513,0)))</f>
        <v/>
      </c>
      <c r="K304">
        <f>IFERROR(SMALL(Интервалы!$G$2:$G$513,298),"")</f>
        <v/>
      </c>
      <c r="L304">
        <f>IF(K304="","",INDEX(Интервалы!$B$2:$B$513,MATCH(K304,Интервалы!$G$2:$G$513,0)))</f>
        <v/>
      </c>
    </row>
    <row r="305">
      <c r="A305" s="5">
        <f>IF(K305="","",299)</f>
        <v/>
      </c>
      <c r="B305" s="5">
        <f>IF(K305="","",INDEX(Интервалы!$A$2:$A$513,MATCH(K305,Интервалы!$G$2:$G$513,0)))</f>
        <v/>
      </c>
      <c r="C305" s="17">
        <f>IF(K305="","",INDEX(Интервалы!$C$2:$C$513,MATCH(K305,Интервалы!$G$2:$G$513,0)))</f>
        <v/>
      </c>
      <c r="D305" s="17">
        <f>IF(K305="","",INDEX(Интервалы!$D$2:$D$513,MATCH(K305,Интервалы!$G$2:$G$513,0)))</f>
        <v/>
      </c>
      <c r="E305" s="5">
        <f>IF(K305="","",D305-C305+1)</f>
        <v/>
      </c>
      <c r="F305" s="9">
        <f>IF(K305="","",INDEX(Интервалы!$E$2:$E$513,MATCH(K305,Интервалы!$G$2:$G$513,0)))</f>
        <v/>
      </c>
      <c r="G305" s="5">
        <f>IF(K305="","",IF(H305=1,INDEX('По дням'!$B$2:$B$4000,MATCH(C305,'По дням'!$A$2:$A$4000,0)),"по периодам ставки"))</f>
        <v/>
      </c>
      <c r="H305" s="5">
        <f>IF(K305="","",INDEX(Интервалы!$I$2:$I$513,MATCH(K305,Интервалы!$G$2:$G$513,0)))</f>
        <v/>
      </c>
      <c r="I305" s="9">
        <f>IF(K305="","",INDEX(Интервалы!$F$2:$F$513,MATCH(K305,Интервалы!$G$2:$G$513,0)))</f>
        <v/>
      </c>
      <c r="J305" s="9">
        <f>IF(K305="","",INDEX(Интервалы!$H$2:$H$513,MATCH(K305,Интервалы!$G$2:$G$513,0)))</f>
        <v/>
      </c>
      <c r="K305">
        <f>IFERROR(SMALL(Интервалы!$G$2:$G$513,299),"")</f>
        <v/>
      </c>
      <c r="L305">
        <f>IF(K305="","",INDEX(Интервалы!$B$2:$B$513,MATCH(K305,Интервалы!$G$2:$G$513,0)))</f>
        <v/>
      </c>
    </row>
    <row r="306">
      <c r="A306" s="5">
        <f>IF(K306="","",300)</f>
        <v/>
      </c>
      <c r="B306" s="5">
        <f>IF(K306="","",INDEX(Интервалы!$A$2:$A$513,MATCH(K306,Интервалы!$G$2:$G$513,0)))</f>
        <v/>
      </c>
      <c r="C306" s="17">
        <f>IF(K306="","",INDEX(Интервалы!$C$2:$C$513,MATCH(K306,Интервалы!$G$2:$G$513,0)))</f>
        <v/>
      </c>
      <c r="D306" s="17">
        <f>IF(K306="","",INDEX(Интервалы!$D$2:$D$513,MATCH(K306,Интервалы!$G$2:$G$513,0)))</f>
        <v/>
      </c>
      <c r="E306" s="5">
        <f>IF(K306="","",D306-C306+1)</f>
        <v/>
      </c>
      <c r="F306" s="9">
        <f>IF(K306="","",INDEX(Интервалы!$E$2:$E$513,MATCH(K306,Интервалы!$G$2:$G$513,0)))</f>
        <v/>
      </c>
      <c r="G306" s="5">
        <f>IF(K306="","",IF(H306=1,INDEX('По дням'!$B$2:$B$4000,MATCH(C306,'По дням'!$A$2:$A$4000,0)),"по периодам ставки"))</f>
        <v/>
      </c>
      <c r="H306" s="5">
        <f>IF(K306="","",INDEX(Интервалы!$I$2:$I$513,MATCH(K306,Интервалы!$G$2:$G$513,0)))</f>
        <v/>
      </c>
      <c r="I306" s="9">
        <f>IF(K306="","",INDEX(Интервалы!$F$2:$F$513,MATCH(K306,Интервалы!$G$2:$G$513,0)))</f>
        <v/>
      </c>
      <c r="J306" s="9">
        <f>IF(K306="","",INDEX(Интервалы!$H$2:$H$513,MATCH(K306,Интервалы!$G$2:$G$513,0)))</f>
        <v/>
      </c>
      <c r="K306">
        <f>IFERROR(SMALL(Интервалы!$G$2:$G$513,300),"")</f>
        <v/>
      </c>
      <c r="L306">
        <f>IF(K306="","",INDEX(Интервалы!$B$2:$B$513,MATCH(K306,Интервалы!$G$2:$G$513,0)))</f>
        <v/>
      </c>
    </row>
    <row r="307">
      <c r="A307" s="5">
        <f>IF(K307="","",301)</f>
        <v/>
      </c>
      <c r="B307" s="5">
        <f>IF(K307="","",INDEX(Интервалы!$A$2:$A$513,MATCH(K307,Интервалы!$G$2:$G$513,0)))</f>
        <v/>
      </c>
      <c r="C307" s="17">
        <f>IF(K307="","",INDEX(Интервалы!$C$2:$C$513,MATCH(K307,Интервалы!$G$2:$G$513,0)))</f>
        <v/>
      </c>
      <c r="D307" s="17">
        <f>IF(K307="","",INDEX(Интервалы!$D$2:$D$513,MATCH(K307,Интервалы!$G$2:$G$513,0)))</f>
        <v/>
      </c>
      <c r="E307" s="5">
        <f>IF(K307="","",D307-C307+1)</f>
        <v/>
      </c>
      <c r="F307" s="9">
        <f>IF(K307="","",INDEX(Интервалы!$E$2:$E$513,MATCH(K307,Интервалы!$G$2:$G$513,0)))</f>
        <v/>
      </c>
      <c r="G307" s="5">
        <f>IF(K307="","",IF(H307=1,INDEX('По дням'!$B$2:$B$4000,MATCH(C307,'По дням'!$A$2:$A$4000,0)),"по периодам ставки"))</f>
        <v/>
      </c>
      <c r="H307" s="5">
        <f>IF(K307="","",INDEX(Интервалы!$I$2:$I$513,MATCH(K307,Интервалы!$G$2:$G$513,0)))</f>
        <v/>
      </c>
      <c r="I307" s="9">
        <f>IF(K307="","",INDEX(Интервалы!$F$2:$F$513,MATCH(K307,Интервалы!$G$2:$G$513,0)))</f>
        <v/>
      </c>
      <c r="J307" s="9">
        <f>IF(K307="","",INDEX(Интервалы!$H$2:$H$513,MATCH(K307,Интервалы!$G$2:$G$513,0)))</f>
        <v/>
      </c>
      <c r="K307">
        <f>IFERROR(SMALL(Интервалы!$G$2:$G$513,301),"")</f>
        <v/>
      </c>
      <c r="L307">
        <f>IF(K307="","",INDEX(Интервалы!$B$2:$B$513,MATCH(K307,Интервалы!$G$2:$G$513,0)))</f>
        <v/>
      </c>
    </row>
    <row r="308">
      <c r="A308" s="5">
        <f>IF(K308="","",302)</f>
        <v/>
      </c>
      <c r="B308" s="5">
        <f>IF(K308="","",INDEX(Интервалы!$A$2:$A$513,MATCH(K308,Интервалы!$G$2:$G$513,0)))</f>
        <v/>
      </c>
      <c r="C308" s="17">
        <f>IF(K308="","",INDEX(Интервалы!$C$2:$C$513,MATCH(K308,Интервалы!$G$2:$G$513,0)))</f>
        <v/>
      </c>
      <c r="D308" s="17">
        <f>IF(K308="","",INDEX(Интервалы!$D$2:$D$513,MATCH(K308,Интервалы!$G$2:$G$513,0)))</f>
        <v/>
      </c>
      <c r="E308" s="5">
        <f>IF(K308="","",D308-C308+1)</f>
        <v/>
      </c>
      <c r="F308" s="9">
        <f>IF(K308="","",INDEX(Интервалы!$E$2:$E$513,MATCH(K308,Интервалы!$G$2:$G$513,0)))</f>
        <v/>
      </c>
      <c r="G308" s="5">
        <f>IF(K308="","",IF(H308=1,INDEX('По дням'!$B$2:$B$4000,MATCH(C308,'По дням'!$A$2:$A$4000,0)),"по периодам ставки"))</f>
        <v/>
      </c>
      <c r="H308" s="5">
        <f>IF(K308="","",INDEX(Интервалы!$I$2:$I$513,MATCH(K308,Интервалы!$G$2:$G$513,0)))</f>
        <v/>
      </c>
      <c r="I308" s="9">
        <f>IF(K308="","",INDEX(Интервалы!$F$2:$F$513,MATCH(K308,Интервалы!$G$2:$G$513,0)))</f>
        <v/>
      </c>
      <c r="J308" s="9">
        <f>IF(K308="","",INDEX(Интервалы!$H$2:$H$513,MATCH(K308,Интервалы!$G$2:$G$513,0)))</f>
        <v/>
      </c>
      <c r="K308">
        <f>IFERROR(SMALL(Интервалы!$G$2:$G$513,302),"")</f>
        <v/>
      </c>
      <c r="L308">
        <f>IF(K308="","",INDEX(Интервалы!$B$2:$B$513,MATCH(K308,Интервалы!$G$2:$G$513,0)))</f>
        <v/>
      </c>
    </row>
    <row r="309">
      <c r="A309" s="5">
        <f>IF(K309="","",303)</f>
        <v/>
      </c>
      <c r="B309" s="5">
        <f>IF(K309="","",INDEX(Интервалы!$A$2:$A$513,MATCH(K309,Интервалы!$G$2:$G$513,0)))</f>
        <v/>
      </c>
      <c r="C309" s="17">
        <f>IF(K309="","",INDEX(Интервалы!$C$2:$C$513,MATCH(K309,Интервалы!$G$2:$G$513,0)))</f>
        <v/>
      </c>
      <c r="D309" s="17">
        <f>IF(K309="","",INDEX(Интервалы!$D$2:$D$513,MATCH(K309,Интервалы!$G$2:$G$513,0)))</f>
        <v/>
      </c>
      <c r="E309" s="5">
        <f>IF(K309="","",D309-C309+1)</f>
        <v/>
      </c>
      <c r="F309" s="9">
        <f>IF(K309="","",INDEX(Интервалы!$E$2:$E$513,MATCH(K309,Интервалы!$G$2:$G$513,0)))</f>
        <v/>
      </c>
      <c r="G309" s="5">
        <f>IF(K309="","",IF(H309=1,INDEX('По дням'!$B$2:$B$4000,MATCH(C309,'По дням'!$A$2:$A$4000,0)),"по периодам ставки"))</f>
        <v/>
      </c>
      <c r="H309" s="5">
        <f>IF(K309="","",INDEX(Интервалы!$I$2:$I$513,MATCH(K309,Интервалы!$G$2:$G$513,0)))</f>
        <v/>
      </c>
      <c r="I309" s="9">
        <f>IF(K309="","",INDEX(Интервалы!$F$2:$F$513,MATCH(K309,Интервалы!$G$2:$G$513,0)))</f>
        <v/>
      </c>
      <c r="J309" s="9">
        <f>IF(K309="","",INDEX(Интервалы!$H$2:$H$513,MATCH(K309,Интервалы!$G$2:$G$513,0)))</f>
        <v/>
      </c>
      <c r="K309">
        <f>IFERROR(SMALL(Интервалы!$G$2:$G$513,303),"")</f>
        <v/>
      </c>
      <c r="L309">
        <f>IF(K309="","",INDEX(Интервалы!$B$2:$B$513,MATCH(K309,Интервалы!$G$2:$G$513,0)))</f>
        <v/>
      </c>
    </row>
    <row r="310">
      <c r="A310" s="5">
        <f>IF(K310="","",304)</f>
        <v/>
      </c>
      <c r="B310" s="5">
        <f>IF(K310="","",INDEX(Интервалы!$A$2:$A$513,MATCH(K310,Интервалы!$G$2:$G$513,0)))</f>
        <v/>
      </c>
      <c r="C310" s="17">
        <f>IF(K310="","",INDEX(Интервалы!$C$2:$C$513,MATCH(K310,Интервалы!$G$2:$G$513,0)))</f>
        <v/>
      </c>
      <c r="D310" s="17">
        <f>IF(K310="","",INDEX(Интервалы!$D$2:$D$513,MATCH(K310,Интервалы!$G$2:$G$513,0)))</f>
        <v/>
      </c>
      <c r="E310" s="5">
        <f>IF(K310="","",D310-C310+1)</f>
        <v/>
      </c>
      <c r="F310" s="9">
        <f>IF(K310="","",INDEX(Интервалы!$E$2:$E$513,MATCH(K310,Интервалы!$G$2:$G$513,0)))</f>
        <v/>
      </c>
      <c r="G310" s="5">
        <f>IF(K310="","",IF(H310=1,INDEX('По дням'!$B$2:$B$4000,MATCH(C310,'По дням'!$A$2:$A$4000,0)),"по периодам ставки"))</f>
        <v/>
      </c>
      <c r="H310" s="5">
        <f>IF(K310="","",INDEX(Интервалы!$I$2:$I$513,MATCH(K310,Интервалы!$G$2:$G$513,0)))</f>
        <v/>
      </c>
      <c r="I310" s="9">
        <f>IF(K310="","",INDEX(Интервалы!$F$2:$F$513,MATCH(K310,Интервалы!$G$2:$G$513,0)))</f>
        <v/>
      </c>
      <c r="J310" s="9">
        <f>IF(K310="","",INDEX(Интервалы!$H$2:$H$513,MATCH(K310,Интервалы!$G$2:$G$513,0)))</f>
        <v/>
      </c>
      <c r="K310">
        <f>IFERROR(SMALL(Интервалы!$G$2:$G$513,304),"")</f>
        <v/>
      </c>
      <c r="L310">
        <f>IF(K310="","",INDEX(Интервалы!$B$2:$B$513,MATCH(K310,Интервалы!$G$2:$G$513,0)))</f>
        <v/>
      </c>
    </row>
    <row r="311">
      <c r="A311" s="5">
        <f>IF(K311="","",305)</f>
        <v/>
      </c>
      <c r="B311" s="5">
        <f>IF(K311="","",INDEX(Интервалы!$A$2:$A$513,MATCH(K311,Интервалы!$G$2:$G$513,0)))</f>
        <v/>
      </c>
      <c r="C311" s="17">
        <f>IF(K311="","",INDEX(Интервалы!$C$2:$C$513,MATCH(K311,Интервалы!$G$2:$G$513,0)))</f>
        <v/>
      </c>
      <c r="D311" s="17">
        <f>IF(K311="","",INDEX(Интервалы!$D$2:$D$513,MATCH(K311,Интервалы!$G$2:$G$513,0)))</f>
        <v/>
      </c>
      <c r="E311" s="5">
        <f>IF(K311="","",D311-C311+1)</f>
        <v/>
      </c>
      <c r="F311" s="9">
        <f>IF(K311="","",INDEX(Интервалы!$E$2:$E$513,MATCH(K311,Интервалы!$G$2:$G$513,0)))</f>
        <v/>
      </c>
      <c r="G311" s="5">
        <f>IF(K311="","",IF(H311=1,INDEX('По дням'!$B$2:$B$4000,MATCH(C311,'По дням'!$A$2:$A$4000,0)),"по периодам ставки"))</f>
        <v/>
      </c>
      <c r="H311" s="5">
        <f>IF(K311="","",INDEX(Интервалы!$I$2:$I$513,MATCH(K311,Интервалы!$G$2:$G$513,0)))</f>
        <v/>
      </c>
      <c r="I311" s="9">
        <f>IF(K311="","",INDEX(Интервалы!$F$2:$F$513,MATCH(K311,Интервалы!$G$2:$G$513,0)))</f>
        <v/>
      </c>
      <c r="J311" s="9">
        <f>IF(K311="","",INDEX(Интервалы!$H$2:$H$513,MATCH(K311,Интервалы!$G$2:$G$513,0)))</f>
        <v/>
      </c>
      <c r="K311">
        <f>IFERROR(SMALL(Интервалы!$G$2:$G$513,305),"")</f>
        <v/>
      </c>
      <c r="L311">
        <f>IF(K311="","",INDEX(Интервалы!$B$2:$B$513,MATCH(K311,Интервалы!$G$2:$G$513,0)))</f>
        <v/>
      </c>
    </row>
    <row r="312">
      <c r="A312" s="5">
        <f>IF(K312="","",306)</f>
        <v/>
      </c>
      <c r="B312" s="5">
        <f>IF(K312="","",INDEX(Интервалы!$A$2:$A$513,MATCH(K312,Интервалы!$G$2:$G$513,0)))</f>
        <v/>
      </c>
      <c r="C312" s="17">
        <f>IF(K312="","",INDEX(Интервалы!$C$2:$C$513,MATCH(K312,Интервалы!$G$2:$G$513,0)))</f>
        <v/>
      </c>
      <c r="D312" s="17">
        <f>IF(K312="","",INDEX(Интервалы!$D$2:$D$513,MATCH(K312,Интервалы!$G$2:$G$513,0)))</f>
        <v/>
      </c>
      <c r="E312" s="5">
        <f>IF(K312="","",D312-C312+1)</f>
        <v/>
      </c>
      <c r="F312" s="9">
        <f>IF(K312="","",INDEX(Интервалы!$E$2:$E$513,MATCH(K312,Интервалы!$G$2:$G$513,0)))</f>
        <v/>
      </c>
      <c r="G312" s="5">
        <f>IF(K312="","",IF(H312=1,INDEX('По дням'!$B$2:$B$4000,MATCH(C312,'По дням'!$A$2:$A$4000,0)),"по периодам ставки"))</f>
        <v/>
      </c>
      <c r="H312" s="5">
        <f>IF(K312="","",INDEX(Интервалы!$I$2:$I$513,MATCH(K312,Интервалы!$G$2:$G$513,0)))</f>
        <v/>
      </c>
      <c r="I312" s="9">
        <f>IF(K312="","",INDEX(Интервалы!$F$2:$F$513,MATCH(K312,Интервалы!$G$2:$G$513,0)))</f>
        <v/>
      </c>
      <c r="J312" s="9">
        <f>IF(K312="","",INDEX(Интервалы!$H$2:$H$513,MATCH(K312,Интервалы!$G$2:$G$513,0)))</f>
        <v/>
      </c>
      <c r="K312">
        <f>IFERROR(SMALL(Интервалы!$G$2:$G$513,306),"")</f>
        <v/>
      </c>
      <c r="L312">
        <f>IF(K312="","",INDEX(Интервалы!$B$2:$B$513,MATCH(K312,Интервалы!$G$2:$G$513,0)))</f>
        <v/>
      </c>
    </row>
    <row r="313">
      <c r="A313" s="5">
        <f>IF(K313="","",307)</f>
        <v/>
      </c>
      <c r="B313" s="5">
        <f>IF(K313="","",INDEX(Интервалы!$A$2:$A$513,MATCH(K313,Интервалы!$G$2:$G$513,0)))</f>
        <v/>
      </c>
      <c r="C313" s="17">
        <f>IF(K313="","",INDEX(Интервалы!$C$2:$C$513,MATCH(K313,Интервалы!$G$2:$G$513,0)))</f>
        <v/>
      </c>
      <c r="D313" s="17">
        <f>IF(K313="","",INDEX(Интервалы!$D$2:$D$513,MATCH(K313,Интервалы!$G$2:$G$513,0)))</f>
        <v/>
      </c>
      <c r="E313" s="5">
        <f>IF(K313="","",D313-C313+1)</f>
        <v/>
      </c>
      <c r="F313" s="9">
        <f>IF(K313="","",INDEX(Интервалы!$E$2:$E$513,MATCH(K313,Интервалы!$G$2:$G$513,0)))</f>
        <v/>
      </c>
      <c r="G313" s="5">
        <f>IF(K313="","",IF(H313=1,INDEX('По дням'!$B$2:$B$4000,MATCH(C313,'По дням'!$A$2:$A$4000,0)),"по периодам ставки"))</f>
        <v/>
      </c>
      <c r="H313" s="5">
        <f>IF(K313="","",INDEX(Интервалы!$I$2:$I$513,MATCH(K313,Интервалы!$G$2:$G$513,0)))</f>
        <v/>
      </c>
      <c r="I313" s="9">
        <f>IF(K313="","",INDEX(Интервалы!$F$2:$F$513,MATCH(K313,Интервалы!$G$2:$G$513,0)))</f>
        <v/>
      </c>
      <c r="J313" s="9">
        <f>IF(K313="","",INDEX(Интервалы!$H$2:$H$513,MATCH(K313,Интервалы!$G$2:$G$513,0)))</f>
        <v/>
      </c>
      <c r="K313">
        <f>IFERROR(SMALL(Интервалы!$G$2:$G$513,307),"")</f>
        <v/>
      </c>
      <c r="L313">
        <f>IF(K313="","",INDEX(Интервалы!$B$2:$B$513,MATCH(K313,Интервалы!$G$2:$G$513,0)))</f>
        <v/>
      </c>
    </row>
    <row r="314">
      <c r="A314" s="5">
        <f>IF(K314="","",308)</f>
        <v/>
      </c>
      <c r="B314" s="5">
        <f>IF(K314="","",INDEX(Интервалы!$A$2:$A$513,MATCH(K314,Интервалы!$G$2:$G$513,0)))</f>
        <v/>
      </c>
      <c r="C314" s="17">
        <f>IF(K314="","",INDEX(Интервалы!$C$2:$C$513,MATCH(K314,Интервалы!$G$2:$G$513,0)))</f>
        <v/>
      </c>
      <c r="D314" s="17">
        <f>IF(K314="","",INDEX(Интервалы!$D$2:$D$513,MATCH(K314,Интервалы!$G$2:$G$513,0)))</f>
        <v/>
      </c>
      <c r="E314" s="5">
        <f>IF(K314="","",D314-C314+1)</f>
        <v/>
      </c>
      <c r="F314" s="9">
        <f>IF(K314="","",INDEX(Интервалы!$E$2:$E$513,MATCH(K314,Интервалы!$G$2:$G$513,0)))</f>
        <v/>
      </c>
      <c r="G314" s="5">
        <f>IF(K314="","",IF(H314=1,INDEX('По дням'!$B$2:$B$4000,MATCH(C314,'По дням'!$A$2:$A$4000,0)),"по периодам ставки"))</f>
        <v/>
      </c>
      <c r="H314" s="5">
        <f>IF(K314="","",INDEX(Интервалы!$I$2:$I$513,MATCH(K314,Интервалы!$G$2:$G$513,0)))</f>
        <v/>
      </c>
      <c r="I314" s="9">
        <f>IF(K314="","",INDEX(Интервалы!$F$2:$F$513,MATCH(K314,Интервалы!$G$2:$G$513,0)))</f>
        <v/>
      </c>
      <c r="J314" s="9">
        <f>IF(K314="","",INDEX(Интервалы!$H$2:$H$513,MATCH(K314,Интервалы!$G$2:$G$513,0)))</f>
        <v/>
      </c>
      <c r="K314">
        <f>IFERROR(SMALL(Интервалы!$G$2:$G$513,308),"")</f>
        <v/>
      </c>
      <c r="L314">
        <f>IF(K314="","",INDEX(Интервалы!$B$2:$B$513,MATCH(K314,Интервалы!$G$2:$G$513,0)))</f>
        <v/>
      </c>
    </row>
    <row r="315">
      <c r="A315" s="5">
        <f>IF(K315="","",309)</f>
        <v/>
      </c>
      <c r="B315" s="5">
        <f>IF(K315="","",INDEX(Интервалы!$A$2:$A$513,MATCH(K315,Интервалы!$G$2:$G$513,0)))</f>
        <v/>
      </c>
      <c r="C315" s="17">
        <f>IF(K315="","",INDEX(Интервалы!$C$2:$C$513,MATCH(K315,Интервалы!$G$2:$G$513,0)))</f>
        <v/>
      </c>
      <c r="D315" s="17">
        <f>IF(K315="","",INDEX(Интервалы!$D$2:$D$513,MATCH(K315,Интервалы!$G$2:$G$513,0)))</f>
        <v/>
      </c>
      <c r="E315" s="5">
        <f>IF(K315="","",D315-C315+1)</f>
        <v/>
      </c>
      <c r="F315" s="9">
        <f>IF(K315="","",INDEX(Интервалы!$E$2:$E$513,MATCH(K315,Интервалы!$G$2:$G$513,0)))</f>
        <v/>
      </c>
      <c r="G315" s="5">
        <f>IF(K315="","",IF(H315=1,INDEX('По дням'!$B$2:$B$4000,MATCH(C315,'По дням'!$A$2:$A$4000,0)),"по периодам ставки"))</f>
        <v/>
      </c>
      <c r="H315" s="5">
        <f>IF(K315="","",INDEX(Интервалы!$I$2:$I$513,MATCH(K315,Интервалы!$G$2:$G$513,0)))</f>
        <v/>
      </c>
      <c r="I315" s="9">
        <f>IF(K315="","",INDEX(Интервалы!$F$2:$F$513,MATCH(K315,Интервалы!$G$2:$G$513,0)))</f>
        <v/>
      </c>
      <c r="J315" s="9">
        <f>IF(K315="","",INDEX(Интервалы!$H$2:$H$513,MATCH(K315,Интервалы!$G$2:$G$513,0)))</f>
        <v/>
      </c>
      <c r="K315">
        <f>IFERROR(SMALL(Интервалы!$G$2:$G$513,309),"")</f>
        <v/>
      </c>
      <c r="L315">
        <f>IF(K315="","",INDEX(Интервалы!$B$2:$B$513,MATCH(K315,Интервалы!$G$2:$G$513,0)))</f>
        <v/>
      </c>
    </row>
    <row r="316">
      <c r="A316" s="5">
        <f>IF(K316="","",310)</f>
        <v/>
      </c>
      <c r="B316" s="5">
        <f>IF(K316="","",INDEX(Интервалы!$A$2:$A$513,MATCH(K316,Интервалы!$G$2:$G$513,0)))</f>
        <v/>
      </c>
      <c r="C316" s="17">
        <f>IF(K316="","",INDEX(Интервалы!$C$2:$C$513,MATCH(K316,Интервалы!$G$2:$G$513,0)))</f>
        <v/>
      </c>
      <c r="D316" s="17">
        <f>IF(K316="","",INDEX(Интервалы!$D$2:$D$513,MATCH(K316,Интервалы!$G$2:$G$513,0)))</f>
        <v/>
      </c>
      <c r="E316" s="5">
        <f>IF(K316="","",D316-C316+1)</f>
        <v/>
      </c>
      <c r="F316" s="9">
        <f>IF(K316="","",INDEX(Интервалы!$E$2:$E$513,MATCH(K316,Интервалы!$G$2:$G$513,0)))</f>
        <v/>
      </c>
      <c r="G316" s="5">
        <f>IF(K316="","",IF(H316=1,INDEX('По дням'!$B$2:$B$4000,MATCH(C316,'По дням'!$A$2:$A$4000,0)),"по периодам ставки"))</f>
        <v/>
      </c>
      <c r="H316" s="5">
        <f>IF(K316="","",INDEX(Интервалы!$I$2:$I$513,MATCH(K316,Интервалы!$G$2:$G$513,0)))</f>
        <v/>
      </c>
      <c r="I316" s="9">
        <f>IF(K316="","",INDEX(Интервалы!$F$2:$F$513,MATCH(K316,Интервалы!$G$2:$G$513,0)))</f>
        <v/>
      </c>
      <c r="J316" s="9">
        <f>IF(K316="","",INDEX(Интервалы!$H$2:$H$513,MATCH(K316,Интервалы!$G$2:$G$513,0)))</f>
        <v/>
      </c>
      <c r="K316">
        <f>IFERROR(SMALL(Интервалы!$G$2:$G$513,310),"")</f>
        <v/>
      </c>
      <c r="L316">
        <f>IF(K316="","",INDEX(Интервалы!$B$2:$B$513,MATCH(K316,Интервалы!$G$2:$G$513,0)))</f>
        <v/>
      </c>
    </row>
    <row r="317">
      <c r="A317" s="5">
        <f>IF(K317="","",311)</f>
        <v/>
      </c>
      <c r="B317" s="5">
        <f>IF(K317="","",INDEX(Интервалы!$A$2:$A$513,MATCH(K317,Интервалы!$G$2:$G$513,0)))</f>
        <v/>
      </c>
      <c r="C317" s="17">
        <f>IF(K317="","",INDEX(Интервалы!$C$2:$C$513,MATCH(K317,Интервалы!$G$2:$G$513,0)))</f>
        <v/>
      </c>
      <c r="D317" s="17">
        <f>IF(K317="","",INDEX(Интервалы!$D$2:$D$513,MATCH(K317,Интервалы!$G$2:$G$513,0)))</f>
        <v/>
      </c>
      <c r="E317" s="5">
        <f>IF(K317="","",D317-C317+1)</f>
        <v/>
      </c>
      <c r="F317" s="9">
        <f>IF(K317="","",INDEX(Интервалы!$E$2:$E$513,MATCH(K317,Интервалы!$G$2:$G$513,0)))</f>
        <v/>
      </c>
      <c r="G317" s="5">
        <f>IF(K317="","",IF(H317=1,INDEX('По дням'!$B$2:$B$4000,MATCH(C317,'По дням'!$A$2:$A$4000,0)),"по периодам ставки"))</f>
        <v/>
      </c>
      <c r="H317" s="5">
        <f>IF(K317="","",INDEX(Интервалы!$I$2:$I$513,MATCH(K317,Интервалы!$G$2:$G$513,0)))</f>
        <v/>
      </c>
      <c r="I317" s="9">
        <f>IF(K317="","",INDEX(Интервалы!$F$2:$F$513,MATCH(K317,Интервалы!$G$2:$G$513,0)))</f>
        <v/>
      </c>
      <c r="J317" s="9">
        <f>IF(K317="","",INDEX(Интервалы!$H$2:$H$513,MATCH(K317,Интервалы!$G$2:$G$513,0)))</f>
        <v/>
      </c>
      <c r="K317">
        <f>IFERROR(SMALL(Интервалы!$G$2:$G$513,311),"")</f>
        <v/>
      </c>
      <c r="L317">
        <f>IF(K317="","",INDEX(Интервалы!$B$2:$B$513,MATCH(K317,Интервалы!$G$2:$G$513,0)))</f>
        <v/>
      </c>
    </row>
    <row r="318">
      <c r="A318" s="5">
        <f>IF(K318="","",312)</f>
        <v/>
      </c>
      <c r="B318" s="5">
        <f>IF(K318="","",INDEX(Интервалы!$A$2:$A$513,MATCH(K318,Интервалы!$G$2:$G$513,0)))</f>
        <v/>
      </c>
      <c r="C318" s="17">
        <f>IF(K318="","",INDEX(Интервалы!$C$2:$C$513,MATCH(K318,Интервалы!$G$2:$G$513,0)))</f>
        <v/>
      </c>
      <c r="D318" s="17">
        <f>IF(K318="","",INDEX(Интервалы!$D$2:$D$513,MATCH(K318,Интервалы!$G$2:$G$513,0)))</f>
        <v/>
      </c>
      <c r="E318" s="5">
        <f>IF(K318="","",D318-C318+1)</f>
        <v/>
      </c>
      <c r="F318" s="9">
        <f>IF(K318="","",INDEX(Интервалы!$E$2:$E$513,MATCH(K318,Интервалы!$G$2:$G$513,0)))</f>
        <v/>
      </c>
      <c r="G318" s="5">
        <f>IF(K318="","",IF(H318=1,INDEX('По дням'!$B$2:$B$4000,MATCH(C318,'По дням'!$A$2:$A$4000,0)),"по периодам ставки"))</f>
        <v/>
      </c>
      <c r="H318" s="5">
        <f>IF(K318="","",INDEX(Интервалы!$I$2:$I$513,MATCH(K318,Интервалы!$G$2:$G$513,0)))</f>
        <v/>
      </c>
      <c r="I318" s="9">
        <f>IF(K318="","",INDEX(Интервалы!$F$2:$F$513,MATCH(K318,Интервалы!$G$2:$G$513,0)))</f>
        <v/>
      </c>
      <c r="J318" s="9">
        <f>IF(K318="","",INDEX(Интервалы!$H$2:$H$513,MATCH(K318,Интервалы!$G$2:$G$513,0)))</f>
        <v/>
      </c>
      <c r="K318">
        <f>IFERROR(SMALL(Интервалы!$G$2:$G$513,312),"")</f>
        <v/>
      </c>
      <c r="L318">
        <f>IF(K318="","",INDEX(Интервалы!$B$2:$B$513,MATCH(K318,Интервалы!$G$2:$G$513,0)))</f>
        <v/>
      </c>
    </row>
    <row r="319">
      <c r="A319" s="5">
        <f>IF(K319="","",313)</f>
        <v/>
      </c>
      <c r="B319" s="5">
        <f>IF(K319="","",INDEX(Интервалы!$A$2:$A$513,MATCH(K319,Интервалы!$G$2:$G$513,0)))</f>
        <v/>
      </c>
      <c r="C319" s="17">
        <f>IF(K319="","",INDEX(Интервалы!$C$2:$C$513,MATCH(K319,Интервалы!$G$2:$G$513,0)))</f>
        <v/>
      </c>
      <c r="D319" s="17">
        <f>IF(K319="","",INDEX(Интервалы!$D$2:$D$513,MATCH(K319,Интервалы!$G$2:$G$513,0)))</f>
        <v/>
      </c>
      <c r="E319" s="5">
        <f>IF(K319="","",D319-C319+1)</f>
        <v/>
      </c>
      <c r="F319" s="9">
        <f>IF(K319="","",INDEX(Интервалы!$E$2:$E$513,MATCH(K319,Интервалы!$G$2:$G$513,0)))</f>
        <v/>
      </c>
      <c r="G319" s="5">
        <f>IF(K319="","",IF(H319=1,INDEX('По дням'!$B$2:$B$4000,MATCH(C319,'По дням'!$A$2:$A$4000,0)),"по периодам ставки"))</f>
        <v/>
      </c>
      <c r="H319" s="5">
        <f>IF(K319="","",INDEX(Интервалы!$I$2:$I$513,MATCH(K319,Интервалы!$G$2:$G$513,0)))</f>
        <v/>
      </c>
      <c r="I319" s="9">
        <f>IF(K319="","",INDEX(Интервалы!$F$2:$F$513,MATCH(K319,Интервалы!$G$2:$G$513,0)))</f>
        <v/>
      </c>
      <c r="J319" s="9">
        <f>IF(K319="","",INDEX(Интервалы!$H$2:$H$513,MATCH(K319,Интервалы!$G$2:$G$513,0)))</f>
        <v/>
      </c>
      <c r="K319">
        <f>IFERROR(SMALL(Интервалы!$G$2:$G$513,313),"")</f>
        <v/>
      </c>
      <c r="L319">
        <f>IF(K319="","",INDEX(Интервалы!$B$2:$B$513,MATCH(K319,Интервалы!$G$2:$G$513,0)))</f>
        <v/>
      </c>
    </row>
    <row r="320">
      <c r="A320" s="5">
        <f>IF(K320="","",314)</f>
        <v/>
      </c>
      <c r="B320" s="5">
        <f>IF(K320="","",INDEX(Интервалы!$A$2:$A$513,MATCH(K320,Интервалы!$G$2:$G$513,0)))</f>
        <v/>
      </c>
      <c r="C320" s="17">
        <f>IF(K320="","",INDEX(Интервалы!$C$2:$C$513,MATCH(K320,Интервалы!$G$2:$G$513,0)))</f>
        <v/>
      </c>
      <c r="D320" s="17">
        <f>IF(K320="","",INDEX(Интервалы!$D$2:$D$513,MATCH(K320,Интервалы!$G$2:$G$513,0)))</f>
        <v/>
      </c>
      <c r="E320" s="5">
        <f>IF(K320="","",D320-C320+1)</f>
        <v/>
      </c>
      <c r="F320" s="9">
        <f>IF(K320="","",INDEX(Интервалы!$E$2:$E$513,MATCH(K320,Интервалы!$G$2:$G$513,0)))</f>
        <v/>
      </c>
      <c r="G320" s="5">
        <f>IF(K320="","",IF(H320=1,INDEX('По дням'!$B$2:$B$4000,MATCH(C320,'По дням'!$A$2:$A$4000,0)),"по периодам ставки"))</f>
        <v/>
      </c>
      <c r="H320" s="5">
        <f>IF(K320="","",INDEX(Интервалы!$I$2:$I$513,MATCH(K320,Интервалы!$G$2:$G$513,0)))</f>
        <v/>
      </c>
      <c r="I320" s="9">
        <f>IF(K320="","",INDEX(Интервалы!$F$2:$F$513,MATCH(K320,Интервалы!$G$2:$G$513,0)))</f>
        <v/>
      </c>
      <c r="J320" s="9">
        <f>IF(K320="","",INDEX(Интервалы!$H$2:$H$513,MATCH(K320,Интервалы!$G$2:$G$513,0)))</f>
        <v/>
      </c>
      <c r="K320">
        <f>IFERROR(SMALL(Интервалы!$G$2:$G$513,314),"")</f>
        <v/>
      </c>
      <c r="L320">
        <f>IF(K320="","",INDEX(Интервалы!$B$2:$B$513,MATCH(K320,Интервалы!$G$2:$G$513,0)))</f>
        <v/>
      </c>
    </row>
    <row r="321">
      <c r="A321" s="5">
        <f>IF(K321="","",315)</f>
        <v/>
      </c>
      <c r="B321" s="5">
        <f>IF(K321="","",INDEX(Интервалы!$A$2:$A$513,MATCH(K321,Интервалы!$G$2:$G$513,0)))</f>
        <v/>
      </c>
      <c r="C321" s="17">
        <f>IF(K321="","",INDEX(Интервалы!$C$2:$C$513,MATCH(K321,Интервалы!$G$2:$G$513,0)))</f>
        <v/>
      </c>
      <c r="D321" s="17">
        <f>IF(K321="","",INDEX(Интервалы!$D$2:$D$513,MATCH(K321,Интервалы!$G$2:$G$513,0)))</f>
        <v/>
      </c>
      <c r="E321" s="5">
        <f>IF(K321="","",D321-C321+1)</f>
        <v/>
      </c>
      <c r="F321" s="9">
        <f>IF(K321="","",INDEX(Интервалы!$E$2:$E$513,MATCH(K321,Интервалы!$G$2:$G$513,0)))</f>
        <v/>
      </c>
      <c r="G321" s="5">
        <f>IF(K321="","",IF(H321=1,INDEX('По дням'!$B$2:$B$4000,MATCH(C321,'По дням'!$A$2:$A$4000,0)),"по периодам ставки"))</f>
        <v/>
      </c>
      <c r="H321" s="5">
        <f>IF(K321="","",INDEX(Интервалы!$I$2:$I$513,MATCH(K321,Интервалы!$G$2:$G$513,0)))</f>
        <v/>
      </c>
      <c r="I321" s="9">
        <f>IF(K321="","",INDEX(Интервалы!$F$2:$F$513,MATCH(K321,Интервалы!$G$2:$G$513,0)))</f>
        <v/>
      </c>
      <c r="J321" s="9">
        <f>IF(K321="","",INDEX(Интервалы!$H$2:$H$513,MATCH(K321,Интервалы!$G$2:$G$513,0)))</f>
        <v/>
      </c>
      <c r="K321">
        <f>IFERROR(SMALL(Интервалы!$G$2:$G$513,315),"")</f>
        <v/>
      </c>
      <c r="L321">
        <f>IF(K321="","",INDEX(Интервалы!$B$2:$B$513,MATCH(K321,Интервалы!$G$2:$G$513,0)))</f>
        <v/>
      </c>
    </row>
    <row r="322">
      <c r="A322" s="5">
        <f>IF(K322="","",316)</f>
        <v/>
      </c>
      <c r="B322" s="5">
        <f>IF(K322="","",INDEX(Интервалы!$A$2:$A$513,MATCH(K322,Интервалы!$G$2:$G$513,0)))</f>
        <v/>
      </c>
      <c r="C322" s="17">
        <f>IF(K322="","",INDEX(Интервалы!$C$2:$C$513,MATCH(K322,Интервалы!$G$2:$G$513,0)))</f>
        <v/>
      </c>
      <c r="D322" s="17">
        <f>IF(K322="","",INDEX(Интервалы!$D$2:$D$513,MATCH(K322,Интервалы!$G$2:$G$513,0)))</f>
        <v/>
      </c>
      <c r="E322" s="5">
        <f>IF(K322="","",D322-C322+1)</f>
        <v/>
      </c>
      <c r="F322" s="9">
        <f>IF(K322="","",INDEX(Интервалы!$E$2:$E$513,MATCH(K322,Интервалы!$G$2:$G$513,0)))</f>
        <v/>
      </c>
      <c r="G322" s="5">
        <f>IF(K322="","",IF(H322=1,INDEX('По дням'!$B$2:$B$4000,MATCH(C322,'По дням'!$A$2:$A$4000,0)),"по периодам ставки"))</f>
        <v/>
      </c>
      <c r="H322" s="5">
        <f>IF(K322="","",INDEX(Интервалы!$I$2:$I$513,MATCH(K322,Интервалы!$G$2:$G$513,0)))</f>
        <v/>
      </c>
      <c r="I322" s="9">
        <f>IF(K322="","",INDEX(Интервалы!$F$2:$F$513,MATCH(K322,Интервалы!$G$2:$G$513,0)))</f>
        <v/>
      </c>
      <c r="J322" s="9">
        <f>IF(K322="","",INDEX(Интервалы!$H$2:$H$513,MATCH(K322,Интервалы!$G$2:$G$513,0)))</f>
        <v/>
      </c>
      <c r="K322">
        <f>IFERROR(SMALL(Интервалы!$G$2:$G$513,316),"")</f>
        <v/>
      </c>
      <c r="L322">
        <f>IF(K322="","",INDEX(Интервалы!$B$2:$B$513,MATCH(K322,Интервалы!$G$2:$G$513,0)))</f>
        <v/>
      </c>
    </row>
    <row r="323">
      <c r="A323" s="5">
        <f>IF(K323="","",317)</f>
        <v/>
      </c>
      <c r="B323" s="5">
        <f>IF(K323="","",INDEX(Интервалы!$A$2:$A$513,MATCH(K323,Интервалы!$G$2:$G$513,0)))</f>
        <v/>
      </c>
      <c r="C323" s="17">
        <f>IF(K323="","",INDEX(Интервалы!$C$2:$C$513,MATCH(K323,Интервалы!$G$2:$G$513,0)))</f>
        <v/>
      </c>
      <c r="D323" s="17">
        <f>IF(K323="","",INDEX(Интервалы!$D$2:$D$513,MATCH(K323,Интервалы!$G$2:$G$513,0)))</f>
        <v/>
      </c>
      <c r="E323" s="5">
        <f>IF(K323="","",D323-C323+1)</f>
        <v/>
      </c>
      <c r="F323" s="9">
        <f>IF(K323="","",INDEX(Интервалы!$E$2:$E$513,MATCH(K323,Интервалы!$G$2:$G$513,0)))</f>
        <v/>
      </c>
      <c r="G323" s="5">
        <f>IF(K323="","",IF(H323=1,INDEX('По дням'!$B$2:$B$4000,MATCH(C323,'По дням'!$A$2:$A$4000,0)),"по периодам ставки"))</f>
        <v/>
      </c>
      <c r="H323" s="5">
        <f>IF(K323="","",INDEX(Интервалы!$I$2:$I$513,MATCH(K323,Интервалы!$G$2:$G$513,0)))</f>
        <v/>
      </c>
      <c r="I323" s="9">
        <f>IF(K323="","",INDEX(Интервалы!$F$2:$F$513,MATCH(K323,Интервалы!$G$2:$G$513,0)))</f>
        <v/>
      </c>
      <c r="J323" s="9">
        <f>IF(K323="","",INDEX(Интервалы!$H$2:$H$513,MATCH(K323,Интервалы!$G$2:$G$513,0)))</f>
        <v/>
      </c>
      <c r="K323">
        <f>IFERROR(SMALL(Интервалы!$G$2:$G$513,317),"")</f>
        <v/>
      </c>
      <c r="L323">
        <f>IF(K323="","",INDEX(Интервалы!$B$2:$B$513,MATCH(K323,Интервалы!$G$2:$G$513,0)))</f>
        <v/>
      </c>
    </row>
    <row r="324">
      <c r="A324" s="5">
        <f>IF(K324="","",318)</f>
        <v/>
      </c>
      <c r="B324" s="5">
        <f>IF(K324="","",INDEX(Интервалы!$A$2:$A$513,MATCH(K324,Интервалы!$G$2:$G$513,0)))</f>
        <v/>
      </c>
      <c r="C324" s="17">
        <f>IF(K324="","",INDEX(Интервалы!$C$2:$C$513,MATCH(K324,Интервалы!$G$2:$G$513,0)))</f>
        <v/>
      </c>
      <c r="D324" s="17">
        <f>IF(K324="","",INDEX(Интервалы!$D$2:$D$513,MATCH(K324,Интервалы!$G$2:$G$513,0)))</f>
        <v/>
      </c>
      <c r="E324" s="5">
        <f>IF(K324="","",D324-C324+1)</f>
        <v/>
      </c>
      <c r="F324" s="9">
        <f>IF(K324="","",INDEX(Интервалы!$E$2:$E$513,MATCH(K324,Интервалы!$G$2:$G$513,0)))</f>
        <v/>
      </c>
      <c r="G324" s="5">
        <f>IF(K324="","",IF(H324=1,INDEX('По дням'!$B$2:$B$4000,MATCH(C324,'По дням'!$A$2:$A$4000,0)),"по периодам ставки"))</f>
        <v/>
      </c>
      <c r="H324" s="5">
        <f>IF(K324="","",INDEX(Интервалы!$I$2:$I$513,MATCH(K324,Интервалы!$G$2:$G$513,0)))</f>
        <v/>
      </c>
      <c r="I324" s="9">
        <f>IF(K324="","",INDEX(Интервалы!$F$2:$F$513,MATCH(K324,Интервалы!$G$2:$G$513,0)))</f>
        <v/>
      </c>
      <c r="J324" s="9">
        <f>IF(K324="","",INDEX(Интервалы!$H$2:$H$513,MATCH(K324,Интервалы!$G$2:$G$513,0)))</f>
        <v/>
      </c>
      <c r="K324">
        <f>IFERROR(SMALL(Интервалы!$G$2:$G$513,318),"")</f>
        <v/>
      </c>
      <c r="L324">
        <f>IF(K324="","",INDEX(Интервалы!$B$2:$B$513,MATCH(K324,Интервалы!$G$2:$G$513,0)))</f>
        <v/>
      </c>
    </row>
    <row r="325">
      <c r="A325" s="5">
        <f>IF(K325="","",319)</f>
        <v/>
      </c>
      <c r="B325" s="5">
        <f>IF(K325="","",INDEX(Интервалы!$A$2:$A$513,MATCH(K325,Интервалы!$G$2:$G$513,0)))</f>
        <v/>
      </c>
      <c r="C325" s="17">
        <f>IF(K325="","",INDEX(Интервалы!$C$2:$C$513,MATCH(K325,Интервалы!$G$2:$G$513,0)))</f>
        <v/>
      </c>
      <c r="D325" s="17">
        <f>IF(K325="","",INDEX(Интервалы!$D$2:$D$513,MATCH(K325,Интервалы!$G$2:$G$513,0)))</f>
        <v/>
      </c>
      <c r="E325" s="5">
        <f>IF(K325="","",D325-C325+1)</f>
        <v/>
      </c>
      <c r="F325" s="9">
        <f>IF(K325="","",INDEX(Интервалы!$E$2:$E$513,MATCH(K325,Интервалы!$G$2:$G$513,0)))</f>
        <v/>
      </c>
      <c r="G325" s="5">
        <f>IF(K325="","",IF(H325=1,INDEX('По дням'!$B$2:$B$4000,MATCH(C325,'По дням'!$A$2:$A$4000,0)),"по периодам ставки"))</f>
        <v/>
      </c>
      <c r="H325" s="5">
        <f>IF(K325="","",INDEX(Интервалы!$I$2:$I$513,MATCH(K325,Интервалы!$G$2:$G$513,0)))</f>
        <v/>
      </c>
      <c r="I325" s="9">
        <f>IF(K325="","",INDEX(Интервалы!$F$2:$F$513,MATCH(K325,Интервалы!$G$2:$G$513,0)))</f>
        <v/>
      </c>
      <c r="J325" s="9">
        <f>IF(K325="","",INDEX(Интервалы!$H$2:$H$513,MATCH(K325,Интервалы!$G$2:$G$513,0)))</f>
        <v/>
      </c>
      <c r="K325">
        <f>IFERROR(SMALL(Интервалы!$G$2:$G$513,319),"")</f>
        <v/>
      </c>
      <c r="L325">
        <f>IF(K325="","",INDEX(Интервалы!$B$2:$B$513,MATCH(K325,Интервалы!$G$2:$G$513,0)))</f>
        <v/>
      </c>
    </row>
    <row r="326">
      <c r="A326" s="5">
        <f>IF(K326="","",320)</f>
        <v/>
      </c>
      <c r="B326" s="5">
        <f>IF(K326="","",INDEX(Интервалы!$A$2:$A$513,MATCH(K326,Интервалы!$G$2:$G$513,0)))</f>
        <v/>
      </c>
      <c r="C326" s="17">
        <f>IF(K326="","",INDEX(Интервалы!$C$2:$C$513,MATCH(K326,Интервалы!$G$2:$G$513,0)))</f>
        <v/>
      </c>
      <c r="D326" s="17">
        <f>IF(K326="","",INDEX(Интервалы!$D$2:$D$513,MATCH(K326,Интервалы!$G$2:$G$513,0)))</f>
        <v/>
      </c>
      <c r="E326" s="5">
        <f>IF(K326="","",D326-C326+1)</f>
        <v/>
      </c>
      <c r="F326" s="9">
        <f>IF(K326="","",INDEX(Интервалы!$E$2:$E$513,MATCH(K326,Интервалы!$G$2:$G$513,0)))</f>
        <v/>
      </c>
      <c r="G326" s="5">
        <f>IF(K326="","",IF(H326=1,INDEX('По дням'!$B$2:$B$4000,MATCH(C326,'По дням'!$A$2:$A$4000,0)),"по периодам ставки"))</f>
        <v/>
      </c>
      <c r="H326" s="5">
        <f>IF(K326="","",INDEX(Интервалы!$I$2:$I$513,MATCH(K326,Интервалы!$G$2:$G$513,0)))</f>
        <v/>
      </c>
      <c r="I326" s="9">
        <f>IF(K326="","",INDEX(Интервалы!$F$2:$F$513,MATCH(K326,Интервалы!$G$2:$G$513,0)))</f>
        <v/>
      </c>
      <c r="J326" s="9">
        <f>IF(K326="","",INDEX(Интервалы!$H$2:$H$513,MATCH(K326,Интервалы!$G$2:$G$513,0)))</f>
        <v/>
      </c>
      <c r="K326">
        <f>IFERROR(SMALL(Интервалы!$G$2:$G$513,320),"")</f>
        <v/>
      </c>
      <c r="L326">
        <f>IF(K326="","",INDEX(Интервалы!$B$2:$B$513,MATCH(K326,Интервалы!$G$2:$G$513,0)))</f>
        <v/>
      </c>
    </row>
    <row r="327">
      <c r="A327" s="5">
        <f>IF(K327="","",321)</f>
        <v/>
      </c>
      <c r="B327" s="5">
        <f>IF(K327="","",INDEX(Интервалы!$A$2:$A$513,MATCH(K327,Интервалы!$G$2:$G$513,0)))</f>
        <v/>
      </c>
      <c r="C327" s="17">
        <f>IF(K327="","",INDEX(Интервалы!$C$2:$C$513,MATCH(K327,Интервалы!$G$2:$G$513,0)))</f>
        <v/>
      </c>
      <c r="D327" s="17">
        <f>IF(K327="","",INDEX(Интервалы!$D$2:$D$513,MATCH(K327,Интервалы!$G$2:$G$513,0)))</f>
        <v/>
      </c>
      <c r="E327" s="5">
        <f>IF(K327="","",D327-C327+1)</f>
        <v/>
      </c>
      <c r="F327" s="9">
        <f>IF(K327="","",INDEX(Интервалы!$E$2:$E$513,MATCH(K327,Интервалы!$G$2:$G$513,0)))</f>
        <v/>
      </c>
      <c r="G327" s="5">
        <f>IF(K327="","",IF(H327=1,INDEX('По дням'!$B$2:$B$4000,MATCH(C327,'По дням'!$A$2:$A$4000,0)),"по периодам ставки"))</f>
        <v/>
      </c>
      <c r="H327" s="5">
        <f>IF(K327="","",INDEX(Интервалы!$I$2:$I$513,MATCH(K327,Интервалы!$G$2:$G$513,0)))</f>
        <v/>
      </c>
      <c r="I327" s="9">
        <f>IF(K327="","",INDEX(Интервалы!$F$2:$F$513,MATCH(K327,Интервалы!$G$2:$G$513,0)))</f>
        <v/>
      </c>
      <c r="J327" s="9">
        <f>IF(K327="","",INDEX(Интервалы!$H$2:$H$513,MATCH(K327,Интервалы!$G$2:$G$513,0)))</f>
        <v/>
      </c>
      <c r="K327">
        <f>IFERROR(SMALL(Интервалы!$G$2:$G$513,321),"")</f>
        <v/>
      </c>
      <c r="L327">
        <f>IF(K327="","",INDEX(Интервалы!$B$2:$B$513,MATCH(K327,Интервалы!$G$2:$G$513,0)))</f>
        <v/>
      </c>
    </row>
    <row r="328">
      <c r="A328" s="5">
        <f>IF(K328="","",322)</f>
        <v/>
      </c>
      <c r="B328" s="5">
        <f>IF(K328="","",INDEX(Интервалы!$A$2:$A$513,MATCH(K328,Интервалы!$G$2:$G$513,0)))</f>
        <v/>
      </c>
      <c r="C328" s="17">
        <f>IF(K328="","",INDEX(Интервалы!$C$2:$C$513,MATCH(K328,Интервалы!$G$2:$G$513,0)))</f>
        <v/>
      </c>
      <c r="D328" s="17">
        <f>IF(K328="","",INDEX(Интервалы!$D$2:$D$513,MATCH(K328,Интервалы!$G$2:$G$513,0)))</f>
        <v/>
      </c>
      <c r="E328" s="5">
        <f>IF(K328="","",D328-C328+1)</f>
        <v/>
      </c>
      <c r="F328" s="9">
        <f>IF(K328="","",INDEX(Интервалы!$E$2:$E$513,MATCH(K328,Интервалы!$G$2:$G$513,0)))</f>
        <v/>
      </c>
      <c r="G328" s="5">
        <f>IF(K328="","",IF(H328=1,INDEX('По дням'!$B$2:$B$4000,MATCH(C328,'По дням'!$A$2:$A$4000,0)),"по периодам ставки"))</f>
        <v/>
      </c>
      <c r="H328" s="5">
        <f>IF(K328="","",INDEX(Интервалы!$I$2:$I$513,MATCH(K328,Интервалы!$G$2:$G$513,0)))</f>
        <v/>
      </c>
      <c r="I328" s="9">
        <f>IF(K328="","",INDEX(Интервалы!$F$2:$F$513,MATCH(K328,Интервалы!$G$2:$G$513,0)))</f>
        <v/>
      </c>
      <c r="J328" s="9">
        <f>IF(K328="","",INDEX(Интервалы!$H$2:$H$513,MATCH(K328,Интервалы!$G$2:$G$513,0)))</f>
        <v/>
      </c>
      <c r="K328">
        <f>IFERROR(SMALL(Интервалы!$G$2:$G$513,322),"")</f>
        <v/>
      </c>
      <c r="L328">
        <f>IF(K328="","",INDEX(Интервалы!$B$2:$B$513,MATCH(K328,Интервалы!$G$2:$G$513,0)))</f>
        <v/>
      </c>
    </row>
    <row r="329">
      <c r="A329" s="5">
        <f>IF(K329="","",323)</f>
        <v/>
      </c>
      <c r="B329" s="5">
        <f>IF(K329="","",INDEX(Интервалы!$A$2:$A$513,MATCH(K329,Интервалы!$G$2:$G$513,0)))</f>
        <v/>
      </c>
      <c r="C329" s="17">
        <f>IF(K329="","",INDEX(Интервалы!$C$2:$C$513,MATCH(K329,Интервалы!$G$2:$G$513,0)))</f>
        <v/>
      </c>
      <c r="D329" s="17">
        <f>IF(K329="","",INDEX(Интервалы!$D$2:$D$513,MATCH(K329,Интервалы!$G$2:$G$513,0)))</f>
        <v/>
      </c>
      <c r="E329" s="5">
        <f>IF(K329="","",D329-C329+1)</f>
        <v/>
      </c>
      <c r="F329" s="9">
        <f>IF(K329="","",INDEX(Интервалы!$E$2:$E$513,MATCH(K329,Интервалы!$G$2:$G$513,0)))</f>
        <v/>
      </c>
      <c r="G329" s="5">
        <f>IF(K329="","",IF(H329=1,INDEX('По дням'!$B$2:$B$4000,MATCH(C329,'По дням'!$A$2:$A$4000,0)),"по периодам ставки"))</f>
        <v/>
      </c>
      <c r="H329" s="5">
        <f>IF(K329="","",INDEX(Интервалы!$I$2:$I$513,MATCH(K329,Интервалы!$G$2:$G$513,0)))</f>
        <v/>
      </c>
      <c r="I329" s="9">
        <f>IF(K329="","",INDEX(Интервалы!$F$2:$F$513,MATCH(K329,Интервалы!$G$2:$G$513,0)))</f>
        <v/>
      </c>
      <c r="J329" s="9">
        <f>IF(K329="","",INDEX(Интервалы!$H$2:$H$513,MATCH(K329,Интервалы!$G$2:$G$513,0)))</f>
        <v/>
      </c>
      <c r="K329">
        <f>IFERROR(SMALL(Интервалы!$G$2:$G$513,323),"")</f>
        <v/>
      </c>
      <c r="L329">
        <f>IF(K329="","",INDEX(Интервалы!$B$2:$B$513,MATCH(K329,Интервалы!$G$2:$G$513,0)))</f>
        <v/>
      </c>
    </row>
    <row r="330">
      <c r="A330" s="5">
        <f>IF(K330="","",324)</f>
        <v/>
      </c>
      <c r="B330" s="5">
        <f>IF(K330="","",INDEX(Интервалы!$A$2:$A$513,MATCH(K330,Интервалы!$G$2:$G$513,0)))</f>
        <v/>
      </c>
      <c r="C330" s="17">
        <f>IF(K330="","",INDEX(Интервалы!$C$2:$C$513,MATCH(K330,Интервалы!$G$2:$G$513,0)))</f>
        <v/>
      </c>
      <c r="D330" s="17">
        <f>IF(K330="","",INDEX(Интервалы!$D$2:$D$513,MATCH(K330,Интервалы!$G$2:$G$513,0)))</f>
        <v/>
      </c>
      <c r="E330" s="5">
        <f>IF(K330="","",D330-C330+1)</f>
        <v/>
      </c>
      <c r="F330" s="9">
        <f>IF(K330="","",INDEX(Интервалы!$E$2:$E$513,MATCH(K330,Интервалы!$G$2:$G$513,0)))</f>
        <v/>
      </c>
      <c r="G330" s="5">
        <f>IF(K330="","",IF(H330=1,INDEX('По дням'!$B$2:$B$4000,MATCH(C330,'По дням'!$A$2:$A$4000,0)),"по периодам ставки"))</f>
        <v/>
      </c>
      <c r="H330" s="5">
        <f>IF(K330="","",INDEX(Интервалы!$I$2:$I$513,MATCH(K330,Интервалы!$G$2:$G$513,0)))</f>
        <v/>
      </c>
      <c r="I330" s="9">
        <f>IF(K330="","",INDEX(Интервалы!$F$2:$F$513,MATCH(K330,Интервалы!$G$2:$G$513,0)))</f>
        <v/>
      </c>
      <c r="J330" s="9">
        <f>IF(K330="","",INDEX(Интервалы!$H$2:$H$513,MATCH(K330,Интервалы!$G$2:$G$513,0)))</f>
        <v/>
      </c>
      <c r="K330">
        <f>IFERROR(SMALL(Интервалы!$G$2:$G$513,324),"")</f>
        <v/>
      </c>
      <c r="L330">
        <f>IF(K330="","",INDEX(Интервалы!$B$2:$B$513,MATCH(K330,Интервалы!$G$2:$G$513,0)))</f>
        <v/>
      </c>
    </row>
    <row r="331">
      <c r="A331" s="5">
        <f>IF(K331="","",325)</f>
        <v/>
      </c>
      <c r="B331" s="5">
        <f>IF(K331="","",INDEX(Интервалы!$A$2:$A$513,MATCH(K331,Интервалы!$G$2:$G$513,0)))</f>
        <v/>
      </c>
      <c r="C331" s="17">
        <f>IF(K331="","",INDEX(Интервалы!$C$2:$C$513,MATCH(K331,Интервалы!$G$2:$G$513,0)))</f>
        <v/>
      </c>
      <c r="D331" s="17">
        <f>IF(K331="","",INDEX(Интервалы!$D$2:$D$513,MATCH(K331,Интервалы!$G$2:$G$513,0)))</f>
        <v/>
      </c>
      <c r="E331" s="5">
        <f>IF(K331="","",D331-C331+1)</f>
        <v/>
      </c>
      <c r="F331" s="9">
        <f>IF(K331="","",INDEX(Интервалы!$E$2:$E$513,MATCH(K331,Интервалы!$G$2:$G$513,0)))</f>
        <v/>
      </c>
      <c r="G331" s="5">
        <f>IF(K331="","",IF(H331=1,INDEX('По дням'!$B$2:$B$4000,MATCH(C331,'По дням'!$A$2:$A$4000,0)),"по периодам ставки"))</f>
        <v/>
      </c>
      <c r="H331" s="5">
        <f>IF(K331="","",INDEX(Интервалы!$I$2:$I$513,MATCH(K331,Интервалы!$G$2:$G$513,0)))</f>
        <v/>
      </c>
      <c r="I331" s="9">
        <f>IF(K331="","",INDEX(Интервалы!$F$2:$F$513,MATCH(K331,Интервалы!$G$2:$G$513,0)))</f>
        <v/>
      </c>
      <c r="J331" s="9">
        <f>IF(K331="","",INDEX(Интервалы!$H$2:$H$513,MATCH(K331,Интервалы!$G$2:$G$513,0)))</f>
        <v/>
      </c>
      <c r="K331">
        <f>IFERROR(SMALL(Интервалы!$G$2:$G$513,325),"")</f>
        <v/>
      </c>
      <c r="L331">
        <f>IF(K331="","",INDEX(Интервалы!$B$2:$B$513,MATCH(K331,Интервалы!$G$2:$G$513,0)))</f>
        <v/>
      </c>
    </row>
    <row r="332">
      <c r="A332" s="5">
        <f>IF(K332="","",326)</f>
        <v/>
      </c>
      <c r="B332" s="5">
        <f>IF(K332="","",INDEX(Интервалы!$A$2:$A$513,MATCH(K332,Интервалы!$G$2:$G$513,0)))</f>
        <v/>
      </c>
      <c r="C332" s="17">
        <f>IF(K332="","",INDEX(Интервалы!$C$2:$C$513,MATCH(K332,Интервалы!$G$2:$G$513,0)))</f>
        <v/>
      </c>
      <c r="D332" s="17">
        <f>IF(K332="","",INDEX(Интервалы!$D$2:$D$513,MATCH(K332,Интервалы!$G$2:$G$513,0)))</f>
        <v/>
      </c>
      <c r="E332" s="5">
        <f>IF(K332="","",D332-C332+1)</f>
        <v/>
      </c>
      <c r="F332" s="9">
        <f>IF(K332="","",INDEX(Интервалы!$E$2:$E$513,MATCH(K332,Интервалы!$G$2:$G$513,0)))</f>
        <v/>
      </c>
      <c r="G332" s="5">
        <f>IF(K332="","",IF(H332=1,INDEX('По дням'!$B$2:$B$4000,MATCH(C332,'По дням'!$A$2:$A$4000,0)),"по периодам ставки"))</f>
        <v/>
      </c>
      <c r="H332" s="5">
        <f>IF(K332="","",INDEX(Интервалы!$I$2:$I$513,MATCH(K332,Интервалы!$G$2:$G$513,0)))</f>
        <v/>
      </c>
      <c r="I332" s="9">
        <f>IF(K332="","",INDEX(Интервалы!$F$2:$F$513,MATCH(K332,Интервалы!$G$2:$G$513,0)))</f>
        <v/>
      </c>
      <c r="J332" s="9">
        <f>IF(K332="","",INDEX(Интервалы!$H$2:$H$513,MATCH(K332,Интервалы!$G$2:$G$513,0)))</f>
        <v/>
      </c>
      <c r="K332">
        <f>IFERROR(SMALL(Интервалы!$G$2:$G$513,326),"")</f>
        <v/>
      </c>
      <c r="L332">
        <f>IF(K332="","",INDEX(Интервалы!$B$2:$B$513,MATCH(K332,Интервалы!$G$2:$G$513,0)))</f>
        <v/>
      </c>
    </row>
    <row r="333">
      <c r="A333" s="5">
        <f>IF(K333="","",327)</f>
        <v/>
      </c>
      <c r="B333" s="5">
        <f>IF(K333="","",INDEX(Интервалы!$A$2:$A$513,MATCH(K333,Интервалы!$G$2:$G$513,0)))</f>
        <v/>
      </c>
      <c r="C333" s="17">
        <f>IF(K333="","",INDEX(Интервалы!$C$2:$C$513,MATCH(K333,Интервалы!$G$2:$G$513,0)))</f>
        <v/>
      </c>
      <c r="D333" s="17">
        <f>IF(K333="","",INDEX(Интервалы!$D$2:$D$513,MATCH(K333,Интервалы!$G$2:$G$513,0)))</f>
        <v/>
      </c>
      <c r="E333" s="5">
        <f>IF(K333="","",D333-C333+1)</f>
        <v/>
      </c>
      <c r="F333" s="9">
        <f>IF(K333="","",INDEX(Интервалы!$E$2:$E$513,MATCH(K333,Интервалы!$G$2:$G$513,0)))</f>
        <v/>
      </c>
      <c r="G333" s="5">
        <f>IF(K333="","",IF(H333=1,INDEX('По дням'!$B$2:$B$4000,MATCH(C333,'По дням'!$A$2:$A$4000,0)),"по периодам ставки"))</f>
        <v/>
      </c>
      <c r="H333" s="5">
        <f>IF(K333="","",INDEX(Интервалы!$I$2:$I$513,MATCH(K333,Интервалы!$G$2:$G$513,0)))</f>
        <v/>
      </c>
      <c r="I333" s="9">
        <f>IF(K333="","",INDEX(Интервалы!$F$2:$F$513,MATCH(K333,Интервалы!$G$2:$G$513,0)))</f>
        <v/>
      </c>
      <c r="J333" s="9">
        <f>IF(K333="","",INDEX(Интервалы!$H$2:$H$513,MATCH(K333,Интервалы!$G$2:$G$513,0)))</f>
        <v/>
      </c>
      <c r="K333">
        <f>IFERROR(SMALL(Интервалы!$G$2:$G$513,327),"")</f>
        <v/>
      </c>
      <c r="L333">
        <f>IF(K333="","",INDEX(Интервалы!$B$2:$B$513,MATCH(K333,Интервалы!$G$2:$G$513,0)))</f>
        <v/>
      </c>
    </row>
    <row r="334">
      <c r="A334" s="5">
        <f>IF(K334="","",328)</f>
        <v/>
      </c>
      <c r="B334" s="5">
        <f>IF(K334="","",INDEX(Интервалы!$A$2:$A$513,MATCH(K334,Интервалы!$G$2:$G$513,0)))</f>
        <v/>
      </c>
      <c r="C334" s="17">
        <f>IF(K334="","",INDEX(Интервалы!$C$2:$C$513,MATCH(K334,Интервалы!$G$2:$G$513,0)))</f>
        <v/>
      </c>
      <c r="D334" s="17">
        <f>IF(K334="","",INDEX(Интервалы!$D$2:$D$513,MATCH(K334,Интервалы!$G$2:$G$513,0)))</f>
        <v/>
      </c>
      <c r="E334" s="5">
        <f>IF(K334="","",D334-C334+1)</f>
        <v/>
      </c>
      <c r="F334" s="9">
        <f>IF(K334="","",INDEX(Интервалы!$E$2:$E$513,MATCH(K334,Интервалы!$G$2:$G$513,0)))</f>
        <v/>
      </c>
      <c r="G334" s="5">
        <f>IF(K334="","",IF(H334=1,INDEX('По дням'!$B$2:$B$4000,MATCH(C334,'По дням'!$A$2:$A$4000,0)),"по периодам ставки"))</f>
        <v/>
      </c>
      <c r="H334" s="5">
        <f>IF(K334="","",INDEX(Интервалы!$I$2:$I$513,MATCH(K334,Интервалы!$G$2:$G$513,0)))</f>
        <v/>
      </c>
      <c r="I334" s="9">
        <f>IF(K334="","",INDEX(Интервалы!$F$2:$F$513,MATCH(K334,Интервалы!$G$2:$G$513,0)))</f>
        <v/>
      </c>
      <c r="J334" s="9">
        <f>IF(K334="","",INDEX(Интервалы!$H$2:$H$513,MATCH(K334,Интервалы!$G$2:$G$513,0)))</f>
        <v/>
      </c>
      <c r="K334">
        <f>IFERROR(SMALL(Интервалы!$G$2:$G$513,328),"")</f>
        <v/>
      </c>
      <c r="L334">
        <f>IF(K334="","",INDEX(Интервалы!$B$2:$B$513,MATCH(K334,Интервалы!$G$2:$G$513,0)))</f>
        <v/>
      </c>
    </row>
    <row r="335">
      <c r="A335" s="5">
        <f>IF(K335="","",329)</f>
        <v/>
      </c>
      <c r="B335" s="5">
        <f>IF(K335="","",INDEX(Интервалы!$A$2:$A$513,MATCH(K335,Интервалы!$G$2:$G$513,0)))</f>
        <v/>
      </c>
      <c r="C335" s="17">
        <f>IF(K335="","",INDEX(Интервалы!$C$2:$C$513,MATCH(K335,Интервалы!$G$2:$G$513,0)))</f>
        <v/>
      </c>
      <c r="D335" s="17">
        <f>IF(K335="","",INDEX(Интервалы!$D$2:$D$513,MATCH(K335,Интервалы!$G$2:$G$513,0)))</f>
        <v/>
      </c>
      <c r="E335" s="5">
        <f>IF(K335="","",D335-C335+1)</f>
        <v/>
      </c>
      <c r="F335" s="9">
        <f>IF(K335="","",INDEX(Интервалы!$E$2:$E$513,MATCH(K335,Интервалы!$G$2:$G$513,0)))</f>
        <v/>
      </c>
      <c r="G335" s="5">
        <f>IF(K335="","",IF(H335=1,INDEX('По дням'!$B$2:$B$4000,MATCH(C335,'По дням'!$A$2:$A$4000,0)),"по периодам ставки"))</f>
        <v/>
      </c>
      <c r="H335" s="5">
        <f>IF(K335="","",INDEX(Интервалы!$I$2:$I$513,MATCH(K335,Интервалы!$G$2:$G$513,0)))</f>
        <v/>
      </c>
      <c r="I335" s="9">
        <f>IF(K335="","",INDEX(Интервалы!$F$2:$F$513,MATCH(K335,Интервалы!$G$2:$G$513,0)))</f>
        <v/>
      </c>
      <c r="J335" s="9">
        <f>IF(K335="","",INDEX(Интервалы!$H$2:$H$513,MATCH(K335,Интервалы!$G$2:$G$513,0)))</f>
        <v/>
      </c>
      <c r="K335">
        <f>IFERROR(SMALL(Интервалы!$G$2:$G$513,329),"")</f>
        <v/>
      </c>
      <c r="L335">
        <f>IF(K335="","",INDEX(Интервалы!$B$2:$B$513,MATCH(K335,Интервалы!$G$2:$G$513,0)))</f>
        <v/>
      </c>
    </row>
    <row r="336">
      <c r="A336" s="5">
        <f>IF(K336="","",330)</f>
        <v/>
      </c>
      <c r="B336" s="5">
        <f>IF(K336="","",INDEX(Интервалы!$A$2:$A$513,MATCH(K336,Интервалы!$G$2:$G$513,0)))</f>
        <v/>
      </c>
      <c r="C336" s="17">
        <f>IF(K336="","",INDEX(Интервалы!$C$2:$C$513,MATCH(K336,Интервалы!$G$2:$G$513,0)))</f>
        <v/>
      </c>
      <c r="D336" s="17">
        <f>IF(K336="","",INDEX(Интервалы!$D$2:$D$513,MATCH(K336,Интервалы!$G$2:$G$513,0)))</f>
        <v/>
      </c>
      <c r="E336" s="5">
        <f>IF(K336="","",D336-C336+1)</f>
        <v/>
      </c>
      <c r="F336" s="9">
        <f>IF(K336="","",INDEX(Интервалы!$E$2:$E$513,MATCH(K336,Интервалы!$G$2:$G$513,0)))</f>
        <v/>
      </c>
      <c r="G336" s="5">
        <f>IF(K336="","",IF(H336=1,INDEX('По дням'!$B$2:$B$4000,MATCH(C336,'По дням'!$A$2:$A$4000,0)),"по периодам ставки"))</f>
        <v/>
      </c>
      <c r="H336" s="5">
        <f>IF(K336="","",INDEX(Интервалы!$I$2:$I$513,MATCH(K336,Интервалы!$G$2:$G$513,0)))</f>
        <v/>
      </c>
      <c r="I336" s="9">
        <f>IF(K336="","",INDEX(Интервалы!$F$2:$F$513,MATCH(K336,Интервалы!$G$2:$G$513,0)))</f>
        <v/>
      </c>
      <c r="J336" s="9">
        <f>IF(K336="","",INDEX(Интервалы!$H$2:$H$513,MATCH(K336,Интервалы!$G$2:$G$513,0)))</f>
        <v/>
      </c>
      <c r="K336">
        <f>IFERROR(SMALL(Интервалы!$G$2:$G$513,330),"")</f>
        <v/>
      </c>
      <c r="L336">
        <f>IF(K336="","",INDEX(Интервалы!$B$2:$B$513,MATCH(K336,Интервалы!$G$2:$G$513,0)))</f>
        <v/>
      </c>
    </row>
    <row r="337">
      <c r="A337" s="5">
        <f>IF(K337="","",331)</f>
        <v/>
      </c>
      <c r="B337" s="5">
        <f>IF(K337="","",INDEX(Интервалы!$A$2:$A$513,MATCH(K337,Интервалы!$G$2:$G$513,0)))</f>
        <v/>
      </c>
      <c r="C337" s="17">
        <f>IF(K337="","",INDEX(Интервалы!$C$2:$C$513,MATCH(K337,Интервалы!$G$2:$G$513,0)))</f>
        <v/>
      </c>
      <c r="D337" s="17">
        <f>IF(K337="","",INDEX(Интервалы!$D$2:$D$513,MATCH(K337,Интервалы!$G$2:$G$513,0)))</f>
        <v/>
      </c>
      <c r="E337" s="5">
        <f>IF(K337="","",D337-C337+1)</f>
        <v/>
      </c>
      <c r="F337" s="9">
        <f>IF(K337="","",INDEX(Интервалы!$E$2:$E$513,MATCH(K337,Интервалы!$G$2:$G$513,0)))</f>
        <v/>
      </c>
      <c r="G337" s="5">
        <f>IF(K337="","",IF(H337=1,INDEX('По дням'!$B$2:$B$4000,MATCH(C337,'По дням'!$A$2:$A$4000,0)),"по периодам ставки"))</f>
        <v/>
      </c>
      <c r="H337" s="5">
        <f>IF(K337="","",INDEX(Интервалы!$I$2:$I$513,MATCH(K337,Интервалы!$G$2:$G$513,0)))</f>
        <v/>
      </c>
      <c r="I337" s="9">
        <f>IF(K337="","",INDEX(Интервалы!$F$2:$F$513,MATCH(K337,Интервалы!$G$2:$G$513,0)))</f>
        <v/>
      </c>
      <c r="J337" s="9">
        <f>IF(K337="","",INDEX(Интервалы!$H$2:$H$513,MATCH(K337,Интервалы!$G$2:$G$513,0)))</f>
        <v/>
      </c>
      <c r="K337">
        <f>IFERROR(SMALL(Интервалы!$G$2:$G$513,331),"")</f>
        <v/>
      </c>
      <c r="L337">
        <f>IF(K337="","",INDEX(Интервалы!$B$2:$B$513,MATCH(K337,Интервалы!$G$2:$G$513,0)))</f>
        <v/>
      </c>
    </row>
    <row r="338">
      <c r="A338" s="5">
        <f>IF(K338="","",332)</f>
        <v/>
      </c>
      <c r="B338" s="5">
        <f>IF(K338="","",INDEX(Интервалы!$A$2:$A$513,MATCH(K338,Интервалы!$G$2:$G$513,0)))</f>
        <v/>
      </c>
      <c r="C338" s="17">
        <f>IF(K338="","",INDEX(Интервалы!$C$2:$C$513,MATCH(K338,Интервалы!$G$2:$G$513,0)))</f>
        <v/>
      </c>
      <c r="D338" s="17">
        <f>IF(K338="","",INDEX(Интервалы!$D$2:$D$513,MATCH(K338,Интервалы!$G$2:$G$513,0)))</f>
        <v/>
      </c>
      <c r="E338" s="5">
        <f>IF(K338="","",D338-C338+1)</f>
        <v/>
      </c>
      <c r="F338" s="9">
        <f>IF(K338="","",INDEX(Интервалы!$E$2:$E$513,MATCH(K338,Интервалы!$G$2:$G$513,0)))</f>
        <v/>
      </c>
      <c r="G338" s="5">
        <f>IF(K338="","",IF(H338=1,INDEX('По дням'!$B$2:$B$4000,MATCH(C338,'По дням'!$A$2:$A$4000,0)),"по периодам ставки"))</f>
        <v/>
      </c>
      <c r="H338" s="5">
        <f>IF(K338="","",INDEX(Интервалы!$I$2:$I$513,MATCH(K338,Интервалы!$G$2:$G$513,0)))</f>
        <v/>
      </c>
      <c r="I338" s="9">
        <f>IF(K338="","",INDEX(Интервалы!$F$2:$F$513,MATCH(K338,Интервалы!$G$2:$G$513,0)))</f>
        <v/>
      </c>
      <c r="J338" s="9">
        <f>IF(K338="","",INDEX(Интервалы!$H$2:$H$513,MATCH(K338,Интервалы!$G$2:$G$513,0)))</f>
        <v/>
      </c>
      <c r="K338">
        <f>IFERROR(SMALL(Интервалы!$G$2:$G$513,332),"")</f>
        <v/>
      </c>
      <c r="L338">
        <f>IF(K338="","",INDEX(Интервалы!$B$2:$B$513,MATCH(K338,Интервалы!$G$2:$G$513,0)))</f>
        <v/>
      </c>
    </row>
    <row r="339">
      <c r="A339" s="5">
        <f>IF(K339="","",333)</f>
        <v/>
      </c>
      <c r="B339" s="5">
        <f>IF(K339="","",INDEX(Интервалы!$A$2:$A$513,MATCH(K339,Интервалы!$G$2:$G$513,0)))</f>
        <v/>
      </c>
      <c r="C339" s="17">
        <f>IF(K339="","",INDEX(Интервалы!$C$2:$C$513,MATCH(K339,Интервалы!$G$2:$G$513,0)))</f>
        <v/>
      </c>
      <c r="D339" s="17">
        <f>IF(K339="","",INDEX(Интервалы!$D$2:$D$513,MATCH(K339,Интервалы!$G$2:$G$513,0)))</f>
        <v/>
      </c>
      <c r="E339" s="5">
        <f>IF(K339="","",D339-C339+1)</f>
        <v/>
      </c>
      <c r="F339" s="9">
        <f>IF(K339="","",INDEX(Интервалы!$E$2:$E$513,MATCH(K339,Интервалы!$G$2:$G$513,0)))</f>
        <v/>
      </c>
      <c r="G339" s="5">
        <f>IF(K339="","",IF(H339=1,INDEX('По дням'!$B$2:$B$4000,MATCH(C339,'По дням'!$A$2:$A$4000,0)),"по периодам ставки"))</f>
        <v/>
      </c>
      <c r="H339" s="5">
        <f>IF(K339="","",INDEX(Интервалы!$I$2:$I$513,MATCH(K339,Интервалы!$G$2:$G$513,0)))</f>
        <v/>
      </c>
      <c r="I339" s="9">
        <f>IF(K339="","",INDEX(Интервалы!$F$2:$F$513,MATCH(K339,Интервалы!$G$2:$G$513,0)))</f>
        <v/>
      </c>
      <c r="J339" s="9">
        <f>IF(K339="","",INDEX(Интервалы!$H$2:$H$513,MATCH(K339,Интервалы!$G$2:$G$513,0)))</f>
        <v/>
      </c>
      <c r="K339">
        <f>IFERROR(SMALL(Интервалы!$G$2:$G$513,333),"")</f>
        <v/>
      </c>
      <c r="L339">
        <f>IF(K339="","",INDEX(Интервалы!$B$2:$B$513,MATCH(K339,Интервалы!$G$2:$G$513,0)))</f>
        <v/>
      </c>
    </row>
    <row r="340">
      <c r="A340" s="5">
        <f>IF(K340="","",334)</f>
        <v/>
      </c>
      <c r="B340" s="5">
        <f>IF(K340="","",INDEX(Интервалы!$A$2:$A$513,MATCH(K340,Интервалы!$G$2:$G$513,0)))</f>
        <v/>
      </c>
      <c r="C340" s="17">
        <f>IF(K340="","",INDEX(Интервалы!$C$2:$C$513,MATCH(K340,Интервалы!$G$2:$G$513,0)))</f>
        <v/>
      </c>
      <c r="D340" s="17">
        <f>IF(K340="","",INDEX(Интервалы!$D$2:$D$513,MATCH(K340,Интервалы!$G$2:$G$513,0)))</f>
        <v/>
      </c>
      <c r="E340" s="5">
        <f>IF(K340="","",D340-C340+1)</f>
        <v/>
      </c>
      <c r="F340" s="9">
        <f>IF(K340="","",INDEX(Интервалы!$E$2:$E$513,MATCH(K340,Интервалы!$G$2:$G$513,0)))</f>
        <v/>
      </c>
      <c r="G340" s="5">
        <f>IF(K340="","",IF(H340=1,INDEX('По дням'!$B$2:$B$4000,MATCH(C340,'По дням'!$A$2:$A$4000,0)),"по периодам ставки"))</f>
        <v/>
      </c>
      <c r="H340" s="5">
        <f>IF(K340="","",INDEX(Интервалы!$I$2:$I$513,MATCH(K340,Интервалы!$G$2:$G$513,0)))</f>
        <v/>
      </c>
      <c r="I340" s="9">
        <f>IF(K340="","",INDEX(Интервалы!$F$2:$F$513,MATCH(K340,Интервалы!$G$2:$G$513,0)))</f>
        <v/>
      </c>
      <c r="J340" s="9">
        <f>IF(K340="","",INDEX(Интервалы!$H$2:$H$513,MATCH(K340,Интервалы!$G$2:$G$513,0)))</f>
        <v/>
      </c>
      <c r="K340">
        <f>IFERROR(SMALL(Интервалы!$G$2:$G$513,334),"")</f>
        <v/>
      </c>
      <c r="L340">
        <f>IF(K340="","",INDEX(Интервалы!$B$2:$B$513,MATCH(K340,Интервалы!$G$2:$G$513,0)))</f>
        <v/>
      </c>
    </row>
    <row r="341">
      <c r="A341" s="5">
        <f>IF(K341="","",335)</f>
        <v/>
      </c>
      <c r="B341" s="5">
        <f>IF(K341="","",INDEX(Интервалы!$A$2:$A$513,MATCH(K341,Интервалы!$G$2:$G$513,0)))</f>
        <v/>
      </c>
      <c r="C341" s="17">
        <f>IF(K341="","",INDEX(Интервалы!$C$2:$C$513,MATCH(K341,Интервалы!$G$2:$G$513,0)))</f>
        <v/>
      </c>
      <c r="D341" s="17">
        <f>IF(K341="","",INDEX(Интервалы!$D$2:$D$513,MATCH(K341,Интервалы!$G$2:$G$513,0)))</f>
        <v/>
      </c>
      <c r="E341" s="5">
        <f>IF(K341="","",D341-C341+1)</f>
        <v/>
      </c>
      <c r="F341" s="9">
        <f>IF(K341="","",INDEX(Интервалы!$E$2:$E$513,MATCH(K341,Интервалы!$G$2:$G$513,0)))</f>
        <v/>
      </c>
      <c r="G341" s="5">
        <f>IF(K341="","",IF(H341=1,INDEX('По дням'!$B$2:$B$4000,MATCH(C341,'По дням'!$A$2:$A$4000,0)),"по периодам ставки"))</f>
        <v/>
      </c>
      <c r="H341" s="5">
        <f>IF(K341="","",INDEX(Интервалы!$I$2:$I$513,MATCH(K341,Интервалы!$G$2:$G$513,0)))</f>
        <v/>
      </c>
      <c r="I341" s="9">
        <f>IF(K341="","",INDEX(Интервалы!$F$2:$F$513,MATCH(K341,Интервалы!$G$2:$G$513,0)))</f>
        <v/>
      </c>
      <c r="J341" s="9">
        <f>IF(K341="","",INDEX(Интервалы!$H$2:$H$513,MATCH(K341,Интервалы!$G$2:$G$513,0)))</f>
        <v/>
      </c>
      <c r="K341">
        <f>IFERROR(SMALL(Интервалы!$G$2:$G$513,335),"")</f>
        <v/>
      </c>
      <c r="L341">
        <f>IF(K341="","",INDEX(Интервалы!$B$2:$B$513,MATCH(K341,Интервалы!$G$2:$G$513,0)))</f>
        <v/>
      </c>
    </row>
    <row r="342">
      <c r="A342" s="5">
        <f>IF(K342="","",336)</f>
        <v/>
      </c>
      <c r="B342" s="5">
        <f>IF(K342="","",INDEX(Интервалы!$A$2:$A$513,MATCH(K342,Интервалы!$G$2:$G$513,0)))</f>
        <v/>
      </c>
      <c r="C342" s="17">
        <f>IF(K342="","",INDEX(Интервалы!$C$2:$C$513,MATCH(K342,Интервалы!$G$2:$G$513,0)))</f>
        <v/>
      </c>
      <c r="D342" s="17">
        <f>IF(K342="","",INDEX(Интервалы!$D$2:$D$513,MATCH(K342,Интервалы!$G$2:$G$513,0)))</f>
        <v/>
      </c>
      <c r="E342" s="5">
        <f>IF(K342="","",D342-C342+1)</f>
        <v/>
      </c>
      <c r="F342" s="9">
        <f>IF(K342="","",INDEX(Интервалы!$E$2:$E$513,MATCH(K342,Интервалы!$G$2:$G$513,0)))</f>
        <v/>
      </c>
      <c r="G342" s="5">
        <f>IF(K342="","",IF(H342=1,INDEX('По дням'!$B$2:$B$4000,MATCH(C342,'По дням'!$A$2:$A$4000,0)),"по периодам ставки"))</f>
        <v/>
      </c>
      <c r="H342" s="5">
        <f>IF(K342="","",INDEX(Интервалы!$I$2:$I$513,MATCH(K342,Интервалы!$G$2:$G$513,0)))</f>
        <v/>
      </c>
      <c r="I342" s="9">
        <f>IF(K342="","",INDEX(Интервалы!$F$2:$F$513,MATCH(K342,Интервалы!$G$2:$G$513,0)))</f>
        <v/>
      </c>
      <c r="J342" s="9">
        <f>IF(K342="","",INDEX(Интервалы!$H$2:$H$513,MATCH(K342,Интервалы!$G$2:$G$513,0)))</f>
        <v/>
      </c>
      <c r="K342">
        <f>IFERROR(SMALL(Интервалы!$G$2:$G$513,336),"")</f>
        <v/>
      </c>
      <c r="L342">
        <f>IF(K342="","",INDEX(Интервалы!$B$2:$B$513,MATCH(K342,Интервалы!$G$2:$G$513,0)))</f>
        <v/>
      </c>
    </row>
    <row r="343">
      <c r="A343" s="5">
        <f>IF(K343="","",337)</f>
        <v/>
      </c>
      <c r="B343" s="5">
        <f>IF(K343="","",INDEX(Интервалы!$A$2:$A$513,MATCH(K343,Интервалы!$G$2:$G$513,0)))</f>
        <v/>
      </c>
      <c r="C343" s="17">
        <f>IF(K343="","",INDEX(Интервалы!$C$2:$C$513,MATCH(K343,Интервалы!$G$2:$G$513,0)))</f>
        <v/>
      </c>
      <c r="D343" s="17">
        <f>IF(K343="","",INDEX(Интервалы!$D$2:$D$513,MATCH(K343,Интервалы!$G$2:$G$513,0)))</f>
        <v/>
      </c>
      <c r="E343" s="5">
        <f>IF(K343="","",D343-C343+1)</f>
        <v/>
      </c>
      <c r="F343" s="9">
        <f>IF(K343="","",INDEX(Интервалы!$E$2:$E$513,MATCH(K343,Интервалы!$G$2:$G$513,0)))</f>
        <v/>
      </c>
      <c r="G343" s="5">
        <f>IF(K343="","",IF(H343=1,INDEX('По дням'!$B$2:$B$4000,MATCH(C343,'По дням'!$A$2:$A$4000,0)),"по периодам ставки"))</f>
        <v/>
      </c>
      <c r="H343" s="5">
        <f>IF(K343="","",INDEX(Интервалы!$I$2:$I$513,MATCH(K343,Интервалы!$G$2:$G$513,0)))</f>
        <v/>
      </c>
      <c r="I343" s="9">
        <f>IF(K343="","",INDEX(Интервалы!$F$2:$F$513,MATCH(K343,Интервалы!$G$2:$G$513,0)))</f>
        <v/>
      </c>
      <c r="J343" s="9">
        <f>IF(K343="","",INDEX(Интервалы!$H$2:$H$513,MATCH(K343,Интервалы!$G$2:$G$513,0)))</f>
        <v/>
      </c>
      <c r="K343">
        <f>IFERROR(SMALL(Интервалы!$G$2:$G$513,337),"")</f>
        <v/>
      </c>
      <c r="L343">
        <f>IF(K343="","",INDEX(Интервалы!$B$2:$B$513,MATCH(K343,Интервалы!$G$2:$G$513,0)))</f>
        <v/>
      </c>
    </row>
    <row r="344">
      <c r="A344" s="5">
        <f>IF(K344="","",338)</f>
        <v/>
      </c>
      <c r="B344" s="5">
        <f>IF(K344="","",INDEX(Интервалы!$A$2:$A$513,MATCH(K344,Интервалы!$G$2:$G$513,0)))</f>
        <v/>
      </c>
      <c r="C344" s="17">
        <f>IF(K344="","",INDEX(Интервалы!$C$2:$C$513,MATCH(K344,Интервалы!$G$2:$G$513,0)))</f>
        <v/>
      </c>
      <c r="D344" s="17">
        <f>IF(K344="","",INDEX(Интервалы!$D$2:$D$513,MATCH(K344,Интервалы!$G$2:$G$513,0)))</f>
        <v/>
      </c>
      <c r="E344" s="5">
        <f>IF(K344="","",D344-C344+1)</f>
        <v/>
      </c>
      <c r="F344" s="9">
        <f>IF(K344="","",INDEX(Интервалы!$E$2:$E$513,MATCH(K344,Интервалы!$G$2:$G$513,0)))</f>
        <v/>
      </c>
      <c r="G344" s="5">
        <f>IF(K344="","",IF(H344=1,INDEX('По дням'!$B$2:$B$4000,MATCH(C344,'По дням'!$A$2:$A$4000,0)),"по периодам ставки"))</f>
        <v/>
      </c>
      <c r="H344" s="5">
        <f>IF(K344="","",INDEX(Интервалы!$I$2:$I$513,MATCH(K344,Интервалы!$G$2:$G$513,0)))</f>
        <v/>
      </c>
      <c r="I344" s="9">
        <f>IF(K344="","",INDEX(Интервалы!$F$2:$F$513,MATCH(K344,Интервалы!$G$2:$G$513,0)))</f>
        <v/>
      </c>
      <c r="J344" s="9">
        <f>IF(K344="","",INDEX(Интервалы!$H$2:$H$513,MATCH(K344,Интервалы!$G$2:$G$513,0)))</f>
        <v/>
      </c>
      <c r="K344">
        <f>IFERROR(SMALL(Интервалы!$G$2:$G$513,338),"")</f>
        <v/>
      </c>
      <c r="L344">
        <f>IF(K344="","",INDEX(Интервалы!$B$2:$B$513,MATCH(K344,Интервалы!$G$2:$G$513,0)))</f>
        <v/>
      </c>
    </row>
    <row r="345">
      <c r="A345" s="5">
        <f>IF(K345="","",339)</f>
        <v/>
      </c>
      <c r="B345" s="5">
        <f>IF(K345="","",INDEX(Интервалы!$A$2:$A$513,MATCH(K345,Интервалы!$G$2:$G$513,0)))</f>
        <v/>
      </c>
      <c r="C345" s="17">
        <f>IF(K345="","",INDEX(Интервалы!$C$2:$C$513,MATCH(K345,Интервалы!$G$2:$G$513,0)))</f>
        <v/>
      </c>
      <c r="D345" s="17">
        <f>IF(K345="","",INDEX(Интервалы!$D$2:$D$513,MATCH(K345,Интервалы!$G$2:$G$513,0)))</f>
        <v/>
      </c>
      <c r="E345" s="5">
        <f>IF(K345="","",D345-C345+1)</f>
        <v/>
      </c>
      <c r="F345" s="9">
        <f>IF(K345="","",INDEX(Интервалы!$E$2:$E$513,MATCH(K345,Интервалы!$G$2:$G$513,0)))</f>
        <v/>
      </c>
      <c r="G345" s="5">
        <f>IF(K345="","",IF(H345=1,INDEX('По дням'!$B$2:$B$4000,MATCH(C345,'По дням'!$A$2:$A$4000,0)),"по периодам ставки"))</f>
        <v/>
      </c>
      <c r="H345" s="5">
        <f>IF(K345="","",INDEX(Интервалы!$I$2:$I$513,MATCH(K345,Интервалы!$G$2:$G$513,0)))</f>
        <v/>
      </c>
      <c r="I345" s="9">
        <f>IF(K345="","",INDEX(Интервалы!$F$2:$F$513,MATCH(K345,Интервалы!$G$2:$G$513,0)))</f>
        <v/>
      </c>
      <c r="J345" s="9">
        <f>IF(K345="","",INDEX(Интервалы!$H$2:$H$513,MATCH(K345,Интервалы!$G$2:$G$513,0)))</f>
        <v/>
      </c>
      <c r="K345">
        <f>IFERROR(SMALL(Интервалы!$G$2:$G$513,339),"")</f>
        <v/>
      </c>
      <c r="L345">
        <f>IF(K345="","",INDEX(Интервалы!$B$2:$B$513,MATCH(K345,Интервалы!$G$2:$G$513,0)))</f>
        <v/>
      </c>
    </row>
    <row r="346">
      <c r="A346" s="5">
        <f>IF(K346="","",340)</f>
        <v/>
      </c>
      <c r="B346" s="5">
        <f>IF(K346="","",INDEX(Интервалы!$A$2:$A$513,MATCH(K346,Интервалы!$G$2:$G$513,0)))</f>
        <v/>
      </c>
      <c r="C346" s="17">
        <f>IF(K346="","",INDEX(Интервалы!$C$2:$C$513,MATCH(K346,Интервалы!$G$2:$G$513,0)))</f>
        <v/>
      </c>
      <c r="D346" s="17">
        <f>IF(K346="","",INDEX(Интервалы!$D$2:$D$513,MATCH(K346,Интервалы!$G$2:$G$513,0)))</f>
        <v/>
      </c>
      <c r="E346" s="5">
        <f>IF(K346="","",D346-C346+1)</f>
        <v/>
      </c>
      <c r="F346" s="9">
        <f>IF(K346="","",INDEX(Интервалы!$E$2:$E$513,MATCH(K346,Интервалы!$G$2:$G$513,0)))</f>
        <v/>
      </c>
      <c r="G346" s="5">
        <f>IF(K346="","",IF(H346=1,INDEX('По дням'!$B$2:$B$4000,MATCH(C346,'По дням'!$A$2:$A$4000,0)),"по периодам ставки"))</f>
        <v/>
      </c>
      <c r="H346" s="5">
        <f>IF(K346="","",INDEX(Интервалы!$I$2:$I$513,MATCH(K346,Интервалы!$G$2:$G$513,0)))</f>
        <v/>
      </c>
      <c r="I346" s="9">
        <f>IF(K346="","",INDEX(Интервалы!$F$2:$F$513,MATCH(K346,Интервалы!$G$2:$G$513,0)))</f>
        <v/>
      </c>
      <c r="J346" s="9">
        <f>IF(K346="","",INDEX(Интервалы!$H$2:$H$513,MATCH(K346,Интервалы!$G$2:$G$513,0)))</f>
        <v/>
      </c>
      <c r="K346">
        <f>IFERROR(SMALL(Интервалы!$G$2:$G$513,340),"")</f>
        <v/>
      </c>
      <c r="L346">
        <f>IF(K346="","",INDEX(Интервалы!$B$2:$B$513,MATCH(K346,Интервалы!$G$2:$G$513,0)))</f>
        <v/>
      </c>
    </row>
    <row r="347">
      <c r="A347" s="5">
        <f>IF(K347="","",341)</f>
        <v/>
      </c>
      <c r="B347" s="5">
        <f>IF(K347="","",INDEX(Интервалы!$A$2:$A$513,MATCH(K347,Интервалы!$G$2:$G$513,0)))</f>
        <v/>
      </c>
      <c r="C347" s="17">
        <f>IF(K347="","",INDEX(Интервалы!$C$2:$C$513,MATCH(K347,Интервалы!$G$2:$G$513,0)))</f>
        <v/>
      </c>
      <c r="D347" s="17">
        <f>IF(K347="","",INDEX(Интервалы!$D$2:$D$513,MATCH(K347,Интервалы!$G$2:$G$513,0)))</f>
        <v/>
      </c>
      <c r="E347" s="5">
        <f>IF(K347="","",D347-C347+1)</f>
        <v/>
      </c>
      <c r="F347" s="9">
        <f>IF(K347="","",INDEX(Интервалы!$E$2:$E$513,MATCH(K347,Интервалы!$G$2:$G$513,0)))</f>
        <v/>
      </c>
      <c r="G347" s="5">
        <f>IF(K347="","",IF(H347=1,INDEX('По дням'!$B$2:$B$4000,MATCH(C347,'По дням'!$A$2:$A$4000,0)),"по периодам ставки"))</f>
        <v/>
      </c>
      <c r="H347" s="5">
        <f>IF(K347="","",INDEX(Интервалы!$I$2:$I$513,MATCH(K347,Интервалы!$G$2:$G$513,0)))</f>
        <v/>
      </c>
      <c r="I347" s="9">
        <f>IF(K347="","",INDEX(Интервалы!$F$2:$F$513,MATCH(K347,Интервалы!$G$2:$G$513,0)))</f>
        <v/>
      </c>
      <c r="J347" s="9">
        <f>IF(K347="","",INDEX(Интервалы!$H$2:$H$513,MATCH(K347,Интервалы!$G$2:$G$513,0)))</f>
        <v/>
      </c>
      <c r="K347">
        <f>IFERROR(SMALL(Интервалы!$G$2:$G$513,341),"")</f>
        <v/>
      </c>
      <c r="L347">
        <f>IF(K347="","",INDEX(Интервалы!$B$2:$B$513,MATCH(K347,Интервалы!$G$2:$G$513,0)))</f>
        <v/>
      </c>
    </row>
    <row r="348">
      <c r="A348" s="5">
        <f>IF(K348="","",342)</f>
        <v/>
      </c>
      <c r="B348" s="5">
        <f>IF(K348="","",INDEX(Интервалы!$A$2:$A$513,MATCH(K348,Интервалы!$G$2:$G$513,0)))</f>
        <v/>
      </c>
      <c r="C348" s="17">
        <f>IF(K348="","",INDEX(Интервалы!$C$2:$C$513,MATCH(K348,Интервалы!$G$2:$G$513,0)))</f>
        <v/>
      </c>
      <c r="D348" s="17">
        <f>IF(K348="","",INDEX(Интервалы!$D$2:$D$513,MATCH(K348,Интервалы!$G$2:$G$513,0)))</f>
        <v/>
      </c>
      <c r="E348" s="5">
        <f>IF(K348="","",D348-C348+1)</f>
        <v/>
      </c>
      <c r="F348" s="9">
        <f>IF(K348="","",INDEX(Интервалы!$E$2:$E$513,MATCH(K348,Интервалы!$G$2:$G$513,0)))</f>
        <v/>
      </c>
      <c r="G348" s="5">
        <f>IF(K348="","",IF(H348=1,INDEX('По дням'!$B$2:$B$4000,MATCH(C348,'По дням'!$A$2:$A$4000,0)),"по периодам ставки"))</f>
        <v/>
      </c>
      <c r="H348" s="5">
        <f>IF(K348="","",INDEX(Интервалы!$I$2:$I$513,MATCH(K348,Интервалы!$G$2:$G$513,0)))</f>
        <v/>
      </c>
      <c r="I348" s="9">
        <f>IF(K348="","",INDEX(Интервалы!$F$2:$F$513,MATCH(K348,Интервалы!$G$2:$G$513,0)))</f>
        <v/>
      </c>
      <c r="J348" s="9">
        <f>IF(K348="","",INDEX(Интервалы!$H$2:$H$513,MATCH(K348,Интервалы!$G$2:$G$513,0)))</f>
        <v/>
      </c>
      <c r="K348">
        <f>IFERROR(SMALL(Интервалы!$G$2:$G$513,342),"")</f>
        <v/>
      </c>
      <c r="L348">
        <f>IF(K348="","",INDEX(Интервалы!$B$2:$B$513,MATCH(K348,Интервалы!$G$2:$G$513,0)))</f>
        <v/>
      </c>
    </row>
    <row r="349">
      <c r="A349" s="5">
        <f>IF(K349="","",343)</f>
        <v/>
      </c>
      <c r="B349" s="5">
        <f>IF(K349="","",INDEX(Интервалы!$A$2:$A$513,MATCH(K349,Интервалы!$G$2:$G$513,0)))</f>
        <v/>
      </c>
      <c r="C349" s="17">
        <f>IF(K349="","",INDEX(Интервалы!$C$2:$C$513,MATCH(K349,Интервалы!$G$2:$G$513,0)))</f>
        <v/>
      </c>
      <c r="D349" s="17">
        <f>IF(K349="","",INDEX(Интервалы!$D$2:$D$513,MATCH(K349,Интервалы!$G$2:$G$513,0)))</f>
        <v/>
      </c>
      <c r="E349" s="5">
        <f>IF(K349="","",D349-C349+1)</f>
        <v/>
      </c>
      <c r="F349" s="9">
        <f>IF(K349="","",INDEX(Интервалы!$E$2:$E$513,MATCH(K349,Интервалы!$G$2:$G$513,0)))</f>
        <v/>
      </c>
      <c r="G349" s="5">
        <f>IF(K349="","",IF(H349=1,INDEX('По дням'!$B$2:$B$4000,MATCH(C349,'По дням'!$A$2:$A$4000,0)),"по периодам ставки"))</f>
        <v/>
      </c>
      <c r="H349" s="5">
        <f>IF(K349="","",INDEX(Интервалы!$I$2:$I$513,MATCH(K349,Интервалы!$G$2:$G$513,0)))</f>
        <v/>
      </c>
      <c r="I349" s="9">
        <f>IF(K349="","",INDEX(Интервалы!$F$2:$F$513,MATCH(K349,Интервалы!$G$2:$G$513,0)))</f>
        <v/>
      </c>
      <c r="J349" s="9">
        <f>IF(K349="","",INDEX(Интервалы!$H$2:$H$513,MATCH(K349,Интервалы!$G$2:$G$513,0)))</f>
        <v/>
      </c>
      <c r="K349">
        <f>IFERROR(SMALL(Интервалы!$G$2:$G$513,343),"")</f>
        <v/>
      </c>
      <c r="L349">
        <f>IF(K349="","",INDEX(Интервалы!$B$2:$B$513,MATCH(K349,Интервалы!$G$2:$G$513,0)))</f>
        <v/>
      </c>
    </row>
    <row r="350">
      <c r="A350" s="5">
        <f>IF(K350="","",344)</f>
        <v/>
      </c>
      <c r="B350" s="5">
        <f>IF(K350="","",INDEX(Интервалы!$A$2:$A$513,MATCH(K350,Интервалы!$G$2:$G$513,0)))</f>
        <v/>
      </c>
      <c r="C350" s="17">
        <f>IF(K350="","",INDEX(Интервалы!$C$2:$C$513,MATCH(K350,Интервалы!$G$2:$G$513,0)))</f>
        <v/>
      </c>
      <c r="D350" s="17">
        <f>IF(K350="","",INDEX(Интервалы!$D$2:$D$513,MATCH(K350,Интервалы!$G$2:$G$513,0)))</f>
        <v/>
      </c>
      <c r="E350" s="5">
        <f>IF(K350="","",D350-C350+1)</f>
        <v/>
      </c>
      <c r="F350" s="9">
        <f>IF(K350="","",INDEX(Интервалы!$E$2:$E$513,MATCH(K350,Интервалы!$G$2:$G$513,0)))</f>
        <v/>
      </c>
      <c r="G350" s="5">
        <f>IF(K350="","",IF(H350=1,INDEX('По дням'!$B$2:$B$4000,MATCH(C350,'По дням'!$A$2:$A$4000,0)),"по периодам ставки"))</f>
        <v/>
      </c>
      <c r="H350" s="5">
        <f>IF(K350="","",INDEX(Интервалы!$I$2:$I$513,MATCH(K350,Интервалы!$G$2:$G$513,0)))</f>
        <v/>
      </c>
      <c r="I350" s="9">
        <f>IF(K350="","",INDEX(Интервалы!$F$2:$F$513,MATCH(K350,Интервалы!$G$2:$G$513,0)))</f>
        <v/>
      </c>
      <c r="J350" s="9">
        <f>IF(K350="","",INDEX(Интервалы!$H$2:$H$513,MATCH(K350,Интервалы!$G$2:$G$513,0)))</f>
        <v/>
      </c>
      <c r="K350">
        <f>IFERROR(SMALL(Интервалы!$G$2:$G$513,344),"")</f>
        <v/>
      </c>
      <c r="L350">
        <f>IF(K350="","",INDEX(Интервалы!$B$2:$B$513,MATCH(K350,Интервалы!$G$2:$G$513,0)))</f>
        <v/>
      </c>
    </row>
    <row r="351">
      <c r="A351" s="5">
        <f>IF(K351="","",345)</f>
        <v/>
      </c>
      <c r="B351" s="5">
        <f>IF(K351="","",INDEX(Интервалы!$A$2:$A$513,MATCH(K351,Интервалы!$G$2:$G$513,0)))</f>
        <v/>
      </c>
      <c r="C351" s="17">
        <f>IF(K351="","",INDEX(Интервалы!$C$2:$C$513,MATCH(K351,Интервалы!$G$2:$G$513,0)))</f>
        <v/>
      </c>
      <c r="D351" s="17">
        <f>IF(K351="","",INDEX(Интервалы!$D$2:$D$513,MATCH(K351,Интервалы!$G$2:$G$513,0)))</f>
        <v/>
      </c>
      <c r="E351" s="5">
        <f>IF(K351="","",D351-C351+1)</f>
        <v/>
      </c>
      <c r="F351" s="9">
        <f>IF(K351="","",INDEX(Интервалы!$E$2:$E$513,MATCH(K351,Интервалы!$G$2:$G$513,0)))</f>
        <v/>
      </c>
      <c r="G351" s="5">
        <f>IF(K351="","",IF(H351=1,INDEX('По дням'!$B$2:$B$4000,MATCH(C351,'По дням'!$A$2:$A$4000,0)),"по периодам ставки"))</f>
        <v/>
      </c>
      <c r="H351" s="5">
        <f>IF(K351="","",INDEX(Интервалы!$I$2:$I$513,MATCH(K351,Интервалы!$G$2:$G$513,0)))</f>
        <v/>
      </c>
      <c r="I351" s="9">
        <f>IF(K351="","",INDEX(Интервалы!$F$2:$F$513,MATCH(K351,Интервалы!$G$2:$G$513,0)))</f>
        <v/>
      </c>
      <c r="J351" s="9">
        <f>IF(K351="","",INDEX(Интервалы!$H$2:$H$513,MATCH(K351,Интервалы!$G$2:$G$513,0)))</f>
        <v/>
      </c>
      <c r="K351">
        <f>IFERROR(SMALL(Интервалы!$G$2:$G$513,345),"")</f>
        <v/>
      </c>
      <c r="L351">
        <f>IF(K351="","",INDEX(Интервалы!$B$2:$B$513,MATCH(K351,Интервалы!$G$2:$G$513,0)))</f>
        <v/>
      </c>
    </row>
    <row r="352">
      <c r="A352" s="5">
        <f>IF(K352="","",346)</f>
        <v/>
      </c>
      <c r="B352" s="5">
        <f>IF(K352="","",INDEX(Интервалы!$A$2:$A$513,MATCH(K352,Интервалы!$G$2:$G$513,0)))</f>
        <v/>
      </c>
      <c r="C352" s="17">
        <f>IF(K352="","",INDEX(Интервалы!$C$2:$C$513,MATCH(K352,Интервалы!$G$2:$G$513,0)))</f>
        <v/>
      </c>
      <c r="D352" s="17">
        <f>IF(K352="","",INDEX(Интервалы!$D$2:$D$513,MATCH(K352,Интервалы!$G$2:$G$513,0)))</f>
        <v/>
      </c>
      <c r="E352" s="5">
        <f>IF(K352="","",D352-C352+1)</f>
        <v/>
      </c>
      <c r="F352" s="9">
        <f>IF(K352="","",INDEX(Интервалы!$E$2:$E$513,MATCH(K352,Интервалы!$G$2:$G$513,0)))</f>
        <v/>
      </c>
      <c r="G352" s="5">
        <f>IF(K352="","",IF(H352=1,INDEX('По дням'!$B$2:$B$4000,MATCH(C352,'По дням'!$A$2:$A$4000,0)),"по периодам ставки"))</f>
        <v/>
      </c>
      <c r="H352" s="5">
        <f>IF(K352="","",INDEX(Интервалы!$I$2:$I$513,MATCH(K352,Интервалы!$G$2:$G$513,0)))</f>
        <v/>
      </c>
      <c r="I352" s="9">
        <f>IF(K352="","",INDEX(Интервалы!$F$2:$F$513,MATCH(K352,Интервалы!$G$2:$G$513,0)))</f>
        <v/>
      </c>
      <c r="J352" s="9">
        <f>IF(K352="","",INDEX(Интервалы!$H$2:$H$513,MATCH(K352,Интервалы!$G$2:$G$513,0)))</f>
        <v/>
      </c>
      <c r="K352">
        <f>IFERROR(SMALL(Интервалы!$G$2:$G$513,346),"")</f>
        <v/>
      </c>
      <c r="L352">
        <f>IF(K352="","",INDEX(Интервалы!$B$2:$B$513,MATCH(K352,Интервалы!$G$2:$G$513,0)))</f>
        <v/>
      </c>
    </row>
    <row r="353">
      <c r="A353" s="5">
        <f>IF(K353="","",347)</f>
        <v/>
      </c>
      <c r="B353" s="5">
        <f>IF(K353="","",INDEX(Интервалы!$A$2:$A$513,MATCH(K353,Интервалы!$G$2:$G$513,0)))</f>
        <v/>
      </c>
      <c r="C353" s="17">
        <f>IF(K353="","",INDEX(Интервалы!$C$2:$C$513,MATCH(K353,Интервалы!$G$2:$G$513,0)))</f>
        <v/>
      </c>
      <c r="D353" s="17">
        <f>IF(K353="","",INDEX(Интервалы!$D$2:$D$513,MATCH(K353,Интервалы!$G$2:$G$513,0)))</f>
        <v/>
      </c>
      <c r="E353" s="5">
        <f>IF(K353="","",D353-C353+1)</f>
        <v/>
      </c>
      <c r="F353" s="9">
        <f>IF(K353="","",INDEX(Интервалы!$E$2:$E$513,MATCH(K353,Интервалы!$G$2:$G$513,0)))</f>
        <v/>
      </c>
      <c r="G353" s="5">
        <f>IF(K353="","",IF(H353=1,INDEX('По дням'!$B$2:$B$4000,MATCH(C353,'По дням'!$A$2:$A$4000,0)),"по периодам ставки"))</f>
        <v/>
      </c>
      <c r="H353" s="5">
        <f>IF(K353="","",INDEX(Интервалы!$I$2:$I$513,MATCH(K353,Интервалы!$G$2:$G$513,0)))</f>
        <v/>
      </c>
      <c r="I353" s="9">
        <f>IF(K353="","",INDEX(Интервалы!$F$2:$F$513,MATCH(K353,Интервалы!$G$2:$G$513,0)))</f>
        <v/>
      </c>
      <c r="J353" s="9">
        <f>IF(K353="","",INDEX(Интервалы!$H$2:$H$513,MATCH(K353,Интервалы!$G$2:$G$513,0)))</f>
        <v/>
      </c>
      <c r="K353">
        <f>IFERROR(SMALL(Интервалы!$G$2:$G$513,347),"")</f>
        <v/>
      </c>
      <c r="L353">
        <f>IF(K353="","",INDEX(Интервалы!$B$2:$B$513,MATCH(K353,Интервалы!$G$2:$G$513,0)))</f>
        <v/>
      </c>
    </row>
    <row r="354">
      <c r="A354" s="5">
        <f>IF(K354="","",348)</f>
        <v/>
      </c>
      <c r="B354" s="5">
        <f>IF(K354="","",INDEX(Интервалы!$A$2:$A$513,MATCH(K354,Интервалы!$G$2:$G$513,0)))</f>
        <v/>
      </c>
      <c r="C354" s="17">
        <f>IF(K354="","",INDEX(Интервалы!$C$2:$C$513,MATCH(K354,Интервалы!$G$2:$G$513,0)))</f>
        <v/>
      </c>
      <c r="D354" s="17">
        <f>IF(K354="","",INDEX(Интервалы!$D$2:$D$513,MATCH(K354,Интервалы!$G$2:$G$513,0)))</f>
        <v/>
      </c>
      <c r="E354" s="5">
        <f>IF(K354="","",D354-C354+1)</f>
        <v/>
      </c>
      <c r="F354" s="9">
        <f>IF(K354="","",INDEX(Интервалы!$E$2:$E$513,MATCH(K354,Интервалы!$G$2:$G$513,0)))</f>
        <v/>
      </c>
      <c r="G354" s="5">
        <f>IF(K354="","",IF(H354=1,INDEX('По дням'!$B$2:$B$4000,MATCH(C354,'По дням'!$A$2:$A$4000,0)),"по периодам ставки"))</f>
        <v/>
      </c>
      <c r="H354" s="5">
        <f>IF(K354="","",INDEX(Интервалы!$I$2:$I$513,MATCH(K354,Интервалы!$G$2:$G$513,0)))</f>
        <v/>
      </c>
      <c r="I354" s="9">
        <f>IF(K354="","",INDEX(Интервалы!$F$2:$F$513,MATCH(K354,Интервалы!$G$2:$G$513,0)))</f>
        <v/>
      </c>
      <c r="J354" s="9">
        <f>IF(K354="","",INDEX(Интервалы!$H$2:$H$513,MATCH(K354,Интервалы!$G$2:$G$513,0)))</f>
        <v/>
      </c>
      <c r="K354">
        <f>IFERROR(SMALL(Интервалы!$G$2:$G$513,348),"")</f>
        <v/>
      </c>
      <c r="L354">
        <f>IF(K354="","",INDEX(Интервалы!$B$2:$B$513,MATCH(K354,Интервалы!$G$2:$G$513,0)))</f>
        <v/>
      </c>
    </row>
    <row r="355">
      <c r="A355" s="5">
        <f>IF(K355="","",349)</f>
        <v/>
      </c>
      <c r="B355" s="5">
        <f>IF(K355="","",INDEX(Интервалы!$A$2:$A$513,MATCH(K355,Интервалы!$G$2:$G$513,0)))</f>
        <v/>
      </c>
      <c r="C355" s="17">
        <f>IF(K355="","",INDEX(Интервалы!$C$2:$C$513,MATCH(K355,Интервалы!$G$2:$G$513,0)))</f>
        <v/>
      </c>
      <c r="D355" s="17">
        <f>IF(K355="","",INDEX(Интервалы!$D$2:$D$513,MATCH(K355,Интервалы!$G$2:$G$513,0)))</f>
        <v/>
      </c>
      <c r="E355" s="5">
        <f>IF(K355="","",D355-C355+1)</f>
        <v/>
      </c>
      <c r="F355" s="9">
        <f>IF(K355="","",INDEX(Интервалы!$E$2:$E$513,MATCH(K355,Интервалы!$G$2:$G$513,0)))</f>
        <v/>
      </c>
      <c r="G355" s="5">
        <f>IF(K355="","",IF(H355=1,INDEX('По дням'!$B$2:$B$4000,MATCH(C355,'По дням'!$A$2:$A$4000,0)),"по периодам ставки"))</f>
        <v/>
      </c>
      <c r="H355" s="5">
        <f>IF(K355="","",INDEX(Интервалы!$I$2:$I$513,MATCH(K355,Интервалы!$G$2:$G$513,0)))</f>
        <v/>
      </c>
      <c r="I355" s="9">
        <f>IF(K355="","",INDEX(Интервалы!$F$2:$F$513,MATCH(K355,Интервалы!$G$2:$G$513,0)))</f>
        <v/>
      </c>
      <c r="J355" s="9">
        <f>IF(K355="","",INDEX(Интервалы!$H$2:$H$513,MATCH(K355,Интервалы!$G$2:$G$513,0)))</f>
        <v/>
      </c>
      <c r="K355">
        <f>IFERROR(SMALL(Интервалы!$G$2:$G$513,349),"")</f>
        <v/>
      </c>
      <c r="L355">
        <f>IF(K355="","",INDEX(Интервалы!$B$2:$B$513,MATCH(K355,Интервалы!$G$2:$G$513,0)))</f>
        <v/>
      </c>
    </row>
    <row r="356">
      <c r="A356" s="5">
        <f>IF(K356="","",350)</f>
        <v/>
      </c>
      <c r="B356" s="5">
        <f>IF(K356="","",INDEX(Интервалы!$A$2:$A$513,MATCH(K356,Интервалы!$G$2:$G$513,0)))</f>
        <v/>
      </c>
      <c r="C356" s="17">
        <f>IF(K356="","",INDEX(Интервалы!$C$2:$C$513,MATCH(K356,Интервалы!$G$2:$G$513,0)))</f>
        <v/>
      </c>
      <c r="D356" s="17">
        <f>IF(K356="","",INDEX(Интервалы!$D$2:$D$513,MATCH(K356,Интервалы!$G$2:$G$513,0)))</f>
        <v/>
      </c>
      <c r="E356" s="5">
        <f>IF(K356="","",D356-C356+1)</f>
        <v/>
      </c>
      <c r="F356" s="9">
        <f>IF(K356="","",INDEX(Интервалы!$E$2:$E$513,MATCH(K356,Интервалы!$G$2:$G$513,0)))</f>
        <v/>
      </c>
      <c r="G356" s="5">
        <f>IF(K356="","",IF(H356=1,INDEX('По дням'!$B$2:$B$4000,MATCH(C356,'По дням'!$A$2:$A$4000,0)),"по периодам ставки"))</f>
        <v/>
      </c>
      <c r="H356" s="5">
        <f>IF(K356="","",INDEX(Интервалы!$I$2:$I$513,MATCH(K356,Интервалы!$G$2:$G$513,0)))</f>
        <v/>
      </c>
      <c r="I356" s="9">
        <f>IF(K356="","",INDEX(Интервалы!$F$2:$F$513,MATCH(K356,Интервалы!$G$2:$G$513,0)))</f>
        <v/>
      </c>
      <c r="J356" s="9">
        <f>IF(K356="","",INDEX(Интервалы!$H$2:$H$513,MATCH(K356,Интервалы!$G$2:$G$513,0)))</f>
        <v/>
      </c>
      <c r="K356">
        <f>IFERROR(SMALL(Интервалы!$G$2:$G$513,350),"")</f>
        <v/>
      </c>
      <c r="L356">
        <f>IF(K356="","",INDEX(Интервалы!$B$2:$B$513,MATCH(K356,Интервалы!$G$2:$G$513,0)))</f>
        <v/>
      </c>
    </row>
    <row r="357">
      <c r="A357" s="5">
        <f>IF(K357="","",351)</f>
        <v/>
      </c>
      <c r="B357" s="5">
        <f>IF(K357="","",INDEX(Интервалы!$A$2:$A$513,MATCH(K357,Интервалы!$G$2:$G$513,0)))</f>
        <v/>
      </c>
      <c r="C357" s="17">
        <f>IF(K357="","",INDEX(Интервалы!$C$2:$C$513,MATCH(K357,Интервалы!$G$2:$G$513,0)))</f>
        <v/>
      </c>
      <c r="D357" s="17">
        <f>IF(K357="","",INDEX(Интервалы!$D$2:$D$513,MATCH(K357,Интервалы!$G$2:$G$513,0)))</f>
        <v/>
      </c>
      <c r="E357" s="5">
        <f>IF(K357="","",D357-C357+1)</f>
        <v/>
      </c>
      <c r="F357" s="9">
        <f>IF(K357="","",INDEX(Интервалы!$E$2:$E$513,MATCH(K357,Интервалы!$G$2:$G$513,0)))</f>
        <v/>
      </c>
      <c r="G357" s="5">
        <f>IF(K357="","",IF(H357=1,INDEX('По дням'!$B$2:$B$4000,MATCH(C357,'По дням'!$A$2:$A$4000,0)),"по периодам ставки"))</f>
        <v/>
      </c>
      <c r="H357" s="5">
        <f>IF(K357="","",INDEX(Интервалы!$I$2:$I$513,MATCH(K357,Интервалы!$G$2:$G$513,0)))</f>
        <v/>
      </c>
      <c r="I357" s="9">
        <f>IF(K357="","",INDEX(Интервалы!$F$2:$F$513,MATCH(K357,Интервалы!$G$2:$G$513,0)))</f>
        <v/>
      </c>
      <c r="J357" s="9">
        <f>IF(K357="","",INDEX(Интервалы!$H$2:$H$513,MATCH(K357,Интервалы!$G$2:$G$513,0)))</f>
        <v/>
      </c>
      <c r="K357">
        <f>IFERROR(SMALL(Интервалы!$G$2:$G$513,351),"")</f>
        <v/>
      </c>
      <c r="L357">
        <f>IF(K357="","",INDEX(Интервалы!$B$2:$B$513,MATCH(K357,Интервалы!$G$2:$G$513,0)))</f>
        <v/>
      </c>
    </row>
    <row r="358">
      <c r="A358" s="5">
        <f>IF(K358="","",352)</f>
        <v/>
      </c>
      <c r="B358" s="5">
        <f>IF(K358="","",INDEX(Интервалы!$A$2:$A$513,MATCH(K358,Интервалы!$G$2:$G$513,0)))</f>
        <v/>
      </c>
      <c r="C358" s="17">
        <f>IF(K358="","",INDEX(Интервалы!$C$2:$C$513,MATCH(K358,Интервалы!$G$2:$G$513,0)))</f>
        <v/>
      </c>
      <c r="D358" s="17">
        <f>IF(K358="","",INDEX(Интервалы!$D$2:$D$513,MATCH(K358,Интервалы!$G$2:$G$513,0)))</f>
        <v/>
      </c>
      <c r="E358" s="5">
        <f>IF(K358="","",D358-C358+1)</f>
        <v/>
      </c>
      <c r="F358" s="9">
        <f>IF(K358="","",INDEX(Интервалы!$E$2:$E$513,MATCH(K358,Интервалы!$G$2:$G$513,0)))</f>
        <v/>
      </c>
      <c r="G358" s="5">
        <f>IF(K358="","",IF(H358=1,INDEX('По дням'!$B$2:$B$4000,MATCH(C358,'По дням'!$A$2:$A$4000,0)),"по периодам ставки"))</f>
        <v/>
      </c>
      <c r="H358" s="5">
        <f>IF(K358="","",INDEX(Интервалы!$I$2:$I$513,MATCH(K358,Интервалы!$G$2:$G$513,0)))</f>
        <v/>
      </c>
      <c r="I358" s="9">
        <f>IF(K358="","",INDEX(Интервалы!$F$2:$F$513,MATCH(K358,Интервалы!$G$2:$G$513,0)))</f>
        <v/>
      </c>
      <c r="J358" s="9">
        <f>IF(K358="","",INDEX(Интервалы!$H$2:$H$513,MATCH(K358,Интервалы!$G$2:$G$513,0)))</f>
        <v/>
      </c>
      <c r="K358">
        <f>IFERROR(SMALL(Интервалы!$G$2:$G$513,352),"")</f>
        <v/>
      </c>
      <c r="L358">
        <f>IF(K358="","",INDEX(Интервалы!$B$2:$B$513,MATCH(K358,Интервалы!$G$2:$G$513,0)))</f>
        <v/>
      </c>
    </row>
    <row r="359">
      <c r="A359" s="5">
        <f>IF(K359="","",353)</f>
        <v/>
      </c>
      <c r="B359" s="5">
        <f>IF(K359="","",INDEX(Интервалы!$A$2:$A$513,MATCH(K359,Интервалы!$G$2:$G$513,0)))</f>
        <v/>
      </c>
      <c r="C359" s="17">
        <f>IF(K359="","",INDEX(Интервалы!$C$2:$C$513,MATCH(K359,Интервалы!$G$2:$G$513,0)))</f>
        <v/>
      </c>
      <c r="D359" s="17">
        <f>IF(K359="","",INDEX(Интервалы!$D$2:$D$513,MATCH(K359,Интервалы!$G$2:$G$513,0)))</f>
        <v/>
      </c>
      <c r="E359" s="5">
        <f>IF(K359="","",D359-C359+1)</f>
        <v/>
      </c>
      <c r="F359" s="9">
        <f>IF(K359="","",INDEX(Интервалы!$E$2:$E$513,MATCH(K359,Интервалы!$G$2:$G$513,0)))</f>
        <v/>
      </c>
      <c r="G359" s="5">
        <f>IF(K359="","",IF(H359=1,INDEX('По дням'!$B$2:$B$4000,MATCH(C359,'По дням'!$A$2:$A$4000,0)),"по периодам ставки"))</f>
        <v/>
      </c>
      <c r="H359" s="5">
        <f>IF(K359="","",INDEX(Интервалы!$I$2:$I$513,MATCH(K359,Интервалы!$G$2:$G$513,0)))</f>
        <v/>
      </c>
      <c r="I359" s="9">
        <f>IF(K359="","",INDEX(Интервалы!$F$2:$F$513,MATCH(K359,Интервалы!$G$2:$G$513,0)))</f>
        <v/>
      </c>
      <c r="J359" s="9">
        <f>IF(K359="","",INDEX(Интервалы!$H$2:$H$513,MATCH(K359,Интервалы!$G$2:$G$513,0)))</f>
        <v/>
      </c>
      <c r="K359">
        <f>IFERROR(SMALL(Интервалы!$G$2:$G$513,353),"")</f>
        <v/>
      </c>
      <c r="L359">
        <f>IF(K359="","",INDEX(Интервалы!$B$2:$B$513,MATCH(K359,Интервалы!$G$2:$G$513,0)))</f>
        <v/>
      </c>
    </row>
    <row r="360">
      <c r="A360" s="5">
        <f>IF(K360="","",354)</f>
        <v/>
      </c>
      <c r="B360" s="5">
        <f>IF(K360="","",INDEX(Интервалы!$A$2:$A$513,MATCH(K360,Интервалы!$G$2:$G$513,0)))</f>
        <v/>
      </c>
      <c r="C360" s="17">
        <f>IF(K360="","",INDEX(Интервалы!$C$2:$C$513,MATCH(K360,Интервалы!$G$2:$G$513,0)))</f>
        <v/>
      </c>
      <c r="D360" s="17">
        <f>IF(K360="","",INDEX(Интервалы!$D$2:$D$513,MATCH(K360,Интервалы!$G$2:$G$513,0)))</f>
        <v/>
      </c>
      <c r="E360" s="5">
        <f>IF(K360="","",D360-C360+1)</f>
        <v/>
      </c>
      <c r="F360" s="9">
        <f>IF(K360="","",INDEX(Интервалы!$E$2:$E$513,MATCH(K360,Интервалы!$G$2:$G$513,0)))</f>
        <v/>
      </c>
      <c r="G360" s="5">
        <f>IF(K360="","",IF(H360=1,INDEX('По дням'!$B$2:$B$4000,MATCH(C360,'По дням'!$A$2:$A$4000,0)),"по периодам ставки"))</f>
        <v/>
      </c>
      <c r="H360" s="5">
        <f>IF(K360="","",INDEX(Интервалы!$I$2:$I$513,MATCH(K360,Интервалы!$G$2:$G$513,0)))</f>
        <v/>
      </c>
      <c r="I360" s="9">
        <f>IF(K360="","",INDEX(Интервалы!$F$2:$F$513,MATCH(K360,Интервалы!$G$2:$G$513,0)))</f>
        <v/>
      </c>
      <c r="J360" s="9">
        <f>IF(K360="","",INDEX(Интервалы!$H$2:$H$513,MATCH(K360,Интервалы!$G$2:$G$513,0)))</f>
        <v/>
      </c>
      <c r="K360">
        <f>IFERROR(SMALL(Интервалы!$G$2:$G$513,354),"")</f>
        <v/>
      </c>
      <c r="L360">
        <f>IF(K360="","",INDEX(Интервалы!$B$2:$B$513,MATCH(K360,Интервалы!$G$2:$G$513,0)))</f>
        <v/>
      </c>
    </row>
    <row r="361">
      <c r="A361" s="5">
        <f>IF(K361="","",355)</f>
        <v/>
      </c>
      <c r="B361" s="5">
        <f>IF(K361="","",INDEX(Интервалы!$A$2:$A$513,MATCH(K361,Интервалы!$G$2:$G$513,0)))</f>
        <v/>
      </c>
      <c r="C361" s="17">
        <f>IF(K361="","",INDEX(Интервалы!$C$2:$C$513,MATCH(K361,Интервалы!$G$2:$G$513,0)))</f>
        <v/>
      </c>
      <c r="D361" s="17">
        <f>IF(K361="","",INDEX(Интервалы!$D$2:$D$513,MATCH(K361,Интервалы!$G$2:$G$513,0)))</f>
        <v/>
      </c>
      <c r="E361" s="5">
        <f>IF(K361="","",D361-C361+1)</f>
        <v/>
      </c>
      <c r="F361" s="9">
        <f>IF(K361="","",INDEX(Интервалы!$E$2:$E$513,MATCH(K361,Интервалы!$G$2:$G$513,0)))</f>
        <v/>
      </c>
      <c r="G361" s="5">
        <f>IF(K361="","",IF(H361=1,INDEX('По дням'!$B$2:$B$4000,MATCH(C361,'По дням'!$A$2:$A$4000,0)),"по периодам ставки"))</f>
        <v/>
      </c>
      <c r="H361" s="5">
        <f>IF(K361="","",INDEX(Интервалы!$I$2:$I$513,MATCH(K361,Интервалы!$G$2:$G$513,0)))</f>
        <v/>
      </c>
      <c r="I361" s="9">
        <f>IF(K361="","",INDEX(Интервалы!$F$2:$F$513,MATCH(K361,Интервалы!$G$2:$G$513,0)))</f>
        <v/>
      </c>
      <c r="J361" s="9">
        <f>IF(K361="","",INDEX(Интервалы!$H$2:$H$513,MATCH(K361,Интервалы!$G$2:$G$513,0)))</f>
        <v/>
      </c>
      <c r="K361">
        <f>IFERROR(SMALL(Интервалы!$G$2:$G$513,355),"")</f>
        <v/>
      </c>
      <c r="L361">
        <f>IF(K361="","",INDEX(Интервалы!$B$2:$B$513,MATCH(K361,Интервалы!$G$2:$G$513,0)))</f>
        <v/>
      </c>
    </row>
    <row r="362">
      <c r="A362" s="5">
        <f>IF(K362="","",356)</f>
        <v/>
      </c>
      <c r="B362" s="5">
        <f>IF(K362="","",INDEX(Интервалы!$A$2:$A$513,MATCH(K362,Интервалы!$G$2:$G$513,0)))</f>
        <v/>
      </c>
      <c r="C362" s="17">
        <f>IF(K362="","",INDEX(Интервалы!$C$2:$C$513,MATCH(K362,Интервалы!$G$2:$G$513,0)))</f>
        <v/>
      </c>
      <c r="D362" s="17">
        <f>IF(K362="","",INDEX(Интервалы!$D$2:$D$513,MATCH(K362,Интервалы!$G$2:$G$513,0)))</f>
        <v/>
      </c>
      <c r="E362" s="5">
        <f>IF(K362="","",D362-C362+1)</f>
        <v/>
      </c>
      <c r="F362" s="9">
        <f>IF(K362="","",INDEX(Интервалы!$E$2:$E$513,MATCH(K362,Интервалы!$G$2:$G$513,0)))</f>
        <v/>
      </c>
      <c r="G362" s="5">
        <f>IF(K362="","",IF(H362=1,INDEX('По дням'!$B$2:$B$4000,MATCH(C362,'По дням'!$A$2:$A$4000,0)),"по периодам ставки"))</f>
        <v/>
      </c>
      <c r="H362" s="5">
        <f>IF(K362="","",INDEX(Интервалы!$I$2:$I$513,MATCH(K362,Интервалы!$G$2:$G$513,0)))</f>
        <v/>
      </c>
      <c r="I362" s="9">
        <f>IF(K362="","",INDEX(Интервалы!$F$2:$F$513,MATCH(K362,Интервалы!$G$2:$G$513,0)))</f>
        <v/>
      </c>
      <c r="J362" s="9">
        <f>IF(K362="","",INDEX(Интервалы!$H$2:$H$513,MATCH(K362,Интервалы!$G$2:$G$513,0)))</f>
        <v/>
      </c>
      <c r="K362">
        <f>IFERROR(SMALL(Интервалы!$G$2:$G$513,356),"")</f>
        <v/>
      </c>
      <c r="L362">
        <f>IF(K362="","",INDEX(Интервалы!$B$2:$B$513,MATCH(K362,Интервалы!$G$2:$G$513,0)))</f>
        <v/>
      </c>
    </row>
    <row r="363">
      <c r="A363" s="5">
        <f>IF(K363="","",357)</f>
        <v/>
      </c>
      <c r="B363" s="5">
        <f>IF(K363="","",INDEX(Интервалы!$A$2:$A$513,MATCH(K363,Интервалы!$G$2:$G$513,0)))</f>
        <v/>
      </c>
      <c r="C363" s="17">
        <f>IF(K363="","",INDEX(Интервалы!$C$2:$C$513,MATCH(K363,Интервалы!$G$2:$G$513,0)))</f>
        <v/>
      </c>
      <c r="D363" s="17">
        <f>IF(K363="","",INDEX(Интервалы!$D$2:$D$513,MATCH(K363,Интервалы!$G$2:$G$513,0)))</f>
        <v/>
      </c>
      <c r="E363" s="5">
        <f>IF(K363="","",D363-C363+1)</f>
        <v/>
      </c>
      <c r="F363" s="9">
        <f>IF(K363="","",INDEX(Интервалы!$E$2:$E$513,MATCH(K363,Интервалы!$G$2:$G$513,0)))</f>
        <v/>
      </c>
      <c r="G363" s="5">
        <f>IF(K363="","",IF(H363=1,INDEX('По дням'!$B$2:$B$4000,MATCH(C363,'По дням'!$A$2:$A$4000,0)),"по периодам ставки"))</f>
        <v/>
      </c>
      <c r="H363" s="5">
        <f>IF(K363="","",INDEX(Интервалы!$I$2:$I$513,MATCH(K363,Интервалы!$G$2:$G$513,0)))</f>
        <v/>
      </c>
      <c r="I363" s="9">
        <f>IF(K363="","",INDEX(Интервалы!$F$2:$F$513,MATCH(K363,Интервалы!$G$2:$G$513,0)))</f>
        <v/>
      </c>
      <c r="J363" s="9">
        <f>IF(K363="","",INDEX(Интервалы!$H$2:$H$513,MATCH(K363,Интервалы!$G$2:$G$513,0)))</f>
        <v/>
      </c>
      <c r="K363">
        <f>IFERROR(SMALL(Интервалы!$G$2:$G$513,357),"")</f>
        <v/>
      </c>
      <c r="L363">
        <f>IF(K363="","",INDEX(Интервалы!$B$2:$B$513,MATCH(K363,Интервалы!$G$2:$G$513,0)))</f>
        <v/>
      </c>
    </row>
    <row r="364">
      <c r="A364" s="5">
        <f>IF(K364="","",358)</f>
        <v/>
      </c>
      <c r="B364" s="5">
        <f>IF(K364="","",INDEX(Интервалы!$A$2:$A$513,MATCH(K364,Интервалы!$G$2:$G$513,0)))</f>
        <v/>
      </c>
      <c r="C364" s="17">
        <f>IF(K364="","",INDEX(Интервалы!$C$2:$C$513,MATCH(K364,Интервалы!$G$2:$G$513,0)))</f>
        <v/>
      </c>
      <c r="D364" s="17">
        <f>IF(K364="","",INDEX(Интервалы!$D$2:$D$513,MATCH(K364,Интервалы!$G$2:$G$513,0)))</f>
        <v/>
      </c>
      <c r="E364" s="5">
        <f>IF(K364="","",D364-C364+1)</f>
        <v/>
      </c>
      <c r="F364" s="9">
        <f>IF(K364="","",INDEX(Интервалы!$E$2:$E$513,MATCH(K364,Интервалы!$G$2:$G$513,0)))</f>
        <v/>
      </c>
      <c r="G364" s="5">
        <f>IF(K364="","",IF(H364=1,INDEX('По дням'!$B$2:$B$4000,MATCH(C364,'По дням'!$A$2:$A$4000,0)),"по периодам ставки"))</f>
        <v/>
      </c>
      <c r="H364" s="5">
        <f>IF(K364="","",INDEX(Интервалы!$I$2:$I$513,MATCH(K364,Интервалы!$G$2:$G$513,0)))</f>
        <v/>
      </c>
      <c r="I364" s="9">
        <f>IF(K364="","",INDEX(Интервалы!$F$2:$F$513,MATCH(K364,Интервалы!$G$2:$G$513,0)))</f>
        <v/>
      </c>
      <c r="J364" s="9">
        <f>IF(K364="","",INDEX(Интервалы!$H$2:$H$513,MATCH(K364,Интервалы!$G$2:$G$513,0)))</f>
        <v/>
      </c>
      <c r="K364">
        <f>IFERROR(SMALL(Интервалы!$G$2:$G$513,358),"")</f>
        <v/>
      </c>
      <c r="L364">
        <f>IF(K364="","",INDEX(Интервалы!$B$2:$B$513,MATCH(K364,Интервалы!$G$2:$G$513,0)))</f>
        <v/>
      </c>
    </row>
    <row r="365">
      <c r="A365" s="5">
        <f>IF(K365="","",359)</f>
        <v/>
      </c>
      <c r="B365" s="5">
        <f>IF(K365="","",INDEX(Интервалы!$A$2:$A$513,MATCH(K365,Интервалы!$G$2:$G$513,0)))</f>
        <v/>
      </c>
      <c r="C365" s="17">
        <f>IF(K365="","",INDEX(Интервалы!$C$2:$C$513,MATCH(K365,Интервалы!$G$2:$G$513,0)))</f>
        <v/>
      </c>
      <c r="D365" s="17">
        <f>IF(K365="","",INDEX(Интервалы!$D$2:$D$513,MATCH(K365,Интервалы!$G$2:$G$513,0)))</f>
        <v/>
      </c>
      <c r="E365" s="5">
        <f>IF(K365="","",D365-C365+1)</f>
        <v/>
      </c>
      <c r="F365" s="9">
        <f>IF(K365="","",INDEX(Интервалы!$E$2:$E$513,MATCH(K365,Интервалы!$G$2:$G$513,0)))</f>
        <v/>
      </c>
      <c r="G365" s="5">
        <f>IF(K365="","",IF(H365=1,INDEX('По дням'!$B$2:$B$4000,MATCH(C365,'По дням'!$A$2:$A$4000,0)),"по периодам ставки"))</f>
        <v/>
      </c>
      <c r="H365" s="5">
        <f>IF(K365="","",INDEX(Интервалы!$I$2:$I$513,MATCH(K365,Интервалы!$G$2:$G$513,0)))</f>
        <v/>
      </c>
      <c r="I365" s="9">
        <f>IF(K365="","",INDEX(Интервалы!$F$2:$F$513,MATCH(K365,Интервалы!$G$2:$G$513,0)))</f>
        <v/>
      </c>
      <c r="J365" s="9">
        <f>IF(K365="","",INDEX(Интервалы!$H$2:$H$513,MATCH(K365,Интервалы!$G$2:$G$513,0)))</f>
        <v/>
      </c>
      <c r="K365">
        <f>IFERROR(SMALL(Интервалы!$G$2:$G$513,359),"")</f>
        <v/>
      </c>
      <c r="L365">
        <f>IF(K365="","",INDEX(Интервалы!$B$2:$B$513,MATCH(K365,Интервалы!$G$2:$G$513,0)))</f>
        <v/>
      </c>
    </row>
    <row r="366">
      <c r="A366" s="5">
        <f>IF(K366="","",360)</f>
        <v/>
      </c>
      <c r="B366" s="5">
        <f>IF(K366="","",INDEX(Интервалы!$A$2:$A$513,MATCH(K366,Интервалы!$G$2:$G$513,0)))</f>
        <v/>
      </c>
      <c r="C366" s="17">
        <f>IF(K366="","",INDEX(Интервалы!$C$2:$C$513,MATCH(K366,Интервалы!$G$2:$G$513,0)))</f>
        <v/>
      </c>
      <c r="D366" s="17">
        <f>IF(K366="","",INDEX(Интервалы!$D$2:$D$513,MATCH(K366,Интервалы!$G$2:$G$513,0)))</f>
        <v/>
      </c>
      <c r="E366" s="5">
        <f>IF(K366="","",D366-C366+1)</f>
        <v/>
      </c>
      <c r="F366" s="9">
        <f>IF(K366="","",INDEX(Интервалы!$E$2:$E$513,MATCH(K366,Интервалы!$G$2:$G$513,0)))</f>
        <v/>
      </c>
      <c r="G366" s="5">
        <f>IF(K366="","",IF(H366=1,INDEX('По дням'!$B$2:$B$4000,MATCH(C366,'По дням'!$A$2:$A$4000,0)),"по периодам ставки"))</f>
        <v/>
      </c>
      <c r="H366" s="5">
        <f>IF(K366="","",INDEX(Интервалы!$I$2:$I$513,MATCH(K366,Интервалы!$G$2:$G$513,0)))</f>
        <v/>
      </c>
      <c r="I366" s="9">
        <f>IF(K366="","",INDEX(Интервалы!$F$2:$F$513,MATCH(K366,Интервалы!$G$2:$G$513,0)))</f>
        <v/>
      </c>
      <c r="J366" s="9">
        <f>IF(K366="","",INDEX(Интервалы!$H$2:$H$513,MATCH(K366,Интервалы!$G$2:$G$513,0)))</f>
        <v/>
      </c>
      <c r="K366">
        <f>IFERROR(SMALL(Интервалы!$G$2:$G$513,360),"")</f>
        <v/>
      </c>
      <c r="L366">
        <f>IF(K366="","",INDEX(Интервалы!$B$2:$B$513,MATCH(K366,Интервалы!$G$2:$G$513,0)))</f>
        <v/>
      </c>
    </row>
    <row r="367">
      <c r="A367" s="5">
        <f>IF(K367="","",361)</f>
        <v/>
      </c>
      <c r="B367" s="5">
        <f>IF(K367="","",INDEX(Интервалы!$A$2:$A$513,MATCH(K367,Интервалы!$G$2:$G$513,0)))</f>
        <v/>
      </c>
      <c r="C367" s="17">
        <f>IF(K367="","",INDEX(Интервалы!$C$2:$C$513,MATCH(K367,Интервалы!$G$2:$G$513,0)))</f>
        <v/>
      </c>
      <c r="D367" s="17">
        <f>IF(K367="","",INDEX(Интервалы!$D$2:$D$513,MATCH(K367,Интервалы!$G$2:$G$513,0)))</f>
        <v/>
      </c>
      <c r="E367" s="5">
        <f>IF(K367="","",D367-C367+1)</f>
        <v/>
      </c>
      <c r="F367" s="9">
        <f>IF(K367="","",INDEX(Интервалы!$E$2:$E$513,MATCH(K367,Интервалы!$G$2:$G$513,0)))</f>
        <v/>
      </c>
      <c r="G367" s="5">
        <f>IF(K367="","",IF(H367=1,INDEX('По дням'!$B$2:$B$4000,MATCH(C367,'По дням'!$A$2:$A$4000,0)),"по периодам ставки"))</f>
        <v/>
      </c>
      <c r="H367" s="5">
        <f>IF(K367="","",INDEX(Интервалы!$I$2:$I$513,MATCH(K367,Интервалы!$G$2:$G$513,0)))</f>
        <v/>
      </c>
      <c r="I367" s="9">
        <f>IF(K367="","",INDEX(Интервалы!$F$2:$F$513,MATCH(K367,Интервалы!$G$2:$G$513,0)))</f>
        <v/>
      </c>
      <c r="J367" s="9">
        <f>IF(K367="","",INDEX(Интервалы!$H$2:$H$513,MATCH(K367,Интервалы!$G$2:$G$513,0)))</f>
        <v/>
      </c>
      <c r="K367">
        <f>IFERROR(SMALL(Интервалы!$G$2:$G$513,361),"")</f>
        <v/>
      </c>
      <c r="L367">
        <f>IF(K367="","",INDEX(Интервалы!$B$2:$B$513,MATCH(K367,Интервалы!$G$2:$G$513,0)))</f>
        <v/>
      </c>
    </row>
    <row r="368">
      <c r="A368" s="5">
        <f>IF(K368="","",362)</f>
        <v/>
      </c>
      <c r="B368" s="5">
        <f>IF(K368="","",INDEX(Интервалы!$A$2:$A$513,MATCH(K368,Интервалы!$G$2:$G$513,0)))</f>
        <v/>
      </c>
      <c r="C368" s="17">
        <f>IF(K368="","",INDEX(Интервалы!$C$2:$C$513,MATCH(K368,Интервалы!$G$2:$G$513,0)))</f>
        <v/>
      </c>
      <c r="D368" s="17">
        <f>IF(K368="","",INDEX(Интервалы!$D$2:$D$513,MATCH(K368,Интервалы!$G$2:$G$513,0)))</f>
        <v/>
      </c>
      <c r="E368" s="5">
        <f>IF(K368="","",D368-C368+1)</f>
        <v/>
      </c>
      <c r="F368" s="9">
        <f>IF(K368="","",INDEX(Интервалы!$E$2:$E$513,MATCH(K368,Интервалы!$G$2:$G$513,0)))</f>
        <v/>
      </c>
      <c r="G368" s="5">
        <f>IF(K368="","",IF(H368=1,INDEX('По дням'!$B$2:$B$4000,MATCH(C368,'По дням'!$A$2:$A$4000,0)),"по периодам ставки"))</f>
        <v/>
      </c>
      <c r="H368" s="5">
        <f>IF(K368="","",INDEX(Интервалы!$I$2:$I$513,MATCH(K368,Интервалы!$G$2:$G$513,0)))</f>
        <v/>
      </c>
      <c r="I368" s="9">
        <f>IF(K368="","",INDEX(Интервалы!$F$2:$F$513,MATCH(K368,Интервалы!$G$2:$G$513,0)))</f>
        <v/>
      </c>
      <c r="J368" s="9">
        <f>IF(K368="","",INDEX(Интервалы!$H$2:$H$513,MATCH(K368,Интервалы!$G$2:$G$513,0)))</f>
        <v/>
      </c>
      <c r="K368">
        <f>IFERROR(SMALL(Интервалы!$G$2:$G$513,362),"")</f>
        <v/>
      </c>
      <c r="L368">
        <f>IF(K368="","",INDEX(Интервалы!$B$2:$B$513,MATCH(K368,Интервалы!$G$2:$G$513,0)))</f>
        <v/>
      </c>
    </row>
    <row r="369">
      <c r="A369" s="5">
        <f>IF(K369="","",363)</f>
        <v/>
      </c>
      <c r="B369" s="5">
        <f>IF(K369="","",INDEX(Интервалы!$A$2:$A$513,MATCH(K369,Интервалы!$G$2:$G$513,0)))</f>
        <v/>
      </c>
      <c r="C369" s="17">
        <f>IF(K369="","",INDEX(Интервалы!$C$2:$C$513,MATCH(K369,Интервалы!$G$2:$G$513,0)))</f>
        <v/>
      </c>
      <c r="D369" s="17">
        <f>IF(K369="","",INDEX(Интервалы!$D$2:$D$513,MATCH(K369,Интервалы!$G$2:$G$513,0)))</f>
        <v/>
      </c>
      <c r="E369" s="5">
        <f>IF(K369="","",D369-C369+1)</f>
        <v/>
      </c>
      <c r="F369" s="9">
        <f>IF(K369="","",INDEX(Интервалы!$E$2:$E$513,MATCH(K369,Интервалы!$G$2:$G$513,0)))</f>
        <v/>
      </c>
      <c r="G369" s="5">
        <f>IF(K369="","",IF(H369=1,INDEX('По дням'!$B$2:$B$4000,MATCH(C369,'По дням'!$A$2:$A$4000,0)),"по периодам ставки"))</f>
        <v/>
      </c>
      <c r="H369" s="5">
        <f>IF(K369="","",INDEX(Интервалы!$I$2:$I$513,MATCH(K369,Интервалы!$G$2:$G$513,0)))</f>
        <v/>
      </c>
      <c r="I369" s="9">
        <f>IF(K369="","",INDEX(Интервалы!$F$2:$F$513,MATCH(K369,Интервалы!$G$2:$G$513,0)))</f>
        <v/>
      </c>
      <c r="J369" s="9">
        <f>IF(K369="","",INDEX(Интервалы!$H$2:$H$513,MATCH(K369,Интервалы!$G$2:$G$513,0)))</f>
        <v/>
      </c>
      <c r="K369">
        <f>IFERROR(SMALL(Интервалы!$G$2:$G$513,363),"")</f>
        <v/>
      </c>
      <c r="L369">
        <f>IF(K369="","",INDEX(Интервалы!$B$2:$B$513,MATCH(K369,Интервалы!$G$2:$G$513,0)))</f>
        <v/>
      </c>
    </row>
    <row r="370">
      <c r="A370" s="5">
        <f>IF(K370="","",364)</f>
        <v/>
      </c>
      <c r="B370" s="5">
        <f>IF(K370="","",INDEX(Интервалы!$A$2:$A$513,MATCH(K370,Интервалы!$G$2:$G$513,0)))</f>
        <v/>
      </c>
      <c r="C370" s="17">
        <f>IF(K370="","",INDEX(Интервалы!$C$2:$C$513,MATCH(K370,Интервалы!$G$2:$G$513,0)))</f>
        <v/>
      </c>
      <c r="D370" s="17">
        <f>IF(K370="","",INDEX(Интервалы!$D$2:$D$513,MATCH(K370,Интервалы!$G$2:$G$513,0)))</f>
        <v/>
      </c>
      <c r="E370" s="5">
        <f>IF(K370="","",D370-C370+1)</f>
        <v/>
      </c>
      <c r="F370" s="9">
        <f>IF(K370="","",INDEX(Интервалы!$E$2:$E$513,MATCH(K370,Интервалы!$G$2:$G$513,0)))</f>
        <v/>
      </c>
      <c r="G370" s="5">
        <f>IF(K370="","",IF(H370=1,INDEX('По дням'!$B$2:$B$4000,MATCH(C370,'По дням'!$A$2:$A$4000,0)),"по периодам ставки"))</f>
        <v/>
      </c>
      <c r="H370" s="5">
        <f>IF(K370="","",INDEX(Интервалы!$I$2:$I$513,MATCH(K370,Интервалы!$G$2:$G$513,0)))</f>
        <v/>
      </c>
      <c r="I370" s="9">
        <f>IF(K370="","",INDEX(Интервалы!$F$2:$F$513,MATCH(K370,Интервалы!$G$2:$G$513,0)))</f>
        <v/>
      </c>
      <c r="J370" s="9">
        <f>IF(K370="","",INDEX(Интервалы!$H$2:$H$513,MATCH(K370,Интервалы!$G$2:$G$513,0)))</f>
        <v/>
      </c>
      <c r="K370">
        <f>IFERROR(SMALL(Интервалы!$G$2:$G$513,364),"")</f>
        <v/>
      </c>
      <c r="L370">
        <f>IF(K370="","",INDEX(Интервалы!$B$2:$B$513,MATCH(K370,Интервалы!$G$2:$G$513,0)))</f>
        <v/>
      </c>
    </row>
    <row r="371">
      <c r="A371" s="5">
        <f>IF(K371="","",365)</f>
        <v/>
      </c>
      <c r="B371" s="5">
        <f>IF(K371="","",INDEX(Интервалы!$A$2:$A$513,MATCH(K371,Интервалы!$G$2:$G$513,0)))</f>
        <v/>
      </c>
      <c r="C371" s="17">
        <f>IF(K371="","",INDEX(Интервалы!$C$2:$C$513,MATCH(K371,Интервалы!$G$2:$G$513,0)))</f>
        <v/>
      </c>
      <c r="D371" s="17">
        <f>IF(K371="","",INDEX(Интервалы!$D$2:$D$513,MATCH(K371,Интервалы!$G$2:$G$513,0)))</f>
        <v/>
      </c>
      <c r="E371" s="5">
        <f>IF(K371="","",D371-C371+1)</f>
        <v/>
      </c>
      <c r="F371" s="9">
        <f>IF(K371="","",INDEX(Интервалы!$E$2:$E$513,MATCH(K371,Интервалы!$G$2:$G$513,0)))</f>
        <v/>
      </c>
      <c r="G371" s="5">
        <f>IF(K371="","",IF(H371=1,INDEX('По дням'!$B$2:$B$4000,MATCH(C371,'По дням'!$A$2:$A$4000,0)),"по периодам ставки"))</f>
        <v/>
      </c>
      <c r="H371" s="5">
        <f>IF(K371="","",INDEX(Интервалы!$I$2:$I$513,MATCH(K371,Интервалы!$G$2:$G$513,0)))</f>
        <v/>
      </c>
      <c r="I371" s="9">
        <f>IF(K371="","",INDEX(Интервалы!$F$2:$F$513,MATCH(K371,Интервалы!$G$2:$G$513,0)))</f>
        <v/>
      </c>
      <c r="J371" s="9">
        <f>IF(K371="","",INDEX(Интервалы!$H$2:$H$513,MATCH(K371,Интервалы!$G$2:$G$513,0)))</f>
        <v/>
      </c>
      <c r="K371">
        <f>IFERROR(SMALL(Интервалы!$G$2:$G$513,365),"")</f>
        <v/>
      </c>
      <c r="L371">
        <f>IF(K371="","",INDEX(Интервалы!$B$2:$B$513,MATCH(K371,Интервалы!$G$2:$G$513,0)))</f>
        <v/>
      </c>
    </row>
    <row r="372">
      <c r="A372" s="5">
        <f>IF(K372="","",366)</f>
        <v/>
      </c>
      <c r="B372" s="5">
        <f>IF(K372="","",INDEX(Интервалы!$A$2:$A$513,MATCH(K372,Интервалы!$G$2:$G$513,0)))</f>
        <v/>
      </c>
      <c r="C372" s="17">
        <f>IF(K372="","",INDEX(Интервалы!$C$2:$C$513,MATCH(K372,Интервалы!$G$2:$G$513,0)))</f>
        <v/>
      </c>
      <c r="D372" s="17">
        <f>IF(K372="","",INDEX(Интервалы!$D$2:$D$513,MATCH(K372,Интервалы!$G$2:$G$513,0)))</f>
        <v/>
      </c>
      <c r="E372" s="5">
        <f>IF(K372="","",D372-C372+1)</f>
        <v/>
      </c>
      <c r="F372" s="9">
        <f>IF(K372="","",INDEX(Интервалы!$E$2:$E$513,MATCH(K372,Интервалы!$G$2:$G$513,0)))</f>
        <v/>
      </c>
      <c r="G372" s="5">
        <f>IF(K372="","",IF(H372=1,INDEX('По дням'!$B$2:$B$4000,MATCH(C372,'По дням'!$A$2:$A$4000,0)),"по периодам ставки"))</f>
        <v/>
      </c>
      <c r="H372" s="5">
        <f>IF(K372="","",INDEX(Интервалы!$I$2:$I$513,MATCH(K372,Интервалы!$G$2:$G$513,0)))</f>
        <v/>
      </c>
      <c r="I372" s="9">
        <f>IF(K372="","",INDEX(Интервалы!$F$2:$F$513,MATCH(K372,Интервалы!$G$2:$G$513,0)))</f>
        <v/>
      </c>
      <c r="J372" s="9">
        <f>IF(K372="","",INDEX(Интервалы!$H$2:$H$513,MATCH(K372,Интервалы!$G$2:$G$513,0)))</f>
        <v/>
      </c>
      <c r="K372">
        <f>IFERROR(SMALL(Интервалы!$G$2:$G$513,366),"")</f>
        <v/>
      </c>
      <c r="L372">
        <f>IF(K372="","",INDEX(Интервалы!$B$2:$B$513,MATCH(K372,Интервалы!$G$2:$G$513,0)))</f>
        <v/>
      </c>
    </row>
    <row r="373">
      <c r="A373" s="5">
        <f>IF(K373="","",367)</f>
        <v/>
      </c>
      <c r="B373" s="5">
        <f>IF(K373="","",INDEX(Интервалы!$A$2:$A$513,MATCH(K373,Интервалы!$G$2:$G$513,0)))</f>
        <v/>
      </c>
      <c r="C373" s="17">
        <f>IF(K373="","",INDEX(Интервалы!$C$2:$C$513,MATCH(K373,Интервалы!$G$2:$G$513,0)))</f>
        <v/>
      </c>
      <c r="D373" s="17">
        <f>IF(K373="","",INDEX(Интервалы!$D$2:$D$513,MATCH(K373,Интервалы!$G$2:$G$513,0)))</f>
        <v/>
      </c>
      <c r="E373" s="5">
        <f>IF(K373="","",D373-C373+1)</f>
        <v/>
      </c>
      <c r="F373" s="9">
        <f>IF(K373="","",INDEX(Интервалы!$E$2:$E$513,MATCH(K373,Интервалы!$G$2:$G$513,0)))</f>
        <v/>
      </c>
      <c r="G373" s="5">
        <f>IF(K373="","",IF(H373=1,INDEX('По дням'!$B$2:$B$4000,MATCH(C373,'По дням'!$A$2:$A$4000,0)),"по периодам ставки"))</f>
        <v/>
      </c>
      <c r="H373" s="5">
        <f>IF(K373="","",INDEX(Интервалы!$I$2:$I$513,MATCH(K373,Интервалы!$G$2:$G$513,0)))</f>
        <v/>
      </c>
      <c r="I373" s="9">
        <f>IF(K373="","",INDEX(Интервалы!$F$2:$F$513,MATCH(K373,Интервалы!$G$2:$G$513,0)))</f>
        <v/>
      </c>
      <c r="J373" s="9">
        <f>IF(K373="","",INDEX(Интервалы!$H$2:$H$513,MATCH(K373,Интервалы!$G$2:$G$513,0)))</f>
        <v/>
      </c>
      <c r="K373">
        <f>IFERROR(SMALL(Интервалы!$G$2:$G$513,367),"")</f>
        <v/>
      </c>
      <c r="L373">
        <f>IF(K373="","",INDEX(Интервалы!$B$2:$B$513,MATCH(K373,Интервалы!$G$2:$G$513,0)))</f>
        <v/>
      </c>
    </row>
    <row r="374">
      <c r="A374" s="5">
        <f>IF(K374="","",368)</f>
        <v/>
      </c>
      <c r="B374" s="5">
        <f>IF(K374="","",INDEX(Интервалы!$A$2:$A$513,MATCH(K374,Интервалы!$G$2:$G$513,0)))</f>
        <v/>
      </c>
      <c r="C374" s="17">
        <f>IF(K374="","",INDEX(Интервалы!$C$2:$C$513,MATCH(K374,Интервалы!$G$2:$G$513,0)))</f>
        <v/>
      </c>
      <c r="D374" s="17">
        <f>IF(K374="","",INDEX(Интервалы!$D$2:$D$513,MATCH(K374,Интервалы!$G$2:$G$513,0)))</f>
        <v/>
      </c>
      <c r="E374" s="5">
        <f>IF(K374="","",D374-C374+1)</f>
        <v/>
      </c>
      <c r="F374" s="9">
        <f>IF(K374="","",INDEX(Интервалы!$E$2:$E$513,MATCH(K374,Интервалы!$G$2:$G$513,0)))</f>
        <v/>
      </c>
      <c r="G374" s="5">
        <f>IF(K374="","",IF(H374=1,INDEX('По дням'!$B$2:$B$4000,MATCH(C374,'По дням'!$A$2:$A$4000,0)),"по периодам ставки"))</f>
        <v/>
      </c>
      <c r="H374" s="5">
        <f>IF(K374="","",INDEX(Интервалы!$I$2:$I$513,MATCH(K374,Интервалы!$G$2:$G$513,0)))</f>
        <v/>
      </c>
      <c r="I374" s="9">
        <f>IF(K374="","",INDEX(Интервалы!$F$2:$F$513,MATCH(K374,Интервалы!$G$2:$G$513,0)))</f>
        <v/>
      </c>
      <c r="J374" s="9">
        <f>IF(K374="","",INDEX(Интервалы!$H$2:$H$513,MATCH(K374,Интервалы!$G$2:$G$513,0)))</f>
        <v/>
      </c>
      <c r="K374">
        <f>IFERROR(SMALL(Интервалы!$G$2:$G$513,368),"")</f>
        <v/>
      </c>
      <c r="L374">
        <f>IF(K374="","",INDEX(Интервалы!$B$2:$B$513,MATCH(K374,Интервалы!$G$2:$G$513,0)))</f>
        <v/>
      </c>
    </row>
    <row r="375">
      <c r="A375" s="5">
        <f>IF(K375="","",369)</f>
        <v/>
      </c>
      <c r="B375" s="5">
        <f>IF(K375="","",INDEX(Интервалы!$A$2:$A$513,MATCH(K375,Интервалы!$G$2:$G$513,0)))</f>
        <v/>
      </c>
      <c r="C375" s="17">
        <f>IF(K375="","",INDEX(Интервалы!$C$2:$C$513,MATCH(K375,Интервалы!$G$2:$G$513,0)))</f>
        <v/>
      </c>
      <c r="D375" s="17">
        <f>IF(K375="","",INDEX(Интервалы!$D$2:$D$513,MATCH(K375,Интервалы!$G$2:$G$513,0)))</f>
        <v/>
      </c>
      <c r="E375" s="5">
        <f>IF(K375="","",D375-C375+1)</f>
        <v/>
      </c>
      <c r="F375" s="9">
        <f>IF(K375="","",INDEX(Интервалы!$E$2:$E$513,MATCH(K375,Интервалы!$G$2:$G$513,0)))</f>
        <v/>
      </c>
      <c r="G375" s="5">
        <f>IF(K375="","",IF(H375=1,INDEX('По дням'!$B$2:$B$4000,MATCH(C375,'По дням'!$A$2:$A$4000,0)),"по периодам ставки"))</f>
        <v/>
      </c>
      <c r="H375" s="5">
        <f>IF(K375="","",INDEX(Интервалы!$I$2:$I$513,MATCH(K375,Интервалы!$G$2:$G$513,0)))</f>
        <v/>
      </c>
      <c r="I375" s="9">
        <f>IF(K375="","",INDEX(Интервалы!$F$2:$F$513,MATCH(K375,Интервалы!$G$2:$G$513,0)))</f>
        <v/>
      </c>
      <c r="J375" s="9">
        <f>IF(K375="","",INDEX(Интервалы!$H$2:$H$513,MATCH(K375,Интервалы!$G$2:$G$513,0)))</f>
        <v/>
      </c>
      <c r="K375">
        <f>IFERROR(SMALL(Интервалы!$G$2:$G$513,369),"")</f>
        <v/>
      </c>
      <c r="L375">
        <f>IF(K375="","",INDEX(Интервалы!$B$2:$B$513,MATCH(K375,Интервалы!$G$2:$G$513,0)))</f>
        <v/>
      </c>
    </row>
    <row r="376">
      <c r="A376" s="5">
        <f>IF(K376="","",370)</f>
        <v/>
      </c>
      <c r="B376" s="5">
        <f>IF(K376="","",INDEX(Интервалы!$A$2:$A$513,MATCH(K376,Интервалы!$G$2:$G$513,0)))</f>
        <v/>
      </c>
      <c r="C376" s="17">
        <f>IF(K376="","",INDEX(Интервалы!$C$2:$C$513,MATCH(K376,Интервалы!$G$2:$G$513,0)))</f>
        <v/>
      </c>
      <c r="D376" s="17">
        <f>IF(K376="","",INDEX(Интервалы!$D$2:$D$513,MATCH(K376,Интервалы!$G$2:$G$513,0)))</f>
        <v/>
      </c>
      <c r="E376" s="5">
        <f>IF(K376="","",D376-C376+1)</f>
        <v/>
      </c>
      <c r="F376" s="9">
        <f>IF(K376="","",INDEX(Интервалы!$E$2:$E$513,MATCH(K376,Интервалы!$G$2:$G$513,0)))</f>
        <v/>
      </c>
      <c r="G376" s="5">
        <f>IF(K376="","",IF(H376=1,INDEX('По дням'!$B$2:$B$4000,MATCH(C376,'По дням'!$A$2:$A$4000,0)),"по периодам ставки"))</f>
        <v/>
      </c>
      <c r="H376" s="5">
        <f>IF(K376="","",INDEX(Интервалы!$I$2:$I$513,MATCH(K376,Интервалы!$G$2:$G$513,0)))</f>
        <v/>
      </c>
      <c r="I376" s="9">
        <f>IF(K376="","",INDEX(Интервалы!$F$2:$F$513,MATCH(K376,Интервалы!$G$2:$G$513,0)))</f>
        <v/>
      </c>
      <c r="J376" s="9">
        <f>IF(K376="","",INDEX(Интервалы!$H$2:$H$513,MATCH(K376,Интервалы!$G$2:$G$513,0)))</f>
        <v/>
      </c>
      <c r="K376">
        <f>IFERROR(SMALL(Интервалы!$G$2:$G$513,370),"")</f>
        <v/>
      </c>
      <c r="L376">
        <f>IF(K376="","",INDEX(Интервалы!$B$2:$B$513,MATCH(K376,Интервалы!$G$2:$G$513,0)))</f>
        <v/>
      </c>
    </row>
    <row r="377">
      <c r="A377" s="5">
        <f>IF(K377="","",371)</f>
        <v/>
      </c>
      <c r="B377" s="5">
        <f>IF(K377="","",INDEX(Интервалы!$A$2:$A$513,MATCH(K377,Интервалы!$G$2:$G$513,0)))</f>
        <v/>
      </c>
      <c r="C377" s="17">
        <f>IF(K377="","",INDEX(Интервалы!$C$2:$C$513,MATCH(K377,Интервалы!$G$2:$G$513,0)))</f>
        <v/>
      </c>
      <c r="D377" s="17">
        <f>IF(K377="","",INDEX(Интервалы!$D$2:$D$513,MATCH(K377,Интервалы!$G$2:$G$513,0)))</f>
        <v/>
      </c>
      <c r="E377" s="5">
        <f>IF(K377="","",D377-C377+1)</f>
        <v/>
      </c>
      <c r="F377" s="9">
        <f>IF(K377="","",INDEX(Интервалы!$E$2:$E$513,MATCH(K377,Интервалы!$G$2:$G$513,0)))</f>
        <v/>
      </c>
      <c r="G377" s="5">
        <f>IF(K377="","",IF(H377=1,INDEX('По дням'!$B$2:$B$4000,MATCH(C377,'По дням'!$A$2:$A$4000,0)),"по периодам ставки"))</f>
        <v/>
      </c>
      <c r="H377" s="5">
        <f>IF(K377="","",INDEX(Интервалы!$I$2:$I$513,MATCH(K377,Интервалы!$G$2:$G$513,0)))</f>
        <v/>
      </c>
      <c r="I377" s="9">
        <f>IF(K377="","",INDEX(Интервалы!$F$2:$F$513,MATCH(K377,Интервалы!$G$2:$G$513,0)))</f>
        <v/>
      </c>
      <c r="J377" s="9">
        <f>IF(K377="","",INDEX(Интервалы!$H$2:$H$513,MATCH(K377,Интервалы!$G$2:$G$513,0)))</f>
        <v/>
      </c>
      <c r="K377">
        <f>IFERROR(SMALL(Интервалы!$G$2:$G$513,371),"")</f>
        <v/>
      </c>
      <c r="L377">
        <f>IF(K377="","",INDEX(Интервалы!$B$2:$B$513,MATCH(K377,Интервалы!$G$2:$G$513,0)))</f>
        <v/>
      </c>
    </row>
    <row r="378">
      <c r="A378" s="5">
        <f>IF(K378="","",372)</f>
        <v/>
      </c>
      <c r="B378" s="5">
        <f>IF(K378="","",INDEX(Интервалы!$A$2:$A$513,MATCH(K378,Интервалы!$G$2:$G$513,0)))</f>
        <v/>
      </c>
      <c r="C378" s="17">
        <f>IF(K378="","",INDEX(Интервалы!$C$2:$C$513,MATCH(K378,Интервалы!$G$2:$G$513,0)))</f>
        <v/>
      </c>
      <c r="D378" s="17">
        <f>IF(K378="","",INDEX(Интервалы!$D$2:$D$513,MATCH(K378,Интервалы!$G$2:$G$513,0)))</f>
        <v/>
      </c>
      <c r="E378" s="5">
        <f>IF(K378="","",D378-C378+1)</f>
        <v/>
      </c>
      <c r="F378" s="9">
        <f>IF(K378="","",INDEX(Интервалы!$E$2:$E$513,MATCH(K378,Интервалы!$G$2:$G$513,0)))</f>
        <v/>
      </c>
      <c r="G378" s="5">
        <f>IF(K378="","",IF(H378=1,INDEX('По дням'!$B$2:$B$4000,MATCH(C378,'По дням'!$A$2:$A$4000,0)),"по периодам ставки"))</f>
        <v/>
      </c>
      <c r="H378" s="5">
        <f>IF(K378="","",INDEX(Интервалы!$I$2:$I$513,MATCH(K378,Интервалы!$G$2:$G$513,0)))</f>
        <v/>
      </c>
      <c r="I378" s="9">
        <f>IF(K378="","",INDEX(Интервалы!$F$2:$F$513,MATCH(K378,Интервалы!$G$2:$G$513,0)))</f>
        <v/>
      </c>
      <c r="J378" s="9">
        <f>IF(K378="","",INDEX(Интервалы!$H$2:$H$513,MATCH(K378,Интервалы!$G$2:$G$513,0)))</f>
        <v/>
      </c>
      <c r="K378">
        <f>IFERROR(SMALL(Интервалы!$G$2:$G$513,372),"")</f>
        <v/>
      </c>
      <c r="L378">
        <f>IF(K378="","",INDEX(Интервалы!$B$2:$B$513,MATCH(K378,Интервалы!$G$2:$G$513,0)))</f>
        <v/>
      </c>
    </row>
    <row r="379">
      <c r="A379" s="5">
        <f>IF(K379="","",373)</f>
        <v/>
      </c>
      <c r="B379" s="5">
        <f>IF(K379="","",INDEX(Интервалы!$A$2:$A$513,MATCH(K379,Интервалы!$G$2:$G$513,0)))</f>
        <v/>
      </c>
      <c r="C379" s="17">
        <f>IF(K379="","",INDEX(Интервалы!$C$2:$C$513,MATCH(K379,Интервалы!$G$2:$G$513,0)))</f>
        <v/>
      </c>
      <c r="D379" s="17">
        <f>IF(K379="","",INDEX(Интервалы!$D$2:$D$513,MATCH(K379,Интервалы!$G$2:$G$513,0)))</f>
        <v/>
      </c>
      <c r="E379" s="5">
        <f>IF(K379="","",D379-C379+1)</f>
        <v/>
      </c>
      <c r="F379" s="9">
        <f>IF(K379="","",INDEX(Интервалы!$E$2:$E$513,MATCH(K379,Интервалы!$G$2:$G$513,0)))</f>
        <v/>
      </c>
      <c r="G379" s="5">
        <f>IF(K379="","",IF(H379=1,INDEX('По дням'!$B$2:$B$4000,MATCH(C379,'По дням'!$A$2:$A$4000,0)),"по периодам ставки"))</f>
        <v/>
      </c>
      <c r="H379" s="5">
        <f>IF(K379="","",INDEX(Интервалы!$I$2:$I$513,MATCH(K379,Интервалы!$G$2:$G$513,0)))</f>
        <v/>
      </c>
      <c r="I379" s="9">
        <f>IF(K379="","",INDEX(Интервалы!$F$2:$F$513,MATCH(K379,Интервалы!$G$2:$G$513,0)))</f>
        <v/>
      </c>
      <c r="J379" s="9">
        <f>IF(K379="","",INDEX(Интервалы!$H$2:$H$513,MATCH(K379,Интервалы!$G$2:$G$513,0)))</f>
        <v/>
      </c>
      <c r="K379">
        <f>IFERROR(SMALL(Интервалы!$G$2:$G$513,373),"")</f>
        <v/>
      </c>
      <c r="L379">
        <f>IF(K379="","",INDEX(Интервалы!$B$2:$B$513,MATCH(K379,Интервалы!$G$2:$G$513,0)))</f>
        <v/>
      </c>
    </row>
    <row r="380">
      <c r="A380" s="5">
        <f>IF(K380="","",374)</f>
        <v/>
      </c>
      <c r="B380" s="5">
        <f>IF(K380="","",INDEX(Интервалы!$A$2:$A$513,MATCH(K380,Интервалы!$G$2:$G$513,0)))</f>
        <v/>
      </c>
      <c r="C380" s="17">
        <f>IF(K380="","",INDEX(Интервалы!$C$2:$C$513,MATCH(K380,Интервалы!$G$2:$G$513,0)))</f>
        <v/>
      </c>
      <c r="D380" s="17">
        <f>IF(K380="","",INDEX(Интервалы!$D$2:$D$513,MATCH(K380,Интервалы!$G$2:$G$513,0)))</f>
        <v/>
      </c>
      <c r="E380" s="5">
        <f>IF(K380="","",D380-C380+1)</f>
        <v/>
      </c>
      <c r="F380" s="9">
        <f>IF(K380="","",INDEX(Интервалы!$E$2:$E$513,MATCH(K380,Интервалы!$G$2:$G$513,0)))</f>
        <v/>
      </c>
      <c r="G380" s="5">
        <f>IF(K380="","",IF(H380=1,INDEX('По дням'!$B$2:$B$4000,MATCH(C380,'По дням'!$A$2:$A$4000,0)),"по периодам ставки"))</f>
        <v/>
      </c>
      <c r="H380" s="5">
        <f>IF(K380="","",INDEX(Интервалы!$I$2:$I$513,MATCH(K380,Интервалы!$G$2:$G$513,0)))</f>
        <v/>
      </c>
      <c r="I380" s="9">
        <f>IF(K380="","",INDEX(Интервалы!$F$2:$F$513,MATCH(K380,Интервалы!$G$2:$G$513,0)))</f>
        <v/>
      </c>
      <c r="J380" s="9">
        <f>IF(K380="","",INDEX(Интервалы!$H$2:$H$513,MATCH(K380,Интервалы!$G$2:$G$513,0)))</f>
        <v/>
      </c>
      <c r="K380">
        <f>IFERROR(SMALL(Интервалы!$G$2:$G$513,374),"")</f>
        <v/>
      </c>
      <c r="L380">
        <f>IF(K380="","",INDEX(Интервалы!$B$2:$B$513,MATCH(K380,Интервалы!$G$2:$G$513,0)))</f>
        <v/>
      </c>
    </row>
    <row r="381">
      <c r="A381" s="5">
        <f>IF(K381="","",375)</f>
        <v/>
      </c>
      <c r="B381" s="5">
        <f>IF(K381="","",INDEX(Интервалы!$A$2:$A$513,MATCH(K381,Интервалы!$G$2:$G$513,0)))</f>
        <v/>
      </c>
      <c r="C381" s="17">
        <f>IF(K381="","",INDEX(Интервалы!$C$2:$C$513,MATCH(K381,Интервалы!$G$2:$G$513,0)))</f>
        <v/>
      </c>
      <c r="D381" s="17">
        <f>IF(K381="","",INDEX(Интервалы!$D$2:$D$513,MATCH(K381,Интервалы!$G$2:$G$513,0)))</f>
        <v/>
      </c>
      <c r="E381" s="5">
        <f>IF(K381="","",D381-C381+1)</f>
        <v/>
      </c>
      <c r="F381" s="9">
        <f>IF(K381="","",INDEX(Интервалы!$E$2:$E$513,MATCH(K381,Интервалы!$G$2:$G$513,0)))</f>
        <v/>
      </c>
      <c r="G381" s="5">
        <f>IF(K381="","",IF(H381=1,INDEX('По дням'!$B$2:$B$4000,MATCH(C381,'По дням'!$A$2:$A$4000,0)),"по периодам ставки"))</f>
        <v/>
      </c>
      <c r="H381" s="5">
        <f>IF(K381="","",INDEX(Интервалы!$I$2:$I$513,MATCH(K381,Интервалы!$G$2:$G$513,0)))</f>
        <v/>
      </c>
      <c r="I381" s="9">
        <f>IF(K381="","",INDEX(Интервалы!$F$2:$F$513,MATCH(K381,Интервалы!$G$2:$G$513,0)))</f>
        <v/>
      </c>
      <c r="J381" s="9">
        <f>IF(K381="","",INDEX(Интервалы!$H$2:$H$513,MATCH(K381,Интервалы!$G$2:$G$513,0)))</f>
        <v/>
      </c>
      <c r="K381">
        <f>IFERROR(SMALL(Интервалы!$G$2:$G$513,375),"")</f>
        <v/>
      </c>
      <c r="L381">
        <f>IF(K381="","",INDEX(Интервалы!$B$2:$B$513,MATCH(K381,Интервалы!$G$2:$G$513,0)))</f>
        <v/>
      </c>
    </row>
    <row r="382">
      <c r="A382" s="5">
        <f>IF(K382="","",376)</f>
        <v/>
      </c>
      <c r="B382" s="5">
        <f>IF(K382="","",INDEX(Интервалы!$A$2:$A$513,MATCH(K382,Интервалы!$G$2:$G$513,0)))</f>
        <v/>
      </c>
      <c r="C382" s="17">
        <f>IF(K382="","",INDEX(Интервалы!$C$2:$C$513,MATCH(K382,Интервалы!$G$2:$G$513,0)))</f>
        <v/>
      </c>
      <c r="D382" s="17">
        <f>IF(K382="","",INDEX(Интервалы!$D$2:$D$513,MATCH(K382,Интервалы!$G$2:$G$513,0)))</f>
        <v/>
      </c>
      <c r="E382" s="5">
        <f>IF(K382="","",D382-C382+1)</f>
        <v/>
      </c>
      <c r="F382" s="9">
        <f>IF(K382="","",INDEX(Интервалы!$E$2:$E$513,MATCH(K382,Интервалы!$G$2:$G$513,0)))</f>
        <v/>
      </c>
      <c r="G382" s="5">
        <f>IF(K382="","",IF(H382=1,INDEX('По дням'!$B$2:$B$4000,MATCH(C382,'По дням'!$A$2:$A$4000,0)),"по периодам ставки"))</f>
        <v/>
      </c>
      <c r="H382" s="5">
        <f>IF(K382="","",INDEX(Интервалы!$I$2:$I$513,MATCH(K382,Интервалы!$G$2:$G$513,0)))</f>
        <v/>
      </c>
      <c r="I382" s="9">
        <f>IF(K382="","",INDEX(Интервалы!$F$2:$F$513,MATCH(K382,Интервалы!$G$2:$G$513,0)))</f>
        <v/>
      </c>
      <c r="J382" s="9">
        <f>IF(K382="","",INDEX(Интервалы!$H$2:$H$513,MATCH(K382,Интервалы!$G$2:$G$513,0)))</f>
        <v/>
      </c>
      <c r="K382">
        <f>IFERROR(SMALL(Интервалы!$G$2:$G$513,376),"")</f>
        <v/>
      </c>
      <c r="L382">
        <f>IF(K382="","",INDEX(Интервалы!$B$2:$B$513,MATCH(K382,Интервалы!$G$2:$G$513,0)))</f>
        <v/>
      </c>
    </row>
    <row r="383">
      <c r="A383" s="5">
        <f>IF(K383="","",377)</f>
        <v/>
      </c>
      <c r="B383" s="5">
        <f>IF(K383="","",INDEX(Интервалы!$A$2:$A$513,MATCH(K383,Интервалы!$G$2:$G$513,0)))</f>
        <v/>
      </c>
      <c r="C383" s="17">
        <f>IF(K383="","",INDEX(Интервалы!$C$2:$C$513,MATCH(K383,Интервалы!$G$2:$G$513,0)))</f>
        <v/>
      </c>
      <c r="D383" s="17">
        <f>IF(K383="","",INDEX(Интервалы!$D$2:$D$513,MATCH(K383,Интервалы!$G$2:$G$513,0)))</f>
        <v/>
      </c>
      <c r="E383" s="5">
        <f>IF(K383="","",D383-C383+1)</f>
        <v/>
      </c>
      <c r="F383" s="9">
        <f>IF(K383="","",INDEX(Интервалы!$E$2:$E$513,MATCH(K383,Интервалы!$G$2:$G$513,0)))</f>
        <v/>
      </c>
      <c r="G383" s="5">
        <f>IF(K383="","",IF(H383=1,INDEX('По дням'!$B$2:$B$4000,MATCH(C383,'По дням'!$A$2:$A$4000,0)),"по периодам ставки"))</f>
        <v/>
      </c>
      <c r="H383" s="5">
        <f>IF(K383="","",INDEX(Интервалы!$I$2:$I$513,MATCH(K383,Интервалы!$G$2:$G$513,0)))</f>
        <v/>
      </c>
      <c r="I383" s="9">
        <f>IF(K383="","",INDEX(Интервалы!$F$2:$F$513,MATCH(K383,Интервалы!$G$2:$G$513,0)))</f>
        <v/>
      </c>
      <c r="J383" s="9">
        <f>IF(K383="","",INDEX(Интервалы!$H$2:$H$513,MATCH(K383,Интервалы!$G$2:$G$513,0)))</f>
        <v/>
      </c>
      <c r="K383">
        <f>IFERROR(SMALL(Интервалы!$G$2:$G$513,377),"")</f>
        <v/>
      </c>
      <c r="L383">
        <f>IF(K383="","",INDEX(Интервалы!$B$2:$B$513,MATCH(K383,Интервалы!$G$2:$G$513,0)))</f>
        <v/>
      </c>
    </row>
    <row r="384">
      <c r="A384" s="5">
        <f>IF(K384="","",378)</f>
        <v/>
      </c>
      <c r="B384" s="5">
        <f>IF(K384="","",INDEX(Интервалы!$A$2:$A$513,MATCH(K384,Интервалы!$G$2:$G$513,0)))</f>
        <v/>
      </c>
      <c r="C384" s="17">
        <f>IF(K384="","",INDEX(Интервалы!$C$2:$C$513,MATCH(K384,Интервалы!$G$2:$G$513,0)))</f>
        <v/>
      </c>
      <c r="D384" s="17">
        <f>IF(K384="","",INDEX(Интервалы!$D$2:$D$513,MATCH(K384,Интервалы!$G$2:$G$513,0)))</f>
        <v/>
      </c>
      <c r="E384" s="5">
        <f>IF(K384="","",D384-C384+1)</f>
        <v/>
      </c>
      <c r="F384" s="9">
        <f>IF(K384="","",INDEX(Интервалы!$E$2:$E$513,MATCH(K384,Интервалы!$G$2:$G$513,0)))</f>
        <v/>
      </c>
      <c r="G384" s="5">
        <f>IF(K384="","",IF(H384=1,INDEX('По дням'!$B$2:$B$4000,MATCH(C384,'По дням'!$A$2:$A$4000,0)),"по периодам ставки"))</f>
        <v/>
      </c>
      <c r="H384" s="5">
        <f>IF(K384="","",INDEX(Интервалы!$I$2:$I$513,MATCH(K384,Интервалы!$G$2:$G$513,0)))</f>
        <v/>
      </c>
      <c r="I384" s="9">
        <f>IF(K384="","",INDEX(Интервалы!$F$2:$F$513,MATCH(K384,Интервалы!$G$2:$G$513,0)))</f>
        <v/>
      </c>
      <c r="J384" s="9">
        <f>IF(K384="","",INDEX(Интервалы!$H$2:$H$513,MATCH(K384,Интервалы!$G$2:$G$513,0)))</f>
        <v/>
      </c>
      <c r="K384">
        <f>IFERROR(SMALL(Интервалы!$G$2:$G$513,378),"")</f>
        <v/>
      </c>
      <c r="L384">
        <f>IF(K384="","",INDEX(Интервалы!$B$2:$B$513,MATCH(K384,Интервалы!$G$2:$G$513,0)))</f>
        <v/>
      </c>
    </row>
    <row r="385">
      <c r="A385" s="5">
        <f>IF(K385="","",379)</f>
        <v/>
      </c>
      <c r="B385" s="5">
        <f>IF(K385="","",INDEX(Интервалы!$A$2:$A$513,MATCH(K385,Интервалы!$G$2:$G$513,0)))</f>
        <v/>
      </c>
      <c r="C385" s="17">
        <f>IF(K385="","",INDEX(Интервалы!$C$2:$C$513,MATCH(K385,Интервалы!$G$2:$G$513,0)))</f>
        <v/>
      </c>
      <c r="D385" s="17">
        <f>IF(K385="","",INDEX(Интервалы!$D$2:$D$513,MATCH(K385,Интервалы!$G$2:$G$513,0)))</f>
        <v/>
      </c>
      <c r="E385" s="5">
        <f>IF(K385="","",D385-C385+1)</f>
        <v/>
      </c>
      <c r="F385" s="9">
        <f>IF(K385="","",INDEX(Интервалы!$E$2:$E$513,MATCH(K385,Интервалы!$G$2:$G$513,0)))</f>
        <v/>
      </c>
      <c r="G385" s="5">
        <f>IF(K385="","",IF(H385=1,INDEX('По дням'!$B$2:$B$4000,MATCH(C385,'По дням'!$A$2:$A$4000,0)),"по периодам ставки"))</f>
        <v/>
      </c>
      <c r="H385" s="5">
        <f>IF(K385="","",INDEX(Интервалы!$I$2:$I$513,MATCH(K385,Интервалы!$G$2:$G$513,0)))</f>
        <v/>
      </c>
      <c r="I385" s="9">
        <f>IF(K385="","",INDEX(Интервалы!$F$2:$F$513,MATCH(K385,Интервалы!$G$2:$G$513,0)))</f>
        <v/>
      </c>
      <c r="J385" s="9">
        <f>IF(K385="","",INDEX(Интервалы!$H$2:$H$513,MATCH(K385,Интервалы!$G$2:$G$513,0)))</f>
        <v/>
      </c>
      <c r="K385">
        <f>IFERROR(SMALL(Интервалы!$G$2:$G$513,379),"")</f>
        <v/>
      </c>
      <c r="L385">
        <f>IF(K385="","",INDEX(Интервалы!$B$2:$B$513,MATCH(K385,Интервалы!$G$2:$G$513,0)))</f>
        <v/>
      </c>
    </row>
    <row r="386">
      <c r="A386" s="5">
        <f>IF(K386="","",380)</f>
        <v/>
      </c>
      <c r="B386" s="5">
        <f>IF(K386="","",INDEX(Интервалы!$A$2:$A$513,MATCH(K386,Интервалы!$G$2:$G$513,0)))</f>
        <v/>
      </c>
      <c r="C386" s="17">
        <f>IF(K386="","",INDEX(Интервалы!$C$2:$C$513,MATCH(K386,Интервалы!$G$2:$G$513,0)))</f>
        <v/>
      </c>
      <c r="D386" s="17">
        <f>IF(K386="","",INDEX(Интервалы!$D$2:$D$513,MATCH(K386,Интервалы!$G$2:$G$513,0)))</f>
        <v/>
      </c>
      <c r="E386" s="5">
        <f>IF(K386="","",D386-C386+1)</f>
        <v/>
      </c>
      <c r="F386" s="9">
        <f>IF(K386="","",INDEX(Интервалы!$E$2:$E$513,MATCH(K386,Интервалы!$G$2:$G$513,0)))</f>
        <v/>
      </c>
      <c r="G386" s="5">
        <f>IF(K386="","",IF(H386=1,INDEX('По дням'!$B$2:$B$4000,MATCH(C386,'По дням'!$A$2:$A$4000,0)),"по периодам ставки"))</f>
        <v/>
      </c>
      <c r="H386" s="5">
        <f>IF(K386="","",INDEX(Интервалы!$I$2:$I$513,MATCH(K386,Интервалы!$G$2:$G$513,0)))</f>
        <v/>
      </c>
      <c r="I386" s="9">
        <f>IF(K386="","",INDEX(Интервалы!$F$2:$F$513,MATCH(K386,Интервалы!$G$2:$G$513,0)))</f>
        <v/>
      </c>
      <c r="J386" s="9">
        <f>IF(K386="","",INDEX(Интервалы!$H$2:$H$513,MATCH(K386,Интервалы!$G$2:$G$513,0)))</f>
        <v/>
      </c>
      <c r="K386">
        <f>IFERROR(SMALL(Интервалы!$G$2:$G$513,380),"")</f>
        <v/>
      </c>
      <c r="L386">
        <f>IF(K386="","",INDEX(Интервалы!$B$2:$B$513,MATCH(K386,Интервалы!$G$2:$G$513,0)))</f>
        <v/>
      </c>
    </row>
    <row r="387">
      <c r="A387" s="5">
        <f>IF(K387="","",381)</f>
        <v/>
      </c>
      <c r="B387" s="5">
        <f>IF(K387="","",INDEX(Интервалы!$A$2:$A$513,MATCH(K387,Интервалы!$G$2:$G$513,0)))</f>
        <v/>
      </c>
      <c r="C387" s="17">
        <f>IF(K387="","",INDEX(Интервалы!$C$2:$C$513,MATCH(K387,Интервалы!$G$2:$G$513,0)))</f>
        <v/>
      </c>
      <c r="D387" s="17">
        <f>IF(K387="","",INDEX(Интервалы!$D$2:$D$513,MATCH(K387,Интервалы!$G$2:$G$513,0)))</f>
        <v/>
      </c>
      <c r="E387" s="5">
        <f>IF(K387="","",D387-C387+1)</f>
        <v/>
      </c>
      <c r="F387" s="9">
        <f>IF(K387="","",INDEX(Интервалы!$E$2:$E$513,MATCH(K387,Интервалы!$G$2:$G$513,0)))</f>
        <v/>
      </c>
      <c r="G387" s="5">
        <f>IF(K387="","",IF(H387=1,INDEX('По дням'!$B$2:$B$4000,MATCH(C387,'По дням'!$A$2:$A$4000,0)),"по периодам ставки"))</f>
        <v/>
      </c>
      <c r="H387" s="5">
        <f>IF(K387="","",INDEX(Интервалы!$I$2:$I$513,MATCH(K387,Интервалы!$G$2:$G$513,0)))</f>
        <v/>
      </c>
      <c r="I387" s="9">
        <f>IF(K387="","",INDEX(Интервалы!$F$2:$F$513,MATCH(K387,Интервалы!$G$2:$G$513,0)))</f>
        <v/>
      </c>
      <c r="J387" s="9">
        <f>IF(K387="","",INDEX(Интервалы!$H$2:$H$513,MATCH(K387,Интервалы!$G$2:$G$513,0)))</f>
        <v/>
      </c>
      <c r="K387">
        <f>IFERROR(SMALL(Интервалы!$G$2:$G$513,381),"")</f>
        <v/>
      </c>
      <c r="L387">
        <f>IF(K387="","",INDEX(Интервалы!$B$2:$B$513,MATCH(K387,Интервалы!$G$2:$G$513,0)))</f>
        <v/>
      </c>
    </row>
    <row r="388">
      <c r="A388" s="5">
        <f>IF(K388="","",382)</f>
        <v/>
      </c>
      <c r="B388" s="5">
        <f>IF(K388="","",INDEX(Интервалы!$A$2:$A$513,MATCH(K388,Интервалы!$G$2:$G$513,0)))</f>
        <v/>
      </c>
      <c r="C388" s="17">
        <f>IF(K388="","",INDEX(Интервалы!$C$2:$C$513,MATCH(K388,Интервалы!$G$2:$G$513,0)))</f>
        <v/>
      </c>
      <c r="D388" s="17">
        <f>IF(K388="","",INDEX(Интервалы!$D$2:$D$513,MATCH(K388,Интервалы!$G$2:$G$513,0)))</f>
        <v/>
      </c>
      <c r="E388" s="5">
        <f>IF(K388="","",D388-C388+1)</f>
        <v/>
      </c>
      <c r="F388" s="9">
        <f>IF(K388="","",INDEX(Интервалы!$E$2:$E$513,MATCH(K388,Интервалы!$G$2:$G$513,0)))</f>
        <v/>
      </c>
      <c r="G388" s="5">
        <f>IF(K388="","",IF(H388=1,INDEX('По дням'!$B$2:$B$4000,MATCH(C388,'По дням'!$A$2:$A$4000,0)),"по периодам ставки"))</f>
        <v/>
      </c>
      <c r="H388" s="5">
        <f>IF(K388="","",INDEX(Интервалы!$I$2:$I$513,MATCH(K388,Интервалы!$G$2:$G$513,0)))</f>
        <v/>
      </c>
      <c r="I388" s="9">
        <f>IF(K388="","",INDEX(Интервалы!$F$2:$F$513,MATCH(K388,Интервалы!$G$2:$G$513,0)))</f>
        <v/>
      </c>
      <c r="J388" s="9">
        <f>IF(K388="","",INDEX(Интервалы!$H$2:$H$513,MATCH(K388,Интервалы!$G$2:$G$513,0)))</f>
        <v/>
      </c>
      <c r="K388">
        <f>IFERROR(SMALL(Интервалы!$G$2:$G$513,382),"")</f>
        <v/>
      </c>
      <c r="L388">
        <f>IF(K388="","",INDEX(Интервалы!$B$2:$B$513,MATCH(K388,Интервалы!$G$2:$G$513,0)))</f>
        <v/>
      </c>
    </row>
    <row r="389">
      <c r="A389" s="5">
        <f>IF(K389="","",383)</f>
        <v/>
      </c>
      <c r="B389" s="5">
        <f>IF(K389="","",INDEX(Интервалы!$A$2:$A$513,MATCH(K389,Интервалы!$G$2:$G$513,0)))</f>
        <v/>
      </c>
      <c r="C389" s="17">
        <f>IF(K389="","",INDEX(Интервалы!$C$2:$C$513,MATCH(K389,Интервалы!$G$2:$G$513,0)))</f>
        <v/>
      </c>
      <c r="D389" s="17">
        <f>IF(K389="","",INDEX(Интервалы!$D$2:$D$513,MATCH(K389,Интервалы!$G$2:$G$513,0)))</f>
        <v/>
      </c>
      <c r="E389" s="5">
        <f>IF(K389="","",D389-C389+1)</f>
        <v/>
      </c>
      <c r="F389" s="9">
        <f>IF(K389="","",INDEX(Интервалы!$E$2:$E$513,MATCH(K389,Интервалы!$G$2:$G$513,0)))</f>
        <v/>
      </c>
      <c r="G389" s="5">
        <f>IF(K389="","",IF(H389=1,INDEX('По дням'!$B$2:$B$4000,MATCH(C389,'По дням'!$A$2:$A$4000,0)),"по периодам ставки"))</f>
        <v/>
      </c>
      <c r="H389" s="5">
        <f>IF(K389="","",INDEX(Интервалы!$I$2:$I$513,MATCH(K389,Интервалы!$G$2:$G$513,0)))</f>
        <v/>
      </c>
      <c r="I389" s="9">
        <f>IF(K389="","",INDEX(Интервалы!$F$2:$F$513,MATCH(K389,Интервалы!$G$2:$G$513,0)))</f>
        <v/>
      </c>
      <c r="J389" s="9">
        <f>IF(K389="","",INDEX(Интервалы!$H$2:$H$513,MATCH(K389,Интервалы!$G$2:$G$513,0)))</f>
        <v/>
      </c>
      <c r="K389">
        <f>IFERROR(SMALL(Интервалы!$G$2:$G$513,383),"")</f>
        <v/>
      </c>
      <c r="L389">
        <f>IF(K389="","",INDEX(Интервалы!$B$2:$B$513,MATCH(K389,Интервалы!$G$2:$G$513,0)))</f>
        <v/>
      </c>
    </row>
    <row r="390">
      <c r="A390" s="5">
        <f>IF(K390="","",384)</f>
        <v/>
      </c>
      <c r="B390" s="5">
        <f>IF(K390="","",INDEX(Интервалы!$A$2:$A$513,MATCH(K390,Интервалы!$G$2:$G$513,0)))</f>
        <v/>
      </c>
      <c r="C390" s="17">
        <f>IF(K390="","",INDEX(Интервалы!$C$2:$C$513,MATCH(K390,Интервалы!$G$2:$G$513,0)))</f>
        <v/>
      </c>
      <c r="D390" s="17">
        <f>IF(K390="","",INDEX(Интервалы!$D$2:$D$513,MATCH(K390,Интервалы!$G$2:$G$513,0)))</f>
        <v/>
      </c>
      <c r="E390" s="5">
        <f>IF(K390="","",D390-C390+1)</f>
        <v/>
      </c>
      <c r="F390" s="9">
        <f>IF(K390="","",INDEX(Интервалы!$E$2:$E$513,MATCH(K390,Интервалы!$G$2:$G$513,0)))</f>
        <v/>
      </c>
      <c r="G390" s="5">
        <f>IF(K390="","",IF(H390=1,INDEX('По дням'!$B$2:$B$4000,MATCH(C390,'По дням'!$A$2:$A$4000,0)),"по периодам ставки"))</f>
        <v/>
      </c>
      <c r="H390" s="5">
        <f>IF(K390="","",INDEX(Интервалы!$I$2:$I$513,MATCH(K390,Интервалы!$G$2:$G$513,0)))</f>
        <v/>
      </c>
      <c r="I390" s="9">
        <f>IF(K390="","",INDEX(Интервалы!$F$2:$F$513,MATCH(K390,Интервалы!$G$2:$G$513,0)))</f>
        <v/>
      </c>
      <c r="J390" s="9">
        <f>IF(K390="","",INDEX(Интервалы!$H$2:$H$513,MATCH(K390,Интервалы!$G$2:$G$513,0)))</f>
        <v/>
      </c>
      <c r="K390">
        <f>IFERROR(SMALL(Интервалы!$G$2:$G$513,384),"")</f>
        <v/>
      </c>
      <c r="L390">
        <f>IF(K390="","",INDEX(Интервалы!$B$2:$B$513,MATCH(K390,Интервалы!$G$2:$G$513,0)))</f>
        <v/>
      </c>
    </row>
    <row r="391">
      <c r="A391" s="5">
        <f>IF(K391="","",385)</f>
        <v/>
      </c>
      <c r="B391" s="5">
        <f>IF(K391="","",INDEX(Интервалы!$A$2:$A$513,MATCH(K391,Интервалы!$G$2:$G$513,0)))</f>
        <v/>
      </c>
      <c r="C391" s="17">
        <f>IF(K391="","",INDEX(Интервалы!$C$2:$C$513,MATCH(K391,Интервалы!$G$2:$G$513,0)))</f>
        <v/>
      </c>
      <c r="D391" s="17">
        <f>IF(K391="","",INDEX(Интервалы!$D$2:$D$513,MATCH(K391,Интервалы!$G$2:$G$513,0)))</f>
        <v/>
      </c>
      <c r="E391" s="5">
        <f>IF(K391="","",D391-C391+1)</f>
        <v/>
      </c>
      <c r="F391" s="9">
        <f>IF(K391="","",INDEX(Интервалы!$E$2:$E$513,MATCH(K391,Интервалы!$G$2:$G$513,0)))</f>
        <v/>
      </c>
      <c r="G391" s="5">
        <f>IF(K391="","",IF(H391=1,INDEX('По дням'!$B$2:$B$4000,MATCH(C391,'По дням'!$A$2:$A$4000,0)),"по периодам ставки"))</f>
        <v/>
      </c>
      <c r="H391" s="5">
        <f>IF(K391="","",INDEX(Интервалы!$I$2:$I$513,MATCH(K391,Интервалы!$G$2:$G$513,0)))</f>
        <v/>
      </c>
      <c r="I391" s="9">
        <f>IF(K391="","",INDEX(Интервалы!$F$2:$F$513,MATCH(K391,Интервалы!$G$2:$G$513,0)))</f>
        <v/>
      </c>
      <c r="J391" s="9">
        <f>IF(K391="","",INDEX(Интервалы!$H$2:$H$513,MATCH(K391,Интервалы!$G$2:$G$513,0)))</f>
        <v/>
      </c>
      <c r="K391">
        <f>IFERROR(SMALL(Интервалы!$G$2:$G$513,385),"")</f>
        <v/>
      </c>
      <c r="L391">
        <f>IF(K391="","",INDEX(Интервалы!$B$2:$B$513,MATCH(K391,Интервалы!$G$2:$G$513,0)))</f>
        <v/>
      </c>
    </row>
    <row r="392">
      <c r="A392" s="5">
        <f>IF(K392="","",386)</f>
        <v/>
      </c>
      <c r="B392" s="5">
        <f>IF(K392="","",INDEX(Интервалы!$A$2:$A$513,MATCH(K392,Интервалы!$G$2:$G$513,0)))</f>
        <v/>
      </c>
      <c r="C392" s="17">
        <f>IF(K392="","",INDEX(Интервалы!$C$2:$C$513,MATCH(K392,Интервалы!$G$2:$G$513,0)))</f>
        <v/>
      </c>
      <c r="D392" s="17">
        <f>IF(K392="","",INDEX(Интервалы!$D$2:$D$513,MATCH(K392,Интервалы!$G$2:$G$513,0)))</f>
        <v/>
      </c>
      <c r="E392" s="5">
        <f>IF(K392="","",D392-C392+1)</f>
        <v/>
      </c>
      <c r="F392" s="9">
        <f>IF(K392="","",INDEX(Интервалы!$E$2:$E$513,MATCH(K392,Интервалы!$G$2:$G$513,0)))</f>
        <v/>
      </c>
      <c r="G392" s="5">
        <f>IF(K392="","",IF(H392=1,INDEX('По дням'!$B$2:$B$4000,MATCH(C392,'По дням'!$A$2:$A$4000,0)),"по периодам ставки"))</f>
        <v/>
      </c>
      <c r="H392" s="5">
        <f>IF(K392="","",INDEX(Интервалы!$I$2:$I$513,MATCH(K392,Интервалы!$G$2:$G$513,0)))</f>
        <v/>
      </c>
      <c r="I392" s="9">
        <f>IF(K392="","",INDEX(Интервалы!$F$2:$F$513,MATCH(K392,Интервалы!$G$2:$G$513,0)))</f>
        <v/>
      </c>
      <c r="J392" s="9">
        <f>IF(K392="","",INDEX(Интервалы!$H$2:$H$513,MATCH(K392,Интервалы!$G$2:$G$513,0)))</f>
        <v/>
      </c>
      <c r="K392">
        <f>IFERROR(SMALL(Интервалы!$G$2:$G$513,386),"")</f>
        <v/>
      </c>
      <c r="L392">
        <f>IF(K392="","",INDEX(Интервалы!$B$2:$B$513,MATCH(K392,Интервалы!$G$2:$G$513,0)))</f>
        <v/>
      </c>
    </row>
    <row r="393">
      <c r="A393" s="5">
        <f>IF(K393="","",387)</f>
        <v/>
      </c>
      <c r="B393" s="5">
        <f>IF(K393="","",INDEX(Интервалы!$A$2:$A$513,MATCH(K393,Интервалы!$G$2:$G$513,0)))</f>
        <v/>
      </c>
      <c r="C393" s="17">
        <f>IF(K393="","",INDEX(Интервалы!$C$2:$C$513,MATCH(K393,Интервалы!$G$2:$G$513,0)))</f>
        <v/>
      </c>
      <c r="D393" s="17">
        <f>IF(K393="","",INDEX(Интервалы!$D$2:$D$513,MATCH(K393,Интервалы!$G$2:$G$513,0)))</f>
        <v/>
      </c>
      <c r="E393" s="5">
        <f>IF(K393="","",D393-C393+1)</f>
        <v/>
      </c>
      <c r="F393" s="9">
        <f>IF(K393="","",INDEX(Интервалы!$E$2:$E$513,MATCH(K393,Интервалы!$G$2:$G$513,0)))</f>
        <v/>
      </c>
      <c r="G393" s="5">
        <f>IF(K393="","",IF(H393=1,INDEX('По дням'!$B$2:$B$4000,MATCH(C393,'По дням'!$A$2:$A$4000,0)),"по периодам ставки"))</f>
        <v/>
      </c>
      <c r="H393" s="5">
        <f>IF(K393="","",INDEX(Интервалы!$I$2:$I$513,MATCH(K393,Интервалы!$G$2:$G$513,0)))</f>
        <v/>
      </c>
      <c r="I393" s="9">
        <f>IF(K393="","",INDEX(Интервалы!$F$2:$F$513,MATCH(K393,Интервалы!$G$2:$G$513,0)))</f>
        <v/>
      </c>
      <c r="J393" s="9">
        <f>IF(K393="","",INDEX(Интервалы!$H$2:$H$513,MATCH(K393,Интервалы!$G$2:$G$513,0)))</f>
        <v/>
      </c>
      <c r="K393">
        <f>IFERROR(SMALL(Интервалы!$G$2:$G$513,387),"")</f>
        <v/>
      </c>
      <c r="L393">
        <f>IF(K393="","",INDEX(Интервалы!$B$2:$B$513,MATCH(K393,Интервалы!$G$2:$G$513,0)))</f>
        <v/>
      </c>
    </row>
    <row r="394">
      <c r="A394" s="5">
        <f>IF(K394="","",388)</f>
        <v/>
      </c>
      <c r="B394" s="5">
        <f>IF(K394="","",INDEX(Интервалы!$A$2:$A$513,MATCH(K394,Интервалы!$G$2:$G$513,0)))</f>
        <v/>
      </c>
      <c r="C394" s="17">
        <f>IF(K394="","",INDEX(Интервалы!$C$2:$C$513,MATCH(K394,Интервалы!$G$2:$G$513,0)))</f>
        <v/>
      </c>
      <c r="D394" s="17">
        <f>IF(K394="","",INDEX(Интервалы!$D$2:$D$513,MATCH(K394,Интервалы!$G$2:$G$513,0)))</f>
        <v/>
      </c>
      <c r="E394" s="5">
        <f>IF(K394="","",D394-C394+1)</f>
        <v/>
      </c>
      <c r="F394" s="9">
        <f>IF(K394="","",INDEX(Интервалы!$E$2:$E$513,MATCH(K394,Интервалы!$G$2:$G$513,0)))</f>
        <v/>
      </c>
      <c r="G394" s="5">
        <f>IF(K394="","",IF(H394=1,INDEX('По дням'!$B$2:$B$4000,MATCH(C394,'По дням'!$A$2:$A$4000,0)),"по периодам ставки"))</f>
        <v/>
      </c>
      <c r="H394" s="5">
        <f>IF(K394="","",INDEX(Интервалы!$I$2:$I$513,MATCH(K394,Интервалы!$G$2:$G$513,0)))</f>
        <v/>
      </c>
      <c r="I394" s="9">
        <f>IF(K394="","",INDEX(Интервалы!$F$2:$F$513,MATCH(K394,Интервалы!$G$2:$G$513,0)))</f>
        <v/>
      </c>
      <c r="J394" s="9">
        <f>IF(K394="","",INDEX(Интервалы!$H$2:$H$513,MATCH(K394,Интервалы!$G$2:$G$513,0)))</f>
        <v/>
      </c>
      <c r="K394">
        <f>IFERROR(SMALL(Интервалы!$G$2:$G$513,388),"")</f>
        <v/>
      </c>
      <c r="L394">
        <f>IF(K394="","",INDEX(Интервалы!$B$2:$B$513,MATCH(K394,Интервалы!$G$2:$G$513,0)))</f>
        <v/>
      </c>
    </row>
    <row r="395">
      <c r="A395" s="5">
        <f>IF(K395="","",389)</f>
        <v/>
      </c>
      <c r="B395" s="5">
        <f>IF(K395="","",INDEX(Интервалы!$A$2:$A$513,MATCH(K395,Интервалы!$G$2:$G$513,0)))</f>
        <v/>
      </c>
      <c r="C395" s="17">
        <f>IF(K395="","",INDEX(Интервалы!$C$2:$C$513,MATCH(K395,Интервалы!$G$2:$G$513,0)))</f>
        <v/>
      </c>
      <c r="D395" s="17">
        <f>IF(K395="","",INDEX(Интервалы!$D$2:$D$513,MATCH(K395,Интервалы!$G$2:$G$513,0)))</f>
        <v/>
      </c>
      <c r="E395" s="5">
        <f>IF(K395="","",D395-C395+1)</f>
        <v/>
      </c>
      <c r="F395" s="9">
        <f>IF(K395="","",INDEX(Интервалы!$E$2:$E$513,MATCH(K395,Интервалы!$G$2:$G$513,0)))</f>
        <v/>
      </c>
      <c r="G395" s="5">
        <f>IF(K395="","",IF(H395=1,INDEX('По дням'!$B$2:$B$4000,MATCH(C395,'По дням'!$A$2:$A$4000,0)),"по периодам ставки"))</f>
        <v/>
      </c>
      <c r="H395" s="5">
        <f>IF(K395="","",INDEX(Интервалы!$I$2:$I$513,MATCH(K395,Интервалы!$G$2:$G$513,0)))</f>
        <v/>
      </c>
      <c r="I395" s="9">
        <f>IF(K395="","",INDEX(Интервалы!$F$2:$F$513,MATCH(K395,Интервалы!$G$2:$G$513,0)))</f>
        <v/>
      </c>
      <c r="J395" s="9">
        <f>IF(K395="","",INDEX(Интервалы!$H$2:$H$513,MATCH(K395,Интервалы!$G$2:$G$513,0)))</f>
        <v/>
      </c>
      <c r="K395">
        <f>IFERROR(SMALL(Интервалы!$G$2:$G$513,389),"")</f>
        <v/>
      </c>
      <c r="L395">
        <f>IF(K395="","",INDEX(Интервалы!$B$2:$B$513,MATCH(K395,Интервалы!$G$2:$G$513,0)))</f>
        <v/>
      </c>
    </row>
    <row r="396">
      <c r="A396" s="5">
        <f>IF(K396="","",390)</f>
        <v/>
      </c>
      <c r="B396" s="5">
        <f>IF(K396="","",INDEX(Интервалы!$A$2:$A$513,MATCH(K396,Интервалы!$G$2:$G$513,0)))</f>
        <v/>
      </c>
      <c r="C396" s="17">
        <f>IF(K396="","",INDEX(Интервалы!$C$2:$C$513,MATCH(K396,Интервалы!$G$2:$G$513,0)))</f>
        <v/>
      </c>
      <c r="D396" s="17">
        <f>IF(K396="","",INDEX(Интервалы!$D$2:$D$513,MATCH(K396,Интервалы!$G$2:$G$513,0)))</f>
        <v/>
      </c>
      <c r="E396" s="5">
        <f>IF(K396="","",D396-C396+1)</f>
        <v/>
      </c>
      <c r="F396" s="9">
        <f>IF(K396="","",INDEX(Интервалы!$E$2:$E$513,MATCH(K396,Интервалы!$G$2:$G$513,0)))</f>
        <v/>
      </c>
      <c r="G396" s="5">
        <f>IF(K396="","",IF(H396=1,INDEX('По дням'!$B$2:$B$4000,MATCH(C396,'По дням'!$A$2:$A$4000,0)),"по периодам ставки"))</f>
        <v/>
      </c>
      <c r="H396" s="5">
        <f>IF(K396="","",INDEX(Интервалы!$I$2:$I$513,MATCH(K396,Интервалы!$G$2:$G$513,0)))</f>
        <v/>
      </c>
      <c r="I396" s="9">
        <f>IF(K396="","",INDEX(Интервалы!$F$2:$F$513,MATCH(K396,Интервалы!$G$2:$G$513,0)))</f>
        <v/>
      </c>
      <c r="J396" s="9">
        <f>IF(K396="","",INDEX(Интервалы!$H$2:$H$513,MATCH(K396,Интервалы!$G$2:$G$513,0)))</f>
        <v/>
      </c>
      <c r="K396">
        <f>IFERROR(SMALL(Интервалы!$G$2:$G$513,390),"")</f>
        <v/>
      </c>
      <c r="L396">
        <f>IF(K396="","",INDEX(Интервалы!$B$2:$B$513,MATCH(K396,Интервалы!$G$2:$G$513,0)))</f>
        <v/>
      </c>
    </row>
    <row r="397">
      <c r="A397" s="5">
        <f>IF(K397="","",391)</f>
        <v/>
      </c>
      <c r="B397" s="5">
        <f>IF(K397="","",INDEX(Интервалы!$A$2:$A$513,MATCH(K397,Интервалы!$G$2:$G$513,0)))</f>
        <v/>
      </c>
      <c r="C397" s="17">
        <f>IF(K397="","",INDEX(Интервалы!$C$2:$C$513,MATCH(K397,Интервалы!$G$2:$G$513,0)))</f>
        <v/>
      </c>
      <c r="D397" s="17">
        <f>IF(K397="","",INDEX(Интервалы!$D$2:$D$513,MATCH(K397,Интервалы!$G$2:$G$513,0)))</f>
        <v/>
      </c>
      <c r="E397" s="5">
        <f>IF(K397="","",D397-C397+1)</f>
        <v/>
      </c>
      <c r="F397" s="9">
        <f>IF(K397="","",INDEX(Интервалы!$E$2:$E$513,MATCH(K397,Интервалы!$G$2:$G$513,0)))</f>
        <v/>
      </c>
      <c r="G397" s="5">
        <f>IF(K397="","",IF(H397=1,INDEX('По дням'!$B$2:$B$4000,MATCH(C397,'По дням'!$A$2:$A$4000,0)),"по периодам ставки"))</f>
        <v/>
      </c>
      <c r="H397" s="5">
        <f>IF(K397="","",INDEX(Интервалы!$I$2:$I$513,MATCH(K397,Интервалы!$G$2:$G$513,0)))</f>
        <v/>
      </c>
      <c r="I397" s="9">
        <f>IF(K397="","",INDEX(Интервалы!$F$2:$F$513,MATCH(K397,Интервалы!$G$2:$G$513,0)))</f>
        <v/>
      </c>
      <c r="J397" s="9">
        <f>IF(K397="","",INDEX(Интервалы!$H$2:$H$513,MATCH(K397,Интервалы!$G$2:$G$513,0)))</f>
        <v/>
      </c>
      <c r="K397">
        <f>IFERROR(SMALL(Интервалы!$G$2:$G$513,391),"")</f>
        <v/>
      </c>
      <c r="L397">
        <f>IF(K397="","",INDEX(Интервалы!$B$2:$B$513,MATCH(K397,Интервалы!$G$2:$G$513,0)))</f>
        <v/>
      </c>
    </row>
    <row r="398">
      <c r="A398" s="5">
        <f>IF(K398="","",392)</f>
        <v/>
      </c>
      <c r="B398" s="5">
        <f>IF(K398="","",INDEX(Интервалы!$A$2:$A$513,MATCH(K398,Интервалы!$G$2:$G$513,0)))</f>
        <v/>
      </c>
      <c r="C398" s="17">
        <f>IF(K398="","",INDEX(Интервалы!$C$2:$C$513,MATCH(K398,Интервалы!$G$2:$G$513,0)))</f>
        <v/>
      </c>
      <c r="D398" s="17">
        <f>IF(K398="","",INDEX(Интервалы!$D$2:$D$513,MATCH(K398,Интервалы!$G$2:$G$513,0)))</f>
        <v/>
      </c>
      <c r="E398" s="5">
        <f>IF(K398="","",D398-C398+1)</f>
        <v/>
      </c>
      <c r="F398" s="9">
        <f>IF(K398="","",INDEX(Интервалы!$E$2:$E$513,MATCH(K398,Интервалы!$G$2:$G$513,0)))</f>
        <v/>
      </c>
      <c r="G398" s="5">
        <f>IF(K398="","",IF(H398=1,INDEX('По дням'!$B$2:$B$4000,MATCH(C398,'По дням'!$A$2:$A$4000,0)),"по периодам ставки"))</f>
        <v/>
      </c>
      <c r="H398" s="5">
        <f>IF(K398="","",INDEX(Интервалы!$I$2:$I$513,MATCH(K398,Интервалы!$G$2:$G$513,0)))</f>
        <v/>
      </c>
      <c r="I398" s="9">
        <f>IF(K398="","",INDEX(Интервалы!$F$2:$F$513,MATCH(K398,Интервалы!$G$2:$G$513,0)))</f>
        <v/>
      </c>
      <c r="J398" s="9">
        <f>IF(K398="","",INDEX(Интервалы!$H$2:$H$513,MATCH(K398,Интервалы!$G$2:$G$513,0)))</f>
        <v/>
      </c>
      <c r="K398">
        <f>IFERROR(SMALL(Интервалы!$G$2:$G$513,392),"")</f>
        <v/>
      </c>
      <c r="L398">
        <f>IF(K398="","",INDEX(Интервалы!$B$2:$B$513,MATCH(K398,Интервалы!$G$2:$G$513,0)))</f>
        <v/>
      </c>
    </row>
    <row r="399">
      <c r="A399" s="5">
        <f>IF(K399="","",393)</f>
        <v/>
      </c>
      <c r="B399" s="5">
        <f>IF(K399="","",INDEX(Интервалы!$A$2:$A$513,MATCH(K399,Интервалы!$G$2:$G$513,0)))</f>
        <v/>
      </c>
      <c r="C399" s="17">
        <f>IF(K399="","",INDEX(Интервалы!$C$2:$C$513,MATCH(K399,Интервалы!$G$2:$G$513,0)))</f>
        <v/>
      </c>
      <c r="D399" s="17">
        <f>IF(K399="","",INDEX(Интервалы!$D$2:$D$513,MATCH(K399,Интервалы!$G$2:$G$513,0)))</f>
        <v/>
      </c>
      <c r="E399" s="5">
        <f>IF(K399="","",D399-C399+1)</f>
        <v/>
      </c>
      <c r="F399" s="9">
        <f>IF(K399="","",INDEX(Интервалы!$E$2:$E$513,MATCH(K399,Интервалы!$G$2:$G$513,0)))</f>
        <v/>
      </c>
      <c r="G399" s="5">
        <f>IF(K399="","",IF(H399=1,INDEX('По дням'!$B$2:$B$4000,MATCH(C399,'По дням'!$A$2:$A$4000,0)),"по периодам ставки"))</f>
        <v/>
      </c>
      <c r="H399" s="5">
        <f>IF(K399="","",INDEX(Интервалы!$I$2:$I$513,MATCH(K399,Интервалы!$G$2:$G$513,0)))</f>
        <v/>
      </c>
      <c r="I399" s="9">
        <f>IF(K399="","",INDEX(Интервалы!$F$2:$F$513,MATCH(K399,Интервалы!$G$2:$G$513,0)))</f>
        <v/>
      </c>
      <c r="J399" s="9">
        <f>IF(K399="","",INDEX(Интервалы!$H$2:$H$513,MATCH(K399,Интервалы!$G$2:$G$513,0)))</f>
        <v/>
      </c>
      <c r="K399">
        <f>IFERROR(SMALL(Интервалы!$G$2:$G$513,393),"")</f>
        <v/>
      </c>
      <c r="L399">
        <f>IF(K399="","",INDEX(Интервалы!$B$2:$B$513,MATCH(K399,Интервалы!$G$2:$G$513,0)))</f>
        <v/>
      </c>
    </row>
    <row r="400">
      <c r="A400" s="5">
        <f>IF(K400="","",394)</f>
        <v/>
      </c>
      <c r="B400" s="5">
        <f>IF(K400="","",INDEX(Интервалы!$A$2:$A$513,MATCH(K400,Интервалы!$G$2:$G$513,0)))</f>
        <v/>
      </c>
      <c r="C400" s="17">
        <f>IF(K400="","",INDEX(Интервалы!$C$2:$C$513,MATCH(K400,Интервалы!$G$2:$G$513,0)))</f>
        <v/>
      </c>
      <c r="D400" s="17">
        <f>IF(K400="","",INDEX(Интервалы!$D$2:$D$513,MATCH(K400,Интервалы!$G$2:$G$513,0)))</f>
        <v/>
      </c>
      <c r="E400" s="5">
        <f>IF(K400="","",D400-C400+1)</f>
        <v/>
      </c>
      <c r="F400" s="9">
        <f>IF(K400="","",INDEX(Интервалы!$E$2:$E$513,MATCH(K400,Интервалы!$G$2:$G$513,0)))</f>
        <v/>
      </c>
      <c r="G400" s="5">
        <f>IF(K400="","",IF(H400=1,INDEX('По дням'!$B$2:$B$4000,MATCH(C400,'По дням'!$A$2:$A$4000,0)),"по периодам ставки"))</f>
        <v/>
      </c>
      <c r="H400" s="5">
        <f>IF(K400="","",INDEX(Интервалы!$I$2:$I$513,MATCH(K400,Интервалы!$G$2:$G$513,0)))</f>
        <v/>
      </c>
      <c r="I400" s="9">
        <f>IF(K400="","",INDEX(Интервалы!$F$2:$F$513,MATCH(K400,Интервалы!$G$2:$G$513,0)))</f>
        <v/>
      </c>
      <c r="J400" s="9">
        <f>IF(K400="","",INDEX(Интервалы!$H$2:$H$513,MATCH(K400,Интервалы!$G$2:$G$513,0)))</f>
        <v/>
      </c>
      <c r="K400">
        <f>IFERROR(SMALL(Интервалы!$G$2:$G$513,394),"")</f>
        <v/>
      </c>
      <c r="L400">
        <f>IF(K400="","",INDEX(Интервалы!$B$2:$B$513,MATCH(K400,Интервалы!$G$2:$G$513,0)))</f>
        <v/>
      </c>
    </row>
    <row r="401">
      <c r="A401" s="5">
        <f>IF(K401="","",395)</f>
        <v/>
      </c>
      <c r="B401" s="5">
        <f>IF(K401="","",INDEX(Интервалы!$A$2:$A$513,MATCH(K401,Интервалы!$G$2:$G$513,0)))</f>
        <v/>
      </c>
      <c r="C401" s="17">
        <f>IF(K401="","",INDEX(Интервалы!$C$2:$C$513,MATCH(K401,Интервалы!$G$2:$G$513,0)))</f>
        <v/>
      </c>
      <c r="D401" s="17">
        <f>IF(K401="","",INDEX(Интервалы!$D$2:$D$513,MATCH(K401,Интервалы!$G$2:$G$513,0)))</f>
        <v/>
      </c>
      <c r="E401" s="5">
        <f>IF(K401="","",D401-C401+1)</f>
        <v/>
      </c>
      <c r="F401" s="9">
        <f>IF(K401="","",INDEX(Интервалы!$E$2:$E$513,MATCH(K401,Интервалы!$G$2:$G$513,0)))</f>
        <v/>
      </c>
      <c r="G401" s="5">
        <f>IF(K401="","",IF(H401=1,INDEX('По дням'!$B$2:$B$4000,MATCH(C401,'По дням'!$A$2:$A$4000,0)),"по периодам ставки"))</f>
        <v/>
      </c>
      <c r="H401" s="5">
        <f>IF(K401="","",INDEX(Интервалы!$I$2:$I$513,MATCH(K401,Интервалы!$G$2:$G$513,0)))</f>
        <v/>
      </c>
      <c r="I401" s="9">
        <f>IF(K401="","",INDEX(Интервалы!$F$2:$F$513,MATCH(K401,Интервалы!$G$2:$G$513,0)))</f>
        <v/>
      </c>
      <c r="J401" s="9">
        <f>IF(K401="","",INDEX(Интервалы!$H$2:$H$513,MATCH(K401,Интервалы!$G$2:$G$513,0)))</f>
        <v/>
      </c>
      <c r="K401">
        <f>IFERROR(SMALL(Интервалы!$G$2:$G$513,395),"")</f>
        <v/>
      </c>
      <c r="L401">
        <f>IF(K401="","",INDEX(Интервалы!$B$2:$B$513,MATCH(K401,Интервалы!$G$2:$G$513,0)))</f>
        <v/>
      </c>
    </row>
    <row r="402">
      <c r="A402" s="5">
        <f>IF(K402="","",396)</f>
        <v/>
      </c>
      <c r="B402" s="5">
        <f>IF(K402="","",INDEX(Интервалы!$A$2:$A$513,MATCH(K402,Интервалы!$G$2:$G$513,0)))</f>
        <v/>
      </c>
      <c r="C402" s="17">
        <f>IF(K402="","",INDEX(Интервалы!$C$2:$C$513,MATCH(K402,Интервалы!$G$2:$G$513,0)))</f>
        <v/>
      </c>
      <c r="D402" s="17">
        <f>IF(K402="","",INDEX(Интервалы!$D$2:$D$513,MATCH(K402,Интервалы!$G$2:$G$513,0)))</f>
        <v/>
      </c>
      <c r="E402" s="5">
        <f>IF(K402="","",D402-C402+1)</f>
        <v/>
      </c>
      <c r="F402" s="9">
        <f>IF(K402="","",INDEX(Интервалы!$E$2:$E$513,MATCH(K402,Интервалы!$G$2:$G$513,0)))</f>
        <v/>
      </c>
      <c r="G402" s="5">
        <f>IF(K402="","",IF(H402=1,INDEX('По дням'!$B$2:$B$4000,MATCH(C402,'По дням'!$A$2:$A$4000,0)),"по периодам ставки"))</f>
        <v/>
      </c>
      <c r="H402" s="5">
        <f>IF(K402="","",INDEX(Интервалы!$I$2:$I$513,MATCH(K402,Интервалы!$G$2:$G$513,0)))</f>
        <v/>
      </c>
      <c r="I402" s="9">
        <f>IF(K402="","",INDEX(Интервалы!$F$2:$F$513,MATCH(K402,Интервалы!$G$2:$G$513,0)))</f>
        <v/>
      </c>
      <c r="J402" s="9">
        <f>IF(K402="","",INDEX(Интервалы!$H$2:$H$513,MATCH(K402,Интервалы!$G$2:$G$513,0)))</f>
        <v/>
      </c>
      <c r="K402">
        <f>IFERROR(SMALL(Интервалы!$G$2:$G$513,396),"")</f>
        <v/>
      </c>
      <c r="L402">
        <f>IF(K402="","",INDEX(Интервалы!$B$2:$B$513,MATCH(K402,Интервалы!$G$2:$G$513,0)))</f>
        <v/>
      </c>
    </row>
    <row r="403">
      <c r="A403" s="5">
        <f>IF(K403="","",397)</f>
        <v/>
      </c>
      <c r="B403" s="5">
        <f>IF(K403="","",INDEX(Интервалы!$A$2:$A$513,MATCH(K403,Интервалы!$G$2:$G$513,0)))</f>
        <v/>
      </c>
      <c r="C403" s="17">
        <f>IF(K403="","",INDEX(Интервалы!$C$2:$C$513,MATCH(K403,Интервалы!$G$2:$G$513,0)))</f>
        <v/>
      </c>
      <c r="D403" s="17">
        <f>IF(K403="","",INDEX(Интервалы!$D$2:$D$513,MATCH(K403,Интервалы!$G$2:$G$513,0)))</f>
        <v/>
      </c>
      <c r="E403" s="5">
        <f>IF(K403="","",D403-C403+1)</f>
        <v/>
      </c>
      <c r="F403" s="9">
        <f>IF(K403="","",INDEX(Интервалы!$E$2:$E$513,MATCH(K403,Интервалы!$G$2:$G$513,0)))</f>
        <v/>
      </c>
      <c r="G403" s="5">
        <f>IF(K403="","",IF(H403=1,INDEX('По дням'!$B$2:$B$4000,MATCH(C403,'По дням'!$A$2:$A$4000,0)),"по периодам ставки"))</f>
        <v/>
      </c>
      <c r="H403" s="5">
        <f>IF(K403="","",INDEX(Интервалы!$I$2:$I$513,MATCH(K403,Интервалы!$G$2:$G$513,0)))</f>
        <v/>
      </c>
      <c r="I403" s="9">
        <f>IF(K403="","",INDEX(Интервалы!$F$2:$F$513,MATCH(K403,Интервалы!$G$2:$G$513,0)))</f>
        <v/>
      </c>
      <c r="J403" s="9">
        <f>IF(K403="","",INDEX(Интервалы!$H$2:$H$513,MATCH(K403,Интервалы!$G$2:$G$513,0)))</f>
        <v/>
      </c>
      <c r="K403">
        <f>IFERROR(SMALL(Интервалы!$G$2:$G$513,397),"")</f>
        <v/>
      </c>
      <c r="L403">
        <f>IF(K403="","",INDEX(Интервалы!$B$2:$B$513,MATCH(K403,Интервалы!$G$2:$G$513,0)))</f>
        <v/>
      </c>
    </row>
    <row r="404">
      <c r="A404" s="5">
        <f>IF(K404="","",398)</f>
        <v/>
      </c>
      <c r="B404" s="5">
        <f>IF(K404="","",INDEX(Интервалы!$A$2:$A$513,MATCH(K404,Интервалы!$G$2:$G$513,0)))</f>
        <v/>
      </c>
      <c r="C404" s="17">
        <f>IF(K404="","",INDEX(Интервалы!$C$2:$C$513,MATCH(K404,Интервалы!$G$2:$G$513,0)))</f>
        <v/>
      </c>
      <c r="D404" s="17">
        <f>IF(K404="","",INDEX(Интервалы!$D$2:$D$513,MATCH(K404,Интервалы!$G$2:$G$513,0)))</f>
        <v/>
      </c>
      <c r="E404" s="5">
        <f>IF(K404="","",D404-C404+1)</f>
        <v/>
      </c>
      <c r="F404" s="9">
        <f>IF(K404="","",INDEX(Интервалы!$E$2:$E$513,MATCH(K404,Интервалы!$G$2:$G$513,0)))</f>
        <v/>
      </c>
      <c r="G404" s="5">
        <f>IF(K404="","",IF(H404=1,INDEX('По дням'!$B$2:$B$4000,MATCH(C404,'По дням'!$A$2:$A$4000,0)),"по периодам ставки"))</f>
        <v/>
      </c>
      <c r="H404" s="5">
        <f>IF(K404="","",INDEX(Интервалы!$I$2:$I$513,MATCH(K404,Интервалы!$G$2:$G$513,0)))</f>
        <v/>
      </c>
      <c r="I404" s="9">
        <f>IF(K404="","",INDEX(Интервалы!$F$2:$F$513,MATCH(K404,Интервалы!$G$2:$G$513,0)))</f>
        <v/>
      </c>
      <c r="J404" s="9">
        <f>IF(K404="","",INDEX(Интервалы!$H$2:$H$513,MATCH(K404,Интервалы!$G$2:$G$513,0)))</f>
        <v/>
      </c>
      <c r="K404">
        <f>IFERROR(SMALL(Интервалы!$G$2:$G$513,398),"")</f>
        <v/>
      </c>
      <c r="L404">
        <f>IF(K404="","",INDEX(Интервалы!$B$2:$B$513,MATCH(K404,Интервалы!$G$2:$G$513,0)))</f>
        <v/>
      </c>
    </row>
    <row r="405">
      <c r="A405" s="5">
        <f>IF(K405="","",399)</f>
        <v/>
      </c>
      <c r="B405" s="5">
        <f>IF(K405="","",INDEX(Интервалы!$A$2:$A$513,MATCH(K405,Интервалы!$G$2:$G$513,0)))</f>
        <v/>
      </c>
      <c r="C405" s="17">
        <f>IF(K405="","",INDEX(Интервалы!$C$2:$C$513,MATCH(K405,Интервалы!$G$2:$G$513,0)))</f>
        <v/>
      </c>
      <c r="D405" s="17">
        <f>IF(K405="","",INDEX(Интервалы!$D$2:$D$513,MATCH(K405,Интервалы!$G$2:$G$513,0)))</f>
        <v/>
      </c>
      <c r="E405" s="5">
        <f>IF(K405="","",D405-C405+1)</f>
        <v/>
      </c>
      <c r="F405" s="9">
        <f>IF(K405="","",INDEX(Интервалы!$E$2:$E$513,MATCH(K405,Интервалы!$G$2:$G$513,0)))</f>
        <v/>
      </c>
      <c r="G405" s="5">
        <f>IF(K405="","",IF(H405=1,INDEX('По дням'!$B$2:$B$4000,MATCH(C405,'По дням'!$A$2:$A$4000,0)),"по периодам ставки"))</f>
        <v/>
      </c>
      <c r="H405" s="5">
        <f>IF(K405="","",INDEX(Интервалы!$I$2:$I$513,MATCH(K405,Интервалы!$G$2:$G$513,0)))</f>
        <v/>
      </c>
      <c r="I405" s="9">
        <f>IF(K405="","",INDEX(Интервалы!$F$2:$F$513,MATCH(K405,Интервалы!$G$2:$G$513,0)))</f>
        <v/>
      </c>
      <c r="J405" s="9">
        <f>IF(K405="","",INDEX(Интервалы!$H$2:$H$513,MATCH(K405,Интервалы!$G$2:$G$513,0)))</f>
        <v/>
      </c>
      <c r="K405">
        <f>IFERROR(SMALL(Интервалы!$G$2:$G$513,399),"")</f>
        <v/>
      </c>
      <c r="L405">
        <f>IF(K405="","",INDEX(Интервалы!$B$2:$B$513,MATCH(K405,Интервалы!$G$2:$G$513,0)))</f>
        <v/>
      </c>
    </row>
    <row r="406">
      <c r="A406" s="5">
        <f>IF(K406="","",400)</f>
        <v/>
      </c>
      <c r="B406" s="5">
        <f>IF(K406="","",INDEX(Интервалы!$A$2:$A$513,MATCH(K406,Интервалы!$G$2:$G$513,0)))</f>
        <v/>
      </c>
      <c r="C406" s="17">
        <f>IF(K406="","",INDEX(Интервалы!$C$2:$C$513,MATCH(K406,Интервалы!$G$2:$G$513,0)))</f>
        <v/>
      </c>
      <c r="D406" s="17">
        <f>IF(K406="","",INDEX(Интервалы!$D$2:$D$513,MATCH(K406,Интервалы!$G$2:$G$513,0)))</f>
        <v/>
      </c>
      <c r="E406" s="5">
        <f>IF(K406="","",D406-C406+1)</f>
        <v/>
      </c>
      <c r="F406" s="9">
        <f>IF(K406="","",INDEX(Интервалы!$E$2:$E$513,MATCH(K406,Интервалы!$G$2:$G$513,0)))</f>
        <v/>
      </c>
      <c r="G406" s="5">
        <f>IF(K406="","",IF(H406=1,INDEX('По дням'!$B$2:$B$4000,MATCH(C406,'По дням'!$A$2:$A$4000,0)),"по периодам ставки"))</f>
        <v/>
      </c>
      <c r="H406" s="5">
        <f>IF(K406="","",INDEX(Интервалы!$I$2:$I$513,MATCH(K406,Интервалы!$G$2:$G$513,0)))</f>
        <v/>
      </c>
      <c r="I406" s="9">
        <f>IF(K406="","",INDEX(Интервалы!$F$2:$F$513,MATCH(K406,Интервалы!$G$2:$G$513,0)))</f>
        <v/>
      </c>
      <c r="J406" s="9">
        <f>IF(K406="","",INDEX(Интервалы!$H$2:$H$513,MATCH(K406,Интервалы!$G$2:$G$513,0)))</f>
        <v/>
      </c>
      <c r="K406">
        <f>IFERROR(SMALL(Интервалы!$G$2:$G$513,400),"")</f>
        <v/>
      </c>
      <c r="L406">
        <f>IF(K406="","",INDEX(Интервалы!$B$2:$B$513,MATCH(K406,Интервалы!$G$2:$G$513,0)))</f>
        <v/>
      </c>
    </row>
    <row r="407">
      <c r="A407" s="5">
        <f>IF(K407="","",401)</f>
        <v/>
      </c>
      <c r="B407" s="5">
        <f>IF(K407="","",INDEX(Интервалы!$A$2:$A$513,MATCH(K407,Интервалы!$G$2:$G$513,0)))</f>
        <v/>
      </c>
      <c r="C407" s="17">
        <f>IF(K407="","",INDEX(Интервалы!$C$2:$C$513,MATCH(K407,Интервалы!$G$2:$G$513,0)))</f>
        <v/>
      </c>
      <c r="D407" s="17">
        <f>IF(K407="","",INDEX(Интервалы!$D$2:$D$513,MATCH(K407,Интервалы!$G$2:$G$513,0)))</f>
        <v/>
      </c>
      <c r="E407" s="5">
        <f>IF(K407="","",D407-C407+1)</f>
        <v/>
      </c>
      <c r="F407" s="9">
        <f>IF(K407="","",INDEX(Интервалы!$E$2:$E$513,MATCH(K407,Интервалы!$G$2:$G$513,0)))</f>
        <v/>
      </c>
      <c r="G407" s="5">
        <f>IF(K407="","",IF(H407=1,INDEX('По дням'!$B$2:$B$4000,MATCH(C407,'По дням'!$A$2:$A$4000,0)),"по периодам ставки"))</f>
        <v/>
      </c>
      <c r="H407" s="5">
        <f>IF(K407="","",INDEX(Интервалы!$I$2:$I$513,MATCH(K407,Интервалы!$G$2:$G$513,0)))</f>
        <v/>
      </c>
      <c r="I407" s="9">
        <f>IF(K407="","",INDEX(Интервалы!$F$2:$F$513,MATCH(K407,Интервалы!$G$2:$G$513,0)))</f>
        <v/>
      </c>
      <c r="J407" s="9">
        <f>IF(K407="","",INDEX(Интервалы!$H$2:$H$513,MATCH(K407,Интервалы!$G$2:$G$513,0)))</f>
        <v/>
      </c>
      <c r="K407">
        <f>IFERROR(SMALL(Интервалы!$G$2:$G$513,401),"")</f>
        <v/>
      </c>
      <c r="L407">
        <f>IF(K407="","",INDEX(Интервалы!$B$2:$B$513,MATCH(K407,Интервалы!$G$2:$G$513,0)))</f>
        <v/>
      </c>
    </row>
    <row r="408">
      <c r="A408" s="5">
        <f>IF(K408="","",402)</f>
        <v/>
      </c>
      <c r="B408" s="5">
        <f>IF(K408="","",INDEX(Интервалы!$A$2:$A$513,MATCH(K408,Интервалы!$G$2:$G$513,0)))</f>
        <v/>
      </c>
      <c r="C408" s="17">
        <f>IF(K408="","",INDEX(Интервалы!$C$2:$C$513,MATCH(K408,Интервалы!$G$2:$G$513,0)))</f>
        <v/>
      </c>
      <c r="D408" s="17">
        <f>IF(K408="","",INDEX(Интервалы!$D$2:$D$513,MATCH(K408,Интервалы!$G$2:$G$513,0)))</f>
        <v/>
      </c>
      <c r="E408" s="5">
        <f>IF(K408="","",D408-C408+1)</f>
        <v/>
      </c>
      <c r="F408" s="9">
        <f>IF(K408="","",INDEX(Интервалы!$E$2:$E$513,MATCH(K408,Интервалы!$G$2:$G$513,0)))</f>
        <v/>
      </c>
      <c r="G408" s="5">
        <f>IF(K408="","",IF(H408=1,INDEX('По дням'!$B$2:$B$4000,MATCH(C408,'По дням'!$A$2:$A$4000,0)),"по периодам ставки"))</f>
        <v/>
      </c>
      <c r="H408" s="5">
        <f>IF(K408="","",INDEX(Интервалы!$I$2:$I$513,MATCH(K408,Интервалы!$G$2:$G$513,0)))</f>
        <v/>
      </c>
      <c r="I408" s="9">
        <f>IF(K408="","",INDEX(Интервалы!$F$2:$F$513,MATCH(K408,Интервалы!$G$2:$G$513,0)))</f>
        <v/>
      </c>
      <c r="J408" s="9">
        <f>IF(K408="","",INDEX(Интервалы!$H$2:$H$513,MATCH(K408,Интервалы!$G$2:$G$513,0)))</f>
        <v/>
      </c>
      <c r="K408">
        <f>IFERROR(SMALL(Интервалы!$G$2:$G$513,402),"")</f>
        <v/>
      </c>
      <c r="L408">
        <f>IF(K408="","",INDEX(Интервалы!$B$2:$B$513,MATCH(K408,Интервалы!$G$2:$G$513,0)))</f>
        <v/>
      </c>
    </row>
    <row r="409">
      <c r="A409" s="5">
        <f>IF(K409="","",403)</f>
        <v/>
      </c>
      <c r="B409" s="5">
        <f>IF(K409="","",INDEX(Интервалы!$A$2:$A$513,MATCH(K409,Интервалы!$G$2:$G$513,0)))</f>
        <v/>
      </c>
      <c r="C409" s="17">
        <f>IF(K409="","",INDEX(Интервалы!$C$2:$C$513,MATCH(K409,Интервалы!$G$2:$G$513,0)))</f>
        <v/>
      </c>
      <c r="D409" s="17">
        <f>IF(K409="","",INDEX(Интервалы!$D$2:$D$513,MATCH(K409,Интервалы!$G$2:$G$513,0)))</f>
        <v/>
      </c>
      <c r="E409" s="5">
        <f>IF(K409="","",D409-C409+1)</f>
        <v/>
      </c>
      <c r="F409" s="9">
        <f>IF(K409="","",INDEX(Интервалы!$E$2:$E$513,MATCH(K409,Интервалы!$G$2:$G$513,0)))</f>
        <v/>
      </c>
      <c r="G409" s="5">
        <f>IF(K409="","",IF(H409=1,INDEX('По дням'!$B$2:$B$4000,MATCH(C409,'По дням'!$A$2:$A$4000,0)),"по периодам ставки"))</f>
        <v/>
      </c>
      <c r="H409" s="5">
        <f>IF(K409="","",INDEX(Интервалы!$I$2:$I$513,MATCH(K409,Интервалы!$G$2:$G$513,0)))</f>
        <v/>
      </c>
      <c r="I409" s="9">
        <f>IF(K409="","",INDEX(Интервалы!$F$2:$F$513,MATCH(K409,Интервалы!$G$2:$G$513,0)))</f>
        <v/>
      </c>
      <c r="J409" s="9">
        <f>IF(K409="","",INDEX(Интервалы!$H$2:$H$513,MATCH(K409,Интервалы!$G$2:$G$513,0)))</f>
        <v/>
      </c>
      <c r="K409">
        <f>IFERROR(SMALL(Интервалы!$G$2:$G$513,403),"")</f>
        <v/>
      </c>
      <c r="L409">
        <f>IF(K409="","",INDEX(Интервалы!$B$2:$B$513,MATCH(K409,Интервалы!$G$2:$G$513,0)))</f>
        <v/>
      </c>
    </row>
    <row r="410">
      <c r="A410" s="5">
        <f>IF(K410="","",404)</f>
        <v/>
      </c>
      <c r="B410" s="5">
        <f>IF(K410="","",INDEX(Интервалы!$A$2:$A$513,MATCH(K410,Интервалы!$G$2:$G$513,0)))</f>
        <v/>
      </c>
      <c r="C410" s="17">
        <f>IF(K410="","",INDEX(Интервалы!$C$2:$C$513,MATCH(K410,Интервалы!$G$2:$G$513,0)))</f>
        <v/>
      </c>
      <c r="D410" s="17">
        <f>IF(K410="","",INDEX(Интервалы!$D$2:$D$513,MATCH(K410,Интервалы!$G$2:$G$513,0)))</f>
        <v/>
      </c>
      <c r="E410" s="5">
        <f>IF(K410="","",D410-C410+1)</f>
        <v/>
      </c>
      <c r="F410" s="9">
        <f>IF(K410="","",INDEX(Интервалы!$E$2:$E$513,MATCH(K410,Интервалы!$G$2:$G$513,0)))</f>
        <v/>
      </c>
      <c r="G410" s="5">
        <f>IF(K410="","",IF(H410=1,INDEX('По дням'!$B$2:$B$4000,MATCH(C410,'По дням'!$A$2:$A$4000,0)),"по периодам ставки"))</f>
        <v/>
      </c>
      <c r="H410" s="5">
        <f>IF(K410="","",INDEX(Интервалы!$I$2:$I$513,MATCH(K410,Интервалы!$G$2:$G$513,0)))</f>
        <v/>
      </c>
      <c r="I410" s="9">
        <f>IF(K410="","",INDEX(Интервалы!$F$2:$F$513,MATCH(K410,Интервалы!$G$2:$G$513,0)))</f>
        <v/>
      </c>
      <c r="J410" s="9">
        <f>IF(K410="","",INDEX(Интервалы!$H$2:$H$513,MATCH(K410,Интервалы!$G$2:$G$513,0)))</f>
        <v/>
      </c>
      <c r="K410">
        <f>IFERROR(SMALL(Интервалы!$G$2:$G$513,404),"")</f>
        <v/>
      </c>
      <c r="L410">
        <f>IF(K410="","",INDEX(Интервалы!$B$2:$B$513,MATCH(K410,Интервалы!$G$2:$G$513,0)))</f>
        <v/>
      </c>
    </row>
    <row r="411">
      <c r="A411" s="5">
        <f>IF(K411="","",405)</f>
        <v/>
      </c>
      <c r="B411" s="5">
        <f>IF(K411="","",INDEX(Интервалы!$A$2:$A$513,MATCH(K411,Интервалы!$G$2:$G$513,0)))</f>
        <v/>
      </c>
      <c r="C411" s="17">
        <f>IF(K411="","",INDEX(Интервалы!$C$2:$C$513,MATCH(K411,Интервалы!$G$2:$G$513,0)))</f>
        <v/>
      </c>
      <c r="D411" s="17">
        <f>IF(K411="","",INDEX(Интервалы!$D$2:$D$513,MATCH(K411,Интервалы!$G$2:$G$513,0)))</f>
        <v/>
      </c>
      <c r="E411" s="5">
        <f>IF(K411="","",D411-C411+1)</f>
        <v/>
      </c>
      <c r="F411" s="9">
        <f>IF(K411="","",INDEX(Интервалы!$E$2:$E$513,MATCH(K411,Интервалы!$G$2:$G$513,0)))</f>
        <v/>
      </c>
      <c r="G411" s="5">
        <f>IF(K411="","",IF(H411=1,INDEX('По дням'!$B$2:$B$4000,MATCH(C411,'По дням'!$A$2:$A$4000,0)),"по периодам ставки"))</f>
        <v/>
      </c>
      <c r="H411" s="5">
        <f>IF(K411="","",INDEX(Интервалы!$I$2:$I$513,MATCH(K411,Интервалы!$G$2:$G$513,0)))</f>
        <v/>
      </c>
      <c r="I411" s="9">
        <f>IF(K411="","",INDEX(Интервалы!$F$2:$F$513,MATCH(K411,Интервалы!$G$2:$G$513,0)))</f>
        <v/>
      </c>
      <c r="J411" s="9">
        <f>IF(K411="","",INDEX(Интервалы!$H$2:$H$513,MATCH(K411,Интервалы!$G$2:$G$513,0)))</f>
        <v/>
      </c>
      <c r="K411">
        <f>IFERROR(SMALL(Интервалы!$G$2:$G$513,405),"")</f>
        <v/>
      </c>
      <c r="L411">
        <f>IF(K411="","",INDEX(Интервалы!$B$2:$B$513,MATCH(K411,Интервалы!$G$2:$G$513,0)))</f>
        <v/>
      </c>
    </row>
    <row r="412">
      <c r="A412" s="5">
        <f>IF(K412="","",406)</f>
        <v/>
      </c>
      <c r="B412" s="5">
        <f>IF(K412="","",INDEX(Интервалы!$A$2:$A$513,MATCH(K412,Интервалы!$G$2:$G$513,0)))</f>
        <v/>
      </c>
      <c r="C412" s="17">
        <f>IF(K412="","",INDEX(Интервалы!$C$2:$C$513,MATCH(K412,Интервалы!$G$2:$G$513,0)))</f>
        <v/>
      </c>
      <c r="D412" s="17">
        <f>IF(K412="","",INDEX(Интервалы!$D$2:$D$513,MATCH(K412,Интервалы!$G$2:$G$513,0)))</f>
        <v/>
      </c>
      <c r="E412" s="5">
        <f>IF(K412="","",D412-C412+1)</f>
        <v/>
      </c>
      <c r="F412" s="9">
        <f>IF(K412="","",INDEX(Интервалы!$E$2:$E$513,MATCH(K412,Интервалы!$G$2:$G$513,0)))</f>
        <v/>
      </c>
      <c r="G412" s="5">
        <f>IF(K412="","",IF(H412=1,INDEX('По дням'!$B$2:$B$4000,MATCH(C412,'По дням'!$A$2:$A$4000,0)),"по периодам ставки"))</f>
        <v/>
      </c>
      <c r="H412" s="5">
        <f>IF(K412="","",INDEX(Интервалы!$I$2:$I$513,MATCH(K412,Интервалы!$G$2:$G$513,0)))</f>
        <v/>
      </c>
      <c r="I412" s="9">
        <f>IF(K412="","",INDEX(Интервалы!$F$2:$F$513,MATCH(K412,Интервалы!$G$2:$G$513,0)))</f>
        <v/>
      </c>
      <c r="J412" s="9">
        <f>IF(K412="","",INDEX(Интервалы!$H$2:$H$513,MATCH(K412,Интервалы!$G$2:$G$513,0)))</f>
        <v/>
      </c>
      <c r="K412">
        <f>IFERROR(SMALL(Интервалы!$G$2:$G$513,406),"")</f>
        <v/>
      </c>
      <c r="L412">
        <f>IF(K412="","",INDEX(Интервалы!$B$2:$B$513,MATCH(K412,Интервалы!$G$2:$G$513,0)))</f>
        <v/>
      </c>
    </row>
    <row r="413">
      <c r="A413" s="5">
        <f>IF(K413="","",407)</f>
        <v/>
      </c>
      <c r="B413" s="5">
        <f>IF(K413="","",INDEX(Интервалы!$A$2:$A$513,MATCH(K413,Интервалы!$G$2:$G$513,0)))</f>
        <v/>
      </c>
      <c r="C413" s="17">
        <f>IF(K413="","",INDEX(Интервалы!$C$2:$C$513,MATCH(K413,Интервалы!$G$2:$G$513,0)))</f>
        <v/>
      </c>
      <c r="D413" s="17">
        <f>IF(K413="","",INDEX(Интервалы!$D$2:$D$513,MATCH(K413,Интервалы!$G$2:$G$513,0)))</f>
        <v/>
      </c>
      <c r="E413" s="5">
        <f>IF(K413="","",D413-C413+1)</f>
        <v/>
      </c>
      <c r="F413" s="9">
        <f>IF(K413="","",INDEX(Интервалы!$E$2:$E$513,MATCH(K413,Интервалы!$G$2:$G$513,0)))</f>
        <v/>
      </c>
      <c r="G413" s="5">
        <f>IF(K413="","",IF(H413=1,INDEX('По дням'!$B$2:$B$4000,MATCH(C413,'По дням'!$A$2:$A$4000,0)),"по периодам ставки"))</f>
        <v/>
      </c>
      <c r="H413" s="5">
        <f>IF(K413="","",INDEX(Интервалы!$I$2:$I$513,MATCH(K413,Интервалы!$G$2:$G$513,0)))</f>
        <v/>
      </c>
      <c r="I413" s="9">
        <f>IF(K413="","",INDEX(Интервалы!$F$2:$F$513,MATCH(K413,Интервалы!$G$2:$G$513,0)))</f>
        <v/>
      </c>
      <c r="J413" s="9">
        <f>IF(K413="","",INDEX(Интервалы!$H$2:$H$513,MATCH(K413,Интервалы!$G$2:$G$513,0)))</f>
        <v/>
      </c>
      <c r="K413">
        <f>IFERROR(SMALL(Интервалы!$G$2:$G$513,407),"")</f>
        <v/>
      </c>
      <c r="L413">
        <f>IF(K413="","",INDEX(Интервалы!$B$2:$B$513,MATCH(K413,Интервалы!$G$2:$G$513,0)))</f>
        <v/>
      </c>
    </row>
    <row r="414">
      <c r="A414" s="5">
        <f>IF(K414="","",408)</f>
        <v/>
      </c>
      <c r="B414" s="5">
        <f>IF(K414="","",INDEX(Интервалы!$A$2:$A$513,MATCH(K414,Интервалы!$G$2:$G$513,0)))</f>
        <v/>
      </c>
      <c r="C414" s="17">
        <f>IF(K414="","",INDEX(Интервалы!$C$2:$C$513,MATCH(K414,Интервалы!$G$2:$G$513,0)))</f>
        <v/>
      </c>
      <c r="D414" s="17">
        <f>IF(K414="","",INDEX(Интервалы!$D$2:$D$513,MATCH(K414,Интервалы!$G$2:$G$513,0)))</f>
        <v/>
      </c>
      <c r="E414" s="5">
        <f>IF(K414="","",D414-C414+1)</f>
        <v/>
      </c>
      <c r="F414" s="9">
        <f>IF(K414="","",INDEX(Интервалы!$E$2:$E$513,MATCH(K414,Интервалы!$G$2:$G$513,0)))</f>
        <v/>
      </c>
      <c r="G414" s="5">
        <f>IF(K414="","",IF(H414=1,INDEX('По дням'!$B$2:$B$4000,MATCH(C414,'По дням'!$A$2:$A$4000,0)),"по периодам ставки"))</f>
        <v/>
      </c>
      <c r="H414" s="5">
        <f>IF(K414="","",INDEX(Интервалы!$I$2:$I$513,MATCH(K414,Интервалы!$G$2:$G$513,0)))</f>
        <v/>
      </c>
      <c r="I414" s="9">
        <f>IF(K414="","",INDEX(Интервалы!$F$2:$F$513,MATCH(K414,Интервалы!$G$2:$G$513,0)))</f>
        <v/>
      </c>
      <c r="J414" s="9">
        <f>IF(K414="","",INDEX(Интервалы!$H$2:$H$513,MATCH(K414,Интервалы!$G$2:$G$513,0)))</f>
        <v/>
      </c>
      <c r="K414">
        <f>IFERROR(SMALL(Интервалы!$G$2:$G$513,408),"")</f>
        <v/>
      </c>
      <c r="L414">
        <f>IF(K414="","",INDEX(Интервалы!$B$2:$B$513,MATCH(K414,Интервалы!$G$2:$G$513,0)))</f>
        <v/>
      </c>
    </row>
    <row r="415">
      <c r="A415" s="5">
        <f>IF(K415="","",409)</f>
        <v/>
      </c>
      <c r="B415" s="5">
        <f>IF(K415="","",INDEX(Интервалы!$A$2:$A$513,MATCH(K415,Интервалы!$G$2:$G$513,0)))</f>
        <v/>
      </c>
      <c r="C415" s="17">
        <f>IF(K415="","",INDEX(Интервалы!$C$2:$C$513,MATCH(K415,Интервалы!$G$2:$G$513,0)))</f>
        <v/>
      </c>
      <c r="D415" s="17">
        <f>IF(K415="","",INDEX(Интервалы!$D$2:$D$513,MATCH(K415,Интервалы!$G$2:$G$513,0)))</f>
        <v/>
      </c>
      <c r="E415" s="5">
        <f>IF(K415="","",D415-C415+1)</f>
        <v/>
      </c>
      <c r="F415" s="9">
        <f>IF(K415="","",INDEX(Интервалы!$E$2:$E$513,MATCH(K415,Интервалы!$G$2:$G$513,0)))</f>
        <v/>
      </c>
      <c r="G415" s="5">
        <f>IF(K415="","",IF(H415=1,INDEX('По дням'!$B$2:$B$4000,MATCH(C415,'По дням'!$A$2:$A$4000,0)),"по периодам ставки"))</f>
        <v/>
      </c>
      <c r="H415" s="5">
        <f>IF(K415="","",INDEX(Интервалы!$I$2:$I$513,MATCH(K415,Интервалы!$G$2:$G$513,0)))</f>
        <v/>
      </c>
      <c r="I415" s="9">
        <f>IF(K415="","",INDEX(Интервалы!$F$2:$F$513,MATCH(K415,Интервалы!$G$2:$G$513,0)))</f>
        <v/>
      </c>
      <c r="J415" s="9">
        <f>IF(K415="","",INDEX(Интервалы!$H$2:$H$513,MATCH(K415,Интервалы!$G$2:$G$513,0)))</f>
        <v/>
      </c>
      <c r="K415">
        <f>IFERROR(SMALL(Интервалы!$G$2:$G$513,409),"")</f>
        <v/>
      </c>
      <c r="L415">
        <f>IF(K415="","",INDEX(Интервалы!$B$2:$B$513,MATCH(K415,Интервалы!$G$2:$G$513,0)))</f>
        <v/>
      </c>
    </row>
    <row r="416">
      <c r="A416" s="5">
        <f>IF(K416="","",410)</f>
        <v/>
      </c>
      <c r="B416" s="5">
        <f>IF(K416="","",INDEX(Интервалы!$A$2:$A$513,MATCH(K416,Интервалы!$G$2:$G$513,0)))</f>
        <v/>
      </c>
      <c r="C416" s="17">
        <f>IF(K416="","",INDEX(Интервалы!$C$2:$C$513,MATCH(K416,Интервалы!$G$2:$G$513,0)))</f>
        <v/>
      </c>
      <c r="D416" s="17">
        <f>IF(K416="","",INDEX(Интервалы!$D$2:$D$513,MATCH(K416,Интервалы!$G$2:$G$513,0)))</f>
        <v/>
      </c>
      <c r="E416" s="5">
        <f>IF(K416="","",D416-C416+1)</f>
        <v/>
      </c>
      <c r="F416" s="9">
        <f>IF(K416="","",INDEX(Интервалы!$E$2:$E$513,MATCH(K416,Интервалы!$G$2:$G$513,0)))</f>
        <v/>
      </c>
      <c r="G416" s="5">
        <f>IF(K416="","",IF(H416=1,INDEX('По дням'!$B$2:$B$4000,MATCH(C416,'По дням'!$A$2:$A$4000,0)),"по периодам ставки"))</f>
        <v/>
      </c>
      <c r="H416" s="5">
        <f>IF(K416="","",INDEX(Интервалы!$I$2:$I$513,MATCH(K416,Интервалы!$G$2:$G$513,0)))</f>
        <v/>
      </c>
      <c r="I416" s="9">
        <f>IF(K416="","",INDEX(Интервалы!$F$2:$F$513,MATCH(K416,Интервалы!$G$2:$G$513,0)))</f>
        <v/>
      </c>
      <c r="J416" s="9">
        <f>IF(K416="","",INDEX(Интервалы!$H$2:$H$513,MATCH(K416,Интервалы!$G$2:$G$513,0)))</f>
        <v/>
      </c>
      <c r="K416">
        <f>IFERROR(SMALL(Интервалы!$G$2:$G$513,410),"")</f>
        <v/>
      </c>
      <c r="L416">
        <f>IF(K416="","",INDEX(Интервалы!$B$2:$B$513,MATCH(K416,Интервалы!$G$2:$G$513,0)))</f>
        <v/>
      </c>
    </row>
    <row r="417">
      <c r="A417" s="5">
        <f>IF(K417="","",411)</f>
        <v/>
      </c>
      <c r="B417" s="5">
        <f>IF(K417="","",INDEX(Интервалы!$A$2:$A$513,MATCH(K417,Интервалы!$G$2:$G$513,0)))</f>
        <v/>
      </c>
      <c r="C417" s="17">
        <f>IF(K417="","",INDEX(Интервалы!$C$2:$C$513,MATCH(K417,Интервалы!$G$2:$G$513,0)))</f>
        <v/>
      </c>
      <c r="D417" s="17">
        <f>IF(K417="","",INDEX(Интервалы!$D$2:$D$513,MATCH(K417,Интервалы!$G$2:$G$513,0)))</f>
        <v/>
      </c>
      <c r="E417" s="5">
        <f>IF(K417="","",D417-C417+1)</f>
        <v/>
      </c>
      <c r="F417" s="9">
        <f>IF(K417="","",INDEX(Интервалы!$E$2:$E$513,MATCH(K417,Интервалы!$G$2:$G$513,0)))</f>
        <v/>
      </c>
      <c r="G417" s="5">
        <f>IF(K417="","",IF(H417=1,INDEX('По дням'!$B$2:$B$4000,MATCH(C417,'По дням'!$A$2:$A$4000,0)),"по периодам ставки"))</f>
        <v/>
      </c>
      <c r="H417" s="5">
        <f>IF(K417="","",INDEX(Интервалы!$I$2:$I$513,MATCH(K417,Интервалы!$G$2:$G$513,0)))</f>
        <v/>
      </c>
      <c r="I417" s="9">
        <f>IF(K417="","",INDEX(Интервалы!$F$2:$F$513,MATCH(K417,Интервалы!$G$2:$G$513,0)))</f>
        <v/>
      </c>
      <c r="J417" s="9">
        <f>IF(K417="","",INDEX(Интервалы!$H$2:$H$513,MATCH(K417,Интервалы!$G$2:$G$513,0)))</f>
        <v/>
      </c>
      <c r="K417">
        <f>IFERROR(SMALL(Интервалы!$G$2:$G$513,411),"")</f>
        <v/>
      </c>
      <c r="L417">
        <f>IF(K417="","",INDEX(Интервалы!$B$2:$B$513,MATCH(K417,Интервалы!$G$2:$G$513,0)))</f>
        <v/>
      </c>
    </row>
    <row r="418">
      <c r="A418" s="5">
        <f>IF(K418="","",412)</f>
        <v/>
      </c>
      <c r="B418" s="5">
        <f>IF(K418="","",INDEX(Интервалы!$A$2:$A$513,MATCH(K418,Интервалы!$G$2:$G$513,0)))</f>
        <v/>
      </c>
      <c r="C418" s="17">
        <f>IF(K418="","",INDEX(Интервалы!$C$2:$C$513,MATCH(K418,Интервалы!$G$2:$G$513,0)))</f>
        <v/>
      </c>
      <c r="D418" s="17">
        <f>IF(K418="","",INDEX(Интервалы!$D$2:$D$513,MATCH(K418,Интервалы!$G$2:$G$513,0)))</f>
        <v/>
      </c>
      <c r="E418" s="5">
        <f>IF(K418="","",D418-C418+1)</f>
        <v/>
      </c>
      <c r="F418" s="9">
        <f>IF(K418="","",INDEX(Интервалы!$E$2:$E$513,MATCH(K418,Интервалы!$G$2:$G$513,0)))</f>
        <v/>
      </c>
      <c r="G418" s="5">
        <f>IF(K418="","",IF(H418=1,INDEX('По дням'!$B$2:$B$4000,MATCH(C418,'По дням'!$A$2:$A$4000,0)),"по периодам ставки"))</f>
        <v/>
      </c>
      <c r="H418" s="5">
        <f>IF(K418="","",INDEX(Интервалы!$I$2:$I$513,MATCH(K418,Интервалы!$G$2:$G$513,0)))</f>
        <v/>
      </c>
      <c r="I418" s="9">
        <f>IF(K418="","",INDEX(Интервалы!$F$2:$F$513,MATCH(K418,Интервалы!$G$2:$G$513,0)))</f>
        <v/>
      </c>
      <c r="J418" s="9">
        <f>IF(K418="","",INDEX(Интервалы!$H$2:$H$513,MATCH(K418,Интервалы!$G$2:$G$513,0)))</f>
        <v/>
      </c>
      <c r="K418">
        <f>IFERROR(SMALL(Интервалы!$G$2:$G$513,412),"")</f>
        <v/>
      </c>
      <c r="L418">
        <f>IF(K418="","",INDEX(Интервалы!$B$2:$B$513,MATCH(K418,Интервалы!$G$2:$G$513,0)))</f>
        <v/>
      </c>
    </row>
    <row r="419">
      <c r="A419" s="5">
        <f>IF(K419="","",413)</f>
        <v/>
      </c>
      <c r="B419" s="5">
        <f>IF(K419="","",INDEX(Интервалы!$A$2:$A$513,MATCH(K419,Интервалы!$G$2:$G$513,0)))</f>
        <v/>
      </c>
      <c r="C419" s="17">
        <f>IF(K419="","",INDEX(Интервалы!$C$2:$C$513,MATCH(K419,Интервалы!$G$2:$G$513,0)))</f>
        <v/>
      </c>
      <c r="D419" s="17">
        <f>IF(K419="","",INDEX(Интервалы!$D$2:$D$513,MATCH(K419,Интервалы!$G$2:$G$513,0)))</f>
        <v/>
      </c>
      <c r="E419" s="5">
        <f>IF(K419="","",D419-C419+1)</f>
        <v/>
      </c>
      <c r="F419" s="9">
        <f>IF(K419="","",INDEX(Интервалы!$E$2:$E$513,MATCH(K419,Интервалы!$G$2:$G$513,0)))</f>
        <v/>
      </c>
      <c r="G419" s="5">
        <f>IF(K419="","",IF(H419=1,INDEX('По дням'!$B$2:$B$4000,MATCH(C419,'По дням'!$A$2:$A$4000,0)),"по периодам ставки"))</f>
        <v/>
      </c>
      <c r="H419" s="5">
        <f>IF(K419="","",INDEX(Интервалы!$I$2:$I$513,MATCH(K419,Интервалы!$G$2:$G$513,0)))</f>
        <v/>
      </c>
      <c r="I419" s="9">
        <f>IF(K419="","",INDEX(Интервалы!$F$2:$F$513,MATCH(K419,Интервалы!$G$2:$G$513,0)))</f>
        <v/>
      </c>
      <c r="J419" s="9">
        <f>IF(K419="","",INDEX(Интервалы!$H$2:$H$513,MATCH(K419,Интервалы!$G$2:$G$513,0)))</f>
        <v/>
      </c>
      <c r="K419">
        <f>IFERROR(SMALL(Интервалы!$G$2:$G$513,413),"")</f>
        <v/>
      </c>
      <c r="L419">
        <f>IF(K419="","",INDEX(Интервалы!$B$2:$B$513,MATCH(K419,Интервалы!$G$2:$G$513,0)))</f>
        <v/>
      </c>
    </row>
    <row r="420">
      <c r="A420" s="5">
        <f>IF(K420="","",414)</f>
        <v/>
      </c>
      <c r="B420" s="5">
        <f>IF(K420="","",INDEX(Интервалы!$A$2:$A$513,MATCH(K420,Интервалы!$G$2:$G$513,0)))</f>
        <v/>
      </c>
      <c r="C420" s="17">
        <f>IF(K420="","",INDEX(Интервалы!$C$2:$C$513,MATCH(K420,Интервалы!$G$2:$G$513,0)))</f>
        <v/>
      </c>
      <c r="D420" s="17">
        <f>IF(K420="","",INDEX(Интервалы!$D$2:$D$513,MATCH(K420,Интервалы!$G$2:$G$513,0)))</f>
        <v/>
      </c>
      <c r="E420" s="5">
        <f>IF(K420="","",D420-C420+1)</f>
        <v/>
      </c>
      <c r="F420" s="9">
        <f>IF(K420="","",INDEX(Интервалы!$E$2:$E$513,MATCH(K420,Интервалы!$G$2:$G$513,0)))</f>
        <v/>
      </c>
      <c r="G420" s="5">
        <f>IF(K420="","",IF(H420=1,INDEX('По дням'!$B$2:$B$4000,MATCH(C420,'По дням'!$A$2:$A$4000,0)),"по периодам ставки"))</f>
        <v/>
      </c>
      <c r="H420" s="5">
        <f>IF(K420="","",INDEX(Интервалы!$I$2:$I$513,MATCH(K420,Интервалы!$G$2:$G$513,0)))</f>
        <v/>
      </c>
      <c r="I420" s="9">
        <f>IF(K420="","",INDEX(Интервалы!$F$2:$F$513,MATCH(K420,Интервалы!$G$2:$G$513,0)))</f>
        <v/>
      </c>
      <c r="J420" s="9">
        <f>IF(K420="","",INDEX(Интервалы!$H$2:$H$513,MATCH(K420,Интервалы!$G$2:$G$513,0)))</f>
        <v/>
      </c>
      <c r="K420">
        <f>IFERROR(SMALL(Интервалы!$G$2:$G$513,414),"")</f>
        <v/>
      </c>
      <c r="L420">
        <f>IF(K420="","",INDEX(Интервалы!$B$2:$B$513,MATCH(K420,Интервалы!$G$2:$G$513,0)))</f>
        <v/>
      </c>
    </row>
    <row r="421">
      <c r="A421" s="5">
        <f>IF(K421="","",415)</f>
        <v/>
      </c>
      <c r="B421" s="5">
        <f>IF(K421="","",INDEX(Интервалы!$A$2:$A$513,MATCH(K421,Интервалы!$G$2:$G$513,0)))</f>
        <v/>
      </c>
      <c r="C421" s="17">
        <f>IF(K421="","",INDEX(Интервалы!$C$2:$C$513,MATCH(K421,Интервалы!$G$2:$G$513,0)))</f>
        <v/>
      </c>
      <c r="D421" s="17">
        <f>IF(K421="","",INDEX(Интервалы!$D$2:$D$513,MATCH(K421,Интервалы!$G$2:$G$513,0)))</f>
        <v/>
      </c>
      <c r="E421" s="5">
        <f>IF(K421="","",D421-C421+1)</f>
        <v/>
      </c>
      <c r="F421" s="9">
        <f>IF(K421="","",INDEX(Интервалы!$E$2:$E$513,MATCH(K421,Интервалы!$G$2:$G$513,0)))</f>
        <v/>
      </c>
      <c r="G421" s="5">
        <f>IF(K421="","",IF(H421=1,INDEX('По дням'!$B$2:$B$4000,MATCH(C421,'По дням'!$A$2:$A$4000,0)),"по периодам ставки"))</f>
        <v/>
      </c>
      <c r="H421" s="5">
        <f>IF(K421="","",INDEX(Интервалы!$I$2:$I$513,MATCH(K421,Интервалы!$G$2:$G$513,0)))</f>
        <v/>
      </c>
      <c r="I421" s="9">
        <f>IF(K421="","",INDEX(Интервалы!$F$2:$F$513,MATCH(K421,Интервалы!$G$2:$G$513,0)))</f>
        <v/>
      </c>
      <c r="J421" s="9">
        <f>IF(K421="","",INDEX(Интервалы!$H$2:$H$513,MATCH(K421,Интервалы!$G$2:$G$513,0)))</f>
        <v/>
      </c>
      <c r="K421">
        <f>IFERROR(SMALL(Интервалы!$G$2:$G$513,415),"")</f>
        <v/>
      </c>
      <c r="L421">
        <f>IF(K421="","",INDEX(Интервалы!$B$2:$B$513,MATCH(K421,Интервалы!$G$2:$G$513,0)))</f>
        <v/>
      </c>
    </row>
    <row r="422">
      <c r="A422" s="5">
        <f>IF(K422="","",416)</f>
        <v/>
      </c>
      <c r="B422" s="5">
        <f>IF(K422="","",INDEX(Интервалы!$A$2:$A$513,MATCH(K422,Интервалы!$G$2:$G$513,0)))</f>
        <v/>
      </c>
      <c r="C422" s="17">
        <f>IF(K422="","",INDEX(Интервалы!$C$2:$C$513,MATCH(K422,Интервалы!$G$2:$G$513,0)))</f>
        <v/>
      </c>
      <c r="D422" s="17">
        <f>IF(K422="","",INDEX(Интервалы!$D$2:$D$513,MATCH(K422,Интервалы!$G$2:$G$513,0)))</f>
        <v/>
      </c>
      <c r="E422" s="5">
        <f>IF(K422="","",D422-C422+1)</f>
        <v/>
      </c>
      <c r="F422" s="9">
        <f>IF(K422="","",INDEX(Интервалы!$E$2:$E$513,MATCH(K422,Интервалы!$G$2:$G$513,0)))</f>
        <v/>
      </c>
      <c r="G422" s="5">
        <f>IF(K422="","",IF(H422=1,INDEX('По дням'!$B$2:$B$4000,MATCH(C422,'По дням'!$A$2:$A$4000,0)),"по периодам ставки"))</f>
        <v/>
      </c>
      <c r="H422" s="5">
        <f>IF(K422="","",INDEX(Интервалы!$I$2:$I$513,MATCH(K422,Интервалы!$G$2:$G$513,0)))</f>
        <v/>
      </c>
      <c r="I422" s="9">
        <f>IF(K422="","",INDEX(Интервалы!$F$2:$F$513,MATCH(K422,Интервалы!$G$2:$G$513,0)))</f>
        <v/>
      </c>
      <c r="J422" s="9">
        <f>IF(K422="","",INDEX(Интервалы!$H$2:$H$513,MATCH(K422,Интервалы!$G$2:$G$513,0)))</f>
        <v/>
      </c>
      <c r="K422">
        <f>IFERROR(SMALL(Интервалы!$G$2:$G$513,416),"")</f>
        <v/>
      </c>
      <c r="L422">
        <f>IF(K422="","",INDEX(Интервалы!$B$2:$B$513,MATCH(K422,Интервалы!$G$2:$G$513,0)))</f>
        <v/>
      </c>
    </row>
    <row r="423">
      <c r="A423" s="5">
        <f>IF(K423="","",417)</f>
        <v/>
      </c>
      <c r="B423" s="5">
        <f>IF(K423="","",INDEX(Интервалы!$A$2:$A$513,MATCH(K423,Интервалы!$G$2:$G$513,0)))</f>
        <v/>
      </c>
      <c r="C423" s="17">
        <f>IF(K423="","",INDEX(Интервалы!$C$2:$C$513,MATCH(K423,Интервалы!$G$2:$G$513,0)))</f>
        <v/>
      </c>
      <c r="D423" s="17">
        <f>IF(K423="","",INDEX(Интервалы!$D$2:$D$513,MATCH(K423,Интервалы!$G$2:$G$513,0)))</f>
        <v/>
      </c>
      <c r="E423" s="5">
        <f>IF(K423="","",D423-C423+1)</f>
        <v/>
      </c>
      <c r="F423" s="9">
        <f>IF(K423="","",INDEX(Интервалы!$E$2:$E$513,MATCH(K423,Интервалы!$G$2:$G$513,0)))</f>
        <v/>
      </c>
      <c r="G423" s="5">
        <f>IF(K423="","",IF(H423=1,INDEX('По дням'!$B$2:$B$4000,MATCH(C423,'По дням'!$A$2:$A$4000,0)),"по периодам ставки"))</f>
        <v/>
      </c>
      <c r="H423" s="5">
        <f>IF(K423="","",INDEX(Интервалы!$I$2:$I$513,MATCH(K423,Интервалы!$G$2:$G$513,0)))</f>
        <v/>
      </c>
      <c r="I423" s="9">
        <f>IF(K423="","",INDEX(Интервалы!$F$2:$F$513,MATCH(K423,Интервалы!$G$2:$G$513,0)))</f>
        <v/>
      </c>
      <c r="J423" s="9">
        <f>IF(K423="","",INDEX(Интервалы!$H$2:$H$513,MATCH(K423,Интервалы!$G$2:$G$513,0)))</f>
        <v/>
      </c>
      <c r="K423">
        <f>IFERROR(SMALL(Интервалы!$G$2:$G$513,417),"")</f>
        <v/>
      </c>
      <c r="L423">
        <f>IF(K423="","",INDEX(Интервалы!$B$2:$B$513,MATCH(K423,Интервалы!$G$2:$G$513,0)))</f>
        <v/>
      </c>
    </row>
    <row r="424">
      <c r="A424" s="5">
        <f>IF(K424="","",418)</f>
        <v/>
      </c>
      <c r="B424" s="5">
        <f>IF(K424="","",INDEX(Интервалы!$A$2:$A$513,MATCH(K424,Интервалы!$G$2:$G$513,0)))</f>
        <v/>
      </c>
      <c r="C424" s="17">
        <f>IF(K424="","",INDEX(Интервалы!$C$2:$C$513,MATCH(K424,Интервалы!$G$2:$G$513,0)))</f>
        <v/>
      </c>
      <c r="D424" s="17">
        <f>IF(K424="","",INDEX(Интервалы!$D$2:$D$513,MATCH(K424,Интервалы!$G$2:$G$513,0)))</f>
        <v/>
      </c>
      <c r="E424" s="5">
        <f>IF(K424="","",D424-C424+1)</f>
        <v/>
      </c>
      <c r="F424" s="9">
        <f>IF(K424="","",INDEX(Интервалы!$E$2:$E$513,MATCH(K424,Интервалы!$G$2:$G$513,0)))</f>
        <v/>
      </c>
      <c r="G424" s="5">
        <f>IF(K424="","",IF(H424=1,INDEX('По дням'!$B$2:$B$4000,MATCH(C424,'По дням'!$A$2:$A$4000,0)),"по периодам ставки"))</f>
        <v/>
      </c>
      <c r="H424" s="5">
        <f>IF(K424="","",INDEX(Интервалы!$I$2:$I$513,MATCH(K424,Интервалы!$G$2:$G$513,0)))</f>
        <v/>
      </c>
      <c r="I424" s="9">
        <f>IF(K424="","",INDEX(Интервалы!$F$2:$F$513,MATCH(K424,Интервалы!$G$2:$G$513,0)))</f>
        <v/>
      </c>
      <c r="J424" s="9">
        <f>IF(K424="","",INDEX(Интервалы!$H$2:$H$513,MATCH(K424,Интервалы!$G$2:$G$513,0)))</f>
        <v/>
      </c>
      <c r="K424">
        <f>IFERROR(SMALL(Интервалы!$G$2:$G$513,418),"")</f>
        <v/>
      </c>
      <c r="L424">
        <f>IF(K424="","",INDEX(Интервалы!$B$2:$B$513,MATCH(K424,Интервалы!$G$2:$G$513,0)))</f>
        <v/>
      </c>
    </row>
    <row r="425">
      <c r="A425" s="5">
        <f>IF(K425="","",419)</f>
        <v/>
      </c>
      <c r="B425" s="5">
        <f>IF(K425="","",INDEX(Интервалы!$A$2:$A$513,MATCH(K425,Интервалы!$G$2:$G$513,0)))</f>
        <v/>
      </c>
      <c r="C425" s="17">
        <f>IF(K425="","",INDEX(Интервалы!$C$2:$C$513,MATCH(K425,Интервалы!$G$2:$G$513,0)))</f>
        <v/>
      </c>
      <c r="D425" s="17">
        <f>IF(K425="","",INDEX(Интервалы!$D$2:$D$513,MATCH(K425,Интервалы!$G$2:$G$513,0)))</f>
        <v/>
      </c>
      <c r="E425" s="5">
        <f>IF(K425="","",D425-C425+1)</f>
        <v/>
      </c>
      <c r="F425" s="9">
        <f>IF(K425="","",INDEX(Интервалы!$E$2:$E$513,MATCH(K425,Интервалы!$G$2:$G$513,0)))</f>
        <v/>
      </c>
      <c r="G425" s="5">
        <f>IF(K425="","",IF(H425=1,INDEX('По дням'!$B$2:$B$4000,MATCH(C425,'По дням'!$A$2:$A$4000,0)),"по периодам ставки"))</f>
        <v/>
      </c>
      <c r="H425" s="5">
        <f>IF(K425="","",INDEX(Интервалы!$I$2:$I$513,MATCH(K425,Интервалы!$G$2:$G$513,0)))</f>
        <v/>
      </c>
      <c r="I425" s="9">
        <f>IF(K425="","",INDEX(Интервалы!$F$2:$F$513,MATCH(K425,Интервалы!$G$2:$G$513,0)))</f>
        <v/>
      </c>
      <c r="J425" s="9">
        <f>IF(K425="","",INDEX(Интервалы!$H$2:$H$513,MATCH(K425,Интервалы!$G$2:$G$513,0)))</f>
        <v/>
      </c>
      <c r="K425">
        <f>IFERROR(SMALL(Интервалы!$G$2:$G$513,419),"")</f>
        <v/>
      </c>
      <c r="L425">
        <f>IF(K425="","",INDEX(Интервалы!$B$2:$B$513,MATCH(K425,Интервалы!$G$2:$G$513,0)))</f>
        <v/>
      </c>
    </row>
    <row r="426">
      <c r="A426" s="5">
        <f>IF(K426="","",420)</f>
        <v/>
      </c>
      <c r="B426" s="5">
        <f>IF(K426="","",INDEX(Интервалы!$A$2:$A$513,MATCH(K426,Интервалы!$G$2:$G$513,0)))</f>
        <v/>
      </c>
      <c r="C426" s="17">
        <f>IF(K426="","",INDEX(Интервалы!$C$2:$C$513,MATCH(K426,Интервалы!$G$2:$G$513,0)))</f>
        <v/>
      </c>
      <c r="D426" s="17">
        <f>IF(K426="","",INDEX(Интервалы!$D$2:$D$513,MATCH(K426,Интервалы!$G$2:$G$513,0)))</f>
        <v/>
      </c>
      <c r="E426" s="5">
        <f>IF(K426="","",D426-C426+1)</f>
        <v/>
      </c>
      <c r="F426" s="9">
        <f>IF(K426="","",INDEX(Интервалы!$E$2:$E$513,MATCH(K426,Интервалы!$G$2:$G$513,0)))</f>
        <v/>
      </c>
      <c r="G426" s="5">
        <f>IF(K426="","",IF(H426=1,INDEX('По дням'!$B$2:$B$4000,MATCH(C426,'По дням'!$A$2:$A$4000,0)),"по периодам ставки"))</f>
        <v/>
      </c>
      <c r="H426" s="5">
        <f>IF(K426="","",INDEX(Интервалы!$I$2:$I$513,MATCH(K426,Интервалы!$G$2:$G$513,0)))</f>
        <v/>
      </c>
      <c r="I426" s="9">
        <f>IF(K426="","",INDEX(Интервалы!$F$2:$F$513,MATCH(K426,Интервалы!$G$2:$G$513,0)))</f>
        <v/>
      </c>
      <c r="J426" s="9">
        <f>IF(K426="","",INDEX(Интервалы!$H$2:$H$513,MATCH(K426,Интервалы!$G$2:$G$513,0)))</f>
        <v/>
      </c>
      <c r="K426">
        <f>IFERROR(SMALL(Интервалы!$G$2:$G$513,420),"")</f>
        <v/>
      </c>
      <c r="L426">
        <f>IF(K426="","",INDEX(Интервалы!$B$2:$B$513,MATCH(K426,Интервалы!$G$2:$G$513,0)))</f>
        <v/>
      </c>
    </row>
    <row r="427">
      <c r="A427" s="5">
        <f>IF(K427="","",421)</f>
        <v/>
      </c>
      <c r="B427" s="5">
        <f>IF(K427="","",INDEX(Интервалы!$A$2:$A$513,MATCH(K427,Интервалы!$G$2:$G$513,0)))</f>
        <v/>
      </c>
      <c r="C427" s="17">
        <f>IF(K427="","",INDEX(Интервалы!$C$2:$C$513,MATCH(K427,Интервалы!$G$2:$G$513,0)))</f>
        <v/>
      </c>
      <c r="D427" s="17">
        <f>IF(K427="","",INDEX(Интервалы!$D$2:$D$513,MATCH(K427,Интервалы!$G$2:$G$513,0)))</f>
        <v/>
      </c>
      <c r="E427" s="5">
        <f>IF(K427="","",D427-C427+1)</f>
        <v/>
      </c>
      <c r="F427" s="9">
        <f>IF(K427="","",INDEX(Интервалы!$E$2:$E$513,MATCH(K427,Интервалы!$G$2:$G$513,0)))</f>
        <v/>
      </c>
      <c r="G427" s="5">
        <f>IF(K427="","",IF(H427=1,INDEX('По дням'!$B$2:$B$4000,MATCH(C427,'По дням'!$A$2:$A$4000,0)),"по периодам ставки"))</f>
        <v/>
      </c>
      <c r="H427" s="5">
        <f>IF(K427="","",INDEX(Интервалы!$I$2:$I$513,MATCH(K427,Интервалы!$G$2:$G$513,0)))</f>
        <v/>
      </c>
      <c r="I427" s="9">
        <f>IF(K427="","",INDEX(Интервалы!$F$2:$F$513,MATCH(K427,Интервалы!$G$2:$G$513,0)))</f>
        <v/>
      </c>
      <c r="J427" s="9">
        <f>IF(K427="","",INDEX(Интервалы!$H$2:$H$513,MATCH(K427,Интервалы!$G$2:$G$513,0)))</f>
        <v/>
      </c>
      <c r="K427">
        <f>IFERROR(SMALL(Интервалы!$G$2:$G$513,421),"")</f>
        <v/>
      </c>
      <c r="L427">
        <f>IF(K427="","",INDEX(Интервалы!$B$2:$B$513,MATCH(K427,Интервалы!$G$2:$G$513,0)))</f>
        <v/>
      </c>
    </row>
    <row r="428">
      <c r="A428" s="5">
        <f>IF(K428="","",422)</f>
        <v/>
      </c>
      <c r="B428" s="5">
        <f>IF(K428="","",INDEX(Интервалы!$A$2:$A$513,MATCH(K428,Интервалы!$G$2:$G$513,0)))</f>
        <v/>
      </c>
      <c r="C428" s="17">
        <f>IF(K428="","",INDEX(Интервалы!$C$2:$C$513,MATCH(K428,Интервалы!$G$2:$G$513,0)))</f>
        <v/>
      </c>
      <c r="D428" s="17">
        <f>IF(K428="","",INDEX(Интервалы!$D$2:$D$513,MATCH(K428,Интервалы!$G$2:$G$513,0)))</f>
        <v/>
      </c>
      <c r="E428" s="5">
        <f>IF(K428="","",D428-C428+1)</f>
        <v/>
      </c>
      <c r="F428" s="9">
        <f>IF(K428="","",INDEX(Интервалы!$E$2:$E$513,MATCH(K428,Интервалы!$G$2:$G$513,0)))</f>
        <v/>
      </c>
      <c r="G428" s="5">
        <f>IF(K428="","",IF(H428=1,INDEX('По дням'!$B$2:$B$4000,MATCH(C428,'По дням'!$A$2:$A$4000,0)),"по периодам ставки"))</f>
        <v/>
      </c>
      <c r="H428" s="5">
        <f>IF(K428="","",INDEX(Интервалы!$I$2:$I$513,MATCH(K428,Интервалы!$G$2:$G$513,0)))</f>
        <v/>
      </c>
      <c r="I428" s="9">
        <f>IF(K428="","",INDEX(Интервалы!$F$2:$F$513,MATCH(K428,Интервалы!$G$2:$G$513,0)))</f>
        <v/>
      </c>
      <c r="J428" s="9">
        <f>IF(K428="","",INDEX(Интервалы!$H$2:$H$513,MATCH(K428,Интервалы!$G$2:$G$513,0)))</f>
        <v/>
      </c>
      <c r="K428">
        <f>IFERROR(SMALL(Интервалы!$G$2:$G$513,422),"")</f>
        <v/>
      </c>
      <c r="L428">
        <f>IF(K428="","",INDEX(Интервалы!$B$2:$B$513,MATCH(K428,Интервалы!$G$2:$G$513,0)))</f>
        <v/>
      </c>
    </row>
    <row r="429">
      <c r="A429" s="5">
        <f>IF(K429="","",423)</f>
        <v/>
      </c>
      <c r="B429" s="5">
        <f>IF(K429="","",INDEX(Интервалы!$A$2:$A$513,MATCH(K429,Интервалы!$G$2:$G$513,0)))</f>
        <v/>
      </c>
      <c r="C429" s="17">
        <f>IF(K429="","",INDEX(Интервалы!$C$2:$C$513,MATCH(K429,Интервалы!$G$2:$G$513,0)))</f>
        <v/>
      </c>
      <c r="D429" s="17">
        <f>IF(K429="","",INDEX(Интервалы!$D$2:$D$513,MATCH(K429,Интервалы!$G$2:$G$513,0)))</f>
        <v/>
      </c>
      <c r="E429" s="5">
        <f>IF(K429="","",D429-C429+1)</f>
        <v/>
      </c>
      <c r="F429" s="9">
        <f>IF(K429="","",INDEX(Интервалы!$E$2:$E$513,MATCH(K429,Интервалы!$G$2:$G$513,0)))</f>
        <v/>
      </c>
      <c r="G429" s="5">
        <f>IF(K429="","",IF(H429=1,INDEX('По дням'!$B$2:$B$4000,MATCH(C429,'По дням'!$A$2:$A$4000,0)),"по периодам ставки"))</f>
        <v/>
      </c>
      <c r="H429" s="5">
        <f>IF(K429="","",INDEX(Интервалы!$I$2:$I$513,MATCH(K429,Интервалы!$G$2:$G$513,0)))</f>
        <v/>
      </c>
      <c r="I429" s="9">
        <f>IF(K429="","",INDEX(Интервалы!$F$2:$F$513,MATCH(K429,Интервалы!$G$2:$G$513,0)))</f>
        <v/>
      </c>
      <c r="J429" s="9">
        <f>IF(K429="","",INDEX(Интервалы!$H$2:$H$513,MATCH(K429,Интервалы!$G$2:$G$513,0)))</f>
        <v/>
      </c>
      <c r="K429">
        <f>IFERROR(SMALL(Интервалы!$G$2:$G$513,423),"")</f>
        <v/>
      </c>
      <c r="L429">
        <f>IF(K429="","",INDEX(Интервалы!$B$2:$B$513,MATCH(K429,Интервалы!$G$2:$G$513,0)))</f>
        <v/>
      </c>
    </row>
    <row r="430">
      <c r="A430" s="5">
        <f>IF(K430="","",424)</f>
        <v/>
      </c>
      <c r="B430" s="5">
        <f>IF(K430="","",INDEX(Интервалы!$A$2:$A$513,MATCH(K430,Интервалы!$G$2:$G$513,0)))</f>
        <v/>
      </c>
      <c r="C430" s="17">
        <f>IF(K430="","",INDEX(Интервалы!$C$2:$C$513,MATCH(K430,Интервалы!$G$2:$G$513,0)))</f>
        <v/>
      </c>
      <c r="D430" s="17">
        <f>IF(K430="","",INDEX(Интервалы!$D$2:$D$513,MATCH(K430,Интервалы!$G$2:$G$513,0)))</f>
        <v/>
      </c>
      <c r="E430" s="5">
        <f>IF(K430="","",D430-C430+1)</f>
        <v/>
      </c>
      <c r="F430" s="9">
        <f>IF(K430="","",INDEX(Интервалы!$E$2:$E$513,MATCH(K430,Интервалы!$G$2:$G$513,0)))</f>
        <v/>
      </c>
      <c r="G430" s="5">
        <f>IF(K430="","",IF(H430=1,INDEX('По дням'!$B$2:$B$4000,MATCH(C430,'По дням'!$A$2:$A$4000,0)),"по периодам ставки"))</f>
        <v/>
      </c>
      <c r="H430" s="5">
        <f>IF(K430="","",INDEX(Интервалы!$I$2:$I$513,MATCH(K430,Интервалы!$G$2:$G$513,0)))</f>
        <v/>
      </c>
      <c r="I430" s="9">
        <f>IF(K430="","",INDEX(Интервалы!$F$2:$F$513,MATCH(K430,Интервалы!$G$2:$G$513,0)))</f>
        <v/>
      </c>
      <c r="J430" s="9">
        <f>IF(K430="","",INDEX(Интервалы!$H$2:$H$513,MATCH(K430,Интервалы!$G$2:$G$513,0)))</f>
        <v/>
      </c>
      <c r="K430">
        <f>IFERROR(SMALL(Интервалы!$G$2:$G$513,424),"")</f>
        <v/>
      </c>
      <c r="L430">
        <f>IF(K430="","",INDEX(Интервалы!$B$2:$B$513,MATCH(K430,Интервалы!$G$2:$G$513,0)))</f>
        <v/>
      </c>
    </row>
    <row r="431">
      <c r="A431" s="5">
        <f>IF(K431="","",425)</f>
        <v/>
      </c>
      <c r="B431" s="5">
        <f>IF(K431="","",INDEX(Интервалы!$A$2:$A$513,MATCH(K431,Интервалы!$G$2:$G$513,0)))</f>
        <v/>
      </c>
      <c r="C431" s="17">
        <f>IF(K431="","",INDEX(Интервалы!$C$2:$C$513,MATCH(K431,Интервалы!$G$2:$G$513,0)))</f>
        <v/>
      </c>
      <c r="D431" s="17">
        <f>IF(K431="","",INDEX(Интервалы!$D$2:$D$513,MATCH(K431,Интервалы!$G$2:$G$513,0)))</f>
        <v/>
      </c>
      <c r="E431" s="5">
        <f>IF(K431="","",D431-C431+1)</f>
        <v/>
      </c>
      <c r="F431" s="9">
        <f>IF(K431="","",INDEX(Интервалы!$E$2:$E$513,MATCH(K431,Интервалы!$G$2:$G$513,0)))</f>
        <v/>
      </c>
      <c r="G431" s="5">
        <f>IF(K431="","",IF(H431=1,INDEX('По дням'!$B$2:$B$4000,MATCH(C431,'По дням'!$A$2:$A$4000,0)),"по периодам ставки"))</f>
        <v/>
      </c>
      <c r="H431" s="5">
        <f>IF(K431="","",INDEX(Интервалы!$I$2:$I$513,MATCH(K431,Интервалы!$G$2:$G$513,0)))</f>
        <v/>
      </c>
      <c r="I431" s="9">
        <f>IF(K431="","",INDEX(Интервалы!$F$2:$F$513,MATCH(K431,Интервалы!$G$2:$G$513,0)))</f>
        <v/>
      </c>
      <c r="J431" s="9">
        <f>IF(K431="","",INDEX(Интервалы!$H$2:$H$513,MATCH(K431,Интервалы!$G$2:$G$513,0)))</f>
        <v/>
      </c>
      <c r="K431">
        <f>IFERROR(SMALL(Интервалы!$G$2:$G$513,425),"")</f>
        <v/>
      </c>
      <c r="L431">
        <f>IF(K431="","",INDEX(Интервалы!$B$2:$B$513,MATCH(K431,Интервалы!$G$2:$G$513,0)))</f>
        <v/>
      </c>
    </row>
    <row r="432">
      <c r="A432" s="5">
        <f>IF(K432="","",426)</f>
        <v/>
      </c>
      <c r="B432" s="5">
        <f>IF(K432="","",INDEX(Интервалы!$A$2:$A$513,MATCH(K432,Интервалы!$G$2:$G$513,0)))</f>
        <v/>
      </c>
      <c r="C432" s="17">
        <f>IF(K432="","",INDEX(Интервалы!$C$2:$C$513,MATCH(K432,Интервалы!$G$2:$G$513,0)))</f>
        <v/>
      </c>
      <c r="D432" s="17">
        <f>IF(K432="","",INDEX(Интервалы!$D$2:$D$513,MATCH(K432,Интервалы!$G$2:$G$513,0)))</f>
        <v/>
      </c>
      <c r="E432" s="5">
        <f>IF(K432="","",D432-C432+1)</f>
        <v/>
      </c>
      <c r="F432" s="9">
        <f>IF(K432="","",INDEX(Интервалы!$E$2:$E$513,MATCH(K432,Интервалы!$G$2:$G$513,0)))</f>
        <v/>
      </c>
      <c r="G432" s="5">
        <f>IF(K432="","",IF(H432=1,INDEX('По дням'!$B$2:$B$4000,MATCH(C432,'По дням'!$A$2:$A$4000,0)),"по периодам ставки"))</f>
        <v/>
      </c>
      <c r="H432" s="5">
        <f>IF(K432="","",INDEX(Интервалы!$I$2:$I$513,MATCH(K432,Интервалы!$G$2:$G$513,0)))</f>
        <v/>
      </c>
      <c r="I432" s="9">
        <f>IF(K432="","",INDEX(Интервалы!$F$2:$F$513,MATCH(K432,Интервалы!$G$2:$G$513,0)))</f>
        <v/>
      </c>
      <c r="J432" s="9">
        <f>IF(K432="","",INDEX(Интервалы!$H$2:$H$513,MATCH(K432,Интервалы!$G$2:$G$513,0)))</f>
        <v/>
      </c>
      <c r="K432">
        <f>IFERROR(SMALL(Интервалы!$G$2:$G$513,426),"")</f>
        <v/>
      </c>
      <c r="L432">
        <f>IF(K432="","",INDEX(Интервалы!$B$2:$B$513,MATCH(K432,Интервалы!$G$2:$G$513,0)))</f>
        <v/>
      </c>
    </row>
    <row r="433">
      <c r="A433" s="5">
        <f>IF(K433="","",427)</f>
        <v/>
      </c>
      <c r="B433" s="5">
        <f>IF(K433="","",INDEX(Интервалы!$A$2:$A$513,MATCH(K433,Интервалы!$G$2:$G$513,0)))</f>
        <v/>
      </c>
      <c r="C433" s="17">
        <f>IF(K433="","",INDEX(Интервалы!$C$2:$C$513,MATCH(K433,Интервалы!$G$2:$G$513,0)))</f>
        <v/>
      </c>
      <c r="D433" s="17">
        <f>IF(K433="","",INDEX(Интервалы!$D$2:$D$513,MATCH(K433,Интервалы!$G$2:$G$513,0)))</f>
        <v/>
      </c>
      <c r="E433" s="5">
        <f>IF(K433="","",D433-C433+1)</f>
        <v/>
      </c>
      <c r="F433" s="9">
        <f>IF(K433="","",INDEX(Интервалы!$E$2:$E$513,MATCH(K433,Интервалы!$G$2:$G$513,0)))</f>
        <v/>
      </c>
      <c r="G433" s="5">
        <f>IF(K433="","",IF(H433=1,INDEX('По дням'!$B$2:$B$4000,MATCH(C433,'По дням'!$A$2:$A$4000,0)),"по периодам ставки"))</f>
        <v/>
      </c>
      <c r="H433" s="5">
        <f>IF(K433="","",INDEX(Интервалы!$I$2:$I$513,MATCH(K433,Интервалы!$G$2:$G$513,0)))</f>
        <v/>
      </c>
      <c r="I433" s="9">
        <f>IF(K433="","",INDEX(Интервалы!$F$2:$F$513,MATCH(K433,Интервалы!$G$2:$G$513,0)))</f>
        <v/>
      </c>
      <c r="J433" s="9">
        <f>IF(K433="","",INDEX(Интервалы!$H$2:$H$513,MATCH(K433,Интервалы!$G$2:$G$513,0)))</f>
        <v/>
      </c>
      <c r="K433">
        <f>IFERROR(SMALL(Интервалы!$G$2:$G$513,427),"")</f>
        <v/>
      </c>
      <c r="L433">
        <f>IF(K433="","",INDEX(Интервалы!$B$2:$B$513,MATCH(K433,Интервалы!$G$2:$G$513,0)))</f>
        <v/>
      </c>
    </row>
    <row r="434">
      <c r="A434" s="5">
        <f>IF(K434="","",428)</f>
        <v/>
      </c>
      <c r="B434" s="5">
        <f>IF(K434="","",INDEX(Интервалы!$A$2:$A$513,MATCH(K434,Интервалы!$G$2:$G$513,0)))</f>
        <v/>
      </c>
      <c r="C434" s="17">
        <f>IF(K434="","",INDEX(Интервалы!$C$2:$C$513,MATCH(K434,Интервалы!$G$2:$G$513,0)))</f>
        <v/>
      </c>
      <c r="D434" s="17">
        <f>IF(K434="","",INDEX(Интервалы!$D$2:$D$513,MATCH(K434,Интервалы!$G$2:$G$513,0)))</f>
        <v/>
      </c>
      <c r="E434" s="5">
        <f>IF(K434="","",D434-C434+1)</f>
        <v/>
      </c>
      <c r="F434" s="9">
        <f>IF(K434="","",INDEX(Интервалы!$E$2:$E$513,MATCH(K434,Интервалы!$G$2:$G$513,0)))</f>
        <v/>
      </c>
      <c r="G434" s="5">
        <f>IF(K434="","",IF(H434=1,INDEX('По дням'!$B$2:$B$4000,MATCH(C434,'По дням'!$A$2:$A$4000,0)),"по периодам ставки"))</f>
        <v/>
      </c>
      <c r="H434" s="5">
        <f>IF(K434="","",INDEX(Интервалы!$I$2:$I$513,MATCH(K434,Интервалы!$G$2:$G$513,0)))</f>
        <v/>
      </c>
      <c r="I434" s="9">
        <f>IF(K434="","",INDEX(Интервалы!$F$2:$F$513,MATCH(K434,Интервалы!$G$2:$G$513,0)))</f>
        <v/>
      </c>
      <c r="J434" s="9">
        <f>IF(K434="","",INDEX(Интервалы!$H$2:$H$513,MATCH(K434,Интервалы!$G$2:$G$513,0)))</f>
        <v/>
      </c>
      <c r="K434">
        <f>IFERROR(SMALL(Интервалы!$G$2:$G$513,428),"")</f>
        <v/>
      </c>
      <c r="L434">
        <f>IF(K434="","",INDEX(Интервалы!$B$2:$B$513,MATCH(K434,Интервалы!$G$2:$G$513,0)))</f>
        <v/>
      </c>
    </row>
    <row r="435">
      <c r="A435" s="5">
        <f>IF(K435="","",429)</f>
        <v/>
      </c>
      <c r="B435" s="5">
        <f>IF(K435="","",INDEX(Интервалы!$A$2:$A$513,MATCH(K435,Интервалы!$G$2:$G$513,0)))</f>
        <v/>
      </c>
      <c r="C435" s="17">
        <f>IF(K435="","",INDEX(Интервалы!$C$2:$C$513,MATCH(K435,Интервалы!$G$2:$G$513,0)))</f>
        <v/>
      </c>
      <c r="D435" s="17">
        <f>IF(K435="","",INDEX(Интервалы!$D$2:$D$513,MATCH(K435,Интервалы!$G$2:$G$513,0)))</f>
        <v/>
      </c>
      <c r="E435" s="5">
        <f>IF(K435="","",D435-C435+1)</f>
        <v/>
      </c>
      <c r="F435" s="9">
        <f>IF(K435="","",INDEX(Интервалы!$E$2:$E$513,MATCH(K435,Интервалы!$G$2:$G$513,0)))</f>
        <v/>
      </c>
      <c r="G435" s="5">
        <f>IF(K435="","",IF(H435=1,INDEX('По дням'!$B$2:$B$4000,MATCH(C435,'По дням'!$A$2:$A$4000,0)),"по периодам ставки"))</f>
        <v/>
      </c>
      <c r="H435" s="5">
        <f>IF(K435="","",INDEX(Интервалы!$I$2:$I$513,MATCH(K435,Интервалы!$G$2:$G$513,0)))</f>
        <v/>
      </c>
      <c r="I435" s="9">
        <f>IF(K435="","",INDEX(Интервалы!$F$2:$F$513,MATCH(K435,Интервалы!$G$2:$G$513,0)))</f>
        <v/>
      </c>
      <c r="J435" s="9">
        <f>IF(K435="","",INDEX(Интервалы!$H$2:$H$513,MATCH(K435,Интервалы!$G$2:$G$513,0)))</f>
        <v/>
      </c>
      <c r="K435">
        <f>IFERROR(SMALL(Интервалы!$G$2:$G$513,429),"")</f>
        <v/>
      </c>
      <c r="L435">
        <f>IF(K435="","",INDEX(Интервалы!$B$2:$B$513,MATCH(K435,Интервалы!$G$2:$G$513,0)))</f>
        <v/>
      </c>
    </row>
    <row r="436">
      <c r="A436" s="5">
        <f>IF(K436="","",430)</f>
        <v/>
      </c>
      <c r="B436" s="5">
        <f>IF(K436="","",INDEX(Интервалы!$A$2:$A$513,MATCH(K436,Интервалы!$G$2:$G$513,0)))</f>
        <v/>
      </c>
      <c r="C436" s="17">
        <f>IF(K436="","",INDEX(Интервалы!$C$2:$C$513,MATCH(K436,Интервалы!$G$2:$G$513,0)))</f>
        <v/>
      </c>
      <c r="D436" s="17">
        <f>IF(K436="","",INDEX(Интервалы!$D$2:$D$513,MATCH(K436,Интервалы!$G$2:$G$513,0)))</f>
        <v/>
      </c>
      <c r="E436" s="5">
        <f>IF(K436="","",D436-C436+1)</f>
        <v/>
      </c>
      <c r="F436" s="9">
        <f>IF(K436="","",INDEX(Интервалы!$E$2:$E$513,MATCH(K436,Интервалы!$G$2:$G$513,0)))</f>
        <v/>
      </c>
      <c r="G436" s="5">
        <f>IF(K436="","",IF(H436=1,INDEX('По дням'!$B$2:$B$4000,MATCH(C436,'По дням'!$A$2:$A$4000,0)),"по периодам ставки"))</f>
        <v/>
      </c>
      <c r="H436" s="5">
        <f>IF(K436="","",INDEX(Интервалы!$I$2:$I$513,MATCH(K436,Интервалы!$G$2:$G$513,0)))</f>
        <v/>
      </c>
      <c r="I436" s="9">
        <f>IF(K436="","",INDEX(Интервалы!$F$2:$F$513,MATCH(K436,Интервалы!$G$2:$G$513,0)))</f>
        <v/>
      </c>
      <c r="J436" s="9">
        <f>IF(K436="","",INDEX(Интервалы!$H$2:$H$513,MATCH(K436,Интервалы!$G$2:$G$513,0)))</f>
        <v/>
      </c>
      <c r="K436">
        <f>IFERROR(SMALL(Интервалы!$G$2:$G$513,430),"")</f>
        <v/>
      </c>
      <c r="L436">
        <f>IF(K436="","",INDEX(Интервалы!$B$2:$B$513,MATCH(K436,Интервалы!$G$2:$G$513,0)))</f>
        <v/>
      </c>
    </row>
    <row r="437">
      <c r="A437" s="5">
        <f>IF(K437="","",431)</f>
        <v/>
      </c>
      <c r="B437" s="5">
        <f>IF(K437="","",INDEX(Интервалы!$A$2:$A$513,MATCH(K437,Интервалы!$G$2:$G$513,0)))</f>
        <v/>
      </c>
      <c r="C437" s="17">
        <f>IF(K437="","",INDEX(Интервалы!$C$2:$C$513,MATCH(K437,Интервалы!$G$2:$G$513,0)))</f>
        <v/>
      </c>
      <c r="D437" s="17">
        <f>IF(K437="","",INDEX(Интервалы!$D$2:$D$513,MATCH(K437,Интервалы!$G$2:$G$513,0)))</f>
        <v/>
      </c>
      <c r="E437" s="5">
        <f>IF(K437="","",D437-C437+1)</f>
        <v/>
      </c>
      <c r="F437" s="9">
        <f>IF(K437="","",INDEX(Интервалы!$E$2:$E$513,MATCH(K437,Интервалы!$G$2:$G$513,0)))</f>
        <v/>
      </c>
      <c r="G437" s="5">
        <f>IF(K437="","",IF(H437=1,INDEX('По дням'!$B$2:$B$4000,MATCH(C437,'По дням'!$A$2:$A$4000,0)),"по периодам ставки"))</f>
        <v/>
      </c>
      <c r="H437" s="5">
        <f>IF(K437="","",INDEX(Интервалы!$I$2:$I$513,MATCH(K437,Интервалы!$G$2:$G$513,0)))</f>
        <v/>
      </c>
      <c r="I437" s="9">
        <f>IF(K437="","",INDEX(Интервалы!$F$2:$F$513,MATCH(K437,Интервалы!$G$2:$G$513,0)))</f>
        <v/>
      </c>
      <c r="J437" s="9">
        <f>IF(K437="","",INDEX(Интервалы!$H$2:$H$513,MATCH(K437,Интервалы!$G$2:$G$513,0)))</f>
        <v/>
      </c>
      <c r="K437">
        <f>IFERROR(SMALL(Интервалы!$G$2:$G$513,431),"")</f>
        <v/>
      </c>
      <c r="L437">
        <f>IF(K437="","",INDEX(Интервалы!$B$2:$B$513,MATCH(K437,Интервалы!$G$2:$G$513,0)))</f>
        <v/>
      </c>
    </row>
    <row r="438">
      <c r="A438" s="5">
        <f>IF(K438="","",432)</f>
        <v/>
      </c>
      <c r="B438" s="5">
        <f>IF(K438="","",INDEX(Интервалы!$A$2:$A$513,MATCH(K438,Интервалы!$G$2:$G$513,0)))</f>
        <v/>
      </c>
      <c r="C438" s="17">
        <f>IF(K438="","",INDEX(Интервалы!$C$2:$C$513,MATCH(K438,Интервалы!$G$2:$G$513,0)))</f>
        <v/>
      </c>
      <c r="D438" s="17">
        <f>IF(K438="","",INDEX(Интервалы!$D$2:$D$513,MATCH(K438,Интервалы!$G$2:$G$513,0)))</f>
        <v/>
      </c>
      <c r="E438" s="5">
        <f>IF(K438="","",D438-C438+1)</f>
        <v/>
      </c>
      <c r="F438" s="9">
        <f>IF(K438="","",INDEX(Интервалы!$E$2:$E$513,MATCH(K438,Интервалы!$G$2:$G$513,0)))</f>
        <v/>
      </c>
      <c r="G438" s="5">
        <f>IF(K438="","",IF(H438=1,INDEX('По дням'!$B$2:$B$4000,MATCH(C438,'По дням'!$A$2:$A$4000,0)),"по периодам ставки"))</f>
        <v/>
      </c>
      <c r="H438" s="5">
        <f>IF(K438="","",INDEX(Интервалы!$I$2:$I$513,MATCH(K438,Интервалы!$G$2:$G$513,0)))</f>
        <v/>
      </c>
      <c r="I438" s="9">
        <f>IF(K438="","",INDEX(Интервалы!$F$2:$F$513,MATCH(K438,Интервалы!$G$2:$G$513,0)))</f>
        <v/>
      </c>
      <c r="J438" s="9">
        <f>IF(K438="","",INDEX(Интервалы!$H$2:$H$513,MATCH(K438,Интервалы!$G$2:$G$513,0)))</f>
        <v/>
      </c>
      <c r="K438">
        <f>IFERROR(SMALL(Интервалы!$G$2:$G$513,432),"")</f>
        <v/>
      </c>
      <c r="L438">
        <f>IF(K438="","",INDEX(Интервалы!$B$2:$B$513,MATCH(K438,Интервалы!$G$2:$G$513,0)))</f>
        <v/>
      </c>
    </row>
    <row r="439">
      <c r="A439" s="5">
        <f>IF(K439="","",433)</f>
        <v/>
      </c>
      <c r="B439" s="5">
        <f>IF(K439="","",INDEX(Интервалы!$A$2:$A$513,MATCH(K439,Интервалы!$G$2:$G$513,0)))</f>
        <v/>
      </c>
      <c r="C439" s="17">
        <f>IF(K439="","",INDEX(Интервалы!$C$2:$C$513,MATCH(K439,Интервалы!$G$2:$G$513,0)))</f>
        <v/>
      </c>
      <c r="D439" s="17">
        <f>IF(K439="","",INDEX(Интервалы!$D$2:$D$513,MATCH(K439,Интервалы!$G$2:$G$513,0)))</f>
        <v/>
      </c>
      <c r="E439" s="5">
        <f>IF(K439="","",D439-C439+1)</f>
        <v/>
      </c>
      <c r="F439" s="9">
        <f>IF(K439="","",INDEX(Интервалы!$E$2:$E$513,MATCH(K439,Интервалы!$G$2:$G$513,0)))</f>
        <v/>
      </c>
      <c r="G439" s="5">
        <f>IF(K439="","",IF(H439=1,INDEX('По дням'!$B$2:$B$4000,MATCH(C439,'По дням'!$A$2:$A$4000,0)),"по периодам ставки"))</f>
        <v/>
      </c>
      <c r="H439" s="5">
        <f>IF(K439="","",INDEX(Интервалы!$I$2:$I$513,MATCH(K439,Интервалы!$G$2:$G$513,0)))</f>
        <v/>
      </c>
      <c r="I439" s="9">
        <f>IF(K439="","",INDEX(Интервалы!$F$2:$F$513,MATCH(K439,Интервалы!$G$2:$G$513,0)))</f>
        <v/>
      </c>
      <c r="J439" s="9">
        <f>IF(K439="","",INDEX(Интервалы!$H$2:$H$513,MATCH(K439,Интервалы!$G$2:$G$513,0)))</f>
        <v/>
      </c>
      <c r="K439">
        <f>IFERROR(SMALL(Интервалы!$G$2:$G$513,433),"")</f>
        <v/>
      </c>
      <c r="L439">
        <f>IF(K439="","",INDEX(Интервалы!$B$2:$B$513,MATCH(K439,Интервалы!$G$2:$G$513,0)))</f>
        <v/>
      </c>
    </row>
    <row r="440">
      <c r="A440" s="5">
        <f>IF(K440="","",434)</f>
        <v/>
      </c>
      <c r="B440" s="5">
        <f>IF(K440="","",INDEX(Интервалы!$A$2:$A$513,MATCH(K440,Интервалы!$G$2:$G$513,0)))</f>
        <v/>
      </c>
      <c r="C440" s="17">
        <f>IF(K440="","",INDEX(Интервалы!$C$2:$C$513,MATCH(K440,Интервалы!$G$2:$G$513,0)))</f>
        <v/>
      </c>
      <c r="D440" s="17">
        <f>IF(K440="","",INDEX(Интервалы!$D$2:$D$513,MATCH(K440,Интервалы!$G$2:$G$513,0)))</f>
        <v/>
      </c>
      <c r="E440" s="5">
        <f>IF(K440="","",D440-C440+1)</f>
        <v/>
      </c>
      <c r="F440" s="9">
        <f>IF(K440="","",INDEX(Интервалы!$E$2:$E$513,MATCH(K440,Интервалы!$G$2:$G$513,0)))</f>
        <v/>
      </c>
      <c r="G440" s="5">
        <f>IF(K440="","",IF(H440=1,INDEX('По дням'!$B$2:$B$4000,MATCH(C440,'По дням'!$A$2:$A$4000,0)),"по периодам ставки"))</f>
        <v/>
      </c>
      <c r="H440" s="5">
        <f>IF(K440="","",INDEX(Интервалы!$I$2:$I$513,MATCH(K440,Интервалы!$G$2:$G$513,0)))</f>
        <v/>
      </c>
      <c r="I440" s="9">
        <f>IF(K440="","",INDEX(Интервалы!$F$2:$F$513,MATCH(K440,Интервалы!$G$2:$G$513,0)))</f>
        <v/>
      </c>
      <c r="J440" s="9">
        <f>IF(K440="","",INDEX(Интервалы!$H$2:$H$513,MATCH(K440,Интервалы!$G$2:$G$513,0)))</f>
        <v/>
      </c>
      <c r="K440">
        <f>IFERROR(SMALL(Интервалы!$G$2:$G$513,434),"")</f>
        <v/>
      </c>
      <c r="L440">
        <f>IF(K440="","",INDEX(Интервалы!$B$2:$B$513,MATCH(K440,Интервалы!$G$2:$G$513,0)))</f>
        <v/>
      </c>
    </row>
    <row r="441">
      <c r="A441" s="5">
        <f>IF(K441="","",435)</f>
        <v/>
      </c>
      <c r="B441" s="5">
        <f>IF(K441="","",INDEX(Интервалы!$A$2:$A$513,MATCH(K441,Интервалы!$G$2:$G$513,0)))</f>
        <v/>
      </c>
      <c r="C441" s="17">
        <f>IF(K441="","",INDEX(Интервалы!$C$2:$C$513,MATCH(K441,Интервалы!$G$2:$G$513,0)))</f>
        <v/>
      </c>
      <c r="D441" s="17">
        <f>IF(K441="","",INDEX(Интервалы!$D$2:$D$513,MATCH(K441,Интервалы!$G$2:$G$513,0)))</f>
        <v/>
      </c>
      <c r="E441" s="5">
        <f>IF(K441="","",D441-C441+1)</f>
        <v/>
      </c>
      <c r="F441" s="9">
        <f>IF(K441="","",INDEX(Интервалы!$E$2:$E$513,MATCH(K441,Интервалы!$G$2:$G$513,0)))</f>
        <v/>
      </c>
      <c r="G441" s="5">
        <f>IF(K441="","",IF(H441=1,INDEX('По дням'!$B$2:$B$4000,MATCH(C441,'По дням'!$A$2:$A$4000,0)),"по периодам ставки"))</f>
        <v/>
      </c>
      <c r="H441" s="5">
        <f>IF(K441="","",INDEX(Интервалы!$I$2:$I$513,MATCH(K441,Интервалы!$G$2:$G$513,0)))</f>
        <v/>
      </c>
      <c r="I441" s="9">
        <f>IF(K441="","",INDEX(Интервалы!$F$2:$F$513,MATCH(K441,Интервалы!$G$2:$G$513,0)))</f>
        <v/>
      </c>
      <c r="J441" s="9">
        <f>IF(K441="","",INDEX(Интервалы!$H$2:$H$513,MATCH(K441,Интервалы!$G$2:$G$513,0)))</f>
        <v/>
      </c>
      <c r="K441">
        <f>IFERROR(SMALL(Интервалы!$G$2:$G$513,435),"")</f>
        <v/>
      </c>
      <c r="L441">
        <f>IF(K441="","",INDEX(Интервалы!$B$2:$B$513,MATCH(K441,Интервалы!$G$2:$G$513,0)))</f>
        <v/>
      </c>
    </row>
    <row r="442">
      <c r="A442" s="5">
        <f>IF(K442="","",436)</f>
        <v/>
      </c>
      <c r="B442" s="5">
        <f>IF(K442="","",INDEX(Интервалы!$A$2:$A$513,MATCH(K442,Интервалы!$G$2:$G$513,0)))</f>
        <v/>
      </c>
      <c r="C442" s="17">
        <f>IF(K442="","",INDEX(Интервалы!$C$2:$C$513,MATCH(K442,Интервалы!$G$2:$G$513,0)))</f>
        <v/>
      </c>
      <c r="D442" s="17">
        <f>IF(K442="","",INDEX(Интервалы!$D$2:$D$513,MATCH(K442,Интервалы!$G$2:$G$513,0)))</f>
        <v/>
      </c>
      <c r="E442" s="5">
        <f>IF(K442="","",D442-C442+1)</f>
        <v/>
      </c>
      <c r="F442" s="9">
        <f>IF(K442="","",INDEX(Интервалы!$E$2:$E$513,MATCH(K442,Интервалы!$G$2:$G$513,0)))</f>
        <v/>
      </c>
      <c r="G442" s="5">
        <f>IF(K442="","",IF(H442=1,INDEX('По дням'!$B$2:$B$4000,MATCH(C442,'По дням'!$A$2:$A$4000,0)),"по периодам ставки"))</f>
        <v/>
      </c>
      <c r="H442" s="5">
        <f>IF(K442="","",INDEX(Интервалы!$I$2:$I$513,MATCH(K442,Интервалы!$G$2:$G$513,0)))</f>
        <v/>
      </c>
      <c r="I442" s="9">
        <f>IF(K442="","",INDEX(Интервалы!$F$2:$F$513,MATCH(K442,Интервалы!$G$2:$G$513,0)))</f>
        <v/>
      </c>
      <c r="J442" s="9">
        <f>IF(K442="","",INDEX(Интервалы!$H$2:$H$513,MATCH(K442,Интервалы!$G$2:$G$513,0)))</f>
        <v/>
      </c>
      <c r="K442">
        <f>IFERROR(SMALL(Интервалы!$G$2:$G$513,436),"")</f>
        <v/>
      </c>
      <c r="L442">
        <f>IF(K442="","",INDEX(Интервалы!$B$2:$B$513,MATCH(K442,Интервалы!$G$2:$G$513,0)))</f>
        <v/>
      </c>
    </row>
    <row r="443">
      <c r="A443" s="5">
        <f>IF(K443="","",437)</f>
        <v/>
      </c>
      <c r="B443" s="5">
        <f>IF(K443="","",INDEX(Интервалы!$A$2:$A$513,MATCH(K443,Интервалы!$G$2:$G$513,0)))</f>
        <v/>
      </c>
      <c r="C443" s="17">
        <f>IF(K443="","",INDEX(Интервалы!$C$2:$C$513,MATCH(K443,Интервалы!$G$2:$G$513,0)))</f>
        <v/>
      </c>
      <c r="D443" s="17">
        <f>IF(K443="","",INDEX(Интервалы!$D$2:$D$513,MATCH(K443,Интервалы!$G$2:$G$513,0)))</f>
        <v/>
      </c>
      <c r="E443" s="5">
        <f>IF(K443="","",D443-C443+1)</f>
        <v/>
      </c>
      <c r="F443" s="9">
        <f>IF(K443="","",INDEX(Интервалы!$E$2:$E$513,MATCH(K443,Интервалы!$G$2:$G$513,0)))</f>
        <v/>
      </c>
      <c r="G443" s="5">
        <f>IF(K443="","",IF(H443=1,INDEX('По дням'!$B$2:$B$4000,MATCH(C443,'По дням'!$A$2:$A$4000,0)),"по периодам ставки"))</f>
        <v/>
      </c>
      <c r="H443" s="5">
        <f>IF(K443="","",INDEX(Интервалы!$I$2:$I$513,MATCH(K443,Интервалы!$G$2:$G$513,0)))</f>
        <v/>
      </c>
      <c r="I443" s="9">
        <f>IF(K443="","",INDEX(Интервалы!$F$2:$F$513,MATCH(K443,Интервалы!$G$2:$G$513,0)))</f>
        <v/>
      </c>
      <c r="J443" s="9">
        <f>IF(K443="","",INDEX(Интервалы!$H$2:$H$513,MATCH(K443,Интервалы!$G$2:$G$513,0)))</f>
        <v/>
      </c>
      <c r="K443">
        <f>IFERROR(SMALL(Интервалы!$G$2:$G$513,437),"")</f>
        <v/>
      </c>
      <c r="L443">
        <f>IF(K443="","",INDEX(Интервалы!$B$2:$B$513,MATCH(K443,Интервалы!$G$2:$G$513,0)))</f>
        <v/>
      </c>
    </row>
    <row r="444">
      <c r="A444" s="5">
        <f>IF(K444="","",438)</f>
        <v/>
      </c>
      <c r="B444" s="5">
        <f>IF(K444="","",INDEX(Интервалы!$A$2:$A$513,MATCH(K444,Интервалы!$G$2:$G$513,0)))</f>
        <v/>
      </c>
      <c r="C444" s="17">
        <f>IF(K444="","",INDEX(Интервалы!$C$2:$C$513,MATCH(K444,Интервалы!$G$2:$G$513,0)))</f>
        <v/>
      </c>
      <c r="D444" s="17">
        <f>IF(K444="","",INDEX(Интервалы!$D$2:$D$513,MATCH(K444,Интервалы!$G$2:$G$513,0)))</f>
        <v/>
      </c>
      <c r="E444" s="5">
        <f>IF(K444="","",D444-C444+1)</f>
        <v/>
      </c>
      <c r="F444" s="9">
        <f>IF(K444="","",INDEX(Интервалы!$E$2:$E$513,MATCH(K444,Интервалы!$G$2:$G$513,0)))</f>
        <v/>
      </c>
      <c r="G444" s="5">
        <f>IF(K444="","",IF(H444=1,INDEX('По дням'!$B$2:$B$4000,MATCH(C444,'По дням'!$A$2:$A$4000,0)),"по периодам ставки"))</f>
        <v/>
      </c>
      <c r="H444" s="5">
        <f>IF(K444="","",INDEX(Интервалы!$I$2:$I$513,MATCH(K444,Интервалы!$G$2:$G$513,0)))</f>
        <v/>
      </c>
      <c r="I444" s="9">
        <f>IF(K444="","",INDEX(Интервалы!$F$2:$F$513,MATCH(K444,Интервалы!$G$2:$G$513,0)))</f>
        <v/>
      </c>
      <c r="J444" s="9">
        <f>IF(K444="","",INDEX(Интервалы!$H$2:$H$513,MATCH(K444,Интервалы!$G$2:$G$513,0)))</f>
        <v/>
      </c>
      <c r="K444">
        <f>IFERROR(SMALL(Интервалы!$G$2:$G$513,438),"")</f>
        <v/>
      </c>
      <c r="L444">
        <f>IF(K444="","",INDEX(Интервалы!$B$2:$B$513,MATCH(K444,Интервалы!$G$2:$G$513,0)))</f>
        <v/>
      </c>
    </row>
    <row r="445">
      <c r="A445" s="5">
        <f>IF(K445="","",439)</f>
        <v/>
      </c>
      <c r="B445" s="5">
        <f>IF(K445="","",INDEX(Интервалы!$A$2:$A$513,MATCH(K445,Интервалы!$G$2:$G$513,0)))</f>
        <v/>
      </c>
      <c r="C445" s="17">
        <f>IF(K445="","",INDEX(Интервалы!$C$2:$C$513,MATCH(K445,Интервалы!$G$2:$G$513,0)))</f>
        <v/>
      </c>
      <c r="D445" s="17">
        <f>IF(K445="","",INDEX(Интервалы!$D$2:$D$513,MATCH(K445,Интервалы!$G$2:$G$513,0)))</f>
        <v/>
      </c>
      <c r="E445" s="5">
        <f>IF(K445="","",D445-C445+1)</f>
        <v/>
      </c>
      <c r="F445" s="9">
        <f>IF(K445="","",INDEX(Интервалы!$E$2:$E$513,MATCH(K445,Интервалы!$G$2:$G$513,0)))</f>
        <v/>
      </c>
      <c r="G445" s="5">
        <f>IF(K445="","",IF(H445=1,INDEX('По дням'!$B$2:$B$4000,MATCH(C445,'По дням'!$A$2:$A$4000,0)),"по периодам ставки"))</f>
        <v/>
      </c>
      <c r="H445" s="5">
        <f>IF(K445="","",INDEX(Интервалы!$I$2:$I$513,MATCH(K445,Интервалы!$G$2:$G$513,0)))</f>
        <v/>
      </c>
      <c r="I445" s="9">
        <f>IF(K445="","",INDEX(Интервалы!$F$2:$F$513,MATCH(K445,Интервалы!$G$2:$G$513,0)))</f>
        <v/>
      </c>
      <c r="J445" s="9">
        <f>IF(K445="","",INDEX(Интервалы!$H$2:$H$513,MATCH(K445,Интервалы!$G$2:$G$513,0)))</f>
        <v/>
      </c>
      <c r="K445">
        <f>IFERROR(SMALL(Интервалы!$G$2:$G$513,439),"")</f>
        <v/>
      </c>
      <c r="L445">
        <f>IF(K445="","",INDEX(Интервалы!$B$2:$B$513,MATCH(K445,Интервалы!$G$2:$G$513,0)))</f>
        <v/>
      </c>
    </row>
    <row r="446">
      <c r="A446" s="5">
        <f>IF(K446="","",440)</f>
        <v/>
      </c>
      <c r="B446" s="5">
        <f>IF(K446="","",INDEX(Интервалы!$A$2:$A$513,MATCH(K446,Интервалы!$G$2:$G$513,0)))</f>
        <v/>
      </c>
      <c r="C446" s="17">
        <f>IF(K446="","",INDEX(Интервалы!$C$2:$C$513,MATCH(K446,Интервалы!$G$2:$G$513,0)))</f>
        <v/>
      </c>
      <c r="D446" s="17">
        <f>IF(K446="","",INDEX(Интервалы!$D$2:$D$513,MATCH(K446,Интервалы!$G$2:$G$513,0)))</f>
        <v/>
      </c>
      <c r="E446" s="5">
        <f>IF(K446="","",D446-C446+1)</f>
        <v/>
      </c>
      <c r="F446" s="9">
        <f>IF(K446="","",INDEX(Интервалы!$E$2:$E$513,MATCH(K446,Интервалы!$G$2:$G$513,0)))</f>
        <v/>
      </c>
      <c r="G446" s="5">
        <f>IF(K446="","",IF(H446=1,INDEX('По дням'!$B$2:$B$4000,MATCH(C446,'По дням'!$A$2:$A$4000,0)),"по периодам ставки"))</f>
        <v/>
      </c>
      <c r="H446" s="5">
        <f>IF(K446="","",INDEX(Интервалы!$I$2:$I$513,MATCH(K446,Интервалы!$G$2:$G$513,0)))</f>
        <v/>
      </c>
      <c r="I446" s="9">
        <f>IF(K446="","",INDEX(Интервалы!$F$2:$F$513,MATCH(K446,Интервалы!$G$2:$G$513,0)))</f>
        <v/>
      </c>
      <c r="J446" s="9">
        <f>IF(K446="","",INDEX(Интервалы!$H$2:$H$513,MATCH(K446,Интервалы!$G$2:$G$513,0)))</f>
        <v/>
      </c>
      <c r="K446">
        <f>IFERROR(SMALL(Интервалы!$G$2:$G$513,440),"")</f>
        <v/>
      </c>
      <c r="L446">
        <f>IF(K446="","",INDEX(Интервалы!$B$2:$B$513,MATCH(K446,Интервалы!$G$2:$G$513,0)))</f>
        <v/>
      </c>
    </row>
    <row r="447">
      <c r="A447" s="5">
        <f>IF(K447="","",441)</f>
        <v/>
      </c>
      <c r="B447" s="5">
        <f>IF(K447="","",INDEX(Интервалы!$A$2:$A$513,MATCH(K447,Интервалы!$G$2:$G$513,0)))</f>
        <v/>
      </c>
      <c r="C447" s="17">
        <f>IF(K447="","",INDEX(Интервалы!$C$2:$C$513,MATCH(K447,Интервалы!$G$2:$G$513,0)))</f>
        <v/>
      </c>
      <c r="D447" s="17">
        <f>IF(K447="","",INDEX(Интервалы!$D$2:$D$513,MATCH(K447,Интервалы!$G$2:$G$513,0)))</f>
        <v/>
      </c>
      <c r="E447" s="5">
        <f>IF(K447="","",D447-C447+1)</f>
        <v/>
      </c>
      <c r="F447" s="9">
        <f>IF(K447="","",INDEX(Интервалы!$E$2:$E$513,MATCH(K447,Интервалы!$G$2:$G$513,0)))</f>
        <v/>
      </c>
      <c r="G447" s="5">
        <f>IF(K447="","",IF(H447=1,INDEX('По дням'!$B$2:$B$4000,MATCH(C447,'По дням'!$A$2:$A$4000,0)),"по периодам ставки"))</f>
        <v/>
      </c>
      <c r="H447" s="5">
        <f>IF(K447="","",INDEX(Интервалы!$I$2:$I$513,MATCH(K447,Интервалы!$G$2:$G$513,0)))</f>
        <v/>
      </c>
      <c r="I447" s="9">
        <f>IF(K447="","",INDEX(Интервалы!$F$2:$F$513,MATCH(K447,Интервалы!$G$2:$G$513,0)))</f>
        <v/>
      </c>
      <c r="J447" s="9">
        <f>IF(K447="","",INDEX(Интервалы!$H$2:$H$513,MATCH(K447,Интервалы!$G$2:$G$513,0)))</f>
        <v/>
      </c>
      <c r="K447">
        <f>IFERROR(SMALL(Интервалы!$G$2:$G$513,441),"")</f>
        <v/>
      </c>
      <c r="L447">
        <f>IF(K447="","",INDEX(Интервалы!$B$2:$B$513,MATCH(K447,Интервалы!$G$2:$G$513,0)))</f>
        <v/>
      </c>
    </row>
    <row r="448">
      <c r="A448" s="5">
        <f>IF(K448="","",442)</f>
        <v/>
      </c>
      <c r="B448" s="5">
        <f>IF(K448="","",INDEX(Интервалы!$A$2:$A$513,MATCH(K448,Интервалы!$G$2:$G$513,0)))</f>
        <v/>
      </c>
      <c r="C448" s="17">
        <f>IF(K448="","",INDEX(Интервалы!$C$2:$C$513,MATCH(K448,Интервалы!$G$2:$G$513,0)))</f>
        <v/>
      </c>
      <c r="D448" s="17">
        <f>IF(K448="","",INDEX(Интервалы!$D$2:$D$513,MATCH(K448,Интервалы!$G$2:$G$513,0)))</f>
        <v/>
      </c>
      <c r="E448" s="5">
        <f>IF(K448="","",D448-C448+1)</f>
        <v/>
      </c>
      <c r="F448" s="9">
        <f>IF(K448="","",INDEX(Интервалы!$E$2:$E$513,MATCH(K448,Интервалы!$G$2:$G$513,0)))</f>
        <v/>
      </c>
      <c r="G448" s="5">
        <f>IF(K448="","",IF(H448=1,INDEX('По дням'!$B$2:$B$4000,MATCH(C448,'По дням'!$A$2:$A$4000,0)),"по периодам ставки"))</f>
        <v/>
      </c>
      <c r="H448" s="5">
        <f>IF(K448="","",INDEX(Интервалы!$I$2:$I$513,MATCH(K448,Интервалы!$G$2:$G$513,0)))</f>
        <v/>
      </c>
      <c r="I448" s="9">
        <f>IF(K448="","",INDEX(Интервалы!$F$2:$F$513,MATCH(K448,Интервалы!$G$2:$G$513,0)))</f>
        <v/>
      </c>
      <c r="J448" s="9">
        <f>IF(K448="","",INDEX(Интервалы!$H$2:$H$513,MATCH(K448,Интервалы!$G$2:$G$513,0)))</f>
        <v/>
      </c>
      <c r="K448">
        <f>IFERROR(SMALL(Интервалы!$G$2:$G$513,442),"")</f>
        <v/>
      </c>
      <c r="L448">
        <f>IF(K448="","",INDEX(Интервалы!$B$2:$B$513,MATCH(K448,Интервалы!$G$2:$G$513,0)))</f>
        <v/>
      </c>
    </row>
    <row r="449">
      <c r="A449" s="5">
        <f>IF(K449="","",443)</f>
        <v/>
      </c>
      <c r="B449" s="5">
        <f>IF(K449="","",INDEX(Интервалы!$A$2:$A$513,MATCH(K449,Интервалы!$G$2:$G$513,0)))</f>
        <v/>
      </c>
      <c r="C449" s="17">
        <f>IF(K449="","",INDEX(Интервалы!$C$2:$C$513,MATCH(K449,Интервалы!$G$2:$G$513,0)))</f>
        <v/>
      </c>
      <c r="D449" s="17">
        <f>IF(K449="","",INDEX(Интервалы!$D$2:$D$513,MATCH(K449,Интервалы!$G$2:$G$513,0)))</f>
        <v/>
      </c>
      <c r="E449" s="5">
        <f>IF(K449="","",D449-C449+1)</f>
        <v/>
      </c>
      <c r="F449" s="9">
        <f>IF(K449="","",INDEX(Интервалы!$E$2:$E$513,MATCH(K449,Интервалы!$G$2:$G$513,0)))</f>
        <v/>
      </c>
      <c r="G449" s="5">
        <f>IF(K449="","",IF(H449=1,INDEX('По дням'!$B$2:$B$4000,MATCH(C449,'По дням'!$A$2:$A$4000,0)),"по периодам ставки"))</f>
        <v/>
      </c>
      <c r="H449" s="5">
        <f>IF(K449="","",INDEX(Интервалы!$I$2:$I$513,MATCH(K449,Интервалы!$G$2:$G$513,0)))</f>
        <v/>
      </c>
      <c r="I449" s="9">
        <f>IF(K449="","",INDEX(Интервалы!$F$2:$F$513,MATCH(K449,Интервалы!$G$2:$G$513,0)))</f>
        <v/>
      </c>
      <c r="J449" s="9">
        <f>IF(K449="","",INDEX(Интервалы!$H$2:$H$513,MATCH(K449,Интервалы!$G$2:$G$513,0)))</f>
        <v/>
      </c>
      <c r="K449">
        <f>IFERROR(SMALL(Интервалы!$G$2:$G$513,443),"")</f>
        <v/>
      </c>
      <c r="L449">
        <f>IF(K449="","",INDEX(Интервалы!$B$2:$B$513,MATCH(K449,Интервалы!$G$2:$G$513,0)))</f>
        <v/>
      </c>
    </row>
    <row r="450">
      <c r="A450" s="5">
        <f>IF(K450="","",444)</f>
        <v/>
      </c>
      <c r="B450" s="5">
        <f>IF(K450="","",INDEX(Интервалы!$A$2:$A$513,MATCH(K450,Интервалы!$G$2:$G$513,0)))</f>
        <v/>
      </c>
      <c r="C450" s="17">
        <f>IF(K450="","",INDEX(Интервалы!$C$2:$C$513,MATCH(K450,Интервалы!$G$2:$G$513,0)))</f>
        <v/>
      </c>
      <c r="D450" s="17">
        <f>IF(K450="","",INDEX(Интервалы!$D$2:$D$513,MATCH(K450,Интервалы!$G$2:$G$513,0)))</f>
        <v/>
      </c>
      <c r="E450" s="5">
        <f>IF(K450="","",D450-C450+1)</f>
        <v/>
      </c>
      <c r="F450" s="9">
        <f>IF(K450="","",INDEX(Интервалы!$E$2:$E$513,MATCH(K450,Интервалы!$G$2:$G$513,0)))</f>
        <v/>
      </c>
      <c r="G450" s="5">
        <f>IF(K450="","",IF(H450=1,INDEX('По дням'!$B$2:$B$4000,MATCH(C450,'По дням'!$A$2:$A$4000,0)),"по периодам ставки"))</f>
        <v/>
      </c>
      <c r="H450" s="5">
        <f>IF(K450="","",INDEX(Интервалы!$I$2:$I$513,MATCH(K450,Интервалы!$G$2:$G$513,0)))</f>
        <v/>
      </c>
      <c r="I450" s="9">
        <f>IF(K450="","",INDEX(Интервалы!$F$2:$F$513,MATCH(K450,Интервалы!$G$2:$G$513,0)))</f>
        <v/>
      </c>
      <c r="J450" s="9">
        <f>IF(K450="","",INDEX(Интервалы!$H$2:$H$513,MATCH(K450,Интервалы!$G$2:$G$513,0)))</f>
        <v/>
      </c>
      <c r="K450">
        <f>IFERROR(SMALL(Интервалы!$G$2:$G$513,444),"")</f>
        <v/>
      </c>
      <c r="L450">
        <f>IF(K450="","",INDEX(Интервалы!$B$2:$B$513,MATCH(K450,Интервалы!$G$2:$G$513,0)))</f>
        <v/>
      </c>
    </row>
    <row r="451">
      <c r="A451" s="5">
        <f>IF(K451="","",445)</f>
        <v/>
      </c>
      <c r="B451" s="5">
        <f>IF(K451="","",INDEX(Интервалы!$A$2:$A$513,MATCH(K451,Интервалы!$G$2:$G$513,0)))</f>
        <v/>
      </c>
      <c r="C451" s="17">
        <f>IF(K451="","",INDEX(Интервалы!$C$2:$C$513,MATCH(K451,Интервалы!$G$2:$G$513,0)))</f>
        <v/>
      </c>
      <c r="D451" s="17">
        <f>IF(K451="","",INDEX(Интервалы!$D$2:$D$513,MATCH(K451,Интервалы!$G$2:$G$513,0)))</f>
        <v/>
      </c>
      <c r="E451" s="5">
        <f>IF(K451="","",D451-C451+1)</f>
        <v/>
      </c>
      <c r="F451" s="9">
        <f>IF(K451="","",INDEX(Интервалы!$E$2:$E$513,MATCH(K451,Интервалы!$G$2:$G$513,0)))</f>
        <v/>
      </c>
      <c r="G451" s="5">
        <f>IF(K451="","",IF(H451=1,INDEX('По дням'!$B$2:$B$4000,MATCH(C451,'По дням'!$A$2:$A$4000,0)),"по периодам ставки"))</f>
        <v/>
      </c>
      <c r="H451" s="5">
        <f>IF(K451="","",INDEX(Интервалы!$I$2:$I$513,MATCH(K451,Интервалы!$G$2:$G$513,0)))</f>
        <v/>
      </c>
      <c r="I451" s="9">
        <f>IF(K451="","",INDEX(Интервалы!$F$2:$F$513,MATCH(K451,Интервалы!$G$2:$G$513,0)))</f>
        <v/>
      </c>
      <c r="J451" s="9">
        <f>IF(K451="","",INDEX(Интервалы!$H$2:$H$513,MATCH(K451,Интервалы!$G$2:$G$513,0)))</f>
        <v/>
      </c>
      <c r="K451">
        <f>IFERROR(SMALL(Интервалы!$G$2:$G$513,445),"")</f>
        <v/>
      </c>
      <c r="L451">
        <f>IF(K451="","",INDEX(Интервалы!$B$2:$B$513,MATCH(K451,Интервалы!$G$2:$G$513,0)))</f>
        <v/>
      </c>
    </row>
    <row r="452">
      <c r="A452" s="5">
        <f>IF(K452="","",446)</f>
        <v/>
      </c>
      <c r="B452" s="5">
        <f>IF(K452="","",INDEX(Интервалы!$A$2:$A$513,MATCH(K452,Интервалы!$G$2:$G$513,0)))</f>
        <v/>
      </c>
      <c r="C452" s="17">
        <f>IF(K452="","",INDEX(Интервалы!$C$2:$C$513,MATCH(K452,Интервалы!$G$2:$G$513,0)))</f>
        <v/>
      </c>
      <c r="D452" s="17">
        <f>IF(K452="","",INDEX(Интервалы!$D$2:$D$513,MATCH(K452,Интервалы!$G$2:$G$513,0)))</f>
        <v/>
      </c>
      <c r="E452" s="5">
        <f>IF(K452="","",D452-C452+1)</f>
        <v/>
      </c>
      <c r="F452" s="9">
        <f>IF(K452="","",INDEX(Интервалы!$E$2:$E$513,MATCH(K452,Интервалы!$G$2:$G$513,0)))</f>
        <v/>
      </c>
      <c r="G452" s="5">
        <f>IF(K452="","",IF(H452=1,INDEX('По дням'!$B$2:$B$4000,MATCH(C452,'По дням'!$A$2:$A$4000,0)),"по периодам ставки"))</f>
        <v/>
      </c>
      <c r="H452" s="5">
        <f>IF(K452="","",INDEX(Интервалы!$I$2:$I$513,MATCH(K452,Интервалы!$G$2:$G$513,0)))</f>
        <v/>
      </c>
      <c r="I452" s="9">
        <f>IF(K452="","",INDEX(Интервалы!$F$2:$F$513,MATCH(K452,Интервалы!$G$2:$G$513,0)))</f>
        <v/>
      </c>
      <c r="J452" s="9">
        <f>IF(K452="","",INDEX(Интервалы!$H$2:$H$513,MATCH(K452,Интервалы!$G$2:$G$513,0)))</f>
        <v/>
      </c>
      <c r="K452">
        <f>IFERROR(SMALL(Интервалы!$G$2:$G$513,446),"")</f>
        <v/>
      </c>
      <c r="L452">
        <f>IF(K452="","",INDEX(Интервалы!$B$2:$B$513,MATCH(K452,Интервалы!$G$2:$G$513,0)))</f>
        <v/>
      </c>
    </row>
    <row r="453">
      <c r="A453" s="5">
        <f>IF(K453="","",447)</f>
        <v/>
      </c>
      <c r="B453" s="5">
        <f>IF(K453="","",INDEX(Интервалы!$A$2:$A$513,MATCH(K453,Интервалы!$G$2:$G$513,0)))</f>
        <v/>
      </c>
      <c r="C453" s="17">
        <f>IF(K453="","",INDEX(Интервалы!$C$2:$C$513,MATCH(K453,Интервалы!$G$2:$G$513,0)))</f>
        <v/>
      </c>
      <c r="D453" s="17">
        <f>IF(K453="","",INDEX(Интервалы!$D$2:$D$513,MATCH(K453,Интервалы!$G$2:$G$513,0)))</f>
        <v/>
      </c>
      <c r="E453" s="5">
        <f>IF(K453="","",D453-C453+1)</f>
        <v/>
      </c>
      <c r="F453" s="9">
        <f>IF(K453="","",INDEX(Интервалы!$E$2:$E$513,MATCH(K453,Интервалы!$G$2:$G$513,0)))</f>
        <v/>
      </c>
      <c r="G453" s="5">
        <f>IF(K453="","",IF(H453=1,INDEX('По дням'!$B$2:$B$4000,MATCH(C453,'По дням'!$A$2:$A$4000,0)),"по периодам ставки"))</f>
        <v/>
      </c>
      <c r="H453" s="5">
        <f>IF(K453="","",INDEX(Интервалы!$I$2:$I$513,MATCH(K453,Интервалы!$G$2:$G$513,0)))</f>
        <v/>
      </c>
      <c r="I453" s="9">
        <f>IF(K453="","",INDEX(Интервалы!$F$2:$F$513,MATCH(K453,Интервалы!$G$2:$G$513,0)))</f>
        <v/>
      </c>
      <c r="J453" s="9">
        <f>IF(K453="","",INDEX(Интервалы!$H$2:$H$513,MATCH(K453,Интервалы!$G$2:$G$513,0)))</f>
        <v/>
      </c>
      <c r="K453">
        <f>IFERROR(SMALL(Интервалы!$G$2:$G$513,447),"")</f>
        <v/>
      </c>
      <c r="L453">
        <f>IF(K453="","",INDEX(Интервалы!$B$2:$B$513,MATCH(K453,Интервалы!$G$2:$G$513,0)))</f>
        <v/>
      </c>
    </row>
    <row r="454">
      <c r="A454" s="5">
        <f>IF(K454="","",448)</f>
        <v/>
      </c>
      <c r="B454" s="5">
        <f>IF(K454="","",INDEX(Интервалы!$A$2:$A$513,MATCH(K454,Интервалы!$G$2:$G$513,0)))</f>
        <v/>
      </c>
      <c r="C454" s="17">
        <f>IF(K454="","",INDEX(Интервалы!$C$2:$C$513,MATCH(K454,Интервалы!$G$2:$G$513,0)))</f>
        <v/>
      </c>
      <c r="D454" s="17">
        <f>IF(K454="","",INDEX(Интервалы!$D$2:$D$513,MATCH(K454,Интервалы!$G$2:$G$513,0)))</f>
        <v/>
      </c>
      <c r="E454" s="5">
        <f>IF(K454="","",D454-C454+1)</f>
        <v/>
      </c>
      <c r="F454" s="9">
        <f>IF(K454="","",INDEX(Интервалы!$E$2:$E$513,MATCH(K454,Интервалы!$G$2:$G$513,0)))</f>
        <v/>
      </c>
      <c r="G454" s="5">
        <f>IF(K454="","",IF(H454=1,INDEX('По дням'!$B$2:$B$4000,MATCH(C454,'По дням'!$A$2:$A$4000,0)),"по периодам ставки"))</f>
        <v/>
      </c>
      <c r="H454" s="5">
        <f>IF(K454="","",INDEX(Интервалы!$I$2:$I$513,MATCH(K454,Интервалы!$G$2:$G$513,0)))</f>
        <v/>
      </c>
      <c r="I454" s="9">
        <f>IF(K454="","",INDEX(Интервалы!$F$2:$F$513,MATCH(K454,Интервалы!$G$2:$G$513,0)))</f>
        <v/>
      </c>
      <c r="J454" s="9">
        <f>IF(K454="","",INDEX(Интервалы!$H$2:$H$513,MATCH(K454,Интервалы!$G$2:$G$513,0)))</f>
        <v/>
      </c>
      <c r="K454">
        <f>IFERROR(SMALL(Интервалы!$G$2:$G$513,448),"")</f>
        <v/>
      </c>
      <c r="L454">
        <f>IF(K454="","",INDEX(Интервалы!$B$2:$B$513,MATCH(K454,Интервалы!$G$2:$G$513,0)))</f>
        <v/>
      </c>
    </row>
    <row r="455">
      <c r="A455" s="5">
        <f>IF(K455="","",449)</f>
        <v/>
      </c>
      <c r="B455" s="5">
        <f>IF(K455="","",INDEX(Интервалы!$A$2:$A$513,MATCH(K455,Интервалы!$G$2:$G$513,0)))</f>
        <v/>
      </c>
      <c r="C455" s="17">
        <f>IF(K455="","",INDEX(Интервалы!$C$2:$C$513,MATCH(K455,Интервалы!$G$2:$G$513,0)))</f>
        <v/>
      </c>
      <c r="D455" s="17">
        <f>IF(K455="","",INDEX(Интервалы!$D$2:$D$513,MATCH(K455,Интервалы!$G$2:$G$513,0)))</f>
        <v/>
      </c>
      <c r="E455" s="5">
        <f>IF(K455="","",D455-C455+1)</f>
        <v/>
      </c>
      <c r="F455" s="9">
        <f>IF(K455="","",INDEX(Интервалы!$E$2:$E$513,MATCH(K455,Интервалы!$G$2:$G$513,0)))</f>
        <v/>
      </c>
      <c r="G455" s="5">
        <f>IF(K455="","",IF(H455=1,INDEX('По дням'!$B$2:$B$4000,MATCH(C455,'По дням'!$A$2:$A$4000,0)),"по периодам ставки"))</f>
        <v/>
      </c>
      <c r="H455" s="5">
        <f>IF(K455="","",INDEX(Интервалы!$I$2:$I$513,MATCH(K455,Интервалы!$G$2:$G$513,0)))</f>
        <v/>
      </c>
      <c r="I455" s="9">
        <f>IF(K455="","",INDEX(Интервалы!$F$2:$F$513,MATCH(K455,Интервалы!$G$2:$G$513,0)))</f>
        <v/>
      </c>
      <c r="J455" s="9">
        <f>IF(K455="","",INDEX(Интервалы!$H$2:$H$513,MATCH(K455,Интервалы!$G$2:$G$513,0)))</f>
        <v/>
      </c>
      <c r="K455">
        <f>IFERROR(SMALL(Интервалы!$G$2:$G$513,449),"")</f>
        <v/>
      </c>
      <c r="L455">
        <f>IF(K455="","",INDEX(Интервалы!$B$2:$B$513,MATCH(K455,Интервалы!$G$2:$G$513,0)))</f>
        <v/>
      </c>
    </row>
    <row r="456">
      <c r="A456" s="5">
        <f>IF(K456="","",450)</f>
        <v/>
      </c>
      <c r="B456" s="5">
        <f>IF(K456="","",INDEX(Интервалы!$A$2:$A$513,MATCH(K456,Интервалы!$G$2:$G$513,0)))</f>
        <v/>
      </c>
      <c r="C456" s="17">
        <f>IF(K456="","",INDEX(Интервалы!$C$2:$C$513,MATCH(K456,Интервалы!$G$2:$G$513,0)))</f>
        <v/>
      </c>
      <c r="D456" s="17">
        <f>IF(K456="","",INDEX(Интервалы!$D$2:$D$513,MATCH(K456,Интервалы!$G$2:$G$513,0)))</f>
        <v/>
      </c>
      <c r="E456" s="5">
        <f>IF(K456="","",D456-C456+1)</f>
        <v/>
      </c>
      <c r="F456" s="9">
        <f>IF(K456="","",INDEX(Интервалы!$E$2:$E$513,MATCH(K456,Интервалы!$G$2:$G$513,0)))</f>
        <v/>
      </c>
      <c r="G456" s="5">
        <f>IF(K456="","",IF(H456=1,INDEX('По дням'!$B$2:$B$4000,MATCH(C456,'По дням'!$A$2:$A$4000,0)),"по периодам ставки"))</f>
        <v/>
      </c>
      <c r="H456" s="5">
        <f>IF(K456="","",INDEX(Интервалы!$I$2:$I$513,MATCH(K456,Интервалы!$G$2:$G$513,0)))</f>
        <v/>
      </c>
      <c r="I456" s="9">
        <f>IF(K456="","",INDEX(Интервалы!$F$2:$F$513,MATCH(K456,Интервалы!$G$2:$G$513,0)))</f>
        <v/>
      </c>
      <c r="J456" s="9">
        <f>IF(K456="","",INDEX(Интервалы!$H$2:$H$513,MATCH(K456,Интервалы!$G$2:$G$513,0)))</f>
        <v/>
      </c>
      <c r="K456">
        <f>IFERROR(SMALL(Интервалы!$G$2:$G$513,450),"")</f>
        <v/>
      </c>
      <c r="L456">
        <f>IF(K456="","",INDEX(Интервалы!$B$2:$B$513,MATCH(K456,Интервалы!$G$2:$G$513,0)))</f>
        <v/>
      </c>
    </row>
    <row r="457">
      <c r="A457" s="5">
        <f>IF(K457="","",451)</f>
        <v/>
      </c>
      <c r="B457" s="5">
        <f>IF(K457="","",INDEX(Интервалы!$A$2:$A$513,MATCH(K457,Интервалы!$G$2:$G$513,0)))</f>
        <v/>
      </c>
      <c r="C457" s="17">
        <f>IF(K457="","",INDEX(Интервалы!$C$2:$C$513,MATCH(K457,Интервалы!$G$2:$G$513,0)))</f>
        <v/>
      </c>
      <c r="D457" s="17">
        <f>IF(K457="","",INDEX(Интервалы!$D$2:$D$513,MATCH(K457,Интервалы!$G$2:$G$513,0)))</f>
        <v/>
      </c>
      <c r="E457" s="5">
        <f>IF(K457="","",D457-C457+1)</f>
        <v/>
      </c>
      <c r="F457" s="9">
        <f>IF(K457="","",INDEX(Интервалы!$E$2:$E$513,MATCH(K457,Интервалы!$G$2:$G$513,0)))</f>
        <v/>
      </c>
      <c r="G457" s="5">
        <f>IF(K457="","",IF(H457=1,INDEX('По дням'!$B$2:$B$4000,MATCH(C457,'По дням'!$A$2:$A$4000,0)),"по периодам ставки"))</f>
        <v/>
      </c>
      <c r="H457" s="5">
        <f>IF(K457="","",INDEX(Интервалы!$I$2:$I$513,MATCH(K457,Интервалы!$G$2:$G$513,0)))</f>
        <v/>
      </c>
      <c r="I457" s="9">
        <f>IF(K457="","",INDEX(Интервалы!$F$2:$F$513,MATCH(K457,Интервалы!$G$2:$G$513,0)))</f>
        <v/>
      </c>
      <c r="J457" s="9">
        <f>IF(K457="","",INDEX(Интервалы!$H$2:$H$513,MATCH(K457,Интервалы!$G$2:$G$513,0)))</f>
        <v/>
      </c>
      <c r="K457">
        <f>IFERROR(SMALL(Интервалы!$G$2:$G$513,451),"")</f>
        <v/>
      </c>
      <c r="L457">
        <f>IF(K457="","",INDEX(Интервалы!$B$2:$B$513,MATCH(K457,Интервалы!$G$2:$G$513,0)))</f>
        <v/>
      </c>
    </row>
    <row r="458">
      <c r="A458" s="5">
        <f>IF(K458="","",452)</f>
        <v/>
      </c>
      <c r="B458" s="5">
        <f>IF(K458="","",INDEX(Интервалы!$A$2:$A$513,MATCH(K458,Интервалы!$G$2:$G$513,0)))</f>
        <v/>
      </c>
      <c r="C458" s="17">
        <f>IF(K458="","",INDEX(Интервалы!$C$2:$C$513,MATCH(K458,Интервалы!$G$2:$G$513,0)))</f>
        <v/>
      </c>
      <c r="D458" s="17">
        <f>IF(K458="","",INDEX(Интервалы!$D$2:$D$513,MATCH(K458,Интервалы!$G$2:$G$513,0)))</f>
        <v/>
      </c>
      <c r="E458" s="5">
        <f>IF(K458="","",D458-C458+1)</f>
        <v/>
      </c>
      <c r="F458" s="9">
        <f>IF(K458="","",INDEX(Интервалы!$E$2:$E$513,MATCH(K458,Интервалы!$G$2:$G$513,0)))</f>
        <v/>
      </c>
      <c r="G458" s="5">
        <f>IF(K458="","",IF(H458=1,INDEX('По дням'!$B$2:$B$4000,MATCH(C458,'По дням'!$A$2:$A$4000,0)),"по периодам ставки"))</f>
        <v/>
      </c>
      <c r="H458" s="5">
        <f>IF(K458="","",INDEX(Интервалы!$I$2:$I$513,MATCH(K458,Интервалы!$G$2:$G$513,0)))</f>
        <v/>
      </c>
      <c r="I458" s="9">
        <f>IF(K458="","",INDEX(Интервалы!$F$2:$F$513,MATCH(K458,Интервалы!$G$2:$G$513,0)))</f>
        <v/>
      </c>
      <c r="J458" s="9">
        <f>IF(K458="","",INDEX(Интервалы!$H$2:$H$513,MATCH(K458,Интервалы!$G$2:$G$513,0)))</f>
        <v/>
      </c>
      <c r="K458">
        <f>IFERROR(SMALL(Интервалы!$G$2:$G$513,452),"")</f>
        <v/>
      </c>
      <c r="L458">
        <f>IF(K458="","",INDEX(Интервалы!$B$2:$B$513,MATCH(K458,Интервалы!$G$2:$G$513,0)))</f>
        <v/>
      </c>
    </row>
    <row r="459">
      <c r="A459" s="5">
        <f>IF(K459="","",453)</f>
        <v/>
      </c>
      <c r="B459" s="5">
        <f>IF(K459="","",INDEX(Интервалы!$A$2:$A$513,MATCH(K459,Интервалы!$G$2:$G$513,0)))</f>
        <v/>
      </c>
      <c r="C459" s="17">
        <f>IF(K459="","",INDEX(Интервалы!$C$2:$C$513,MATCH(K459,Интервалы!$G$2:$G$513,0)))</f>
        <v/>
      </c>
      <c r="D459" s="17">
        <f>IF(K459="","",INDEX(Интервалы!$D$2:$D$513,MATCH(K459,Интервалы!$G$2:$G$513,0)))</f>
        <v/>
      </c>
      <c r="E459" s="5">
        <f>IF(K459="","",D459-C459+1)</f>
        <v/>
      </c>
      <c r="F459" s="9">
        <f>IF(K459="","",INDEX(Интервалы!$E$2:$E$513,MATCH(K459,Интервалы!$G$2:$G$513,0)))</f>
        <v/>
      </c>
      <c r="G459" s="5">
        <f>IF(K459="","",IF(H459=1,INDEX('По дням'!$B$2:$B$4000,MATCH(C459,'По дням'!$A$2:$A$4000,0)),"по периодам ставки"))</f>
        <v/>
      </c>
      <c r="H459" s="5">
        <f>IF(K459="","",INDEX(Интервалы!$I$2:$I$513,MATCH(K459,Интервалы!$G$2:$G$513,0)))</f>
        <v/>
      </c>
      <c r="I459" s="9">
        <f>IF(K459="","",INDEX(Интервалы!$F$2:$F$513,MATCH(K459,Интервалы!$G$2:$G$513,0)))</f>
        <v/>
      </c>
      <c r="J459" s="9">
        <f>IF(K459="","",INDEX(Интервалы!$H$2:$H$513,MATCH(K459,Интервалы!$G$2:$G$513,0)))</f>
        <v/>
      </c>
      <c r="K459">
        <f>IFERROR(SMALL(Интервалы!$G$2:$G$513,453),"")</f>
        <v/>
      </c>
      <c r="L459">
        <f>IF(K459="","",INDEX(Интервалы!$B$2:$B$513,MATCH(K459,Интервалы!$G$2:$G$513,0)))</f>
        <v/>
      </c>
    </row>
    <row r="460">
      <c r="A460" s="5">
        <f>IF(K460="","",454)</f>
        <v/>
      </c>
      <c r="B460" s="5">
        <f>IF(K460="","",INDEX(Интервалы!$A$2:$A$513,MATCH(K460,Интервалы!$G$2:$G$513,0)))</f>
        <v/>
      </c>
      <c r="C460" s="17">
        <f>IF(K460="","",INDEX(Интервалы!$C$2:$C$513,MATCH(K460,Интервалы!$G$2:$G$513,0)))</f>
        <v/>
      </c>
      <c r="D460" s="17">
        <f>IF(K460="","",INDEX(Интервалы!$D$2:$D$513,MATCH(K460,Интервалы!$G$2:$G$513,0)))</f>
        <v/>
      </c>
      <c r="E460" s="5">
        <f>IF(K460="","",D460-C460+1)</f>
        <v/>
      </c>
      <c r="F460" s="9">
        <f>IF(K460="","",INDEX(Интервалы!$E$2:$E$513,MATCH(K460,Интервалы!$G$2:$G$513,0)))</f>
        <v/>
      </c>
      <c r="G460" s="5">
        <f>IF(K460="","",IF(H460=1,INDEX('По дням'!$B$2:$B$4000,MATCH(C460,'По дням'!$A$2:$A$4000,0)),"по периодам ставки"))</f>
        <v/>
      </c>
      <c r="H460" s="5">
        <f>IF(K460="","",INDEX(Интервалы!$I$2:$I$513,MATCH(K460,Интервалы!$G$2:$G$513,0)))</f>
        <v/>
      </c>
      <c r="I460" s="9">
        <f>IF(K460="","",INDEX(Интервалы!$F$2:$F$513,MATCH(K460,Интервалы!$G$2:$G$513,0)))</f>
        <v/>
      </c>
      <c r="J460" s="9">
        <f>IF(K460="","",INDEX(Интервалы!$H$2:$H$513,MATCH(K460,Интервалы!$G$2:$G$513,0)))</f>
        <v/>
      </c>
      <c r="K460">
        <f>IFERROR(SMALL(Интервалы!$G$2:$G$513,454),"")</f>
        <v/>
      </c>
      <c r="L460">
        <f>IF(K460="","",INDEX(Интервалы!$B$2:$B$513,MATCH(K460,Интервалы!$G$2:$G$513,0)))</f>
        <v/>
      </c>
    </row>
    <row r="461">
      <c r="A461" s="5">
        <f>IF(K461="","",455)</f>
        <v/>
      </c>
      <c r="B461" s="5">
        <f>IF(K461="","",INDEX(Интервалы!$A$2:$A$513,MATCH(K461,Интервалы!$G$2:$G$513,0)))</f>
        <v/>
      </c>
      <c r="C461" s="17">
        <f>IF(K461="","",INDEX(Интервалы!$C$2:$C$513,MATCH(K461,Интервалы!$G$2:$G$513,0)))</f>
        <v/>
      </c>
      <c r="D461" s="17">
        <f>IF(K461="","",INDEX(Интервалы!$D$2:$D$513,MATCH(K461,Интервалы!$G$2:$G$513,0)))</f>
        <v/>
      </c>
      <c r="E461" s="5">
        <f>IF(K461="","",D461-C461+1)</f>
        <v/>
      </c>
      <c r="F461" s="9">
        <f>IF(K461="","",INDEX(Интервалы!$E$2:$E$513,MATCH(K461,Интервалы!$G$2:$G$513,0)))</f>
        <v/>
      </c>
      <c r="G461" s="5">
        <f>IF(K461="","",IF(H461=1,INDEX('По дням'!$B$2:$B$4000,MATCH(C461,'По дням'!$A$2:$A$4000,0)),"по периодам ставки"))</f>
        <v/>
      </c>
      <c r="H461" s="5">
        <f>IF(K461="","",INDEX(Интервалы!$I$2:$I$513,MATCH(K461,Интервалы!$G$2:$G$513,0)))</f>
        <v/>
      </c>
      <c r="I461" s="9">
        <f>IF(K461="","",INDEX(Интервалы!$F$2:$F$513,MATCH(K461,Интервалы!$G$2:$G$513,0)))</f>
        <v/>
      </c>
      <c r="J461" s="9">
        <f>IF(K461="","",INDEX(Интервалы!$H$2:$H$513,MATCH(K461,Интервалы!$G$2:$G$513,0)))</f>
        <v/>
      </c>
      <c r="K461">
        <f>IFERROR(SMALL(Интервалы!$G$2:$G$513,455),"")</f>
        <v/>
      </c>
      <c r="L461">
        <f>IF(K461="","",INDEX(Интервалы!$B$2:$B$513,MATCH(K461,Интервалы!$G$2:$G$513,0)))</f>
        <v/>
      </c>
    </row>
    <row r="462">
      <c r="A462" s="5">
        <f>IF(K462="","",456)</f>
        <v/>
      </c>
      <c r="B462" s="5">
        <f>IF(K462="","",INDEX(Интервалы!$A$2:$A$513,MATCH(K462,Интервалы!$G$2:$G$513,0)))</f>
        <v/>
      </c>
      <c r="C462" s="17">
        <f>IF(K462="","",INDEX(Интервалы!$C$2:$C$513,MATCH(K462,Интервалы!$G$2:$G$513,0)))</f>
        <v/>
      </c>
      <c r="D462" s="17">
        <f>IF(K462="","",INDEX(Интервалы!$D$2:$D$513,MATCH(K462,Интервалы!$G$2:$G$513,0)))</f>
        <v/>
      </c>
      <c r="E462" s="5">
        <f>IF(K462="","",D462-C462+1)</f>
        <v/>
      </c>
      <c r="F462" s="9">
        <f>IF(K462="","",INDEX(Интервалы!$E$2:$E$513,MATCH(K462,Интервалы!$G$2:$G$513,0)))</f>
        <v/>
      </c>
      <c r="G462" s="5">
        <f>IF(K462="","",IF(H462=1,INDEX('По дням'!$B$2:$B$4000,MATCH(C462,'По дням'!$A$2:$A$4000,0)),"по периодам ставки"))</f>
        <v/>
      </c>
      <c r="H462" s="5">
        <f>IF(K462="","",INDEX(Интервалы!$I$2:$I$513,MATCH(K462,Интервалы!$G$2:$G$513,0)))</f>
        <v/>
      </c>
      <c r="I462" s="9">
        <f>IF(K462="","",INDEX(Интервалы!$F$2:$F$513,MATCH(K462,Интервалы!$G$2:$G$513,0)))</f>
        <v/>
      </c>
      <c r="J462" s="9">
        <f>IF(K462="","",INDEX(Интервалы!$H$2:$H$513,MATCH(K462,Интервалы!$G$2:$G$513,0)))</f>
        <v/>
      </c>
      <c r="K462">
        <f>IFERROR(SMALL(Интервалы!$G$2:$G$513,456),"")</f>
        <v/>
      </c>
      <c r="L462">
        <f>IF(K462="","",INDEX(Интервалы!$B$2:$B$513,MATCH(K462,Интервалы!$G$2:$G$513,0)))</f>
        <v/>
      </c>
    </row>
    <row r="463">
      <c r="A463" s="5">
        <f>IF(K463="","",457)</f>
        <v/>
      </c>
      <c r="B463" s="5">
        <f>IF(K463="","",INDEX(Интервалы!$A$2:$A$513,MATCH(K463,Интервалы!$G$2:$G$513,0)))</f>
        <v/>
      </c>
      <c r="C463" s="17">
        <f>IF(K463="","",INDEX(Интервалы!$C$2:$C$513,MATCH(K463,Интервалы!$G$2:$G$513,0)))</f>
        <v/>
      </c>
      <c r="D463" s="17">
        <f>IF(K463="","",INDEX(Интервалы!$D$2:$D$513,MATCH(K463,Интервалы!$G$2:$G$513,0)))</f>
        <v/>
      </c>
      <c r="E463" s="5">
        <f>IF(K463="","",D463-C463+1)</f>
        <v/>
      </c>
      <c r="F463" s="9">
        <f>IF(K463="","",INDEX(Интервалы!$E$2:$E$513,MATCH(K463,Интервалы!$G$2:$G$513,0)))</f>
        <v/>
      </c>
      <c r="G463" s="5">
        <f>IF(K463="","",IF(H463=1,INDEX('По дням'!$B$2:$B$4000,MATCH(C463,'По дням'!$A$2:$A$4000,0)),"по периодам ставки"))</f>
        <v/>
      </c>
      <c r="H463" s="5">
        <f>IF(K463="","",INDEX(Интервалы!$I$2:$I$513,MATCH(K463,Интервалы!$G$2:$G$513,0)))</f>
        <v/>
      </c>
      <c r="I463" s="9">
        <f>IF(K463="","",INDEX(Интервалы!$F$2:$F$513,MATCH(K463,Интервалы!$G$2:$G$513,0)))</f>
        <v/>
      </c>
      <c r="J463" s="9">
        <f>IF(K463="","",INDEX(Интервалы!$H$2:$H$513,MATCH(K463,Интервалы!$G$2:$G$513,0)))</f>
        <v/>
      </c>
      <c r="K463">
        <f>IFERROR(SMALL(Интервалы!$G$2:$G$513,457),"")</f>
        <v/>
      </c>
      <c r="L463">
        <f>IF(K463="","",INDEX(Интервалы!$B$2:$B$513,MATCH(K463,Интервалы!$G$2:$G$513,0)))</f>
        <v/>
      </c>
    </row>
    <row r="464">
      <c r="A464" s="5">
        <f>IF(K464="","",458)</f>
        <v/>
      </c>
      <c r="B464" s="5">
        <f>IF(K464="","",INDEX(Интервалы!$A$2:$A$513,MATCH(K464,Интервалы!$G$2:$G$513,0)))</f>
        <v/>
      </c>
      <c r="C464" s="17">
        <f>IF(K464="","",INDEX(Интервалы!$C$2:$C$513,MATCH(K464,Интервалы!$G$2:$G$513,0)))</f>
        <v/>
      </c>
      <c r="D464" s="17">
        <f>IF(K464="","",INDEX(Интервалы!$D$2:$D$513,MATCH(K464,Интервалы!$G$2:$G$513,0)))</f>
        <v/>
      </c>
      <c r="E464" s="5">
        <f>IF(K464="","",D464-C464+1)</f>
        <v/>
      </c>
      <c r="F464" s="9">
        <f>IF(K464="","",INDEX(Интервалы!$E$2:$E$513,MATCH(K464,Интервалы!$G$2:$G$513,0)))</f>
        <v/>
      </c>
      <c r="G464" s="5">
        <f>IF(K464="","",IF(H464=1,INDEX('По дням'!$B$2:$B$4000,MATCH(C464,'По дням'!$A$2:$A$4000,0)),"по периодам ставки"))</f>
        <v/>
      </c>
      <c r="H464" s="5">
        <f>IF(K464="","",INDEX(Интервалы!$I$2:$I$513,MATCH(K464,Интервалы!$G$2:$G$513,0)))</f>
        <v/>
      </c>
      <c r="I464" s="9">
        <f>IF(K464="","",INDEX(Интервалы!$F$2:$F$513,MATCH(K464,Интервалы!$G$2:$G$513,0)))</f>
        <v/>
      </c>
      <c r="J464" s="9">
        <f>IF(K464="","",INDEX(Интервалы!$H$2:$H$513,MATCH(K464,Интервалы!$G$2:$G$513,0)))</f>
        <v/>
      </c>
      <c r="K464">
        <f>IFERROR(SMALL(Интервалы!$G$2:$G$513,458),"")</f>
        <v/>
      </c>
      <c r="L464">
        <f>IF(K464="","",INDEX(Интервалы!$B$2:$B$513,MATCH(K464,Интервалы!$G$2:$G$513,0)))</f>
        <v/>
      </c>
    </row>
    <row r="465">
      <c r="A465" s="5">
        <f>IF(K465="","",459)</f>
        <v/>
      </c>
      <c r="B465" s="5">
        <f>IF(K465="","",INDEX(Интервалы!$A$2:$A$513,MATCH(K465,Интервалы!$G$2:$G$513,0)))</f>
        <v/>
      </c>
      <c r="C465" s="17">
        <f>IF(K465="","",INDEX(Интервалы!$C$2:$C$513,MATCH(K465,Интервалы!$G$2:$G$513,0)))</f>
        <v/>
      </c>
      <c r="D465" s="17">
        <f>IF(K465="","",INDEX(Интервалы!$D$2:$D$513,MATCH(K465,Интервалы!$G$2:$G$513,0)))</f>
        <v/>
      </c>
      <c r="E465" s="5">
        <f>IF(K465="","",D465-C465+1)</f>
        <v/>
      </c>
      <c r="F465" s="9">
        <f>IF(K465="","",INDEX(Интервалы!$E$2:$E$513,MATCH(K465,Интервалы!$G$2:$G$513,0)))</f>
        <v/>
      </c>
      <c r="G465" s="5">
        <f>IF(K465="","",IF(H465=1,INDEX('По дням'!$B$2:$B$4000,MATCH(C465,'По дням'!$A$2:$A$4000,0)),"по периодам ставки"))</f>
        <v/>
      </c>
      <c r="H465" s="5">
        <f>IF(K465="","",INDEX(Интервалы!$I$2:$I$513,MATCH(K465,Интервалы!$G$2:$G$513,0)))</f>
        <v/>
      </c>
      <c r="I465" s="9">
        <f>IF(K465="","",INDEX(Интервалы!$F$2:$F$513,MATCH(K465,Интервалы!$G$2:$G$513,0)))</f>
        <v/>
      </c>
      <c r="J465" s="9">
        <f>IF(K465="","",INDEX(Интервалы!$H$2:$H$513,MATCH(K465,Интервалы!$G$2:$G$513,0)))</f>
        <v/>
      </c>
      <c r="K465">
        <f>IFERROR(SMALL(Интервалы!$G$2:$G$513,459),"")</f>
        <v/>
      </c>
      <c r="L465">
        <f>IF(K465="","",INDEX(Интервалы!$B$2:$B$513,MATCH(K465,Интервалы!$G$2:$G$513,0)))</f>
        <v/>
      </c>
    </row>
    <row r="466">
      <c r="A466" s="5">
        <f>IF(K466="","",460)</f>
        <v/>
      </c>
      <c r="B466" s="5">
        <f>IF(K466="","",INDEX(Интервалы!$A$2:$A$513,MATCH(K466,Интервалы!$G$2:$G$513,0)))</f>
        <v/>
      </c>
      <c r="C466" s="17">
        <f>IF(K466="","",INDEX(Интервалы!$C$2:$C$513,MATCH(K466,Интервалы!$G$2:$G$513,0)))</f>
        <v/>
      </c>
      <c r="D466" s="17">
        <f>IF(K466="","",INDEX(Интервалы!$D$2:$D$513,MATCH(K466,Интервалы!$G$2:$G$513,0)))</f>
        <v/>
      </c>
      <c r="E466" s="5">
        <f>IF(K466="","",D466-C466+1)</f>
        <v/>
      </c>
      <c r="F466" s="9">
        <f>IF(K466="","",INDEX(Интервалы!$E$2:$E$513,MATCH(K466,Интервалы!$G$2:$G$513,0)))</f>
        <v/>
      </c>
      <c r="G466" s="5">
        <f>IF(K466="","",IF(H466=1,INDEX('По дням'!$B$2:$B$4000,MATCH(C466,'По дням'!$A$2:$A$4000,0)),"по периодам ставки"))</f>
        <v/>
      </c>
      <c r="H466" s="5">
        <f>IF(K466="","",INDEX(Интервалы!$I$2:$I$513,MATCH(K466,Интервалы!$G$2:$G$513,0)))</f>
        <v/>
      </c>
      <c r="I466" s="9">
        <f>IF(K466="","",INDEX(Интервалы!$F$2:$F$513,MATCH(K466,Интервалы!$G$2:$G$513,0)))</f>
        <v/>
      </c>
      <c r="J466" s="9">
        <f>IF(K466="","",INDEX(Интервалы!$H$2:$H$513,MATCH(K466,Интервалы!$G$2:$G$513,0)))</f>
        <v/>
      </c>
      <c r="K466">
        <f>IFERROR(SMALL(Интервалы!$G$2:$G$513,460),"")</f>
        <v/>
      </c>
      <c r="L466">
        <f>IF(K466="","",INDEX(Интервалы!$B$2:$B$513,MATCH(K466,Интервалы!$G$2:$G$513,0)))</f>
        <v/>
      </c>
    </row>
    <row r="467">
      <c r="A467" s="5">
        <f>IF(K467="","",461)</f>
        <v/>
      </c>
      <c r="B467" s="5">
        <f>IF(K467="","",INDEX(Интервалы!$A$2:$A$513,MATCH(K467,Интервалы!$G$2:$G$513,0)))</f>
        <v/>
      </c>
      <c r="C467" s="17">
        <f>IF(K467="","",INDEX(Интервалы!$C$2:$C$513,MATCH(K467,Интервалы!$G$2:$G$513,0)))</f>
        <v/>
      </c>
      <c r="D467" s="17">
        <f>IF(K467="","",INDEX(Интервалы!$D$2:$D$513,MATCH(K467,Интервалы!$G$2:$G$513,0)))</f>
        <v/>
      </c>
      <c r="E467" s="5">
        <f>IF(K467="","",D467-C467+1)</f>
        <v/>
      </c>
      <c r="F467" s="9">
        <f>IF(K467="","",INDEX(Интервалы!$E$2:$E$513,MATCH(K467,Интервалы!$G$2:$G$513,0)))</f>
        <v/>
      </c>
      <c r="G467" s="5">
        <f>IF(K467="","",IF(H467=1,INDEX('По дням'!$B$2:$B$4000,MATCH(C467,'По дням'!$A$2:$A$4000,0)),"по периодам ставки"))</f>
        <v/>
      </c>
      <c r="H467" s="5">
        <f>IF(K467="","",INDEX(Интервалы!$I$2:$I$513,MATCH(K467,Интервалы!$G$2:$G$513,0)))</f>
        <v/>
      </c>
      <c r="I467" s="9">
        <f>IF(K467="","",INDEX(Интервалы!$F$2:$F$513,MATCH(K467,Интервалы!$G$2:$G$513,0)))</f>
        <v/>
      </c>
      <c r="J467" s="9">
        <f>IF(K467="","",INDEX(Интервалы!$H$2:$H$513,MATCH(K467,Интервалы!$G$2:$G$513,0)))</f>
        <v/>
      </c>
      <c r="K467">
        <f>IFERROR(SMALL(Интервалы!$G$2:$G$513,461),"")</f>
        <v/>
      </c>
      <c r="L467">
        <f>IF(K467="","",INDEX(Интервалы!$B$2:$B$513,MATCH(K467,Интервалы!$G$2:$G$513,0)))</f>
        <v/>
      </c>
    </row>
    <row r="468">
      <c r="A468" s="5">
        <f>IF(K468="","",462)</f>
        <v/>
      </c>
      <c r="B468" s="5">
        <f>IF(K468="","",INDEX(Интервалы!$A$2:$A$513,MATCH(K468,Интервалы!$G$2:$G$513,0)))</f>
        <v/>
      </c>
      <c r="C468" s="17">
        <f>IF(K468="","",INDEX(Интервалы!$C$2:$C$513,MATCH(K468,Интервалы!$G$2:$G$513,0)))</f>
        <v/>
      </c>
      <c r="D468" s="17">
        <f>IF(K468="","",INDEX(Интервалы!$D$2:$D$513,MATCH(K468,Интервалы!$G$2:$G$513,0)))</f>
        <v/>
      </c>
      <c r="E468" s="5">
        <f>IF(K468="","",D468-C468+1)</f>
        <v/>
      </c>
      <c r="F468" s="9">
        <f>IF(K468="","",INDEX(Интервалы!$E$2:$E$513,MATCH(K468,Интервалы!$G$2:$G$513,0)))</f>
        <v/>
      </c>
      <c r="G468" s="5">
        <f>IF(K468="","",IF(H468=1,INDEX('По дням'!$B$2:$B$4000,MATCH(C468,'По дням'!$A$2:$A$4000,0)),"по периодам ставки"))</f>
        <v/>
      </c>
      <c r="H468" s="5">
        <f>IF(K468="","",INDEX(Интервалы!$I$2:$I$513,MATCH(K468,Интервалы!$G$2:$G$513,0)))</f>
        <v/>
      </c>
      <c r="I468" s="9">
        <f>IF(K468="","",INDEX(Интервалы!$F$2:$F$513,MATCH(K468,Интервалы!$G$2:$G$513,0)))</f>
        <v/>
      </c>
      <c r="J468" s="9">
        <f>IF(K468="","",INDEX(Интервалы!$H$2:$H$513,MATCH(K468,Интервалы!$G$2:$G$513,0)))</f>
        <v/>
      </c>
      <c r="K468">
        <f>IFERROR(SMALL(Интервалы!$G$2:$G$513,462),"")</f>
        <v/>
      </c>
      <c r="L468">
        <f>IF(K468="","",INDEX(Интервалы!$B$2:$B$513,MATCH(K468,Интервалы!$G$2:$G$513,0)))</f>
        <v/>
      </c>
    </row>
    <row r="469">
      <c r="A469" s="5">
        <f>IF(K469="","",463)</f>
        <v/>
      </c>
      <c r="B469" s="5">
        <f>IF(K469="","",INDEX(Интервалы!$A$2:$A$513,MATCH(K469,Интервалы!$G$2:$G$513,0)))</f>
        <v/>
      </c>
      <c r="C469" s="17">
        <f>IF(K469="","",INDEX(Интервалы!$C$2:$C$513,MATCH(K469,Интервалы!$G$2:$G$513,0)))</f>
        <v/>
      </c>
      <c r="D469" s="17">
        <f>IF(K469="","",INDEX(Интервалы!$D$2:$D$513,MATCH(K469,Интервалы!$G$2:$G$513,0)))</f>
        <v/>
      </c>
      <c r="E469" s="5">
        <f>IF(K469="","",D469-C469+1)</f>
        <v/>
      </c>
      <c r="F469" s="9">
        <f>IF(K469="","",INDEX(Интервалы!$E$2:$E$513,MATCH(K469,Интервалы!$G$2:$G$513,0)))</f>
        <v/>
      </c>
      <c r="G469" s="5">
        <f>IF(K469="","",IF(H469=1,INDEX('По дням'!$B$2:$B$4000,MATCH(C469,'По дням'!$A$2:$A$4000,0)),"по периодам ставки"))</f>
        <v/>
      </c>
      <c r="H469" s="5">
        <f>IF(K469="","",INDEX(Интервалы!$I$2:$I$513,MATCH(K469,Интервалы!$G$2:$G$513,0)))</f>
        <v/>
      </c>
      <c r="I469" s="9">
        <f>IF(K469="","",INDEX(Интервалы!$F$2:$F$513,MATCH(K469,Интервалы!$G$2:$G$513,0)))</f>
        <v/>
      </c>
      <c r="J469" s="9">
        <f>IF(K469="","",INDEX(Интервалы!$H$2:$H$513,MATCH(K469,Интервалы!$G$2:$G$513,0)))</f>
        <v/>
      </c>
      <c r="K469">
        <f>IFERROR(SMALL(Интервалы!$G$2:$G$513,463),"")</f>
        <v/>
      </c>
      <c r="L469">
        <f>IF(K469="","",INDEX(Интервалы!$B$2:$B$513,MATCH(K469,Интервалы!$G$2:$G$513,0)))</f>
        <v/>
      </c>
    </row>
    <row r="470">
      <c r="A470" s="5">
        <f>IF(K470="","",464)</f>
        <v/>
      </c>
      <c r="B470" s="5">
        <f>IF(K470="","",INDEX(Интервалы!$A$2:$A$513,MATCH(K470,Интервалы!$G$2:$G$513,0)))</f>
        <v/>
      </c>
      <c r="C470" s="17">
        <f>IF(K470="","",INDEX(Интервалы!$C$2:$C$513,MATCH(K470,Интервалы!$G$2:$G$513,0)))</f>
        <v/>
      </c>
      <c r="D470" s="17">
        <f>IF(K470="","",INDEX(Интервалы!$D$2:$D$513,MATCH(K470,Интервалы!$G$2:$G$513,0)))</f>
        <v/>
      </c>
      <c r="E470" s="5">
        <f>IF(K470="","",D470-C470+1)</f>
        <v/>
      </c>
      <c r="F470" s="9">
        <f>IF(K470="","",INDEX(Интервалы!$E$2:$E$513,MATCH(K470,Интервалы!$G$2:$G$513,0)))</f>
        <v/>
      </c>
      <c r="G470" s="5">
        <f>IF(K470="","",IF(H470=1,INDEX('По дням'!$B$2:$B$4000,MATCH(C470,'По дням'!$A$2:$A$4000,0)),"по периодам ставки"))</f>
        <v/>
      </c>
      <c r="H470" s="5">
        <f>IF(K470="","",INDEX(Интервалы!$I$2:$I$513,MATCH(K470,Интервалы!$G$2:$G$513,0)))</f>
        <v/>
      </c>
      <c r="I470" s="9">
        <f>IF(K470="","",INDEX(Интервалы!$F$2:$F$513,MATCH(K470,Интервалы!$G$2:$G$513,0)))</f>
        <v/>
      </c>
      <c r="J470" s="9">
        <f>IF(K470="","",INDEX(Интервалы!$H$2:$H$513,MATCH(K470,Интервалы!$G$2:$G$513,0)))</f>
        <v/>
      </c>
      <c r="K470">
        <f>IFERROR(SMALL(Интервалы!$G$2:$G$513,464),"")</f>
        <v/>
      </c>
      <c r="L470">
        <f>IF(K470="","",INDEX(Интервалы!$B$2:$B$513,MATCH(K470,Интервалы!$G$2:$G$513,0)))</f>
        <v/>
      </c>
    </row>
    <row r="471">
      <c r="A471" s="5">
        <f>IF(K471="","",465)</f>
        <v/>
      </c>
      <c r="B471" s="5">
        <f>IF(K471="","",INDEX(Интервалы!$A$2:$A$513,MATCH(K471,Интервалы!$G$2:$G$513,0)))</f>
        <v/>
      </c>
      <c r="C471" s="17">
        <f>IF(K471="","",INDEX(Интервалы!$C$2:$C$513,MATCH(K471,Интервалы!$G$2:$G$513,0)))</f>
        <v/>
      </c>
      <c r="D471" s="17">
        <f>IF(K471="","",INDEX(Интервалы!$D$2:$D$513,MATCH(K471,Интервалы!$G$2:$G$513,0)))</f>
        <v/>
      </c>
      <c r="E471" s="5">
        <f>IF(K471="","",D471-C471+1)</f>
        <v/>
      </c>
      <c r="F471" s="9">
        <f>IF(K471="","",INDEX(Интервалы!$E$2:$E$513,MATCH(K471,Интервалы!$G$2:$G$513,0)))</f>
        <v/>
      </c>
      <c r="G471" s="5">
        <f>IF(K471="","",IF(H471=1,INDEX('По дням'!$B$2:$B$4000,MATCH(C471,'По дням'!$A$2:$A$4000,0)),"по периодам ставки"))</f>
        <v/>
      </c>
      <c r="H471" s="5">
        <f>IF(K471="","",INDEX(Интервалы!$I$2:$I$513,MATCH(K471,Интервалы!$G$2:$G$513,0)))</f>
        <v/>
      </c>
      <c r="I471" s="9">
        <f>IF(K471="","",INDEX(Интервалы!$F$2:$F$513,MATCH(K471,Интервалы!$G$2:$G$513,0)))</f>
        <v/>
      </c>
      <c r="J471" s="9">
        <f>IF(K471="","",INDEX(Интервалы!$H$2:$H$513,MATCH(K471,Интервалы!$G$2:$G$513,0)))</f>
        <v/>
      </c>
      <c r="K471">
        <f>IFERROR(SMALL(Интервалы!$G$2:$G$513,465),"")</f>
        <v/>
      </c>
      <c r="L471">
        <f>IF(K471="","",INDEX(Интервалы!$B$2:$B$513,MATCH(K471,Интервалы!$G$2:$G$513,0)))</f>
        <v/>
      </c>
    </row>
    <row r="472">
      <c r="A472" s="5">
        <f>IF(K472="","",466)</f>
        <v/>
      </c>
      <c r="B472" s="5">
        <f>IF(K472="","",INDEX(Интервалы!$A$2:$A$513,MATCH(K472,Интервалы!$G$2:$G$513,0)))</f>
        <v/>
      </c>
      <c r="C472" s="17">
        <f>IF(K472="","",INDEX(Интервалы!$C$2:$C$513,MATCH(K472,Интервалы!$G$2:$G$513,0)))</f>
        <v/>
      </c>
      <c r="D472" s="17">
        <f>IF(K472="","",INDEX(Интервалы!$D$2:$D$513,MATCH(K472,Интервалы!$G$2:$G$513,0)))</f>
        <v/>
      </c>
      <c r="E472" s="5">
        <f>IF(K472="","",D472-C472+1)</f>
        <v/>
      </c>
      <c r="F472" s="9">
        <f>IF(K472="","",INDEX(Интервалы!$E$2:$E$513,MATCH(K472,Интервалы!$G$2:$G$513,0)))</f>
        <v/>
      </c>
      <c r="G472" s="5">
        <f>IF(K472="","",IF(H472=1,INDEX('По дням'!$B$2:$B$4000,MATCH(C472,'По дням'!$A$2:$A$4000,0)),"по периодам ставки"))</f>
        <v/>
      </c>
      <c r="H472" s="5">
        <f>IF(K472="","",INDEX(Интервалы!$I$2:$I$513,MATCH(K472,Интервалы!$G$2:$G$513,0)))</f>
        <v/>
      </c>
      <c r="I472" s="9">
        <f>IF(K472="","",INDEX(Интервалы!$F$2:$F$513,MATCH(K472,Интервалы!$G$2:$G$513,0)))</f>
        <v/>
      </c>
      <c r="J472" s="9">
        <f>IF(K472="","",INDEX(Интервалы!$H$2:$H$513,MATCH(K472,Интервалы!$G$2:$G$513,0)))</f>
        <v/>
      </c>
      <c r="K472">
        <f>IFERROR(SMALL(Интервалы!$G$2:$G$513,466),"")</f>
        <v/>
      </c>
      <c r="L472">
        <f>IF(K472="","",INDEX(Интервалы!$B$2:$B$513,MATCH(K472,Интервалы!$G$2:$G$513,0)))</f>
        <v/>
      </c>
    </row>
    <row r="473">
      <c r="A473" s="5">
        <f>IF(K473="","",467)</f>
        <v/>
      </c>
      <c r="B473" s="5">
        <f>IF(K473="","",INDEX(Интервалы!$A$2:$A$513,MATCH(K473,Интервалы!$G$2:$G$513,0)))</f>
        <v/>
      </c>
      <c r="C473" s="17">
        <f>IF(K473="","",INDEX(Интервалы!$C$2:$C$513,MATCH(K473,Интервалы!$G$2:$G$513,0)))</f>
        <v/>
      </c>
      <c r="D473" s="17">
        <f>IF(K473="","",INDEX(Интервалы!$D$2:$D$513,MATCH(K473,Интервалы!$G$2:$G$513,0)))</f>
        <v/>
      </c>
      <c r="E473" s="5">
        <f>IF(K473="","",D473-C473+1)</f>
        <v/>
      </c>
      <c r="F473" s="9">
        <f>IF(K473="","",INDEX(Интервалы!$E$2:$E$513,MATCH(K473,Интервалы!$G$2:$G$513,0)))</f>
        <v/>
      </c>
      <c r="G473" s="5">
        <f>IF(K473="","",IF(H473=1,INDEX('По дням'!$B$2:$B$4000,MATCH(C473,'По дням'!$A$2:$A$4000,0)),"по периодам ставки"))</f>
        <v/>
      </c>
      <c r="H473" s="5">
        <f>IF(K473="","",INDEX(Интервалы!$I$2:$I$513,MATCH(K473,Интервалы!$G$2:$G$513,0)))</f>
        <v/>
      </c>
      <c r="I473" s="9">
        <f>IF(K473="","",INDEX(Интервалы!$F$2:$F$513,MATCH(K473,Интервалы!$G$2:$G$513,0)))</f>
        <v/>
      </c>
      <c r="J473" s="9">
        <f>IF(K473="","",INDEX(Интервалы!$H$2:$H$513,MATCH(K473,Интервалы!$G$2:$G$513,0)))</f>
        <v/>
      </c>
      <c r="K473">
        <f>IFERROR(SMALL(Интервалы!$G$2:$G$513,467),"")</f>
        <v/>
      </c>
      <c r="L473">
        <f>IF(K473="","",INDEX(Интервалы!$B$2:$B$513,MATCH(K473,Интервалы!$G$2:$G$513,0)))</f>
        <v/>
      </c>
    </row>
    <row r="474">
      <c r="A474" s="5">
        <f>IF(K474="","",468)</f>
        <v/>
      </c>
      <c r="B474" s="5">
        <f>IF(K474="","",INDEX(Интервалы!$A$2:$A$513,MATCH(K474,Интервалы!$G$2:$G$513,0)))</f>
        <v/>
      </c>
      <c r="C474" s="17">
        <f>IF(K474="","",INDEX(Интервалы!$C$2:$C$513,MATCH(K474,Интервалы!$G$2:$G$513,0)))</f>
        <v/>
      </c>
      <c r="D474" s="17">
        <f>IF(K474="","",INDEX(Интервалы!$D$2:$D$513,MATCH(K474,Интервалы!$G$2:$G$513,0)))</f>
        <v/>
      </c>
      <c r="E474" s="5">
        <f>IF(K474="","",D474-C474+1)</f>
        <v/>
      </c>
      <c r="F474" s="9">
        <f>IF(K474="","",INDEX(Интервалы!$E$2:$E$513,MATCH(K474,Интервалы!$G$2:$G$513,0)))</f>
        <v/>
      </c>
      <c r="G474" s="5">
        <f>IF(K474="","",IF(H474=1,INDEX('По дням'!$B$2:$B$4000,MATCH(C474,'По дням'!$A$2:$A$4000,0)),"по периодам ставки"))</f>
        <v/>
      </c>
      <c r="H474" s="5">
        <f>IF(K474="","",INDEX(Интервалы!$I$2:$I$513,MATCH(K474,Интервалы!$G$2:$G$513,0)))</f>
        <v/>
      </c>
      <c r="I474" s="9">
        <f>IF(K474="","",INDEX(Интервалы!$F$2:$F$513,MATCH(K474,Интервалы!$G$2:$G$513,0)))</f>
        <v/>
      </c>
      <c r="J474" s="9">
        <f>IF(K474="","",INDEX(Интервалы!$H$2:$H$513,MATCH(K474,Интервалы!$G$2:$G$513,0)))</f>
        <v/>
      </c>
      <c r="K474">
        <f>IFERROR(SMALL(Интервалы!$G$2:$G$513,468),"")</f>
        <v/>
      </c>
      <c r="L474">
        <f>IF(K474="","",INDEX(Интервалы!$B$2:$B$513,MATCH(K474,Интервалы!$G$2:$G$513,0)))</f>
        <v/>
      </c>
    </row>
    <row r="475">
      <c r="A475" s="5">
        <f>IF(K475="","",469)</f>
        <v/>
      </c>
      <c r="B475" s="5">
        <f>IF(K475="","",INDEX(Интервалы!$A$2:$A$513,MATCH(K475,Интервалы!$G$2:$G$513,0)))</f>
        <v/>
      </c>
      <c r="C475" s="17">
        <f>IF(K475="","",INDEX(Интервалы!$C$2:$C$513,MATCH(K475,Интервалы!$G$2:$G$513,0)))</f>
        <v/>
      </c>
      <c r="D475" s="17">
        <f>IF(K475="","",INDEX(Интервалы!$D$2:$D$513,MATCH(K475,Интервалы!$G$2:$G$513,0)))</f>
        <v/>
      </c>
      <c r="E475" s="5">
        <f>IF(K475="","",D475-C475+1)</f>
        <v/>
      </c>
      <c r="F475" s="9">
        <f>IF(K475="","",INDEX(Интервалы!$E$2:$E$513,MATCH(K475,Интервалы!$G$2:$G$513,0)))</f>
        <v/>
      </c>
      <c r="G475" s="5">
        <f>IF(K475="","",IF(H475=1,INDEX('По дням'!$B$2:$B$4000,MATCH(C475,'По дням'!$A$2:$A$4000,0)),"по периодам ставки"))</f>
        <v/>
      </c>
      <c r="H475" s="5">
        <f>IF(K475="","",INDEX(Интервалы!$I$2:$I$513,MATCH(K475,Интервалы!$G$2:$G$513,0)))</f>
        <v/>
      </c>
      <c r="I475" s="9">
        <f>IF(K475="","",INDEX(Интервалы!$F$2:$F$513,MATCH(K475,Интервалы!$G$2:$G$513,0)))</f>
        <v/>
      </c>
      <c r="J475" s="9">
        <f>IF(K475="","",INDEX(Интервалы!$H$2:$H$513,MATCH(K475,Интервалы!$G$2:$G$513,0)))</f>
        <v/>
      </c>
      <c r="K475">
        <f>IFERROR(SMALL(Интервалы!$G$2:$G$513,469),"")</f>
        <v/>
      </c>
      <c r="L475">
        <f>IF(K475="","",INDEX(Интервалы!$B$2:$B$513,MATCH(K475,Интервалы!$G$2:$G$513,0)))</f>
        <v/>
      </c>
    </row>
    <row r="476">
      <c r="A476" s="5">
        <f>IF(K476="","",470)</f>
        <v/>
      </c>
      <c r="B476" s="5">
        <f>IF(K476="","",INDEX(Интервалы!$A$2:$A$513,MATCH(K476,Интервалы!$G$2:$G$513,0)))</f>
        <v/>
      </c>
      <c r="C476" s="17">
        <f>IF(K476="","",INDEX(Интервалы!$C$2:$C$513,MATCH(K476,Интервалы!$G$2:$G$513,0)))</f>
        <v/>
      </c>
      <c r="D476" s="17">
        <f>IF(K476="","",INDEX(Интервалы!$D$2:$D$513,MATCH(K476,Интервалы!$G$2:$G$513,0)))</f>
        <v/>
      </c>
      <c r="E476" s="5">
        <f>IF(K476="","",D476-C476+1)</f>
        <v/>
      </c>
      <c r="F476" s="9">
        <f>IF(K476="","",INDEX(Интервалы!$E$2:$E$513,MATCH(K476,Интервалы!$G$2:$G$513,0)))</f>
        <v/>
      </c>
      <c r="G476" s="5">
        <f>IF(K476="","",IF(H476=1,INDEX('По дням'!$B$2:$B$4000,MATCH(C476,'По дням'!$A$2:$A$4000,0)),"по периодам ставки"))</f>
        <v/>
      </c>
      <c r="H476" s="5">
        <f>IF(K476="","",INDEX(Интервалы!$I$2:$I$513,MATCH(K476,Интервалы!$G$2:$G$513,0)))</f>
        <v/>
      </c>
      <c r="I476" s="9">
        <f>IF(K476="","",INDEX(Интервалы!$F$2:$F$513,MATCH(K476,Интервалы!$G$2:$G$513,0)))</f>
        <v/>
      </c>
      <c r="J476" s="9">
        <f>IF(K476="","",INDEX(Интервалы!$H$2:$H$513,MATCH(K476,Интервалы!$G$2:$G$513,0)))</f>
        <v/>
      </c>
      <c r="K476">
        <f>IFERROR(SMALL(Интервалы!$G$2:$G$513,470),"")</f>
        <v/>
      </c>
      <c r="L476">
        <f>IF(K476="","",INDEX(Интервалы!$B$2:$B$513,MATCH(K476,Интервалы!$G$2:$G$513,0)))</f>
        <v/>
      </c>
    </row>
    <row r="477">
      <c r="A477" s="5">
        <f>IF(K477="","",471)</f>
        <v/>
      </c>
      <c r="B477" s="5">
        <f>IF(K477="","",INDEX(Интервалы!$A$2:$A$513,MATCH(K477,Интервалы!$G$2:$G$513,0)))</f>
        <v/>
      </c>
      <c r="C477" s="17">
        <f>IF(K477="","",INDEX(Интервалы!$C$2:$C$513,MATCH(K477,Интервалы!$G$2:$G$513,0)))</f>
        <v/>
      </c>
      <c r="D477" s="17">
        <f>IF(K477="","",INDEX(Интервалы!$D$2:$D$513,MATCH(K477,Интервалы!$G$2:$G$513,0)))</f>
        <v/>
      </c>
      <c r="E477" s="5">
        <f>IF(K477="","",D477-C477+1)</f>
        <v/>
      </c>
      <c r="F477" s="9">
        <f>IF(K477="","",INDEX(Интервалы!$E$2:$E$513,MATCH(K477,Интервалы!$G$2:$G$513,0)))</f>
        <v/>
      </c>
      <c r="G477" s="5">
        <f>IF(K477="","",IF(H477=1,INDEX('По дням'!$B$2:$B$4000,MATCH(C477,'По дням'!$A$2:$A$4000,0)),"по периодам ставки"))</f>
        <v/>
      </c>
      <c r="H477" s="5">
        <f>IF(K477="","",INDEX(Интервалы!$I$2:$I$513,MATCH(K477,Интервалы!$G$2:$G$513,0)))</f>
        <v/>
      </c>
      <c r="I477" s="9">
        <f>IF(K477="","",INDEX(Интервалы!$F$2:$F$513,MATCH(K477,Интервалы!$G$2:$G$513,0)))</f>
        <v/>
      </c>
      <c r="J477" s="9">
        <f>IF(K477="","",INDEX(Интервалы!$H$2:$H$513,MATCH(K477,Интервалы!$G$2:$G$513,0)))</f>
        <v/>
      </c>
      <c r="K477">
        <f>IFERROR(SMALL(Интервалы!$G$2:$G$513,471),"")</f>
        <v/>
      </c>
      <c r="L477">
        <f>IF(K477="","",INDEX(Интервалы!$B$2:$B$513,MATCH(K477,Интервалы!$G$2:$G$513,0)))</f>
        <v/>
      </c>
    </row>
    <row r="478">
      <c r="A478" s="5">
        <f>IF(K478="","",472)</f>
        <v/>
      </c>
      <c r="B478" s="5">
        <f>IF(K478="","",INDEX(Интервалы!$A$2:$A$513,MATCH(K478,Интервалы!$G$2:$G$513,0)))</f>
        <v/>
      </c>
      <c r="C478" s="17">
        <f>IF(K478="","",INDEX(Интервалы!$C$2:$C$513,MATCH(K478,Интервалы!$G$2:$G$513,0)))</f>
        <v/>
      </c>
      <c r="D478" s="17">
        <f>IF(K478="","",INDEX(Интервалы!$D$2:$D$513,MATCH(K478,Интервалы!$G$2:$G$513,0)))</f>
        <v/>
      </c>
      <c r="E478" s="5">
        <f>IF(K478="","",D478-C478+1)</f>
        <v/>
      </c>
      <c r="F478" s="9">
        <f>IF(K478="","",INDEX(Интервалы!$E$2:$E$513,MATCH(K478,Интервалы!$G$2:$G$513,0)))</f>
        <v/>
      </c>
      <c r="G478" s="5">
        <f>IF(K478="","",IF(H478=1,INDEX('По дням'!$B$2:$B$4000,MATCH(C478,'По дням'!$A$2:$A$4000,0)),"по периодам ставки"))</f>
        <v/>
      </c>
      <c r="H478" s="5">
        <f>IF(K478="","",INDEX(Интервалы!$I$2:$I$513,MATCH(K478,Интервалы!$G$2:$G$513,0)))</f>
        <v/>
      </c>
      <c r="I478" s="9">
        <f>IF(K478="","",INDEX(Интервалы!$F$2:$F$513,MATCH(K478,Интервалы!$G$2:$G$513,0)))</f>
        <v/>
      </c>
      <c r="J478" s="9">
        <f>IF(K478="","",INDEX(Интервалы!$H$2:$H$513,MATCH(K478,Интервалы!$G$2:$G$513,0)))</f>
        <v/>
      </c>
      <c r="K478">
        <f>IFERROR(SMALL(Интервалы!$G$2:$G$513,472),"")</f>
        <v/>
      </c>
      <c r="L478">
        <f>IF(K478="","",INDEX(Интервалы!$B$2:$B$513,MATCH(K478,Интервалы!$G$2:$G$513,0)))</f>
        <v/>
      </c>
    </row>
    <row r="479">
      <c r="A479" s="5">
        <f>IF(K479="","",473)</f>
        <v/>
      </c>
      <c r="B479" s="5">
        <f>IF(K479="","",INDEX(Интервалы!$A$2:$A$513,MATCH(K479,Интервалы!$G$2:$G$513,0)))</f>
        <v/>
      </c>
      <c r="C479" s="17">
        <f>IF(K479="","",INDEX(Интервалы!$C$2:$C$513,MATCH(K479,Интервалы!$G$2:$G$513,0)))</f>
        <v/>
      </c>
      <c r="D479" s="17">
        <f>IF(K479="","",INDEX(Интервалы!$D$2:$D$513,MATCH(K479,Интервалы!$G$2:$G$513,0)))</f>
        <v/>
      </c>
      <c r="E479" s="5">
        <f>IF(K479="","",D479-C479+1)</f>
        <v/>
      </c>
      <c r="F479" s="9">
        <f>IF(K479="","",INDEX(Интервалы!$E$2:$E$513,MATCH(K479,Интервалы!$G$2:$G$513,0)))</f>
        <v/>
      </c>
      <c r="G479" s="5">
        <f>IF(K479="","",IF(H479=1,INDEX('По дням'!$B$2:$B$4000,MATCH(C479,'По дням'!$A$2:$A$4000,0)),"по периодам ставки"))</f>
        <v/>
      </c>
      <c r="H479" s="5">
        <f>IF(K479="","",INDEX(Интервалы!$I$2:$I$513,MATCH(K479,Интервалы!$G$2:$G$513,0)))</f>
        <v/>
      </c>
      <c r="I479" s="9">
        <f>IF(K479="","",INDEX(Интервалы!$F$2:$F$513,MATCH(K479,Интервалы!$G$2:$G$513,0)))</f>
        <v/>
      </c>
      <c r="J479" s="9">
        <f>IF(K479="","",INDEX(Интервалы!$H$2:$H$513,MATCH(K479,Интервалы!$G$2:$G$513,0)))</f>
        <v/>
      </c>
      <c r="K479">
        <f>IFERROR(SMALL(Интервалы!$G$2:$G$513,473),"")</f>
        <v/>
      </c>
      <c r="L479">
        <f>IF(K479="","",INDEX(Интервалы!$B$2:$B$513,MATCH(K479,Интервалы!$G$2:$G$513,0)))</f>
        <v/>
      </c>
    </row>
    <row r="480">
      <c r="A480" s="5">
        <f>IF(K480="","",474)</f>
        <v/>
      </c>
      <c r="B480" s="5">
        <f>IF(K480="","",INDEX(Интервалы!$A$2:$A$513,MATCH(K480,Интервалы!$G$2:$G$513,0)))</f>
        <v/>
      </c>
      <c r="C480" s="17">
        <f>IF(K480="","",INDEX(Интервалы!$C$2:$C$513,MATCH(K480,Интервалы!$G$2:$G$513,0)))</f>
        <v/>
      </c>
      <c r="D480" s="17">
        <f>IF(K480="","",INDEX(Интервалы!$D$2:$D$513,MATCH(K480,Интервалы!$G$2:$G$513,0)))</f>
        <v/>
      </c>
      <c r="E480" s="5">
        <f>IF(K480="","",D480-C480+1)</f>
        <v/>
      </c>
      <c r="F480" s="9">
        <f>IF(K480="","",INDEX(Интервалы!$E$2:$E$513,MATCH(K480,Интервалы!$G$2:$G$513,0)))</f>
        <v/>
      </c>
      <c r="G480" s="5">
        <f>IF(K480="","",IF(H480=1,INDEX('По дням'!$B$2:$B$4000,MATCH(C480,'По дням'!$A$2:$A$4000,0)),"по периодам ставки"))</f>
        <v/>
      </c>
      <c r="H480" s="5">
        <f>IF(K480="","",INDEX(Интервалы!$I$2:$I$513,MATCH(K480,Интервалы!$G$2:$G$513,0)))</f>
        <v/>
      </c>
      <c r="I480" s="9">
        <f>IF(K480="","",INDEX(Интервалы!$F$2:$F$513,MATCH(K480,Интервалы!$G$2:$G$513,0)))</f>
        <v/>
      </c>
      <c r="J480" s="9">
        <f>IF(K480="","",INDEX(Интервалы!$H$2:$H$513,MATCH(K480,Интервалы!$G$2:$G$513,0)))</f>
        <v/>
      </c>
      <c r="K480">
        <f>IFERROR(SMALL(Интервалы!$G$2:$G$513,474),"")</f>
        <v/>
      </c>
      <c r="L480">
        <f>IF(K480="","",INDEX(Интервалы!$B$2:$B$513,MATCH(K480,Интервалы!$G$2:$G$513,0)))</f>
        <v/>
      </c>
    </row>
    <row r="481">
      <c r="A481" s="5">
        <f>IF(K481="","",475)</f>
        <v/>
      </c>
      <c r="B481" s="5">
        <f>IF(K481="","",INDEX(Интервалы!$A$2:$A$513,MATCH(K481,Интервалы!$G$2:$G$513,0)))</f>
        <v/>
      </c>
      <c r="C481" s="17">
        <f>IF(K481="","",INDEX(Интервалы!$C$2:$C$513,MATCH(K481,Интервалы!$G$2:$G$513,0)))</f>
        <v/>
      </c>
      <c r="D481" s="17">
        <f>IF(K481="","",INDEX(Интервалы!$D$2:$D$513,MATCH(K481,Интервалы!$G$2:$G$513,0)))</f>
        <v/>
      </c>
      <c r="E481" s="5">
        <f>IF(K481="","",D481-C481+1)</f>
        <v/>
      </c>
      <c r="F481" s="9">
        <f>IF(K481="","",INDEX(Интервалы!$E$2:$E$513,MATCH(K481,Интервалы!$G$2:$G$513,0)))</f>
        <v/>
      </c>
      <c r="G481" s="5">
        <f>IF(K481="","",IF(H481=1,INDEX('По дням'!$B$2:$B$4000,MATCH(C481,'По дням'!$A$2:$A$4000,0)),"по периодам ставки"))</f>
        <v/>
      </c>
      <c r="H481" s="5">
        <f>IF(K481="","",INDEX(Интервалы!$I$2:$I$513,MATCH(K481,Интервалы!$G$2:$G$513,0)))</f>
        <v/>
      </c>
      <c r="I481" s="9">
        <f>IF(K481="","",INDEX(Интервалы!$F$2:$F$513,MATCH(K481,Интервалы!$G$2:$G$513,0)))</f>
        <v/>
      </c>
      <c r="J481" s="9">
        <f>IF(K481="","",INDEX(Интервалы!$H$2:$H$513,MATCH(K481,Интервалы!$G$2:$G$513,0)))</f>
        <v/>
      </c>
      <c r="K481">
        <f>IFERROR(SMALL(Интервалы!$G$2:$G$513,475),"")</f>
        <v/>
      </c>
      <c r="L481">
        <f>IF(K481="","",INDEX(Интервалы!$B$2:$B$513,MATCH(K481,Интервалы!$G$2:$G$513,0)))</f>
        <v/>
      </c>
    </row>
    <row r="482">
      <c r="A482" s="5">
        <f>IF(K482="","",476)</f>
        <v/>
      </c>
      <c r="B482" s="5">
        <f>IF(K482="","",INDEX(Интервалы!$A$2:$A$513,MATCH(K482,Интервалы!$G$2:$G$513,0)))</f>
        <v/>
      </c>
      <c r="C482" s="17">
        <f>IF(K482="","",INDEX(Интервалы!$C$2:$C$513,MATCH(K482,Интервалы!$G$2:$G$513,0)))</f>
        <v/>
      </c>
      <c r="D482" s="17">
        <f>IF(K482="","",INDEX(Интервалы!$D$2:$D$513,MATCH(K482,Интервалы!$G$2:$G$513,0)))</f>
        <v/>
      </c>
      <c r="E482" s="5">
        <f>IF(K482="","",D482-C482+1)</f>
        <v/>
      </c>
      <c r="F482" s="9">
        <f>IF(K482="","",INDEX(Интервалы!$E$2:$E$513,MATCH(K482,Интервалы!$G$2:$G$513,0)))</f>
        <v/>
      </c>
      <c r="G482" s="5">
        <f>IF(K482="","",IF(H482=1,INDEX('По дням'!$B$2:$B$4000,MATCH(C482,'По дням'!$A$2:$A$4000,0)),"по периодам ставки"))</f>
        <v/>
      </c>
      <c r="H482" s="5">
        <f>IF(K482="","",INDEX(Интервалы!$I$2:$I$513,MATCH(K482,Интервалы!$G$2:$G$513,0)))</f>
        <v/>
      </c>
      <c r="I482" s="9">
        <f>IF(K482="","",INDEX(Интервалы!$F$2:$F$513,MATCH(K482,Интервалы!$G$2:$G$513,0)))</f>
        <v/>
      </c>
      <c r="J482" s="9">
        <f>IF(K482="","",INDEX(Интервалы!$H$2:$H$513,MATCH(K482,Интервалы!$G$2:$G$513,0)))</f>
        <v/>
      </c>
      <c r="K482">
        <f>IFERROR(SMALL(Интервалы!$G$2:$G$513,476),"")</f>
        <v/>
      </c>
      <c r="L482">
        <f>IF(K482="","",INDEX(Интервалы!$B$2:$B$513,MATCH(K482,Интервалы!$G$2:$G$513,0)))</f>
        <v/>
      </c>
    </row>
    <row r="483">
      <c r="A483" s="5">
        <f>IF(K483="","",477)</f>
        <v/>
      </c>
      <c r="B483" s="5">
        <f>IF(K483="","",INDEX(Интервалы!$A$2:$A$513,MATCH(K483,Интервалы!$G$2:$G$513,0)))</f>
        <v/>
      </c>
      <c r="C483" s="17">
        <f>IF(K483="","",INDEX(Интервалы!$C$2:$C$513,MATCH(K483,Интервалы!$G$2:$G$513,0)))</f>
        <v/>
      </c>
      <c r="D483" s="17">
        <f>IF(K483="","",INDEX(Интервалы!$D$2:$D$513,MATCH(K483,Интервалы!$G$2:$G$513,0)))</f>
        <v/>
      </c>
      <c r="E483" s="5">
        <f>IF(K483="","",D483-C483+1)</f>
        <v/>
      </c>
      <c r="F483" s="9">
        <f>IF(K483="","",INDEX(Интервалы!$E$2:$E$513,MATCH(K483,Интервалы!$G$2:$G$513,0)))</f>
        <v/>
      </c>
      <c r="G483" s="5">
        <f>IF(K483="","",IF(H483=1,INDEX('По дням'!$B$2:$B$4000,MATCH(C483,'По дням'!$A$2:$A$4000,0)),"по периодам ставки"))</f>
        <v/>
      </c>
      <c r="H483" s="5">
        <f>IF(K483="","",INDEX(Интервалы!$I$2:$I$513,MATCH(K483,Интервалы!$G$2:$G$513,0)))</f>
        <v/>
      </c>
      <c r="I483" s="9">
        <f>IF(K483="","",INDEX(Интервалы!$F$2:$F$513,MATCH(K483,Интервалы!$G$2:$G$513,0)))</f>
        <v/>
      </c>
      <c r="J483" s="9">
        <f>IF(K483="","",INDEX(Интервалы!$H$2:$H$513,MATCH(K483,Интервалы!$G$2:$G$513,0)))</f>
        <v/>
      </c>
      <c r="K483">
        <f>IFERROR(SMALL(Интервалы!$G$2:$G$513,477),"")</f>
        <v/>
      </c>
      <c r="L483">
        <f>IF(K483="","",INDEX(Интервалы!$B$2:$B$513,MATCH(K483,Интервалы!$G$2:$G$513,0)))</f>
        <v/>
      </c>
    </row>
    <row r="484">
      <c r="A484" s="5">
        <f>IF(K484="","",478)</f>
        <v/>
      </c>
      <c r="B484" s="5">
        <f>IF(K484="","",INDEX(Интервалы!$A$2:$A$513,MATCH(K484,Интервалы!$G$2:$G$513,0)))</f>
        <v/>
      </c>
      <c r="C484" s="17">
        <f>IF(K484="","",INDEX(Интервалы!$C$2:$C$513,MATCH(K484,Интервалы!$G$2:$G$513,0)))</f>
        <v/>
      </c>
      <c r="D484" s="17">
        <f>IF(K484="","",INDEX(Интервалы!$D$2:$D$513,MATCH(K484,Интервалы!$G$2:$G$513,0)))</f>
        <v/>
      </c>
      <c r="E484" s="5">
        <f>IF(K484="","",D484-C484+1)</f>
        <v/>
      </c>
      <c r="F484" s="9">
        <f>IF(K484="","",INDEX(Интервалы!$E$2:$E$513,MATCH(K484,Интервалы!$G$2:$G$513,0)))</f>
        <v/>
      </c>
      <c r="G484" s="5">
        <f>IF(K484="","",IF(H484=1,INDEX('По дням'!$B$2:$B$4000,MATCH(C484,'По дням'!$A$2:$A$4000,0)),"по периодам ставки"))</f>
        <v/>
      </c>
      <c r="H484" s="5">
        <f>IF(K484="","",INDEX(Интервалы!$I$2:$I$513,MATCH(K484,Интервалы!$G$2:$G$513,0)))</f>
        <v/>
      </c>
      <c r="I484" s="9">
        <f>IF(K484="","",INDEX(Интервалы!$F$2:$F$513,MATCH(K484,Интервалы!$G$2:$G$513,0)))</f>
        <v/>
      </c>
      <c r="J484" s="9">
        <f>IF(K484="","",INDEX(Интервалы!$H$2:$H$513,MATCH(K484,Интервалы!$G$2:$G$513,0)))</f>
        <v/>
      </c>
      <c r="K484">
        <f>IFERROR(SMALL(Интервалы!$G$2:$G$513,478),"")</f>
        <v/>
      </c>
      <c r="L484">
        <f>IF(K484="","",INDEX(Интервалы!$B$2:$B$513,MATCH(K484,Интервалы!$G$2:$G$513,0)))</f>
        <v/>
      </c>
    </row>
    <row r="485">
      <c r="A485" s="5">
        <f>IF(K485="","",479)</f>
        <v/>
      </c>
      <c r="B485" s="5">
        <f>IF(K485="","",INDEX(Интервалы!$A$2:$A$513,MATCH(K485,Интервалы!$G$2:$G$513,0)))</f>
        <v/>
      </c>
      <c r="C485" s="17">
        <f>IF(K485="","",INDEX(Интервалы!$C$2:$C$513,MATCH(K485,Интервалы!$G$2:$G$513,0)))</f>
        <v/>
      </c>
      <c r="D485" s="17">
        <f>IF(K485="","",INDEX(Интервалы!$D$2:$D$513,MATCH(K485,Интервалы!$G$2:$G$513,0)))</f>
        <v/>
      </c>
      <c r="E485" s="5">
        <f>IF(K485="","",D485-C485+1)</f>
        <v/>
      </c>
      <c r="F485" s="9">
        <f>IF(K485="","",INDEX(Интервалы!$E$2:$E$513,MATCH(K485,Интервалы!$G$2:$G$513,0)))</f>
        <v/>
      </c>
      <c r="G485" s="5">
        <f>IF(K485="","",IF(H485=1,INDEX('По дням'!$B$2:$B$4000,MATCH(C485,'По дням'!$A$2:$A$4000,0)),"по периодам ставки"))</f>
        <v/>
      </c>
      <c r="H485" s="5">
        <f>IF(K485="","",INDEX(Интервалы!$I$2:$I$513,MATCH(K485,Интервалы!$G$2:$G$513,0)))</f>
        <v/>
      </c>
      <c r="I485" s="9">
        <f>IF(K485="","",INDEX(Интервалы!$F$2:$F$513,MATCH(K485,Интервалы!$G$2:$G$513,0)))</f>
        <v/>
      </c>
      <c r="J485" s="9">
        <f>IF(K485="","",INDEX(Интервалы!$H$2:$H$513,MATCH(K485,Интервалы!$G$2:$G$513,0)))</f>
        <v/>
      </c>
      <c r="K485">
        <f>IFERROR(SMALL(Интервалы!$G$2:$G$513,479),"")</f>
        <v/>
      </c>
      <c r="L485">
        <f>IF(K485="","",INDEX(Интервалы!$B$2:$B$513,MATCH(K485,Интервалы!$G$2:$G$513,0)))</f>
        <v/>
      </c>
    </row>
    <row r="486">
      <c r="A486" s="5">
        <f>IF(K486="","",480)</f>
        <v/>
      </c>
      <c r="B486" s="5">
        <f>IF(K486="","",INDEX(Интервалы!$A$2:$A$513,MATCH(K486,Интервалы!$G$2:$G$513,0)))</f>
        <v/>
      </c>
      <c r="C486" s="17">
        <f>IF(K486="","",INDEX(Интервалы!$C$2:$C$513,MATCH(K486,Интервалы!$G$2:$G$513,0)))</f>
        <v/>
      </c>
      <c r="D486" s="17">
        <f>IF(K486="","",INDEX(Интервалы!$D$2:$D$513,MATCH(K486,Интервалы!$G$2:$G$513,0)))</f>
        <v/>
      </c>
      <c r="E486" s="5">
        <f>IF(K486="","",D486-C486+1)</f>
        <v/>
      </c>
      <c r="F486" s="9">
        <f>IF(K486="","",INDEX(Интервалы!$E$2:$E$513,MATCH(K486,Интервалы!$G$2:$G$513,0)))</f>
        <v/>
      </c>
      <c r="G486" s="5">
        <f>IF(K486="","",IF(H486=1,INDEX('По дням'!$B$2:$B$4000,MATCH(C486,'По дням'!$A$2:$A$4000,0)),"по периодам ставки"))</f>
        <v/>
      </c>
      <c r="H486" s="5">
        <f>IF(K486="","",INDEX(Интервалы!$I$2:$I$513,MATCH(K486,Интервалы!$G$2:$G$513,0)))</f>
        <v/>
      </c>
      <c r="I486" s="9">
        <f>IF(K486="","",INDEX(Интервалы!$F$2:$F$513,MATCH(K486,Интервалы!$G$2:$G$513,0)))</f>
        <v/>
      </c>
      <c r="J486" s="9">
        <f>IF(K486="","",INDEX(Интервалы!$H$2:$H$513,MATCH(K486,Интервалы!$G$2:$G$513,0)))</f>
        <v/>
      </c>
      <c r="K486">
        <f>IFERROR(SMALL(Интервалы!$G$2:$G$513,480),"")</f>
        <v/>
      </c>
      <c r="L486">
        <f>IF(K486="","",INDEX(Интервалы!$B$2:$B$513,MATCH(K486,Интервалы!$G$2:$G$513,0)))</f>
        <v/>
      </c>
    </row>
    <row r="487">
      <c r="A487" s="5">
        <f>IF(K487="","",481)</f>
        <v/>
      </c>
      <c r="B487" s="5">
        <f>IF(K487="","",INDEX(Интервалы!$A$2:$A$513,MATCH(K487,Интервалы!$G$2:$G$513,0)))</f>
        <v/>
      </c>
      <c r="C487" s="17">
        <f>IF(K487="","",INDEX(Интервалы!$C$2:$C$513,MATCH(K487,Интервалы!$G$2:$G$513,0)))</f>
        <v/>
      </c>
      <c r="D487" s="17">
        <f>IF(K487="","",INDEX(Интервалы!$D$2:$D$513,MATCH(K487,Интервалы!$G$2:$G$513,0)))</f>
        <v/>
      </c>
      <c r="E487" s="5">
        <f>IF(K487="","",D487-C487+1)</f>
        <v/>
      </c>
      <c r="F487" s="9">
        <f>IF(K487="","",INDEX(Интервалы!$E$2:$E$513,MATCH(K487,Интервалы!$G$2:$G$513,0)))</f>
        <v/>
      </c>
      <c r="G487" s="5">
        <f>IF(K487="","",IF(H487=1,INDEX('По дням'!$B$2:$B$4000,MATCH(C487,'По дням'!$A$2:$A$4000,0)),"по периодам ставки"))</f>
        <v/>
      </c>
      <c r="H487" s="5">
        <f>IF(K487="","",INDEX(Интервалы!$I$2:$I$513,MATCH(K487,Интервалы!$G$2:$G$513,0)))</f>
        <v/>
      </c>
      <c r="I487" s="9">
        <f>IF(K487="","",INDEX(Интервалы!$F$2:$F$513,MATCH(K487,Интервалы!$G$2:$G$513,0)))</f>
        <v/>
      </c>
      <c r="J487" s="9">
        <f>IF(K487="","",INDEX(Интервалы!$H$2:$H$513,MATCH(K487,Интервалы!$G$2:$G$513,0)))</f>
        <v/>
      </c>
      <c r="K487">
        <f>IFERROR(SMALL(Интервалы!$G$2:$G$513,481),"")</f>
        <v/>
      </c>
      <c r="L487">
        <f>IF(K487="","",INDEX(Интервалы!$B$2:$B$513,MATCH(K487,Интервалы!$G$2:$G$513,0)))</f>
        <v/>
      </c>
    </row>
    <row r="488">
      <c r="A488" s="5">
        <f>IF(K488="","",482)</f>
        <v/>
      </c>
      <c r="B488" s="5">
        <f>IF(K488="","",INDEX(Интервалы!$A$2:$A$513,MATCH(K488,Интервалы!$G$2:$G$513,0)))</f>
        <v/>
      </c>
      <c r="C488" s="17">
        <f>IF(K488="","",INDEX(Интервалы!$C$2:$C$513,MATCH(K488,Интервалы!$G$2:$G$513,0)))</f>
        <v/>
      </c>
      <c r="D488" s="17">
        <f>IF(K488="","",INDEX(Интервалы!$D$2:$D$513,MATCH(K488,Интервалы!$G$2:$G$513,0)))</f>
        <v/>
      </c>
      <c r="E488" s="5">
        <f>IF(K488="","",D488-C488+1)</f>
        <v/>
      </c>
      <c r="F488" s="9">
        <f>IF(K488="","",INDEX(Интервалы!$E$2:$E$513,MATCH(K488,Интервалы!$G$2:$G$513,0)))</f>
        <v/>
      </c>
      <c r="G488" s="5">
        <f>IF(K488="","",IF(H488=1,INDEX('По дням'!$B$2:$B$4000,MATCH(C488,'По дням'!$A$2:$A$4000,0)),"по периодам ставки"))</f>
        <v/>
      </c>
      <c r="H488" s="5">
        <f>IF(K488="","",INDEX(Интервалы!$I$2:$I$513,MATCH(K488,Интервалы!$G$2:$G$513,0)))</f>
        <v/>
      </c>
      <c r="I488" s="9">
        <f>IF(K488="","",INDEX(Интервалы!$F$2:$F$513,MATCH(K488,Интервалы!$G$2:$G$513,0)))</f>
        <v/>
      </c>
      <c r="J488" s="9">
        <f>IF(K488="","",INDEX(Интервалы!$H$2:$H$513,MATCH(K488,Интервалы!$G$2:$G$513,0)))</f>
        <v/>
      </c>
      <c r="K488">
        <f>IFERROR(SMALL(Интервалы!$G$2:$G$513,482),"")</f>
        <v/>
      </c>
      <c r="L488">
        <f>IF(K488="","",INDEX(Интервалы!$B$2:$B$513,MATCH(K488,Интервалы!$G$2:$G$513,0)))</f>
        <v/>
      </c>
    </row>
    <row r="489">
      <c r="A489" s="5">
        <f>IF(K489="","",483)</f>
        <v/>
      </c>
      <c r="B489" s="5">
        <f>IF(K489="","",INDEX(Интервалы!$A$2:$A$513,MATCH(K489,Интервалы!$G$2:$G$513,0)))</f>
        <v/>
      </c>
      <c r="C489" s="17">
        <f>IF(K489="","",INDEX(Интервалы!$C$2:$C$513,MATCH(K489,Интервалы!$G$2:$G$513,0)))</f>
        <v/>
      </c>
      <c r="D489" s="17">
        <f>IF(K489="","",INDEX(Интервалы!$D$2:$D$513,MATCH(K489,Интервалы!$G$2:$G$513,0)))</f>
        <v/>
      </c>
      <c r="E489" s="5">
        <f>IF(K489="","",D489-C489+1)</f>
        <v/>
      </c>
      <c r="F489" s="9">
        <f>IF(K489="","",INDEX(Интервалы!$E$2:$E$513,MATCH(K489,Интервалы!$G$2:$G$513,0)))</f>
        <v/>
      </c>
      <c r="G489" s="5">
        <f>IF(K489="","",IF(H489=1,INDEX('По дням'!$B$2:$B$4000,MATCH(C489,'По дням'!$A$2:$A$4000,0)),"по периодам ставки"))</f>
        <v/>
      </c>
      <c r="H489" s="5">
        <f>IF(K489="","",INDEX(Интервалы!$I$2:$I$513,MATCH(K489,Интервалы!$G$2:$G$513,0)))</f>
        <v/>
      </c>
      <c r="I489" s="9">
        <f>IF(K489="","",INDEX(Интервалы!$F$2:$F$513,MATCH(K489,Интервалы!$G$2:$G$513,0)))</f>
        <v/>
      </c>
      <c r="J489" s="9">
        <f>IF(K489="","",INDEX(Интервалы!$H$2:$H$513,MATCH(K489,Интервалы!$G$2:$G$513,0)))</f>
        <v/>
      </c>
      <c r="K489">
        <f>IFERROR(SMALL(Интервалы!$G$2:$G$513,483),"")</f>
        <v/>
      </c>
      <c r="L489">
        <f>IF(K489="","",INDEX(Интервалы!$B$2:$B$513,MATCH(K489,Интервалы!$G$2:$G$513,0)))</f>
        <v/>
      </c>
    </row>
    <row r="490">
      <c r="A490" s="5">
        <f>IF(K490="","",484)</f>
        <v/>
      </c>
      <c r="B490" s="5">
        <f>IF(K490="","",INDEX(Интервалы!$A$2:$A$513,MATCH(K490,Интервалы!$G$2:$G$513,0)))</f>
        <v/>
      </c>
      <c r="C490" s="17">
        <f>IF(K490="","",INDEX(Интервалы!$C$2:$C$513,MATCH(K490,Интервалы!$G$2:$G$513,0)))</f>
        <v/>
      </c>
      <c r="D490" s="17">
        <f>IF(K490="","",INDEX(Интервалы!$D$2:$D$513,MATCH(K490,Интервалы!$G$2:$G$513,0)))</f>
        <v/>
      </c>
      <c r="E490" s="5">
        <f>IF(K490="","",D490-C490+1)</f>
        <v/>
      </c>
      <c r="F490" s="9">
        <f>IF(K490="","",INDEX(Интервалы!$E$2:$E$513,MATCH(K490,Интервалы!$G$2:$G$513,0)))</f>
        <v/>
      </c>
      <c r="G490" s="5">
        <f>IF(K490="","",IF(H490=1,INDEX('По дням'!$B$2:$B$4000,MATCH(C490,'По дням'!$A$2:$A$4000,0)),"по периодам ставки"))</f>
        <v/>
      </c>
      <c r="H490" s="5">
        <f>IF(K490="","",INDEX(Интервалы!$I$2:$I$513,MATCH(K490,Интервалы!$G$2:$G$513,0)))</f>
        <v/>
      </c>
      <c r="I490" s="9">
        <f>IF(K490="","",INDEX(Интервалы!$F$2:$F$513,MATCH(K490,Интервалы!$G$2:$G$513,0)))</f>
        <v/>
      </c>
      <c r="J490" s="9">
        <f>IF(K490="","",INDEX(Интервалы!$H$2:$H$513,MATCH(K490,Интервалы!$G$2:$G$513,0)))</f>
        <v/>
      </c>
      <c r="K490">
        <f>IFERROR(SMALL(Интервалы!$G$2:$G$513,484),"")</f>
        <v/>
      </c>
      <c r="L490">
        <f>IF(K490="","",INDEX(Интервалы!$B$2:$B$513,MATCH(K490,Интервалы!$G$2:$G$513,0)))</f>
        <v/>
      </c>
    </row>
    <row r="491">
      <c r="A491" s="5">
        <f>IF(K491="","",485)</f>
        <v/>
      </c>
      <c r="B491" s="5">
        <f>IF(K491="","",INDEX(Интервалы!$A$2:$A$513,MATCH(K491,Интервалы!$G$2:$G$513,0)))</f>
        <v/>
      </c>
      <c r="C491" s="17">
        <f>IF(K491="","",INDEX(Интервалы!$C$2:$C$513,MATCH(K491,Интервалы!$G$2:$G$513,0)))</f>
        <v/>
      </c>
      <c r="D491" s="17">
        <f>IF(K491="","",INDEX(Интервалы!$D$2:$D$513,MATCH(K491,Интервалы!$G$2:$G$513,0)))</f>
        <v/>
      </c>
      <c r="E491" s="5">
        <f>IF(K491="","",D491-C491+1)</f>
        <v/>
      </c>
      <c r="F491" s="9">
        <f>IF(K491="","",INDEX(Интервалы!$E$2:$E$513,MATCH(K491,Интервалы!$G$2:$G$513,0)))</f>
        <v/>
      </c>
      <c r="G491" s="5">
        <f>IF(K491="","",IF(H491=1,INDEX('По дням'!$B$2:$B$4000,MATCH(C491,'По дням'!$A$2:$A$4000,0)),"по периодам ставки"))</f>
        <v/>
      </c>
      <c r="H491" s="5">
        <f>IF(K491="","",INDEX(Интервалы!$I$2:$I$513,MATCH(K491,Интервалы!$G$2:$G$513,0)))</f>
        <v/>
      </c>
      <c r="I491" s="9">
        <f>IF(K491="","",INDEX(Интервалы!$F$2:$F$513,MATCH(K491,Интервалы!$G$2:$G$513,0)))</f>
        <v/>
      </c>
      <c r="J491" s="9">
        <f>IF(K491="","",INDEX(Интервалы!$H$2:$H$513,MATCH(K491,Интервалы!$G$2:$G$513,0)))</f>
        <v/>
      </c>
      <c r="K491">
        <f>IFERROR(SMALL(Интервалы!$G$2:$G$513,485),"")</f>
        <v/>
      </c>
      <c r="L491">
        <f>IF(K491="","",INDEX(Интервалы!$B$2:$B$513,MATCH(K491,Интервалы!$G$2:$G$513,0)))</f>
        <v/>
      </c>
    </row>
    <row r="492">
      <c r="A492" s="5">
        <f>IF(K492="","",486)</f>
        <v/>
      </c>
      <c r="B492" s="5">
        <f>IF(K492="","",INDEX(Интервалы!$A$2:$A$513,MATCH(K492,Интервалы!$G$2:$G$513,0)))</f>
        <v/>
      </c>
      <c r="C492" s="17">
        <f>IF(K492="","",INDEX(Интервалы!$C$2:$C$513,MATCH(K492,Интервалы!$G$2:$G$513,0)))</f>
        <v/>
      </c>
      <c r="D492" s="17">
        <f>IF(K492="","",INDEX(Интервалы!$D$2:$D$513,MATCH(K492,Интервалы!$G$2:$G$513,0)))</f>
        <v/>
      </c>
      <c r="E492" s="5">
        <f>IF(K492="","",D492-C492+1)</f>
        <v/>
      </c>
      <c r="F492" s="9">
        <f>IF(K492="","",INDEX(Интервалы!$E$2:$E$513,MATCH(K492,Интервалы!$G$2:$G$513,0)))</f>
        <v/>
      </c>
      <c r="G492" s="5">
        <f>IF(K492="","",IF(H492=1,INDEX('По дням'!$B$2:$B$4000,MATCH(C492,'По дням'!$A$2:$A$4000,0)),"по периодам ставки"))</f>
        <v/>
      </c>
      <c r="H492" s="5">
        <f>IF(K492="","",INDEX(Интервалы!$I$2:$I$513,MATCH(K492,Интервалы!$G$2:$G$513,0)))</f>
        <v/>
      </c>
      <c r="I492" s="9">
        <f>IF(K492="","",INDEX(Интервалы!$F$2:$F$513,MATCH(K492,Интервалы!$G$2:$G$513,0)))</f>
        <v/>
      </c>
      <c r="J492" s="9">
        <f>IF(K492="","",INDEX(Интервалы!$H$2:$H$513,MATCH(K492,Интервалы!$G$2:$G$513,0)))</f>
        <v/>
      </c>
      <c r="K492">
        <f>IFERROR(SMALL(Интервалы!$G$2:$G$513,486),"")</f>
        <v/>
      </c>
      <c r="L492">
        <f>IF(K492="","",INDEX(Интервалы!$B$2:$B$513,MATCH(K492,Интервалы!$G$2:$G$513,0)))</f>
        <v/>
      </c>
    </row>
    <row r="493">
      <c r="A493" s="5">
        <f>IF(K493="","",487)</f>
        <v/>
      </c>
      <c r="B493" s="5">
        <f>IF(K493="","",INDEX(Интервалы!$A$2:$A$513,MATCH(K493,Интервалы!$G$2:$G$513,0)))</f>
        <v/>
      </c>
      <c r="C493" s="17">
        <f>IF(K493="","",INDEX(Интервалы!$C$2:$C$513,MATCH(K493,Интервалы!$G$2:$G$513,0)))</f>
        <v/>
      </c>
      <c r="D493" s="17">
        <f>IF(K493="","",INDEX(Интервалы!$D$2:$D$513,MATCH(K493,Интервалы!$G$2:$G$513,0)))</f>
        <v/>
      </c>
      <c r="E493" s="5">
        <f>IF(K493="","",D493-C493+1)</f>
        <v/>
      </c>
      <c r="F493" s="9">
        <f>IF(K493="","",INDEX(Интервалы!$E$2:$E$513,MATCH(K493,Интервалы!$G$2:$G$513,0)))</f>
        <v/>
      </c>
      <c r="G493" s="5">
        <f>IF(K493="","",IF(H493=1,INDEX('По дням'!$B$2:$B$4000,MATCH(C493,'По дням'!$A$2:$A$4000,0)),"по периодам ставки"))</f>
        <v/>
      </c>
      <c r="H493" s="5">
        <f>IF(K493="","",INDEX(Интервалы!$I$2:$I$513,MATCH(K493,Интервалы!$G$2:$G$513,0)))</f>
        <v/>
      </c>
      <c r="I493" s="9">
        <f>IF(K493="","",INDEX(Интервалы!$F$2:$F$513,MATCH(K493,Интервалы!$G$2:$G$513,0)))</f>
        <v/>
      </c>
      <c r="J493" s="9">
        <f>IF(K493="","",INDEX(Интервалы!$H$2:$H$513,MATCH(K493,Интервалы!$G$2:$G$513,0)))</f>
        <v/>
      </c>
      <c r="K493">
        <f>IFERROR(SMALL(Интервалы!$G$2:$G$513,487),"")</f>
        <v/>
      </c>
      <c r="L493">
        <f>IF(K493="","",INDEX(Интервалы!$B$2:$B$513,MATCH(K493,Интервалы!$G$2:$G$513,0)))</f>
        <v/>
      </c>
    </row>
    <row r="494">
      <c r="A494" s="5">
        <f>IF(K494="","",488)</f>
        <v/>
      </c>
      <c r="B494" s="5">
        <f>IF(K494="","",INDEX(Интервалы!$A$2:$A$513,MATCH(K494,Интервалы!$G$2:$G$513,0)))</f>
        <v/>
      </c>
      <c r="C494" s="17">
        <f>IF(K494="","",INDEX(Интервалы!$C$2:$C$513,MATCH(K494,Интервалы!$G$2:$G$513,0)))</f>
        <v/>
      </c>
      <c r="D494" s="17">
        <f>IF(K494="","",INDEX(Интервалы!$D$2:$D$513,MATCH(K494,Интервалы!$G$2:$G$513,0)))</f>
        <v/>
      </c>
      <c r="E494" s="5">
        <f>IF(K494="","",D494-C494+1)</f>
        <v/>
      </c>
      <c r="F494" s="9">
        <f>IF(K494="","",INDEX(Интервалы!$E$2:$E$513,MATCH(K494,Интервалы!$G$2:$G$513,0)))</f>
        <v/>
      </c>
      <c r="G494" s="5">
        <f>IF(K494="","",IF(H494=1,INDEX('По дням'!$B$2:$B$4000,MATCH(C494,'По дням'!$A$2:$A$4000,0)),"по периодам ставки"))</f>
        <v/>
      </c>
      <c r="H494" s="5">
        <f>IF(K494="","",INDEX(Интервалы!$I$2:$I$513,MATCH(K494,Интервалы!$G$2:$G$513,0)))</f>
        <v/>
      </c>
      <c r="I494" s="9">
        <f>IF(K494="","",INDEX(Интервалы!$F$2:$F$513,MATCH(K494,Интервалы!$G$2:$G$513,0)))</f>
        <v/>
      </c>
      <c r="J494" s="9">
        <f>IF(K494="","",INDEX(Интервалы!$H$2:$H$513,MATCH(K494,Интервалы!$G$2:$G$513,0)))</f>
        <v/>
      </c>
      <c r="K494">
        <f>IFERROR(SMALL(Интервалы!$G$2:$G$513,488),"")</f>
        <v/>
      </c>
      <c r="L494">
        <f>IF(K494="","",INDEX(Интервалы!$B$2:$B$513,MATCH(K494,Интервалы!$G$2:$G$513,0)))</f>
        <v/>
      </c>
    </row>
    <row r="495">
      <c r="A495" s="5">
        <f>IF(K495="","",489)</f>
        <v/>
      </c>
      <c r="B495" s="5">
        <f>IF(K495="","",INDEX(Интервалы!$A$2:$A$513,MATCH(K495,Интервалы!$G$2:$G$513,0)))</f>
        <v/>
      </c>
      <c r="C495" s="17">
        <f>IF(K495="","",INDEX(Интервалы!$C$2:$C$513,MATCH(K495,Интервалы!$G$2:$G$513,0)))</f>
        <v/>
      </c>
      <c r="D495" s="17">
        <f>IF(K495="","",INDEX(Интервалы!$D$2:$D$513,MATCH(K495,Интервалы!$G$2:$G$513,0)))</f>
        <v/>
      </c>
      <c r="E495" s="5">
        <f>IF(K495="","",D495-C495+1)</f>
        <v/>
      </c>
      <c r="F495" s="9">
        <f>IF(K495="","",INDEX(Интервалы!$E$2:$E$513,MATCH(K495,Интервалы!$G$2:$G$513,0)))</f>
        <v/>
      </c>
      <c r="G495" s="5">
        <f>IF(K495="","",IF(H495=1,INDEX('По дням'!$B$2:$B$4000,MATCH(C495,'По дням'!$A$2:$A$4000,0)),"по периодам ставки"))</f>
        <v/>
      </c>
      <c r="H495" s="5">
        <f>IF(K495="","",INDEX(Интервалы!$I$2:$I$513,MATCH(K495,Интервалы!$G$2:$G$513,0)))</f>
        <v/>
      </c>
      <c r="I495" s="9">
        <f>IF(K495="","",INDEX(Интервалы!$F$2:$F$513,MATCH(K495,Интервалы!$G$2:$G$513,0)))</f>
        <v/>
      </c>
      <c r="J495" s="9">
        <f>IF(K495="","",INDEX(Интервалы!$H$2:$H$513,MATCH(K495,Интервалы!$G$2:$G$513,0)))</f>
        <v/>
      </c>
      <c r="K495">
        <f>IFERROR(SMALL(Интервалы!$G$2:$G$513,489),"")</f>
        <v/>
      </c>
      <c r="L495">
        <f>IF(K495="","",INDEX(Интервалы!$B$2:$B$513,MATCH(K495,Интервалы!$G$2:$G$513,0)))</f>
        <v/>
      </c>
    </row>
    <row r="496">
      <c r="A496" s="5">
        <f>IF(K496="","",490)</f>
        <v/>
      </c>
      <c r="B496" s="5">
        <f>IF(K496="","",INDEX(Интервалы!$A$2:$A$513,MATCH(K496,Интервалы!$G$2:$G$513,0)))</f>
        <v/>
      </c>
      <c r="C496" s="17">
        <f>IF(K496="","",INDEX(Интервалы!$C$2:$C$513,MATCH(K496,Интервалы!$G$2:$G$513,0)))</f>
        <v/>
      </c>
      <c r="D496" s="17">
        <f>IF(K496="","",INDEX(Интервалы!$D$2:$D$513,MATCH(K496,Интервалы!$G$2:$G$513,0)))</f>
        <v/>
      </c>
      <c r="E496" s="5">
        <f>IF(K496="","",D496-C496+1)</f>
        <v/>
      </c>
      <c r="F496" s="9">
        <f>IF(K496="","",INDEX(Интервалы!$E$2:$E$513,MATCH(K496,Интервалы!$G$2:$G$513,0)))</f>
        <v/>
      </c>
      <c r="G496" s="5">
        <f>IF(K496="","",IF(H496=1,INDEX('По дням'!$B$2:$B$4000,MATCH(C496,'По дням'!$A$2:$A$4000,0)),"по периодам ставки"))</f>
        <v/>
      </c>
      <c r="H496" s="5">
        <f>IF(K496="","",INDEX(Интервалы!$I$2:$I$513,MATCH(K496,Интервалы!$G$2:$G$513,0)))</f>
        <v/>
      </c>
      <c r="I496" s="9">
        <f>IF(K496="","",INDEX(Интервалы!$F$2:$F$513,MATCH(K496,Интервалы!$G$2:$G$513,0)))</f>
        <v/>
      </c>
      <c r="J496" s="9">
        <f>IF(K496="","",INDEX(Интервалы!$H$2:$H$513,MATCH(K496,Интервалы!$G$2:$G$513,0)))</f>
        <v/>
      </c>
      <c r="K496">
        <f>IFERROR(SMALL(Интервалы!$G$2:$G$513,490),"")</f>
        <v/>
      </c>
      <c r="L496">
        <f>IF(K496="","",INDEX(Интервалы!$B$2:$B$513,MATCH(K496,Интервалы!$G$2:$G$513,0)))</f>
        <v/>
      </c>
    </row>
    <row r="497">
      <c r="A497" s="5">
        <f>IF(K497="","",491)</f>
        <v/>
      </c>
      <c r="B497" s="5">
        <f>IF(K497="","",INDEX(Интервалы!$A$2:$A$513,MATCH(K497,Интервалы!$G$2:$G$513,0)))</f>
        <v/>
      </c>
      <c r="C497" s="17">
        <f>IF(K497="","",INDEX(Интервалы!$C$2:$C$513,MATCH(K497,Интервалы!$G$2:$G$513,0)))</f>
        <v/>
      </c>
      <c r="D497" s="17">
        <f>IF(K497="","",INDEX(Интервалы!$D$2:$D$513,MATCH(K497,Интервалы!$G$2:$G$513,0)))</f>
        <v/>
      </c>
      <c r="E497" s="5">
        <f>IF(K497="","",D497-C497+1)</f>
        <v/>
      </c>
      <c r="F497" s="9">
        <f>IF(K497="","",INDEX(Интервалы!$E$2:$E$513,MATCH(K497,Интервалы!$G$2:$G$513,0)))</f>
        <v/>
      </c>
      <c r="G497" s="5">
        <f>IF(K497="","",IF(H497=1,INDEX('По дням'!$B$2:$B$4000,MATCH(C497,'По дням'!$A$2:$A$4000,0)),"по периодам ставки"))</f>
        <v/>
      </c>
      <c r="H497" s="5">
        <f>IF(K497="","",INDEX(Интервалы!$I$2:$I$513,MATCH(K497,Интервалы!$G$2:$G$513,0)))</f>
        <v/>
      </c>
      <c r="I497" s="9">
        <f>IF(K497="","",INDEX(Интервалы!$F$2:$F$513,MATCH(K497,Интервалы!$G$2:$G$513,0)))</f>
        <v/>
      </c>
      <c r="J497" s="9">
        <f>IF(K497="","",INDEX(Интервалы!$H$2:$H$513,MATCH(K497,Интервалы!$G$2:$G$513,0)))</f>
        <v/>
      </c>
      <c r="K497">
        <f>IFERROR(SMALL(Интервалы!$G$2:$G$513,491),"")</f>
        <v/>
      </c>
      <c r="L497">
        <f>IF(K497="","",INDEX(Интервалы!$B$2:$B$513,MATCH(K497,Интервалы!$G$2:$G$513,0)))</f>
        <v/>
      </c>
    </row>
    <row r="498">
      <c r="A498" s="5">
        <f>IF(K498="","",492)</f>
        <v/>
      </c>
      <c r="B498" s="5">
        <f>IF(K498="","",INDEX(Интервалы!$A$2:$A$513,MATCH(K498,Интервалы!$G$2:$G$513,0)))</f>
        <v/>
      </c>
      <c r="C498" s="17">
        <f>IF(K498="","",INDEX(Интервалы!$C$2:$C$513,MATCH(K498,Интервалы!$G$2:$G$513,0)))</f>
        <v/>
      </c>
      <c r="D498" s="17">
        <f>IF(K498="","",INDEX(Интервалы!$D$2:$D$513,MATCH(K498,Интервалы!$G$2:$G$513,0)))</f>
        <v/>
      </c>
      <c r="E498" s="5">
        <f>IF(K498="","",D498-C498+1)</f>
        <v/>
      </c>
      <c r="F498" s="9">
        <f>IF(K498="","",INDEX(Интервалы!$E$2:$E$513,MATCH(K498,Интервалы!$G$2:$G$513,0)))</f>
        <v/>
      </c>
      <c r="G498" s="5">
        <f>IF(K498="","",IF(H498=1,INDEX('По дням'!$B$2:$B$4000,MATCH(C498,'По дням'!$A$2:$A$4000,0)),"по периодам ставки"))</f>
        <v/>
      </c>
      <c r="H498" s="5">
        <f>IF(K498="","",INDEX(Интервалы!$I$2:$I$513,MATCH(K498,Интервалы!$G$2:$G$513,0)))</f>
        <v/>
      </c>
      <c r="I498" s="9">
        <f>IF(K498="","",INDEX(Интервалы!$F$2:$F$513,MATCH(K498,Интервалы!$G$2:$G$513,0)))</f>
        <v/>
      </c>
      <c r="J498" s="9">
        <f>IF(K498="","",INDEX(Интервалы!$H$2:$H$513,MATCH(K498,Интервалы!$G$2:$G$513,0)))</f>
        <v/>
      </c>
      <c r="K498">
        <f>IFERROR(SMALL(Интервалы!$G$2:$G$513,492),"")</f>
        <v/>
      </c>
      <c r="L498">
        <f>IF(K498="","",INDEX(Интервалы!$B$2:$B$513,MATCH(K498,Интервалы!$G$2:$G$513,0)))</f>
        <v/>
      </c>
    </row>
    <row r="499">
      <c r="A499" s="5">
        <f>IF(K499="","",493)</f>
        <v/>
      </c>
      <c r="B499" s="5">
        <f>IF(K499="","",INDEX(Интервалы!$A$2:$A$513,MATCH(K499,Интервалы!$G$2:$G$513,0)))</f>
        <v/>
      </c>
      <c r="C499" s="17">
        <f>IF(K499="","",INDEX(Интервалы!$C$2:$C$513,MATCH(K499,Интервалы!$G$2:$G$513,0)))</f>
        <v/>
      </c>
      <c r="D499" s="17">
        <f>IF(K499="","",INDEX(Интервалы!$D$2:$D$513,MATCH(K499,Интервалы!$G$2:$G$513,0)))</f>
        <v/>
      </c>
      <c r="E499" s="5">
        <f>IF(K499="","",D499-C499+1)</f>
        <v/>
      </c>
      <c r="F499" s="9">
        <f>IF(K499="","",INDEX(Интервалы!$E$2:$E$513,MATCH(K499,Интервалы!$G$2:$G$513,0)))</f>
        <v/>
      </c>
      <c r="G499" s="5">
        <f>IF(K499="","",IF(H499=1,INDEX('По дням'!$B$2:$B$4000,MATCH(C499,'По дням'!$A$2:$A$4000,0)),"по периодам ставки"))</f>
        <v/>
      </c>
      <c r="H499" s="5">
        <f>IF(K499="","",INDEX(Интервалы!$I$2:$I$513,MATCH(K499,Интервалы!$G$2:$G$513,0)))</f>
        <v/>
      </c>
      <c r="I499" s="9">
        <f>IF(K499="","",INDEX(Интервалы!$F$2:$F$513,MATCH(K499,Интервалы!$G$2:$G$513,0)))</f>
        <v/>
      </c>
      <c r="J499" s="9">
        <f>IF(K499="","",INDEX(Интервалы!$H$2:$H$513,MATCH(K499,Интервалы!$G$2:$G$513,0)))</f>
        <v/>
      </c>
      <c r="K499">
        <f>IFERROR(SMALL(Интервалы!$G$2:$G$513,493),"")</f>
        <v/>
      </c>
      <c r="L499">
        <f>IF(K499="","",INDEX(Интервалы!$B$2:$B$513,MATCH(K499,Интервалы!$G$2:$G$513,0)))</f>
        <v/>
      </c>
    </row>
    <row r="500">
      <c r="A500" s="5">
        <f>IF(K500="","",494)</f>
        <v/>
      </c>
      <c r="B500" s="5">
        <f>IF(K500="","",INDEX(Интервалы!$A$2:$A$513,MATCH(K500,Интервалы!$G$2:$G$513,0)))</f>
        <v/>
      </c>
      <c r="C500" s="17">
        <f>IF(K500="","",INDEX(Интервалы!$C$2:$C$513,MATCH(K500,Интервалы!$G$2:$G$513,0)))</f>
        <v/>
      </c>
      <c r="D500" s="17">
        <f>IF(K500="","",INDEX(Интервалы!$D$2:$D$513,MATCH(K500,Интервалы!$G$2:$G$513,0)))</f>
        <v/>
      </c>
      <c r="E500" s="5">
        <f>IF(K500="","",D500-C500+1)</f>
        <v/>
      </c>
      <c r="F500" s="9">
        <f>IF(K500="","",INDEX(Интервалы!$E$2:$E$513,MATCH(K500,Интервалы!$G$2:$G$513,0)))</f>
        <v/>
      </c>
      <c r="G500" s="5">
        <f>IF(K500="","",IF(H500=1,INDEX('По дням'!$B$2:$B$4000,MATCH(C500,'По дням'!$A$2:$A$4000,0)),"по периодам ставки"))</f>
        <v/>
      </c>
      <c r="H500" s="5">
        <f>IF(K500="","",INDEX(Интервалы!$I$2:$I$513,MATCH(K500,Интервалы!$G$2:$G$513,0)))</f>
        <v/>
      </c>
      <c r="I500" s="9">
        <f>IF(K500="","",INDEX(Интервалы!$F$2:$F$513,MATCH(K500,Интервалы!$G$2:$G$513,0)))</f>
        <v/>
      </c>
      <c r="J500" s="9">
        <f>IF(K500="","",INDEX(Интервалы!$H$2:$H$513,MATCH(K500,Интервалы!$G$2:$G$513,0)))</f>
        <v/>
      </c>
      <c r="K500">
        <f>IFERROR(SMALL(Интервалы!$G$2:$G$513,494),"")</f>
        <v/>
      </c>
      <c r="L500">
        <f>IF(K500="","",INDEX(Интервалы!$B$2:$B$513,MATCH(K500,Интервалы!$G$2:$G$513,0)))</f>
        <v/>
      </c>
    </row>
    <row r="501">
      <c r="A501" s="5">
        <f>IF(K501="","",495)</f>
        <v/>
      </c>
      <c r="B501" s="5">
        <f>IF(K501="","",INDEX(Интервалы!$A$2:$A$513,MATCH(K501,Интервалы!$G$2:$G$513,0)))</f>
        <v/>
      </c>
      <c r="C501" s="17">
        <f>IF(K501="","",INDEX(Интервалы!$C$2:$C$513,MATCH(K501,Интервалы!$G$2:$G$513,0)))</f>
        <v/>
      </c>
      <c r="D501" s="17">
        <f>IF(K501="","",INDEX(Интервалы!$D$2:$D$513,MATCH(K501,Интервалы!$G$2:$G$513,0)))</f>
        <v/>
      </c>
      <c r="E501" s="5">
        <f>IF(K501="","",D501-C501+1)</f>
        <v/>
      </c>
      <c r="F501" s="9">
        <f>IF(K501="","",INDEX(Интервалы!$E$2:$E$513,MATCH(K501,Интервалы!$G$2:$G$513,0)))</f>
        <v/>
      </c>
      <c r="G501" s="5">
        <f>IF(K501="","",IF(H501=1,INDEX('По дням'!$B$2:$B$4000,MATCH(C501,'По дням'!$A$2:$A$4000,0)),"по периодам ставки"))</f>
        <v/>
      </c>
      <c r="H501" s="5">
        <f>IF(K501="","",INDEX(Интервалы!$I$2:$I$513,MATCH(K501,Интервалы!$G$2:$G$513,0)))</f>
        <v/>
      </c>
      <c r="I501" s="9">
        <f>IF(K501="","",INDEX(Интервалы!$F$2:$F$513,MATCH(K501,Интервалы!$G$2:$G$513,0)))</f>
        <v/>
      </c>
      <c r="J501" s="9">
        <f>IF(K501="","",INDEX(Интервалы!$H$2:$H$513,MATCH(K501,Интервалы!$G$2:$G$513,0)))</f>
        <v/>
      </c>
      <c r="K501">
        <f>IFERROR(SMALL(Интервалы!$G$2:$G$513,495),"")</f>
        <v/>
      </c>
      <c r="L501">
        <f>IF(K501="","",INDEX(Интервалы!$B$2:$B$513,MATCH(K501,Интервалы!$G$2:$G$513,0)))</f>
        <v/>
      </c>
    </row>
    <row r="502">
      <c r="A502" s="5">
        <f>IF(K502="","",496)</f>
        <v/>
      </c>
      <c r="B502" s="5">
        <f>IF(K502="","",INDEX(Интервалы!$A$2:$A$513,MATCH(K502,Интервалы!$G$2:$G$513,0)))</f>
        <v/>
      </c>
      <c r="C502" s="17">
        <f>IF(K502="","",INDEX(Интервалы!$C$2:$C$513,MATCH(K502,Интервалы!$G$2:$G$513,0)))</f>
        <v/>
      </c>
      <c r="D502" s="17">
        <f>IF(K502="","",INDEX(Интервалы!$D$2:$D$513,MATCH(K502,Интервалы!$G$2:$G$513,0)))</f>
        <v/>
      </c>
      <c r="E502" s="5">
        <f>IF(K502="","",D502-C502+1)</f>
        <v/>
      </c>
      <c r="F502" s="9">
        <f>IF(K502="","",INDEX(Интервалы!$E$2:$E$513,MATCH(K502,Интервалы!$G$2:$G$513,0)))</f>
        <v/>
      </c>
      <c r="G502" s="5">
        <f>IF(K502="","",IF(H502=1,INDEX('По дням'!$B$2:$B$4000,MATCH(C502,'По дням'!$A$2:$A$4000,0)),"по периодам ставки"))</f>
        <v/>
      </c>
      <c r="H502" s="5">
        <f>IF(K502="","",INDEX(Интервалы!$I$2:$I$513,MATCH(K502,Интервалы!$G$2:$G$513,0)))</f>
        <v/>
      </c>
      <c r="I502" s="9">
        <f>IF(K502="","",INDEX(Интервалы!$F$2:$F$513,MATCH(K502,Интервалы!$G$2:$G$513,0)))</f>
        <v/>
      </c>
      <c r="J502" s="9">
        <f>IF(K502="","",INDEX(Интервалы!$H$2:$H$513,MATCH(K502,Интервалы!$G$2:$G$513,0)))</f>
        <v/>
      </c>
      <c r="K502">
        <f>IFERROR(SMALL(Интервалы!$G$2:$G$513,496),"")</f>
        <v/>
      </c>
      <c r="L502">
        <f>IF(K502="","",INDEX(Интервалы!$B$2:$B$513,MATCH(K502,Интервалы!$G$2:$G$513,0)))</f>
        <v/>
      </c>
    </row>
    <row r="503">
      <c r="A503" s="5">
        <f>IF(K503="","",497)</f>
        <v/>
      </c>
      <c r="B503" s="5">
        <f>IF(K503="","",INDEX(Интервалы!$A$2:$A$513,MATCH(K503,Интервалы!$G$2:$G$513,0)))</f>
        <v/>
      </c>
      <c r="C503" s="17">
        <f>IF(K503="","",INDEX(Интервалы!$C$2:$C$513,MATCH(K503,Интервалы!$G$2:$G$513,0)))</f>
        <v/>
      </c>
      <c r="D503" s="17">
        <f>IF(K503="","",INDEX(Интервалы!$D$2:$D$513,MATCH(K503,Интервалы!$G$2:$G$513,0)))</f>
        <v/>
      </c>
      <c r="E503" s="5">
        <f>IF(K503="","",D503-C503+1)</f>
        <v/>
      </c>
      <c r="F503" s="9">
        <f>IF(K503="","",INDEX(Интервалы!$E$2:$E$513,MATCH(K503,Интервалы!$G$2:$G$513,0)))</f>
        <v/>
      </c>
      <c r="G503" s="5">
        <f>IF(K503="","",IF(H503=1,INDEX('По дням'!$B$2:$B$4000,MATCH(C503,'По дням'!$A$2:$A$4000,0)),"по периодам ставки"))</f>
        <v/>
      </c>
      <c r="H503" s="5">
        <f>IF(K503="","",INDEX(Интервалы!$I$2:$I$513,MATCH(K503,Интервалы!$G$2:$G$513,0)))</f>
        <v/>
      </c>
      <c r="I503" s="9">
        <f>IF(K503="","",INDEX(Интервалы!$F$2:$F$513,MATCH(K503,Интервалы!$G$2:$G$513,0)))</f>
        <v/>
      </c>
      <c r="J503" s="9">
        <f>IF(K503="","",INDEX(Интервалы!$H$2:$H$513,MATCH(K503,Интервалы!$G$2:$G$513,0)))</f>
        <v/>
      </c>
      <c r="K503">
        <f>IFERROR(SMALL(Интервалы!$G$2:$G$513,497),"")</f>
        <v/>
      </c>
      <c r="L503">
        <f>IF(K503="","",INDEX(Интервалы!$B$2:$B$513,MATCH(K503,Интервалы!$G$2:$G$513,0)))</f>
        <v/>
      </c>
    </row>
    <row r="504">
      <c r="A504" s="5">
        <f>IF(K504="","",498)</f>
        <v/>
      </c>
      <c r="B504" s="5">
        <f>IF(K504="","",INDEX(Интервалы!$A$2:$A$513,MATCH(K504,Интервалы!$G$2:$G$513,0)))</f>
        <v/>
      </c>
      <c r="C504" s="17">
        <f>IF(K504="","",INDEX(Интервалы!$C$2:$C$513,MATCH(K504,Интервалы!$G$2:$G$513,0)))</f>
        <v/>
      </c>
      <c r="D504" s="17">
        <f>IF(K504="","",INDEX(Интервалы!$D$2:$D$513,MATCH(K504,Интервалы!$G$2:$G$513,0)))</f>
        <v/>
      </c>
      <c r="E504" s="5">
        <f>IF(K504="","",D504-C504+1)</f>
        <v/>
      </c>
      <c r="F504" s="9">
        <f>IF(K504="","",INDEX(Интервалы!$E$2:$E$513,MATCH(K504,Интервалы!$G$2:$G$513,0)))</f>
        <v/>
      </c>
      <c r="G504" s="5">
        <f>IF(K504="","",IF(H504=1,INDEX('По дням'!$B$2:$B$4000,MATCH(C504,'По дням'!$A$2:$A$4000,0)),"по периодам ставки"))</f>
        <v/>
      </c>
      <c r="H504" s="5">
        <f>IF(K504="","",INDEX(Интервалы!$I$2:$I$513,MATCH(K504,Интервалы!$G$2:$G$513,0)))</f>
        <v/>
      </c>
      <c r="I504" s="9">
        <f>IF(K504="","",INDEX(Интервалы!$F$2:$F$513,MATCH(K504,Интервалы!$G$2:$G$513,0)))</f>
        <v/>
      </c>
      <c r="J504" s="9">
        <f>IF(K504="","",INDEX(Интервалы!$H$2:$H$513,MATCH(K504,Интервалы!$G$2:$G$513,0)))</f>
        <v/>
      </c>
      <c r="K504">
        <f>IFERROR(SMALL(Интервалы!$G$2:$G$513,498),"")</f>
        <v/>
      </c>
      <c r="L504">
        <f>IF(K504="","",INDEX(Интервалы!$B$2:$B$513,MATCH(K504,Интервалы!$G$2:$G$513,0)))</f>
        <v/>
      </c>
    </row>
    <row r="505">
      <c r="A505" s="5">
        <f>IF(K505="","",499)</f>
        <v/>
      </c>
      <c r="B505" s="5">
        <f>IF(K505="","",INDEX(Интервалы!$A$2:$A$513,MATCH(K505,Интервалы!$G$2:$G$513,0)))</f>
        <v/>
      </c>
      <c r="C505" s="17">
        <f>IF(K505="","",INDEX(Интервалы!$C$2:$C$513,MATCH(K505,Интервалы!$G$2:$G$513,0)))</f>
        <v/>
      </c>
      <c r="D505" s="17">
        <f>IF(K505="","",INDEX(Интервалы!$D$2:$D$513,MATCH(K505,Интервалы!$G$2:$G$513,0)))</f>
        <v/>
      </c>
      <c r="E505" s="5">
        <f>IF(K505="","",D505-C505+1)</f>
        <v/>
      </c>
      <c r="F505" s="9">
        <f>IF(K505="","",INDEX(Интервалы!$E$2:$E$513,MATCH(K505,Интервалы!$G$2:$G$513,0)))</f>
        <v/>
      </c>
      <c r="G505" s="5">
        <f>IF(K505="","",IF(H505=1,INDEX('По дням'!$B$2:$B$4000,MATCH(C505,'По дням'!$A$2:$A$4000,0)),"по периодам ставки"))</f>
        <v/>
      </c>
      <c r="H505" s="5">
        <f>IF(K505="","",INDEX(Интервалы!$I$2:$I$513,MATCH(K505,Интервалы!$G$2:$G$513,0)))</f>
        <v/>
      </c>
      <c r="I505" s="9">
        <f>IF(K505="","",INDEX(Интервалы!$F$2:$F$513,MATCH(K505,Интервалы!$G$2:$G$513,0)))</f>
        <v/>
      </c>
      <c r="J505" s="9">
        <f>IF(K505="","",INDEX(Интервалы!$H$2:$H$513,MATCH(K505,Интервалы!$G$2:$G$513,0)))</f>
        <v/>
      </c>
      <c r="K505">
        <f>IFERROR(SMALL(Интервалы!$G$2:$G$513,499),"")</f>
        <v/>
      </c>
      <c r="L505">
        <f>IF(K505="","",INDEX(Интервалы!$B$2:$B$513,MATCH(K505,Интервалы!$G$2:$G$513,0)))</f>
        <v/>
      </c>
    </row>
    <row r="506">
      <c r="A506" s="5">
        <f>IF(K506="","",500)</f>
        <v/>
      </c>
      <c r="B506" s="5">
        <f>IF(K506="","",INDEX(Интервалы!$A$2:$A$513,MATCH(K506,Интервалы!$G$2:$G$513,0)))</f>
        <v/>
      </c>
      <c r="C506" s="17">
        <f>IF(K506="","",INDEX(Интервалы!$C$2:$C$513,MATCH(K506,Интервалы!$G$2:$G$513,0)))</f>
        <v/>
      </c>
      <c r="D506" s="17">
        <f>IF(K506="","",INDEX(Интервалы!$D$2:$D$513,MATCH(K506,Интервалы!$G$2:$G$513,0)))</f>
        <v/>
      </c>
      <c r="E506" s="5">
        <f>IF(K506="","",D506-C506+1)</f>
        <v/>
      </c>
      <c r="F506" s="9">
        <f>IF(K506="","",INDEX(Интервалы!$E$2:$E$513,MATCH(K506,Интервалы!$G$2:$G$513,0)))</f>
        <v/>
      </c>
      <c r="G506" s="5">
        <f>IF(K506="","",IF(H506=1,INDEX('По дням'!$B$2:$B$4000,MATCH(C506,'По дням'!$A$2:$A$4000,0)),"по периодам ставки"))</f>
        <v/>
      </c>
      <c r="H506" s="5">
        <f>IF(K506="","",INDEX(Интервалы!$I$2:$I$513,MATCH(K506,Интервалы!$G$2:$G$513,0)))</f>
        <v/>
      </c>
      <c r="I506" s="9">
        <f>IF(K506="","",INDEX(Интервалы!$F$2:$F$513,MATCH(K506,Интервалы!$G$2:$G$513,0)))</f>
        <v/>
      </c>
      <c r="J506" s="9">
        <f>IF(K506="","",INDEX(Интервалы!$H$2:$H$513,MATCH(K506,Интервалы!$G$2:$G$513,0)))</f>
        <v/>
      </c>
      <c r="K506">
        <f>IFERROR(SMALL(Интервалы!$G$2:$G$513,500),"")</f>
        <v/>
      </c>
      <c r="L506">
        <f>IF(K506="","",INDEX(Интервалы!$B$2:$B$513,MATCH(K506,Интервалы!$G$2:$G$513,0)))</f>
        <v/>
      </c>
    </row>
    <row r="507">
      <c r="A507" s="5">
        <f>IF(K507="","",501)</f>
        <v/>
      </c>
      <c r="B507" s="5">
        <f>IF(K507="","",INDEX(Интервалы!$A$2:$A$513,MATCH(K507,Интервалы!$G$2:$G$513,0)))</f>
        <v/>
      </c>
      <c r="C507" s="17">
        <f>IF(K507="","",INDEX(Интервалы!$C$2:$C$513,MATCH(K507,Интервалы!$G$2:$G$513,0)))</f>
        <v/>
      </c>
      <c r="D507" s="17">
        <f>IF(K507="","",INDEX(Интервалы!$D$2:$D$513,MATCH(K507,Интервалы!$G$2:$G$513,0)))</f>
        <v/>
      </c>
      <c r="E507" s="5">
        <f>IF(K507="","",D507-C507+1)</f>
        <v/>
      </c>
      <c r="F507" s="9">
        <f>IF(K507="","",INDEX(Интервалы!$E$2:$E$513,MATCH(K507,Интервалы!$G$2:$G$513,0)))</f>
        <v/>
      </c>
      <c r="G507" s="5">
        <f>IF(K507="","",IF(H507=1,INDEX('По дням'!$B$2:$B$4000,MATCH(C507,'По дням'!$A$2:$A$4000,0)),"по периодам ставки"))</f>
        <v/>
      </c>
      <c r="H507" s="5">
        <f>IF(K507="","",INDEX(Интервалы!$I$2:$I$513,MATCH(K507,Интервалы!$G$2:$G$513,0)))</f>
        <v/>
      </c>
      <c r="I507" s="9">
        <f>IF(K507="","",INDEX(Интервалы!$F$2:$F$513,MATCH(K507,Интервалы!$G$2:$G$513,0)))</f>
        <v/>
      </c>
      <c r="J507" s="9">
        <f>IF(K507="","",INDEX(Интервалы!$H$2:$H$513,MATCH(K507,Интервалы!$G$2:$G$513,0)))</f>
        <v/>
      </c>
      <c r="K507">
        <f>IFERROR(SMALL(Интервалы!$G$2:$G$513,501),"")</f>
        <v/>
      </c>
      <c r="L507">
        <f>IF(K507="","",INDEX(Интервалы!$B$2:$B$513,MATCH(K507,Интервалы!$G$2:$G$513,0)))</f>
        <v/>
      </c>
    </row>
    <row r="508">
      <c r="A508" s="5">
        <f>IF(K508="","",502)</f>
        <v/>
      </c>
      <c r="B508" s="5">
        <f>IF(K508="","",INDEX(Интервалы!$A$2:$A$513,MATCH(K508,Интервалы!$G$2:$G$513,0)))</f>
        <v/>
      </c>
      <c r="C508" s="17">
        <f>IF(K508="","",INDEX(Интервалы!$C$2:$C$513,MATCH(K508,Интервалы!$G$2:$G$513,0)))</f>
        <v/>
      </c>
      <c r="D508" s="17">
        <f>IF(K508="","",INDEX(Интервалы!$D$2:$D$513,MATCH(K508,Интервалы!$G$2:$G$513,0)))</f>
        <v/>
      </c>
      <c r="E508" s="5">
        <f>IF(K508="","",D508-C508+1)</f>
        <v/>
      </c>
      <c r="F508" s="9">
        <f>IF(K508="","",INDEX(Интервалы!$E$2:$E$513,MATCH(K508,Интервалы!$G$2:$G$513,0)))</f>
        <v/>
      </c>
      <c r="G508" s="5">
        <f>IF(K508="","",IF(H508=1,INDEX('По дням'!$B$2:$B$4000,MATCH(C508,'По дням'!$A$2:$A$4000,0)),"по периодам ставки"))</f>
        <v/>
      </c>
      <c r="H508" s="5">
        <f>IF(K508="","",INDEX(Интервалы!$I$2:$I$513,MATCH(K508,Интервалы!$G$2:$G$513,0)))</f>
        <v/>
      </c>
      <c r="I508" s="9">
        <f>IF(K508="","",INDEX(Интервалы!$F$2:$F$513,MATCH(K508,Интервалы!$G$2:$G$513,0)))</f>
        <v/>
      </c>
      <c r="J508" s="9">
        <f>IF(K508="","",INDEX(Интервалы!$H$2:$H$513,MATCH(K508,Интервалы!$G$2:$G$513,0)))</f>
        <v/>
      </c>
      <c r="K508">
        <f>IFERROR(SMALL(Интервалы!$G$2:$G$513,502),"")</f>
        <v/>
      </c>
      <c r="L508">
        <f>IF(K508="","",INDEX(Интервалы!$B$2:$B$513,MATCH(K508,Интервалы!$G$2:$G$513,0)))</f>
        <v/>
      </c>
    </row>
    <row r="509">
      <c r="A509" s="5">
        <f>IF(K509="","",503)</f>
        <v/>
      </c>
      <c r="B509" s="5">
        <f>IF(K509="","",INDEX(Интервалы!$A$2:$A$513,MATCH(K509,Интервалы!$G$2:$G$513,0)))</f>
        <v/>
      </c>
      <c r="C509" s="17">
        <f>IF(K509="","",INDEX(Интервалы!$C$2:$C$513,MATCH(K509,Интервалы!$G$2:$G$513,0)))</f>
        <v/>
      </c>
      <c r="D509" s="17">
        <f>IF(K509="","",INDEX(Интервалы!$D$2:$D$513,MATCH(K509,Интервалы!$G$2:$G$513,0)))</f>
        <v/>
      </c>
      <c r="E509" s="5">
        <f>IF(K509="","",D509-C509+1)</f>
        <v/>
      </c>
      <c r="F509" s="9">
        <f>IF(K509="","",INDEX(Интервалы!$E$2:$E$513,MATCH(K509,Интервалы!$G$2:$G$513,0)))</f>
        <v/>
      </c>
      <c r="G509" s="5">
        <f>IF(K509="","",IF(H509=1,INDEX('По дням'!$B$2:$B$4000,MATCH(C509,'По дням'!$A$2:$A$4000,0)),"по периодам ставки"))</f>
        <v/>
      </c>
      <c r="H509" s="5">
        <f>IF(K509="","",INDEX(Интервалы!$I$2:$I$513,MATCH(K509,Интервалы!$G$2:$G$513,0)))</f>
        <v/>
      </c>
      <c r="I509" s="9">
        <f>IF(K509="","",INDEX(Интервалы!$F$2:$F$513,MATCH(K509,Интервалы!$G$2:$G$513,0)))</f>
        <v/>
      </c>
      <c r="J509" s="9">
        <f>IF(K509="","",INDEX(Интервалы!$H$2:$H$513,MATCH(K509,Интервалы!$G$2:$G$513,0)))</f>
        <v/>
      </c>
      <c r="K509">
        <f>IFERROR(SMALL(Интервалы!$G$2:$G$513,503),"")</f>
        <v/>
      </c>
      <c r="L509">
        <f>IF(K509="","",INDEX(Интервалы!$B$2:$B$513,MATCH(K509,Интервалы!$G$2:$G$513,0)))</f>
        <v/>
      </c>
    </row>
    <row r="510">
      <c r="A510" s="5">
        <f>IF(K510="","",504)</f>
        <v/>
      </c>
      <c r="B510" s="5">
        <f>IF(K510="","",INDEX(Интервалы!$A$2:$A$513,MATCH(K510,Интервалы!$G$2:$G$513,0)))</f>
        <v/>
      </c>
      <c r="C510" s="17">
        <f>IF(K510="","",INDEX(Интервалы!$C$2:$C$513,MATCH(K510,Интервалы!$G$2:$G$513,0)))</f>
        <v/>
      </c>
      <c r="D510" s="17">
        <f>IF(K510="","",INDEX(Интервалы!$D$2:$D$513,MATCH(K510,Интервалы!$G$2:$G$513,0)))</f>
        <v/>
      </c>
      <c r="E510" s="5">
        <f>IF(K510="","",D510-C510+1)</f>
        <v/>
      </c>
      <c r="F510" s="9">
        <f>IF(K510="","",INDEX(Интервалы!$E$2:$E$513,MATCH(K510,Интервалы!$G$2:$G$513,0)))</f>
        <v/>
      </c>
      <c r="G510" s="5">
        <f>IF(K510="","",IF(H510=1,INDEX('По дням'!$B$2:$B$4000,MATCH(C510,'По дням'!$A$2:$A$4000,0)),"по периодам ставки"))</f>
        <v/>
      </c>
      <c r="H510" s="5">
        <f>IF(K510="","",INDEX(Интервалы!$I$2:$I$513,MATCH(K510,Интервалы!$G$2:$G$513,0)))</f>
        <v/>
      </c>
      <c r="I510" s="9">
        <f>IF(K510="","",INDEX(Интервалы!$F$2:$F$513,MATCH(K510,Интервалы!$G$2:$G$513,0)))</f>
        <v/>
      </c>
      <c r="J510" s="9">
        <f>IF(K510="","",INDEX(Интервалы!$H$2:$H$513,MATCH(K510,Интервалы!$G$2:$G$513,0)))</f>
        <v/>
      </c>
      <c r="K510">
        <f>IFERROR(SMALL(Интервалы!$G$2:$G$513,504),"")</f>
        <v/>
      </c>
      <c r="L510">
        <f>IF(K510="","",INDEX(Интервалы!$B$2:$B$513,MATCH(K510,Интервалы!$G$2:$G$513,0)))</f>
        <v/>
      </c>
    </row>
    <row r="511">
      <c r="A511" s="5">
        <f>IF(K511="","",505)</f>
        <v/>
      </c>
      <c r="B511" s="5">
        <f>IF(K511="","",INDEX(Интервалы!$A$2:$A$513,MATCH(K511,Интервалы!$G$2:$G$513,0)))</f>
        <v/>
      </c>
      <c r="C511" s="17">
        <f>IF(K511="","",INDEX(Интервалы!$C$2:$C$513,MATCH(K511,Интервалы!$G$2:$G$513,0)))</f>
        <v/>
      </c>
      <c r="D511" s="17">
        <f>IF(K511="","",INDEX(Интервалы!$D$2:$D$513,MATCH(K511,Интервалы!$G$2:$G$513,0)))</f>
        <v/>
      </c>
      <c r="E511" s="5">
        <f>IF(K511="","",D511-C511+1)</f>
        <v/>
      </c>
      <c r="F511" s="9">
        <f>IF(K511="","",INDEX(Интервалы!$E$2:$E$513,MATCH(K511,Интервалы!$G$2:$G$513,0)))</f>
        <v/>
      </c>
      <c r="G511" s="5">
        <f>IF(K511="","",IF(H511=1,INDEX('По дням'!$B$2:$B$4000,MATCH(C511,'По дням'!$A$2:$A$4000,0)),"по периодам ставки"))</f>
        <v/>
      </c>
      <c r="H511" s="5">
        <f>IF(K511="","",INDEX(Интервалы!$I$2:$I$513,MATCH(K511,Интервалы!$G$2:$G$513,0)))</f>
        <v/>
      </c>
      <c r="I511" s="9">
        <f>IF(K511="","",INDEX(Интервалы!$F$2:$F$513,MATCH(K511,Интервалы!$G$2:$G$513,0)))</f>
        <v/>
      </c>
      <c r="J511" s="9">
        <f>IF(K511="","",INDEX(Интервалы!$H$2:$H$513,MATCH(K511,Интервалы!$G$2:$G$513,0)))</f>
        <v/>
      </c>
      <c r="K511">
        <f>IFERROR(SMALL(Интервалы!$G$2:$G$513,505),"")</f>
        <v/>
      </c>
      <c r="L511">
        <f>IF(K511="","",INDEX(Интервалы!$B$2:$B$513,MATCH(K511,Интервалы!$G$2:$G$513,0)))</f>
        <v/>
      </c>
    </row>
    <row r="512">
      <c r="A512" s="5">
        <f>IF(K512="","",506)</f>
        <v/>
      </c>
      <c r="B512" s="5">
        <f>IF(K512="","",INDEX(Интервалы!$A$2:$A$513,MATCH(K512,Интервалы!$G$2:$G$513,0)))</f>
        <v/>
      </c>
      <c r="C512" s="17">
        <f>IF(K512="","",INDEX(Интервалы!$C$2:$C$513,MATCH(K512,Интервалы!$G$2:$G$513,0)))</f>
        <v/>
      </c>
      <c r="D512" s="17">
        <f>IF(K512="","",INDEX(Интервалы!$D$2:$D$513,MATCH(K512,Интервалы!$G$2:$G$513,0)))</f>
        <v/>
      </c>
      <c r="E512" s="5">
        <f>IF(K512="","",D512-C512+1)</f>
        <v/>
      </c>
      <c r="F512" s="9">
        <f>IF(K512="","",INDEX(Интервалы!$E$2:$E$513,MATCH(K512,Интервалы!$G$2:$G$513,0)))</f>
        <v/>
      </c>
      <c r="G512" s="5">
        <f>IF(K512="","",IF(H512=1,INDEX('По дням'!$B$2:$B$4000,MATCH(C512,'По дням'!$A$2:$A$4000,0)),"по периодам ставки"))</f>
        <v/>
      </c>
      <c r="H512" s="5">
        <f>IF(K512="","",INDEX(Интервалы!$I$2:$I$513,MATCH(K512,Интервалы!$G$2:$G$513,0)))</f>
        <v/>
      </c>
      <c r="I512" s="9">
        <f>IF(K512="","",INDEX(Интервалы!$F$2:$F$513,MATCH(K512,Интервалы!$G$2:$G$513,0)))</f>
        <v/>
      </c>
      <c r="J512" s="9">
        <f>IF(K512="","",INDEX(Интервалы!$H$2:$H$513,MATCH(K512,Интервалы!$G$2:$G$513,0)))</f>
        <v/>
      </c>
      <c r="K512">
        <f>IFERROR(SMALL(Интервалы!$G$2:$G$513,506),"")</f>
        <v/>
      </c>
      <c r="L512">
        <f>IF(K512="","",INDEX(Интервалы!$B$2:$B$513,MATCH(K512,Интервалы!$G$2:$G$513,0)))</f>
        <v/>
      </c>
    </row>
    <row r="513">
      <c r="A513" s="5">
        <f>IF(K513="","",507)</f>
        <v/>
      </c>
      <c r="B513" s="5">
        <f>IF(K513="","",INDEX(Интервалы!$A$2:$A$513,MATCH(K513,Интервалы!$G$2:$G$513,0)))</f>
        <v/>
      </c>
      <c r="C513" s="17">
        <f>IF(K513="","",INDEX(Интервалы!$C$2:$C$513,MATCH(K513,Интервалы!$G$2:$G$513,0)))</f>
        <v/>
      </c>
      <c r="D513" s="17">
        <f>IF(K513="","",INDEX(Интервалы!$D$2:$D$513,MATCH(K513,Интервалы!$G$2:$G$513,0)))</f>
        <v/>
      </c>
      <c r="E513" s="5">
        <f>IF(K513="","",D513-C513+1)</f>
        <v/>
      </c>
      <c r="F513" s="9">
        <f>IF(K513="","",INDEX(Интервалы!$E$2:$E$513,MATCH(K513,Интервалы!$G$2:$G$513,0)))</f>
        <v/>
      </c>
      <c r="G513" s="5">
        <f>IF(K513="","",IF(H513=1,INDEX('По дням'!$B$2:$B$4000,MATCH(C513,'По дням'!$A$2:$A$4000,0)),"по периодам ставки"))</f>
        <v/>
      </c>
      <c r="H513" s="5">
        <f>IF(K513="","",INDEX(Интервалы!$I$2:$I$513,MATCH(K513,Интервалы!$G$2:$G$513,0)))</f>
        <v/>
      </c>
      <c r="I513" s="9">
        <f>IF(K513="","",INDEX(Интервалы!$F$2:$F$513,MATCH(K513,Интервалы!$G$2:$G$513,0)))</f>
        <v/>
      </c>
      <c r="J513" s="9">
        <f>IF(K513="","",INDEX(Интервалы!$H$2:$H$513,MATCH(K513,Интервалы!$G$2:$G$513,0)))</f>
        <v/>
      </c>
      <c r="K513">
        <f>IFERROR(SMALL(Интервалы!$G$2:$G$513,507),"")</f>
        <v/>
      </c>
      <c r="L513">
        <f>IF(K513="","",INDEX(Интервалы!$B$2:$B$513,MATCH(K513,Интервалы!$G$2:$G$513,0)))</f>
        <v/>
      </c>
    </row>
    <row r="514">
      <c r="A514" s="5">
        <f>IF(K514="","",508)</f>
        <v/>
      </c>
      <c r="B514" s="5">
        <f>IF(K514="","",INDEX(Интервалы!$A$2:$A$513,MATCH(K514,Интервалы!$G$2:$G$513,0)))</f>
        <v/>
      </c>
      <c r="C514" s="17">
        <f>IF(K514="","",INDEX(Интервалы!$C$2:$C$513,MATCH(K514,Интервалы!$G$2:$G$513,0)))</f>
        <v/>
      </c>
      <c r="D514" s="17">
        <f>IF(K514="","",INDEX(Интервалы!$D$2:$D$513,MATCH(K514,Интервалы!$G$2:$G$513,0)))</f>
        <v/>
      </c>
      <c r="E514" s="5">
        <f>IF(K514="","",D514-C514+1)</f>
        <v/>
      </c>
      <c r="F514" s="9">
        <f>IF(K514="","",INDEX(Интервалы!$E$2:$E$513,MATCH(K514,Интервалы!$G$2:$G$513,0)))</f>
        <v/>
      </c>
      <c r="G514" s="5">
        <f>IF(K514="","",IF(H514=1,INDEX('По дням'!$B$2:$B$4000,MATCH(C514,'По дням'!$A$2:$A$4000,0)),"по периодам ставки"))</f>
        <v/>
      </c>
      <c r="H514" s="5">
        <f>IF(K514="","",INDEX(Интервалы!$I$2:$I$513,MATCH(K514,Интервалы!$G$2:$G$513,0)))</f>
        <v/>
      </c>
      <c r="I514" s="9">
        <f>IF(K514="","",INDEX(Интервалы!$F$2:$F$513,MATCH(K514,Интервалы!$G$2:$G$513,0)))</f>
        <v/>
      </c>
      <c r="J514" s="9">
        <f>IF(K514="","",INDEX(Интервалы!$H$2:$H$513,MATCH(K514,Интервалы!$G$2:$G$513,0)))</f>
        <v/>
      </c>
      <c r="K514">
        <f>IFERROR(SMALL(Интервалы!$G$2:$G$513,508),"")</f>
        <v/>
      </c>
      <c r="L514">
        <f>IF(K514="","",INDEX(Интервалы!$B$2:$B$513,MATCH(K514,Интервалы!$G$2:$G$513,0)))</f>
        <v/>
      </c>
    </row>
    <row r="515">
      <c r="A515" s="5">
        <f>IF(K515="","",509)</f>
        <v/>
      </c>
      <c r="B515" s="5">
        <f>IF(K515="","",INDEX(Интервалы!$A$2:$A$513,MATCH(K515,Интервалы!$G$2:$G$513,0)))</f>
        <v/>
      </c>
      <c r="C515" s="17">
        <f>IF(K515="","",INDEX(Интервалы!$C$2:$C$513,MATCH(K515,Интервалы!$G$2:$G$513,0)))</f>
        <v/>
      </c>
      <c r="D515" s="17">
        <f>IF(K515="","",INDEX(Интервалы!$D$2:$D$513,MATCH(K515,Интервалы!$G$2:$G$513,0)))</f>
        <v/>
      </c>
      <c r="E515" s="5">
        <f>IF(K515="","",D515-C515+1)</f>
        <v/>
      </c>
      <c r="F515" s="9">
        <f>IF(K515="","",INDEX(Интервалы!$E$2:$E$513,MATCH(K515,Интервалы!$G$2:$G$513,0)))</f>
        <v/>
      </c>
      <c r="G515" s="5">
        <f>IF(K515="","",IF(H515=1,INDEX('По дням'!$B$2:$B$4000,MATCH(C515,'По дням'!$A$2:$A$4000,0)),"по периодам ставки"))</f>
        <v/>
      </c>
      <c r="H515" s="5">
        <f>IF(K515="","",INDEX(Интервалы!$I$2:$I$513,MATCH(K515,Интервалы!$G$2:$G$513,0)))</f>
        <v/>
      </c>
      <c r="I515" s="9">
        <f>IF(K515="","",INDEX(Интервалы!$F$2:$F$513,MATCH(K515,Интервалы!$G$2:$G$513,0)))</f>
        <v/>
      </c>
      <c r="J515" s="9">
        <f>IF(K515="","",INDEX(Интервалы!$H$2:$H$513,MATCH(K515,Интервалы!$G$2:$G$513,0)))</f>
        <v/>
      </c>
      <c r="K515">
        <f>IFERROR(SMALL(Интервалы!$G$2:$G$513,509),"")</f>
        <v/>
      </c>
      <c r="L515">
        <f>IF(K515="","",INDEX(Интервалы!$B$2:$B$513,MATCH(K515,Интервалы!$G$2:$G$513,0)))</f>
        <v/>
      </c>
    </row>
    <row r="516">
      <c r="A516" s="5">
        <f>IF(K516="","",510)</f>
        <v/>
      </c>
      <c r="B516" s="5">
        <f>IF(K516="","",INDEX(Интервалы!$A$2:$A$513,MATCH(K516,Интервалы!$G$2:$G$513,0)))</f>
        <v/>
      </c>
      <c r="C516" s="17">
        <f>IF(K516="","",INDEX(Интервалы!$C$2:$C$513,MATCH(K516,Интервалы!$G$2:$G$513,0)))</f>
        <v/>
      </c>
      <c r="D516" s="17">
        <f>IF(K516="","",INDEX(Интервалы!$D$2:$D$513,MATCH(K516,Интервалы!$G$2:$G$513,0)))</f>
        <v/>
      </c>
      <c r="E516" s="5">
        <f>IF(K516="","",D516-C516+1)</f>
        <v/>
      </c>
      <c r="F516" s="9">
        <f>IF(K516="","",INDEX(Интервалы!$E$2:$E$513,MATCH(K516,Интервалы!$G$2:$G$513,0)))</f>
        <v/>
      </c>
      <c r="G516" s="5">
        <f>IF(K516="","",IF(H516=1,INDEX('По дням'!$B$2:$B$4000,MATCH(C516,'По дням'!$A$2:$A$4000,0)),"по периодам ставки"))</f>
        <v/>
      </c>
      <c r="H516" s="5">
        <f>IF(K516="","",INDEX(Интервалы!$I$2:$I$513,MATCH(K516,Интервалы!$G$2:$G$513,0)))</f>
        <v/>
      </c>
      <c r="I516" s="9">
        <f>IF(K516="","",INDEX(Интервалы!$F$2:$F$513,MATCH(K516,Интервалы!$G$2:$G$513,0)))</f>
        <v/>
      </c>
      <c r="J516" s="9">
        <f>IF(K516="","",INDEX(Интервалы!$H$2:$H$513,MATCH(K516,Интервалы!$G$2:$G$513,0)))</f>
        <v/>
      </c>
      <c r="K516">
        <f>IFERROR(SMALL(Интервалы!$G$2:$G$513,510),"")</f>
        <v/>
      </c>
      <c r="L516">
        <f>IF(K516="","",INDEX(Интервалы!$B$2:$B$513,MATCH(K516,Интервалы!$G$2:$G$513,0)))</f>
        <v/>
      </c>
    </row>
    <row r="517">
      <c r="A517" s="5">
        <f>IF(K517="","",511)</f>
        <v/>
      </c>
      <c r="B517" s="5">
        <f>IF(K517="","",INDEX(Интервалы!$A$2:$A$513,MATCH(K517,Интервалы!$G$2:$G$513,0)))</f>
        <v/>
      </c>
      <c r="C517" s="17">
        <f>IF(K517="","",INDEX(Интервалы!$C$2:$C$513,MATCH(K517,Интервалы!$G$2:$G$513,0)))</f>
        <v/>
      </c>
      <c r="D517" s="17">
        <f>IF(K517="","",INDEX(Интервалы!$D$2:$D$513,MATCH(K517,Интервалы!$G$2:$G$513,0)))</f>
        <v/>
      </c>
      <c r="E517" s="5">
        <f>IF(K517="","",D517-C517+1)</f>
        <v/>
      </c>
      <c r="F517" s="9">
        <f>IF(K517="","",INDEX(Интервалы!$E$2:$E$513,MATCH(K517,Интервалы!$G$2:$G$513,0)))</f>
        <v/>
      </c>
      <c r="G517" s="5">
        <f>IF(K517="","",IF(H517=1,INDEX('По дням'!$B$2:$B$4000,MATCH(C517,'По дням'!$A$2:$A$4000,0)),"по периодам ставки"))</f>
        <v/>
      </c>
      <c r="H517" s="5">
        <f>IF(K517="","",INDEX(Интервалы!$I$2:$I$513,MATCH(K517,Интервалы!$G$2:$G$513,0)))</f>
        <v/>
      </c>
      <c r="I517" s="9">
        <f>IF(K517="","",INDEX(Интервалы!$F$2:$F$513,MATCH(K517,Интервалы!$G$2:$G$513,0)))</f>
        <v/>
      </c>
      <c r="J517" s="9">
        <f>IF(K517="","",INDEX(Интервалы!$H$2:$H$513,MATCH(K517,Интервалы!$G$2:$G$513,0)))</f>
        <v/>
      </c>
      <c r="K517">
        <f>IFERROR(SMALL(Интервалы!$G$2:$G$513,511),"")</f>
        <v/>
      </c>
      <c r="L517">
        <f>IF(K517="","",INDEX(Интервалы!$B$2:$B$513,MATCH(K517,Интервалы!$G$2:$G$513,0)))</f>
        <v/>
      </c>
    </row>
    <row r="518">
      <c r="A518" s="5">
        <f>IF(K518="","",512)</f>
        <v/>
      </c>
      <c r="B518" s="5">
        <f>IF(K518="","",INDEX(Интервалы!$A$2:$A$513,MATCH(K518,Интервалы!$G$2:$G$513,0)))</f>
        <v/>
      </c>
      <c r="C518" s="17">
        <f>IF(K518="","",INDEX(Интервалы!$C$2:$C$513,MATCH(K518,Интервалы!$G$2:$G$513,0)))</f>
        <v/>
      </c>
      <c r="D518" s="17">
        <f>IF(K518="","",INDEX(Интервалы!$D$2:$D$513,MATCH(K518,Интервалы!$G$2:$G$513,0)))</f>
        <v/>
      </c>
      <c r="E518" s="5">
        <f>IF(K518="","",D518-C518+1)</f>
        <v/>
      </c>
      <c r="F518" s="9">
        <f>IF(K518="","",INDEX(Интервалы!$E$2:$E$513,MATCH(K518,Интервалы!$G$2:$G$513,0)))</f>
        <v/>
      </c>
      <c r="G518" s="5">
        <f>IF(K518="","",IF(H518=1,INDEX('По дням'!$B$2:$B$4000,MATCH(C518,'По дням'!$A$2:$A$4000,0)),"по периодам ставки"))</f>
        <v/>
      </c>
      <c r="H518" s="5">
        <f>IF(K518="","",INDEX(Интервалы!$I$2:$I$513,MATCH(K518,Интервалы!$G$2:$G$513,0)))</f>
        <v/>
      </c>
      <c r="I518" s="9">
        <f>IF(K518="","",INDEX(Интервалы!$F$2:$F$513,MATCH(K518,Интервалы!$G$2:$G$513,0)))</f>
        <v/>
      </c>
      <c r="J518" s="9">
        <f>IF(K518="","",INDEX(Интервалы!$H$2:$H$513,MATCH(K518,Интервалы!$G$2:$G$513,0)))</f>
        <v/>
      </c>
      <c r="K518">
        <f>IFERROR(SMALL(Интервалы!$G$2:$G$513,512),"")</f>
        <v/>
      </c>
      <c r="L518">
        <f>IF(K518="","",INDEX(Интервалы!$B$2:$B$513,MATCH(K518,Интервалы!$G$2:$G$513,0)))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10" customWidth="1" min="3" max="3"/>
  </cols>
  <sheetData>
    <row r="1">
      <c r="A1" s="4" t="inlineStr">
        <is>
          <t>№</t>
        </is>
      </c>
      <c r="B1" s="4" t="inlineStr">
        <is>
          <t>Проверка</t>
        </is>
      </c>
      <c r="C1" s="4" t="inlineStr">
        <is>
          <t>Результат</t>
        </is>
      </c>
    </row>
    <row r="2">
      <c r="A2" s="5" t="n">
        <v>1</v>
      </c>
      <c r="B2" s="5" t="inlineStr">
        <is>
          <t>Акты введены</t>
        </is>
      </c>
      <c r="C2" s="5">
        <f>IF(COUNTA(Акты!B5:B16)=0,"БЛОК: добавьте хотя бы один акт с суммой долга на первый день просрочки и датой начала просрочки","ок")</f>
        <v/>
      </c>
    </row>
    <row r="3">
      <c r="A3" s="5" t="n">
        <v>2</v>
      </c>
      <c r="B3" s="5" t="inlineStr">
        <is>
          <t>Таблица актов</t>
        </is>
      </c>
      <c r="C3" s="5">
        <f>IF(COUNTIF(Акты!H5:H16,"БЛОК*")&gt;0,"БЛОК: ошибка в таблице актов — колонка «Проверка»","ок")</f>
        <v/>
      </c>
    </row>
    <row r="4">
      <c r="A4" s="5" t="n">
        <v>3</v>
      </c>
      <c r="B4" s="5" t="inlineStr">
        <is>
          <t>Акты за пределами таблицы</t>
        </is>
      </c>
      <c r="C4" s="5">
        <f>IF(COUNTA(Акты!A17:H400)&gt;0,"БЛОК: ниже строки 16 есть акты — они не были бы учтены. В один расчёт входит до 12 актов; остальные считайте отдельной копией книги","ок")</f>
        <v/>
      </c>
    </row>
    <row r="5">
      <c r="A5" s="5" t="n">
        <v>4</v>
      </c>
      <c r="B5" s="5" t="inlineStr">
        <is>
          <t>Последний день расчёта</t>
        </is>
      </c>
      <c r="C5" s="5">
        <f>IF(ISNUMBER(Ввод!B4),"ок","БЛОК: введите последний день расчёта на листе «Ввод»")</f>
        <v/>
      </c>
    </row>
    <row r="6">
      <c r="A6" s="5" t="n">
        <v>5</v>
      </c>
      <c r="B6" s="5" t="inlineStr">
        <is>
          <t>Ставка введена</t>
        </is>
      </c>
      <c r="C6" s="5">
        <f>IF(COUNT(Ввод!A12:A71)=0,"БЛОК: введите ставку","ок")</f>
        <v/>
      </c>
    </row>
    <row r="7">
      <c r="A7" s="5" t="n">
        <v>6</v>
      </c>
      <c r="B7" s="5" t="inlineStr">
        <is>
          <t>Таблица ставок</t>
        </is>
      </c>
      <c r="C7" s="5">
        <f>IF(COUNTIF(Ввод!C12:C71,"БЛОК*")&gt;0,"БЛОК: ошибка в таблице ставок — колонка «Проверка»","ок")</f>
        <v/>
      </c>
    </row>
    <row r="8">
      <c r="A8" s="5" t="n">
        <v>7</v>
      </c>
      <c r="B8" s="5" t="inlineStr">
        <is>
          <t>Ставки за пределами таблицы</t>
        </is>
      </c>
      <c r="C8" s="5">
        <f>IF(COUNTA(Ввод!A72:C400)&gt;0,"БЛОК: ниже строки 71 есть данные — перенесите в таблицу","ок")</f>
        <v/>
      </c>
    </row>
    <row r="9">
      <c r="A9" s="5" t="n">
        <v>8</v>
      </c>
      <c r="B9" s="5" t="inlineStr">
        <is>
          <t>Таблица оплат</t>
        </is>
      </c>
      <c r="C9" s="5">
        <f>IF(COUNTIF(Оплаты!E6:E505,"БЛОК*")&gt;0,"БЛОК: ошибка в оплатах — колонка «Проверка»","ок")</f>
        <v/>
      </c>
    </row>
    <row r="10">
      <c r="A10" s="5" t="n">
        <v>9</v>
      </c>
      <c r="B10" s="5" t="inlineStr">
        <is>
          <t>Оплаты за пределами таблицы</t>
        </is>
      </c>
      <c r="C10" s="5">
        <f>IF(COUNTA(Оплаты!A506:E20000)&gt;0,"БЛОК: ниже строки 505 есть оплаты — они не были бы учтены; перенесите их в таблицу","ок")</f>
        <v/>
      </c>
    </row>
    <row r="11">
      <c r="A11" s="5" t="n">
        <v>10</v>
      </c>
      <c r="B11" s="5" t="inlineStr">
        <is>
          <t>Каждая оплата отнесена к акту</t>
        </is>
      </c>
      <c r="C11" s="5">
        <f>IF(SUMPRODUCT((Оплаты!$A$6:$A$505&lt;&gt;"")*(Оплаты!$D$6:$D$505=""))&gt;0,"БЛОК: есть оплата, не отнесённая к конкретному акту. Требуется распределить платёж документально и указать акт: очередность зачёта система за вас не назначает","ок")</f>
        <v/>
      </c>
    </row>
    <row r="12">
      <c r="A12" s="5" t="n">
        <v>11</v>
      </c>
      <c r="B12" s="5" t="inlineStr">
        <is>
          <t>Оплаты не больше долга</t>
        </is>
      </c>
      <c r="C12" s="5">
        <f>IF(SUM(Оплаты!B6:B505)&gt;SUM(Акты!D5:D16),"БЛОК: оплат больше суммы долга — проверьте ввод","ок")</f>
        <v/>
      </c>
    </row>
    <row r="13">
      <c r="A13" s="5" t="n">
        <v>12</v>
      </c>
      <c r="B13" s="5" t="inlineStr">
        <is>
          <t>Периоды без начисления</t>
        </is>
      </c>
      <c r="C13" s="5">
        <f>IF(COUNTIF(Ввод!H12:H31,"БЛОК*")+COUNTA(Ввод!F32:H400)&gt;0,"БЛОК: ошибка или данные ниже таблицы","ок")</f>
        <v/>
      </c>
    </row>
    <row r="14">
      <c r="A14" s="5" t="n">
        <v>13</v>
      </c>
      <c r="B14" s="5" t="inlineStr">
        <is>
          <t>Дней в расчёте</t>
        </is>
      </c>
      <c r="C14" s="5">
        <f>IF(AND(ISNUMBER('По дням'!J3),ISNUMBER(Ввод!B4)),IF(Ввод!B4-'По дням'!J3+1&gt;3999,"БЛОК: от первого дня просрочки самого раннего акта до последнего дня расчёта более 3999 дней — разбейте расчёт на части","ок"),"ок")</f>
        <v/>
      </c>
    </row>
    <row r="15">
      <c r="A15" s="5" t="n">
        <v>14</v>
      </c>
      <c r="B15" s="5" t="inlineStr">
        <is>
          <t>Ставка есть на каждый день</t>
        </is>
      </c>
      <c r="C15" s="5">
        <f>IF(COUNT('По дням'!$A$2:$A$4000)=COUNT('По дням'!$B$2:$B$4000),"ок","БЛОК: не на каждый день найдена ставка")</f>
        <v/>
      </c>
    </row>
    <row r="16">
      <c r="A16" s="5" t="n">
        <v>15</v>
      </c>
      <c r="B16" s="5" t="inlineStr">
        <is>
          <t>Число периодов ставки</t>
        </is>
      </c>
      <c r="C16" s="5">
        <f>IF(N(MAX('По дням'!$G$2:$G$4000))&gt;150,"БЛОК: периодов ставки больше 150 — разбейте расчёт","ок")</f>
        <v/>
      </c>
    </row>
    <row r="17">
      <c r="A17" s="5" t="n">
        <v>16</v>
      </c>
      <c r="B17" s="5" t="inlineStr">
        <is>
          <t>Итог = сумма строк по актам</t>
        </is>
      </c>
      <c r="C17" s="5">
        <f>IFERROR(IF(ROUND(SUM(Расчёт!I7:I518)-SUM(Расчёт!P7:P18),2)=0,"ок","БЛОК: сумма строк расчёта не равна сумме итогов по актам"),"БЛОК: ошибка в строках расчёта")</f>
        <v/>
      </c>
    </row>
    <row r="19">
      <c r="B19" s="11" t="inlineStr">
        <is>
          <t>СТАТУС РАСЧЁТА</t>
        </is>
      </c>
      <c r="C19" s="11">
        <f>IF(COUNTIF(C2:C17,"БЛОК*")&gt;0,"ЗАБЛОКИРОВАН","ГОТОВ")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0" customWidth="1" min="9" max="9"/>
  </cols>
  <sheetData>
    <row r="1">
      <c r="A1" s="4" t="inlineStr">
        <is>
          <t>Акт</t>
        </is>
      </c>
      <c r="B1" s="4" t="inlineStr">
        <is>
          <t>№ акта</t>
        </is>
      </c>
      <c r="C1" s="4" t="inlineStr">
        <is>
          <t>С</t>
        </is>
      </c>
      <c r="D1" s="4" t="inlineStr">
        <is>
          <t>По</t>
        </is>
      </c>
      <c r="E1" s="4" t="inlineStr">
        <is>
          <t>Долг акта, руб.</t>
        </is>
      </c>
      <c r="F1" s="4" t="inlineStr">
        <is>
          <t>Проценты, руб.</t>
        </is>
      </c>
      <c r="G1" s="4" t="inlineStr">
        <is>
          <t>Ключ</t>
        </is>
      </c>
      <c r="H1" s="4" t="inlineStr">
        <is>
          <t>Оплата в последний день, руб.</t>
        </is>
      </c>
      <c r="I1" s="4" t="inlineStr">
        <is>
          <t>Периодов ставки</t>
        </is>
      </c>
    </row>
    <row r="2">
      <c r="A2">
        <f>IF(Акты!$H$5="ок",Акты!$B$5,"")</f>
        <v/>
      </c>
      <c r="B2">
        <f>IF(A2="","",1)</f>
        <v/>
      </c>
      <c r="C2" s="20">
        <f>IF(A2="","",Акты!$E$5)</f>
        <v/>
      </c>
      <c r="D2" s="20">
        <f>IF(A2="","",MIN(Ввод!$B$4,Ввод!$B$4+1-SUMPRODUCT(MAX((Оплаты!$D$6:$D$505=A2)*(Оплаты!$A$6:$A$505&gt;=C2)*(Ввод!$B$4+1-Оплаты!$A$6:$A$505)))))</f>
        <v/>
      </c>
      <c r="E2" s="14">
        <f>IF(A2="","",Акты!$D$5)</f>
        <v/>
      </c>
      <c r="F2" s="14">
        <f>IF(G2="","",SUMPRODUCT(ROUND(E2*'По дням'!$L$6:$L$155/100*((((D2+'По дням'!$K$6:$K$155-ABS(D2-'По дням'!$K$6:$K$155))-(C2+'По дням'!$J$6:$J$155+ABS(C2-'По дням'!$J$6:$J$155)))/2+1)&gt;0)*(((D2+'По дням'!$K$6:$K$155-ABS(D2-'По дням'!$K$6:$K$155))-(C2+'По дням'!$J$6:$J$155+ABS(C2-'По дням'!$J$6:$J$155)))/2+1)/'По дням'!$M$6:$M$155,2)*(1-'По дням'!$N$6:$N$155)))</f>
        <v/>
      </c>
      <c r="G2">
        <f>IF(A2="","",IF(C2&gt;D2,"",B2*1000000+C2))</f>
        <v/>
      </c>
      <c r="H2" s="14">
        <f>IF(G2="","",SUMIFS(Оплаты!$B$6:$B$505,Оплаты!$D$6:$D$505,A2,Оплаты!$A$6:$A$505,D2))</f>
        <v/>
      </c>
      <c r="I2">
        <f>IF(G2="","",SUMPRODUCT((((((D2+'По дням'!$K$6:$K$155-ABS(D2-'По дням'!$K$6:$K$155))-(C2+'По дням'!$J$6:$J$155+ABS(C2-'По дням'!$J$6:$J$155)))/2+1)&gt;0)*(((D2+'По дням'!$K$6:$K$155-ABS(D2-'По дням'!$K$6:$K$155))-(C2+'По дням'!$J$6:$J$155+ABS(C2-'По дням'!$J$6:$J$155)))/2+1)&gt;0)*1))</f>
        <v/>
      </c>
    </row>
    <row r="3">
      <c r="A3">
        <f>IF(Акты!$H$6="ок",Акты!$B$6,"")</f>
        <v/>
      </c>
      <c r="B3">
        <f>IF(A3="","",2)</f>
        <v/>
      </c>
      <c r="C3" s="20">
        <f>IF(A3="","",Акты!$E$6)</f>
        <v/>
      </c>
      <c r="D3" s="20">
        <f>IF(A3="","",MIN(Ввод!$B$4,Ввод!$B$4+1-SUMPRODUCT(MAX((Оплаты!$D$6:$D$505=A3)*(Оплаты!$A$6:$A$505&gt;=C3)*(Ввод!$B$4+1-Оплаты!$A$6:$A$505)))))</f>
        <v/>
      </c>
      <c r="E3" s="14">
        <f>IF(A3="","",Акты!$D$6)</f>
        <v/>
      </c>
      <c r="F3" s="14">
        <f>IF(G3="","",SUMPRODUCT(ROUND(E3*'По дням'!$L$6:$L$155/100*((((D3+'По дням'!$K$6:$K$155-ABS(D3-'По дням'!$K$6:$K$155))-(C3+'По дням'!$J$6:$J$155+ABS(C3-'По дням'!$J$6:$J$155)))/2+1)&gt;0)*(((D3+'По дням'!$K$6:$K$155-ABS(D3-'По дням'!$K$6:$K$155))-(C3+'По дням'!$J$6:$J$155+ABS(C3-'По дням'!$J$6:$J$155)))/2+1)/'По дням'!$M$6:$M$155,2)*(1-'По дням'!$N$6:$N$155)))</f>
        <v/>
      </c>
      <c r="G3">
        <f>IF(A3="","",IF(C3&gt;D3,"",B3*1000000+C3))</f>
        <v/>
      </c>
      <c r="H3" s="14">
        <f>IF(G3="","",SUMIFS(Оплаты!$B$6:$B$505,Оплаты!$D$6:$D$505,A3,Оплаты!$A$6:$A$505,D3))</f>
        <v/>
      </c>
      <c r="I3">
        <f>IF(G3="","",SUMPRODUCT((((((D3+'По дням'!$K$6:$K$155-ABS(D3-'По дням'!$K$6:$K$155))-(C3+'По дням'!$J$6:$J$155+ABS(C3-'По дням'!$J$6:$J$155)))/2+1)&gt;0)*(((D3+'По дням'!$K$6:$K$155-ABS(D3-'По дням'!$K$6:$K$155))-(C3+'По дням'!$J$6:$J$155+ABS(C3-'По дням'!$J$6:$J$155)))/2+1)&gt;0)*1))</f>
        <v/>
      </c>
    </row>
    <row r="4">
      <c r="A4">
        <f>IF(Акты!$H$7="ок",Акты!$B$7,"")</f>
        <v/>
      </c>
      <c r="B4">
        <f>IF(A4="","",3)</f>
        <v/>
      </c>
      <c r="C4" s="20">
        <f>IF(A4="","",Акты!$E$7)</f>
        <v/>
      </c>
      <c r="D4" s="20">
        <f>IF(A4="","",MIN(Ввод!$B$4,Ввод!$B$4+1-SUMPRODUCT(MAX((Оплаты!$D$6:$D$505=A4)*(Оплаты!$A$6:$A$505&gt;=C4)*(Ввод!$B$4+1-Оплаты!$A$6:$A$505)))))</f>
        <v/>
      </c>
      <c r="E4" s="14">
        <f>IF(A4="","",Акты!$D$7)</f>
        <v/>
      </c>
      <c r="F4" s="14">
        <f>IF(G4="","",SUMPRODUCT(ROUND(E4*'По дням'!$L$6:$L$155/100*((((D4+'По дням'!$K$6:$K$155-ABS(D4-'По дням'!$K$6:$K$155))-(C4+'По дням'!$J$6:$J$155+ABS(C4-'По дням'!$J$6:$J$155)))/2+1)&gt;0)*(((D4+'По дням'!$K$6:$K$155-ABS(D4-'По дням'!$K$6:$K$155))-(C4+'По дням'!$J$6:$J$155+ABS(C4-'По дням'!$J$6:$J$155)))/2+1)/'По дням'!$M$6:$M$155,2)*(1-'По дням'!$N$6:$N$155)))</f>
        <v/>
      </c>
      <c r="G4">
        <f>IF(A4="","",IF(C4&gt;D4,"",B4*1000000+C4))</f>
        <v/>
      </c>
      <c r="H4" s="14">
        <f>IF(G4="","",SUMIFS(Оплаты!$B$6:$B$505,Оплаты!$D$6:$D$505,A4,Оплаты!$A$6:$A$505,D4))</f>
        <v/>
      </c>
      <c r="I4">
        <f>IF(G4="","",SUMPRODUCT((((((D4+'По дням'!$K$6:$K$155-ABS(D4-'По дням'!$K$6:$K$155))-(C4+'По дням'!$J$6:$J$155+ABS(C4-'По дням'!$J$6:$J$155)))/2+1)&gt;0)*(((D4+'По дням'!$K$6:$K$155-ABS(D4-'По дням'!$K$6:$K$155))-(C4+'По дням'!$J$6:$J$155+ABS(C4-'По дням'!$J$6:$J$155)))/2+1)&gt;0)*1))</f>
        <v/>
      </c>
    </row>
    <row r="5">
      <c r="A5">
        <f>IF(Акты!$H$8="ок",Акты!$B$8,"")</f>
        <v/>
      </c>
      <c r="B5">
        <f>IF(A5="","",4)</f>
        <v/>
      </c>
      <c r="C5" s="20">
        <f>IF(A5="","",Акты!$E$8)</f>
        <v/>
      </c>
      <c r="D5" s="20">
        <f>IF(A5="","",MIN(Ввод!$B$4,Ввод!$B$4+1-SUMPRODUCT(MAX((Оплаты!$D$6:$D$505=A5)*(Оплаты!$A$6:$A$505&gt;=C5)*(Ввод!$B$4+1-Оплаты!$A$6:$A$505)))))</f>
        <v/>
      </c>
      <c r="E5" s="14">
        <f>IF(A5="","",Акты!$D$8)</f>
        <v/>
      </c>
      <c r="F5" s="14">
        <f>IF(G5="","",SUMPRODUCT(ROUND(E5*'По дням'!$L$6:$L$155/100*((((D5+'По дням'!$K$6:$K$155-ABS(D5-'По дням'!$K$6:$K$155))-(C5+'По дням'!$J$6:$J$155+ABS(C5-'По дням'!$J$6:$J$155)))/2+1)&gt;0)*(((D5+'По дням'!$K$6:$K$155-ABS(D5-'По дням'!$K$6:$K$155))-(C5+'По дням'!$J$6:$J$155+ABS(C5-'По дням'!$J$6:$J$155)))/2+1)/'По дням'!$M$6:$M$155,2)*(1-'По дням'!$N$6:$N$155)))</f>
        <v/>
      </c>
      <c r="G5">
        <f>IF(A5="","",IF(C5&gt;D5,"",B5*1000000+C5))</f>
        <v/>
      </c>
      <c r="H5" s="14">
        <f>IF(G5="","",SUMIFS(Оплаты!$B$6:$B$505,Оплаты!$D$6:$D$505,A5,Оплаты!$A$6:$A$505,D5))</f>
        <v/>
      </c>
      <c r="I5">
        <f>IF(G5="","",SUMPRODUCT((((((D5+'По дням'!$K$6:$K$155-ABS(D5-'По дням'!$K$6:$K$155))-(C5+'По дням'!$J$6:$J$155+ABS(C5-'По дням'!$J$6:$J$155)))/2+1)&gt;0)*(((D5+'По дням'!$K$6:$K$155-ABS(D5-'По дням'!$K$6:$K$155))-(C5+'По дням'!$J$6:$J$155+ABS(C5-'По дням'!$J$6:$J$155)))/2+1)&gt;0)*1))</f>
        <v/>
      </c>
    </row>
    <row r="6">
      <c r="A6">
        <f>IF(Акты!$H$9="ок",Акты!$B$9,"")</f>
        <v/>
      </c>
      <c r="B6">
        <f>IF(A6="","",5)</f>
        <v/>
      </c>
      <c r="C6" s="20">
        <f>IF(A6="","",Акты!$E$9)</f>
        <v/>
      </c>
      <c r="D6" s="20">
        <f>IF(A6="","",MIN(Ввод!$B$4,Ввод!$B$4+1-SUMPRODUCT(MAX((Оплаты!$D$6:$D$505=A6)*(Оплаты!$A$6:$A$505&gt;=C6)*(Ввод!$B$4+1-Оплаты!$A$6:$A$505)))))</f>
        <v/>
      </c>
      <c r="E6" s="14">
        <f>IF(A6="","",Акты!$D$9)</f>
        <v/>
      </c>
      <c r="F6" s="14">
        <f>IF(G6="","",SUMPRODUCT(ROUND(E6*'По дням'!$L$6:$L$155/100*((((D6+'По дням'!$K$6:$K$155-ABS(D6-'По дням'!$K$6:$K$155))-(C6+'По дням'!$J$6:$J$155+ABS(C6-'По дням'!$J$6:$J$155)))/2+1)&gt;0)*(((D6+'По дням'!$K$6:$K$155-ABS(D6-'По дням'!$K$6:$K$155))-(C6+'По дням'!$J$6:$J$155+ABS(C6-'По дням'!$J$6:$J$155)))/2+1)/'По дням'!$M$6:$M$155,2)*(1-'По дням'!$N$6:$N$155)))</f>
        <v/>
      </c>
      <c r="G6">
        <f>IF(A6="","",IF(C6&gt;D6,"",B6*1000000+C6))</f>
        <v/>
      </c>
      <c r="H6" s="14">
        <f>IF(G6="","",SUMIFS(Оплаты!$B$6:$B$505,Оплаты!$D$6:$D$505,A6,Оплаты!$A$6:$A$505,D6))</f>
        <v/>
      </c>
      <c r="I6">
        <f>IF(G6="","",SUMPRODUCT((((((D6+'По дням'!$K$6:$K$155-ABS(D6-'По дням'!$K$6:$K$155))-(C6+'По дням'!$J$6:$J$155+ABS(C6-'По дням'!$J$6:$J$155)))/2+1)&gt;0)*(((D6+'По дням'!$K$6:$K$155-ABS(D6-'По дням'!$K$6:$K$155))-(C6+'По дням'!$J$6:$J$155+ABS(C6-'По дням'!$J$6:$J$155)))/2+1)&gt;0)*1))</f>
        <v/>
      </c>
    </row>
    <row r="7">
      <c r="A7">
        <f>IF(Акты!$H$10="ок",Акты!$B$10,"")</f>
        <v/>
      </c>
      <c r="B7">
        <f>IF(A7="","",6)</f>
        <v/>
      </c>
      <c r="C7" s="20">
        <f>IF(A7="","",Акты!$E$10)</f>
        <v/>
      </c>
      <c r="D7" s="20">
        <f>IF(A7="","",MIN(Ввод!$B$4,Ввод!$B$4+1-SUMPRODUCT(MAX((Оплаты!$D$6:$D$505=A7)*(Оплаты!$A$6:$A$505&gt;=C7)*(Ввод!$B$4+1-Оплаты!$A$6:$A$505)))))</f>
        <v/>
      </c>
      <c r="E7" s="14">
        <f>IF(A7="","",Акты!$D$10)</f>
        <v/>
      </c>
      <c r="F7" s="14">
        <f>IF(G7="","",SUMPRODUCT(ROUND(E7*'По дням'!$L$6:$L$155/100*((((D7+'По дням'!$K$6:$K$155-ABS(D7-'По дням'!$K$6:$K$155))-(C7+'По дням'!$J$6:$J$155+ABS(C7-'По дням'!$J$6:$J$155)))/2+1)&gt;0)*(((D7+'По дням'!$K$6:$K$155-ABS(D7-'По дням'!$K$6:$K$155))-(C7+'По дням'!$J$6:$J$155+ABS(C7-'По дням'!$J$6:$J$155)))/2+1)/'По дням'!$M$6:$M$155,2)*(1-'По дням'!$N$6:$N$155)))</f>
        <v/>
      </c>
      <c r="G7">
        <f>IF(A7="","",IF(C7&gt;D7,"",B7*1000000+C7))</f>
        <v/>
      </c>
      <c r="H7" s="14">
        <f>IF(G7="","",SUMIFS(Оплаты!$B$6:$B$505,Оплаты!$D$6:$D$505,A7,Оплаты!$A$6:$A$505,D7))</f>
        <v/>
      </c>
      <c r="I7">
        <f>IF(G7="","",SUMPRODUCT((((((D7+'По дням'!$K$6:$K$155-ABS(D7-'По дням'!$K$6:$K$155))-(C7+'По дням'!$J$6:$J$155+ABS(C7-'По дням'!$J$6:$J$155)))/2+1)&gt;0)*(((D7+'По дням'!$K$6:$K$155-ABS(D7-'По дням'!$K$6:$K$155))-(C7+'По дням'!$J$6:$J$155+ABS(C7-'По дням'!$J$6:$J$155)))/2+1)&gt;0)*1))</f>
        <v/>
      </c>
    </row>
    <row r="8">
      <c r="A8">
        <f>IF(Акты!$H$11="ок",Акты!$B$11,"")</f>
        <v/>
      </c>
      <c r="B8">
        <f>IF(A8="","",7)</f>
        <v/>
      </c>
      <c r="C8" s="20">
        <f>IF(A8="","",Акты!$E$11)</f>
        <v/>
      </c>
      <c r="D8" s="20">
        <f>IF(A8="","",MIN(Ввод!$B$4,Ввод!$B$4+1-SUMPRODUCT(MAX((Оплаты!$D$6:$D$505=A8)*(Оплаты!$A$6:$A$505&gt;=C8)*(Ввод!$B$4+1-Оплаты!$A$6:$A$505)))))</f>
        <v/>
      </c>
      <c r="E8" s="14">
        <f>IF(A8="","",Акты!$D$11)</f>
        <v/>
      </c>
      <c r="F8" s="14">
        <f>IF(G8="","",SUMPRODUCT(ROUND(E8*'По дням'!$L$6:$L$155/100*((((D8+'По дням'!$K$6:$K$155-ABS(D8-'По дням'!$K$6:$K$155))-(C8+'По дням'!$J$6:$J$155+ABS(C8-'По дням'!$J$6:$J$155)))/2+1)&gt;0)*(((D8+'По дням'!$K$6:$K$155-ABS(D8-'По дням'!$K$6:$K$155))-(C8+'По дням'!$J$6:$J$155+ABS(C8-'По дням'!$J$6:$J$155)))/2+1)/'По дням'!$M$6:$M$155,2)*(1-'По дням'!$N$6:$N$155)))</f>
        <v/>
      </c>
      <c r="G8">
        <f>IF(A8="","",IF(C8&gt;D8,"",B8*1000000+C8))</f>
        <v/>
      </c>
      <c r="H8" s="14">
        <f>IF(G8="","",SUMIFS(Оплаты!$B$6:$B$505,Оплаты!$D$6:$D$505,A8,Оплаты!$A$6:$A$505,D8))</f>
        <v/>
      </c>
      <c r="I8">
        <f>IF(G8="","",SUMPRODUCT((((((D8+'По дням'!$K$6:$K$155-ABS(D8-'По дням'!$K$6:$K$155))-(C8+'По дням'!$J$6:$J$155+ABS(C8-'По дням'!$J$6:$J$155)))/2+1)&gt;0)*(((D8+'По дням'!$K$6:$K$155-ABS(D8-'По дням'!$K$6:$K$155))-(C8+'По дням'!$J$6:$J$155+ABS(C8-'По дням'!$J$6:$J$155)))/2+1)&gt;0)*1))</f>
        <v/>
      </c>
    </row>
    <row r="9">
      <c r="A9">
        <f>IF(Акты!$H$12="ок",Акты!$B$12,"")</f>
        <v/>
      </c>
      <c r="B9">
        <f>IF(A9="","",8)</f>
        <v/>
      </c>
      <c r="C9" s="20">
        <f>IF(A9="","",Акты!$E$12)</f>
        <v/>
      </c>
      <c r="D9" s="20">
        <f>IF(A9="","",MIN(Ввод!$B$4,Ввод!$B$4+1-SUMPRODUCT(MAX((Оплаты!$D$6:$D$505=A9)*(Оплаты!$A$6:$A$505&gt;=C9)*(Ввод!$B$4+1-Оплаты!$A$6:$A$505)))))</f>
        <v/>
      </c>
      <c r="E9" s="14">
        <f>IF(A9="","",Акты!$D$12)</f>
        <v/>
      </c>
      <c r="F9" s="14">
        <f>IF(G9="","",SUMPRODUCT(ROUND(E9*'По дням'!$L$6:$L$155/100*((((D9+'По дням'!$K$6:$K$155-ABS(D9-'По дням'!$K$6:$K$155))-(C9+'По дням'!$J$6:$J$155+ABS(C9-'По дням'!$J$6:$J$155)))/2+1)&gt;0)*(((D9+'По дням'!$K$6:$K$155-ABS(D9-'По дням'!$K$6:$K$155))-(C9+'По дням'!$J$6:$J$155+ABS(C9-'По дням'!$J$6:$J$155)))/2+1)/'По дням'!$M$6:$M$155,2)*(1-'По дням'!$N$6:$N$155)))</f>
        <v/>
      </c>
      <c r="G9">
        <f>IF(A9="","",IF(C9&gt;D9,"",B9*1000000+C9))</f>
        <v/>
      </c>
      <c r="H9" s="14">
        <f>IF(G9="","",SUMIFS(Оплаты!$B$6:$B$505,Оплаты!$D$6:$D$505,A9,Оплаты!$A$6:$A$505,D9))</f>
        <v/>
      </c>
      <c r="I9">
        <f>IF(G9="","",SUMPRODUCT((((((D9+'По дням'!$K$6:$K$155-ABS(D9-'По дням'!$K$6:$K$155))-(C9+'По дням'!$J$6:$J$155+ABS(C9-'По дням'!$J$6:$J$155)))/2+1)&gt;0)*(((D9+'По дням'!$K$6:$K$155-ABS(D9-'По дням'!$K$6:$K$155))-(C9+'По дням'!$J$6:$J$155+ABS(C9-'По дням'!$J$6:$J$155)))/2+1)&gt;0)*1))</f>
        <v/>
      </c>
    </row>
    <row r="10">
      <c r="A10">
        <f>IF(Акты!$H$13="ок",Акты!$B$13,"")</f>
        <v/>
      </c>
      <c r="B10">
        <f>IF(A10="","",9)</f>
        <v/>
      </c>
      <c r="C10" s="20">
        <f>IF(A10="","",Акты!$E$13)</f>
        <v/>
      </c>
      <c r="D10" s="20">
        <f>IF(A10="","",MIN(Ввод!$B$4,Ввод!$B$4+1-SUMPRODUCT(MAX((Оплаты!$D$6:$D$505=A10)*(Оплаты!$A$6:$A$505&gt;=C10)*(Ввод!$B$4+1-Оплаты!$A$6:$A$505)))))</f>
        <v/>
      </c>
      <c r="E10" s="14">
        <f>IF(A10="","",Акты!$D$13)</f>
        <v/>
      </c>
      <c r="F10" s="14">
        <f>IF(G10="","",SUMPRODUCT(ROUND(E10*'По дням'!$L$6:$L$155/100*((((D10+'По дням'!$K$6:$K$155-ABS(D10-'По дням'!$K$6:$K$155))-(C10+'По дням'!$J$6:$J$155+ABS(C10-'По дням'!$J$6:$J$155)))/2+1)&gt;0)*(((D10+'По дням'!$K$6:$K$155-ABS(D10-'По дням'!$K$6:$K$155))-(C10+'По дням'!$J$6:$J$155+ABS(C10-'По дням'!$J$6:$J$155)))/2+1)/'По дням'!$M$6:$M$155,2)*(1-'По дням'!$N$6:$N$155)))</f>
        <v/>
      </c>
      <c r="G10">
        <f>IF(A10="","",IF(C10&gt;D10,"",B10*1000000+C10))</f>
        <v/>
      </c>
      <c r="H10" s="14">
        <f>IF(G10="","",SUMIFS(Оплаты!$B$6:$B$505,Оплаты!$D$6:$D$505,A10,Оплаты!$A$6:$A$505,D10))</f>
        <v/>
      </c>
      <c r="I10">
        <f>IF(G10="","",SUMPRODUCT((((((D10+'По дням'!$K$6:$K$155-ABS(D10-'По дням'!$K$6:$K$155))-(C10+'По дням'!$J$6:$J$155+ABS(C10-'По дням'!$J$6:$J$155)))/2+1)&gt;0)*(((D10+'По дням'!$K$6:$K$155-ABS(D10-'По дням'!$K$6:$K$155))-(C10+'По дням'!$J$6:$J$155+ABS(C10-'По дням'!$J$6:$J$155)))/2+1)&gt;0)*1))</f>
        <v/>
      </c>
    </row>
    <row r="11">
      <c r="A11">
        <f>IF(Акты!$H$14="ок",Акты!$B$14,"")</f>
        <v/>
      </c>
      <c r="B11">
        <f>IF(A11="","",10)</f>
        <v/>
      </c>
      <c r="C11" s="20">
        <f>IF(A11="","",Акты!$E$14)</f>
        <v/>
      </c>
      <c r="D11" s="20">
        <f>IF(A11="","",MIN(Ввод!$B$4,Ввод!$B$4+1-SUMPRODUCT(MAX((Оплаты!$D$6:$D$505=A11)*(Оплаты!$A$6:$A$505&gt;=C11)*(Ввод!$B$4+1-Оплаты!$A$6:$A$505)))))</f>
        <v/>
      </c>
      <c r="E11" s="14">
        <f>IF(A11="","",Акты!$D$14)</f>
        <v/>
      </c>
      <c r="F11" s="14">
        <f>IF(G11="","",SUMPRODUCT(ROUND(E11*'По дням'!$L$6:$L$155/100*((((D11+'По дням'!$K$6:$K$155-ABS(D11-'По дням'!$K$6:$K$155))-(C11+'По дням'!$J$6:$J$155+ABS(C11-'По дням'!$J$6:$J$155)))/2+1)&gt;0)*(((D11+'По дням'!$K$6:$K$155-ABS(D11-'По дням'!$K$6:$K$155))-(C11+'По дням'!$J$6:$J$155+ABS(C11-'По дням'!$J$6:$J$155)))/2+1)/'По дням'!$M$6:$M$155,2)*(1-'По дням'!$N$6:$N$155)))</f>
        <v/>
      </c>
      <c r="G11">
        <f>IF(A11="","",IF(C11&gt;D11,"",B11*1000000+C11))</f>
        <v/>
      </c>
      <c r="H11" s="14">
        <f>IF(G11="","",SUMIFS(Оплаты!$B$6:$B$505,Оплаты!$D$6:$D$505,A11,Оплаты!$A$6:$A$505,D11))</f>
        <v/>
      </c>
      <c r="I11">
        <f>IF(G11="","",SUMPRODUCT((((((D11+'По дням'!$K$6:$K$155-ABS(D11-'По дням'!$K$6:$K$155))-(C11+'По дням'!$J$6:$J$155+ABS(C11-'По дням'!$J$6:$J$155)))/2+1)&gt;0)*(((D11+'По дням'!$K$6:$K$155-ABS(D11-'По дням'!$K$6:$K$155))-(C11+'По дням'!$J$6:$J$155+ABS(C11-'По дням'!$J$6:$J$155)))/2+1)&gt;0)*1))</f>
        <v/>
      </c>
    </row>
    <row r="12">
      <c r="A12">
        <f>IF(Акты!$H$15="ок",Акты!$B$15,"")</f>
        <v/>
      </c>
      <c r="B12">
        <f>IF(A12="","",11)</f>
        <v/>
      </c>
      <c r="C12" s="20">
        <f>IF(A12="","",Акты!$E$15)</f>
        <v/>
      </c>
      <c r="D12" s="20">
        <f>IF(A12="","",MIN(Ввод!$B$4,Ввод!$B$4+1-SUMPRODUCT(MAX((Оплаты!$D$6:$D$505=A12)*(Оплаты!$A$6:$A$505&gt;=C12)*(Ввод!$B$4+1-Оплаты!$A$6:$A$505)))))</f>
        <v/>
      </c>
      <c r="E12" s="14">
        <f>IF(A12="","",Акты!$D$15)</f>
        <v/>
      </c>
      <c r="F12" s="14">
        <f>IF(G12="","",SUMPRODUCT(ROUND(E12*'По дням'!$L$6:$L$155/100*((((D12+'По дням'!$K$6:$K$155-ABS(D12-'По дням'!$K$6:$K$155))-(C12+'По дням'!$J$6:$J$155+ABS(C12-'По дням'!$J$6:$J$155)))/2+1)&gt;0)*(((D12+'По дням'!$K$6:$K$155-ABS(D12-'По дням'!$K$6:$K$155))-(C12+'По дням'!$J$6:$J$155+ABS(C12-'По дням'!$J$6:$J$155)))/2+1)/'По дням'!$M$6:$M$155,2)*(1-'По дням'!$N$6:$N$155)))</f>
        <v/>
      </c>
      <c r="G12">
        <f>IF(A12="","",IF(C12&gt;D12,"",B12*1000000+C12))</f>
        <v/>
      </c>
      <c r="H12" s="14">
        <f>IF(G12="","",SUMIFS(Оплаты!$B$6:$B$505,Оплаты!$D$6:$D$505,A12,Оплаты!$A$6:$A$505,D12))</f>
        <v/>
      </c>
      <c r="I12">
        <f>IF(G12="","",SUMPRODUCT((((((D12+'По дням'!$K$6:$K$155-ABS(D12-'По дням'!$K$6:$K$155))-(C12+'По дням'!$J$6:$J$155+ABS(C12-'По дням'!$J$6:$J$155)))/2+1)&gt;0)*(((D12+'По дням'!$K$6:$K$155-ABS(D12-'По дням'!$K$6:$K$155))-(C12+'По дням'!$J$6:$J$155+ABS(C12-'По дням'!$J$6:$J$155)))/2+1)&gt;0)*1))</f>
        <v/>
      </c>
    </row>
    <row r="13">
      <c r="A13">
        <f>IF(Акты!$H$16="ок",Акты!$B$16,"")</f>
        <v/>
      </c>
      <c r="B13">
        <f>IF(A13="","",12)</f>
        <v/>
      </c>
      <c r="C13" s="20">
        <f>IF(A13="","",Акты!$E$16)</f>
        <v/>
      </c>
      <c r="D13" s="20">
        <f>IF(A13="","",MIN(Ввод!$B$4,Ввод!$B$4+1-SUMPRODUCT(MAX((Оплаты!$D$6:$D$505=A13)*(Оплаты!$A$6:$A$505&gt;=C13)*(Ввод!$B$4+1-Оплаты!$A$6:$A$505)))))</f>
        <v/>
      </c>
      <c r="E13" s="14">
        <f>IF(A13="","",Акты!$D$16)</f>
        <v/>
      </c>
      <c r="F13" s="14">
        <f>IF(G13="","",SUMPRODUCT(ROUND(E13*'По дням'!$L$6:$L$155/100*((((D13+'По дням'!$K$6:$K$155-ABS(D13-'По дням'!$K$6:$K$155))-(C13+'По дням'!$J$6:$J$155+ABS(C13-'По дням'!$J$6:$J$155)))/2+1)&gt;0)*(((D13+'По дням'!$K$6:$K$155-ABS(D13-'По дням'!$K$6:$K$155))-(C13+'По дням'!$J$6:$J$155+ABS(C13-'По дням'!$J$6:$J$155)))/2+1)/'По дням'!$M$6:$M$155,2)*(1-'По дням'!$N$6:$N$155)))</f>
        <v/>
      </c>
      <c r="G13">
        <f>IF(A13="","",IF(C13&gt;D13,"",B13*1000000+C13))</f>
        <v/>
      </c>
      <c r="H13" s="14">
        <f>IF(G13="","",SUMIFS(Оплаты!$B$6:$B$505,Оплаты!$D$6:$D$505,A13,Оплаты!$A$6:$A$505,D13))</f>
        <v/>
      </c>
      <c r="I13">
        <f>IF(G13="","",SUMPRODUCT((((((D13+'По дням'!$K$6:$K$155-ABS(D13-'По дням'!$K$6:$K$155))-(C13+'По дням'!$J$6:$J$155+ABS(C13-'По дням'!$J$6:$J$155)))/2+1)&gt;0)*(((D13+'По дням'!$K$6:$K$155-ABS(D13-'По дням'!$K$6:$K$155))-(C13+'По дням'!$J$6:$J$155+ABS(C13-'По дням'!$J$6:$J$155)))/2+1)&gt;0)*1))</f>
        <v/>
      </c>
    </row>
    <row r="14">
      <c r="A14">
        <f>IF(AND(Оплаты!$E$6="ок",COUNTIFS(Акты!$B$5:$B$16,Оплаты!$D$6,Акты!$H$5:$H$16,"ок")&gt;0,TRUE()),Оплаты!$D$6,"")</f>
        <v/>
      </c>
      <c r="B14">
        <f>IF(A14="","",MATCH(A14,Акты!$B$5:$B$16,0))</f>
        <v/>
      </c>
      <c r="C14" s="20">
        <f>IF(A14="","",Оплаты!$A$6+1)</f>
        <v/>
      </c>
      <c r="D14" s="20">
        <f>IF(A14="","",MIN(Ввод!$B$4,Ввод!$B$4+1-SUMPRODUCT(MAX((Оплаты!$D$6:$D$505=A14)*(Оплаты!$A$6:$A$505&gt;Оплаты!$A$6)*(Ввод!$B$4+1-Оплаты!$A$6:$A$505)))))</f>
        <v/>
      </c>
      <c r="E14" s="14">
        <f>IF(A14="","",INDEX(Акты!$D$5:$D$16,B14)-SUMIFS(Оплаты!$B$6:$B$505,Оплаты!$D$6:$D$505,A14,Оплаты!$A$6:$A$505,"&lt;="&amp;Оплаты!$A$6))</f>
        <v/>
      </c>
      <c r="F14" s="14">
        <f>IF(G14="","",SUMPRODUCT(ROUND(E14*'По дням'!$L$6:$L$155/100*((((D14+'По дням'!$K$6:$K$155-ABS(D14-'По дням'!$K$6:$K$155))-(C14+'По дням'!$J$6:$J$155+ABS(C14-'По дням'!$J$6:$J$155)))/2+1)&gt;0)*(((D14+'По дням'!$K$6:$K$155-ABS(D14-'По дням'!$K$6:$K$155))-(C14+'По дням'!$J$6:$J$155+ABS(C14-'По дням'!$J$6:$J$155)))/2+1)/'По дням'!$M$6:$M$155,2)*(1-'По дням'!$N$6:$N$155)))</f>
        <v/>
      </c>
      <c r="G14">
        <f>IF(A14="","",IF(C14&gt;D14,"",B14*1000000+C14))</f>
        <v/>
      </c>
      <c r="H14" s="14">
        <f>IF(G14="","",SUMIFS(Оплаты!$B$6:$B$505,Оплаты!$D$6:$D$505,A14,Оплаты!$A$6:$A$505,D14))</f>
        <v/>
      </c>
      <c r="I14">
        <f>IF(G14="","",SUMPRODUCT((((((D14+'По дням'!$K$6:$K$155-ABS(D14-'По дням'!$K$6:$K$155))-(C14+'По дням'!$J$6:$J$155+ABS(C14-'По дням'!$J$6:$J$155)))/2+1)&gt;0)*(((D14+'По дням'!$K$6:$K$155-ABS(D14-'По дням'!$K$6:$K$155))-(C14+'По дням'!$J$6:$J$155+ABS(C14-'По дням'!$J$6:$J$155)))/2+1)&gt;0)*1))</f>
        <v/>
      </c>
    </row>
    <row r="15">
      <c r="A15">
        <f>IF(AND(Оплаты!$E$7="ок",COUNTIFS(Акты!$B$5:$B$16,Оплаты!$D$7,Акты!$H$5:$H$16,"ок")&gt;0,COUNTIFS(Оплаты!$D$6:$D$6,Оплаты!$D$7,Оплаты!$A$6:$A$6,Оплаты!$A$7)=0),Оплаты!$D$7,"")</f>
        <v/>
      </c>
      <c r="B15">
        <f>IF(A15="","",MATCH(A15,Акты!$B$5:$B$16,0))</f>
        <v/>
      </c>
      <c r="C15" s="20">
        <f>IF(A15="","",Оплаты!$A$7+1)</f>
        <v/>
      </c>
      <c r="D15" s="20">
        <f>IF(A15="","",MIN(Ввод!$B$4,Ввод!$B$4+1-SUMPRODUCT(MAX((Оплаты!$D$6:$D$505=A15)*(Оплаты!$A$6:$A$505&gt;Оплаты!$A$7)*(Ввод!$B$4+1-Оплаты!$A$6:$A$505)))))</f>
        <v/>
      </c>
      <c r="E15" s="14">
        <f>IF(A15="","",INDEX(Акты!$D$5:$D$16,B15)-SUMIFS(Оплаты!$B$6:$B$505,Оплаты!$D$6:$D$505,A15,Оплаты!$A$6:$A$505,"&lt;="&amp;Оплаты!$A$7))</f>
        <v/>
      </c>
      <c r="F15" s="14">
        <f>IF(G15="","",SUMPRODUCT(ROUND(E15*'По дням'!$L$6:$L$155/100*((((D15+'По дням'!$K$6:$K$155-ABS(D15-'По дням'!$K$6:$K$155))-(C15+'По дням'!$J$6:$J$155+ABS(C15-'По дням'!$J$6:$J$155)))/2+1)&gt;0)*(((D15+'По дням'!$K$6:$K$155-ABS(D15-'По дням'!$K$6:$K$155))-(C15+'По дням'!$J$6:$J$155+ABS(C15-'По дням'!$J$6:$J$155)))/2+1)/'По дням'!$M$6:$M$155,2)*(1-'По дням'!$N$6:$N$155)))</f>
        <v/>
      </c>
      <c r="G15">
        <f>IF(A15="","",IF(C15&gt;D15,"",B15*1000000+C15))</f>
        <v/>
      </c>
      <c r="H15" s="14">
        <f>IF(G15="","",SUMIFS(Оплаты!$B$6:$B$505,Оплаты!$D$6:$D$505,A15,Оплаты!$A$6:$A$505,D15))</f>
        <v/>
      </c>
      <c r="I15">
        <f>IF(G15="","",SUMPRODUCT((((((D15+'По дням'!$K$6:$K$155-ABS(D15-'По дням'!$K$6:$K$155))-(C15+'По дням'!$J$6:$J$155+ABS(C15-'По дням'!$J$6:$J$155)))/2+1)&gt;0)*(((D15+'По дням'!$K$6:$K$155-ABS(D15-'По дням'!$K$6:$K$155))-(C15+'По дням'!$J$6:$J$155+ABS(C15-'По дням'!$J$6:$J$155)))/2+1)&gt;0)*1))</f>
        <v/>
      </c>
    </row>
    <row r="16">
      <c r="A16">
        <f>IF(AND(Оплаты!$E$8="ок",COUNTIFS(Акты!$B$5:$B$16,Оплаты!$D$8,Акты!$H$5:$H$16,"ок")&gt;0,COUNTIFS(Оплаты!$D$6:$D$7,Оплаты!$D$8,Оплаты!$A$6:$A$7,Оплаты!$A$8)=0),Оплаты!$D$8,"")</f>
        <v/>
      </c>
      <c r="B16">
        <f>IF(A16="","",MATCH(A16,Акты!$B$5:$B$16,0))</f>
        <v/>
      </c>
      <c r="C16" s="20">
        <f>IF(A16="","",Оплаты!$A$8+1)</f>
        <v/>
      </c>
      <c r="D16" s="20">
        <f>IF(A16="","",MIN(Ввод!$B$4,Ввод!$B$4+1-SUMPRODUCT(MAX((Оплаты!$D$6:$D$505=A16)*(Оплаты!$A$6:$A$505&gt;Оплаты!$A$8)*(Ввод!$B$4+1-Оплаты!$A$6:$A$505)))))</f>
        <v/>
      </c>
      <c r="E16" s="14">
        <f>IF(A16="","",INDEX(Акты!$D$5:$D$16,B16)-SUMIFS(Оплаты!$B$6:$B$505,Оплаты!$D$6:$D$505,A16,Оплаты!$A$6:$A$505,"&lt;="&amp;Оплаты!$A$8))</f>
        <v/>
      </c>
      <c r="F16" s="14">
        <f>IF(G16="","",SUMPRODUCT(ROUND(E16*'По дням'!$L$6:$L$155/100*((((D16+'По дням'!$K$6:$K$155-ABS(D16-'По дням'!$K$6:$K$155))-(C16+'По дням'!$J$6:$J$155+ABS(C16-'По дням'!$J$6:$J$155)))/2+1)&gt;0)*(((D16+'По дням'!$K$6:$K$155-ABS(D16-'По дням'!$K$6:$K$155))-(C16+'По дням'!$J$6:$J$155+ABS(C16-'По дням'!$J$6:$J$155)))/2+1)/'По дням'!$M$6:$M$155,2)*(1-'По дням'!$N$6:$N$155)))</f>
        <v/>
      </c>
      <c r="G16">
        <f>IF(A16="","",IF(C16&gt;D16,"",B16*1000000+C16))</f>
        <v/>
      </c>
      <c r="H16" s="14">
        <f>IF(G16="","",SUMIFS(Оплаты!$B$6:$B$505,Оплаты!$D$6:$D$505,A16,Оплаты!$A$6:$A$505,D16))</f>
        <v/>
      </c>
      <c r="I16">
        <f>IF(G16="","",SUMPRODUCT((((((D16+'По дням'!$K$6:$K$155-ABS(D16-'По дням'!$K$6:$K$155))-(C16+'По дням'!$J$6:$J$155+ABS(C16-'По дням'!$J$6:$J$155)))/2+1)&gt;0)*(((D16+'По дням'!$K$6:$K$155-ABS(D16-'По дням'!$K$6:$K$155))-(C16+'По дням'!$J$6:$J$155+ABS(C16-'По дням'!$J$6:$J$155)))/2+1)&gt;0)*1))</f>
        <v/>
      </c>
    </row>
    <row r="17">
      <c r="A17">
        <f>IF(AND(Оплаты!$E$9="ок",COUNTIFS(Акты!$B$5:$B$16,Оплаты!$D$9,Акты!$H$5:$H$16,"ок")&gt;0,COUNTIFS(Оплаты!$D$6:$D$8,Оплаты!$D$9,Оплаты!$A$6:$A$8,Оплаты!$A$9)=0),Оплаты!$D$9,"")</f>
        <v/>
      </c>
      <c r="B17">
        <f>IF(A17="","",MATCH(A17,Акты!$B$5:$B$16,0))</f>
        <v/>
      </c>
      <c r="C17" s="20">
        <f>IF(A17="","",Оплаты!$A$9+1)</f>
        <v/>
      </c>
      <c r="D17" s="20">
        <f>IF(A17="","",MIN(Ввод!$B$4,Ввод!$B$4+1-SUMPRODUCT(MAX((Оплаты!$D$6:$D$505=A17)*(Оплаты!$A$6:$A$505&gt;Оплаты!$A$9)*(Ввод!$B$4+1-Оплаты!$A$6:$A$505)))))</f>
        <v/>
      </c>
      <c r="E17" s="14">
        <f>IF(A17="","",INDEX(Акты!$D$5:$D$16,B17)-SUMIFS(Оплаты!$B$6:$B$505,Оплаты!$D$6:$D$505,A17,Оплаты!$A$6:$A$505,"&lt;="&amp;Оплаты!$A$9))</f>
        <v/>
      </c>
      <c r="F17" s="14">
        <f>IF(G17="","",SUMPRODUCT(ROUND(E17*'По дням'!$L$6:$L$155/100*((((D17+'По дням'!$K$6:$K$155-ABS(D17-'По дням'!$K$6:$K$155))-(C17+'По дням'!$J$6:$J$155+ABS(C17-'По дням'!$J$6:$J$155)))/2+1)&gt;0)*(((D17+'По дням'!$K$6:$K$155-ABS(D17-'По дням'!$K$6:$K$155))-(C17+'По дням'!$J$6:$J$155+ABS(C17-'По дням'!$J$6:$J$155)))/2+1)/'По дням'!$M$6:$M$155,2)*(1-'По дням'!$N$6:$N$155)))</f>
        <v/>
      </c>
      <c r="G17">
        <f>IF(A17="","",IF(C17&gt;D17,"",B17*1000000+C17))</f>
        <v/>
      </c>
      <c r="H17" s="14">
        <f>IF(G17="","",SUMIFS(Оплаты!$B$6:$B$505,Оплаты!$D$6:$D$505,A17,Оплаты!$A$6:$A$505,D17))</f>
        <v/>
      </c>
      <c r="I17">
        <f>IF(G17="","",SUMPRODUCT((((((D17+'По дням'!$K$6:$K$155-ABS(D17-'По дням'!$K$6:$K$155))-(C17+'По дням'!$J$6:$J$155+ABS(C17-'По дням'!$J$6:$J$155)))/2+1)&gt;0)*(((D17+'По дням'!$K$6:$K$155-ABS(D17-'По дням'!$K$6:$K$155))-(C17+'По дням'!$J$6:$J$155+ABS(C17-'По дням'!$J$6:$J$155)))/2+1)&gt;0)*1))</f>
        <v/>
      </c>
    </row>
    <row r="18">
      <c r="A18">
        <f>IF(AND(Оплаты!$E$10="ок",COUNTIFS(Акты!$B$5:$B$16,Оплаты!$D$10,Акты!$H$5:$H$16,"ок")&gt;0,COUNTIFS(Оплаты!$D$6:$D$9,Оплаты!$D$10,Оплаты!$A$6:$A$9,Оплаты!$A$10)=0),Оплаты!$D$10,"")</f>
        <v/>
      </c>
      <c r="B18">
        <f>IF(A18="","",MATCH(A18,Акты!$B$5:$B$16,0))</f>
        <v/>
      </c>
      <c r="C18" s="20">
        <f>IF(A18="","",Оплаты!$A$10+1)</f>
        <v/>
      </c>
      <c r="D18" s="20">
        <f>IF(A18="","",MIN(Ввод!$B$4,Ввод!$B$4+1-SUMPRODUCT(MAX((Оплаты!$D$6:$D$505=A18)*(Оплаты!$A$6:$A$505&gt;Оплаты!$A$10)*(Ввод!$B$4+1-Оплаты!$A$6:$A$505)))))</f>
        <v/>
      </c>
      <c r="E18" s="14">
        <f>IF(A18="","",INDEX(Акты!$D$5:$D$16,B18)-SUMIFS(Оплаты!$B$6:$B$505,Оплаты!$D$6:$D$505,A18,Оплаты!$A$6:$A$505,"&lt;="&amp;Оплаты!$A$10))</f>
        <v/>
      </c>
      <c r="F18" s="14">
        <f>IF(G18="","",SUMPRODUCT(ROUND(E18*'По дням'!$L$6:$L$155/100*((((D18+'По дням'!$K$6:$K$155-ABS(D18-'По дням'!$K$6:$K$155))-(C18+'По дням'!$J$6:$J$155+ABS(C18-'По дням'!$J$6:$J$155)))/2+1)&gt;0)*(((D18+'По дням'!$K$6:$K$155-ABS(D18-'По дням'!$K$6:$K$155))-(C18+'По дням'!$J$6:$J$155+ABS(C18-'По дням'!$J$6:$J$155)))/2+1)/'По дням'!$M$6:$M$155,2)*(1-'По дням'!$N$6:$N$155)))</f>
        <v/>
      </c>
      <c r="G18">
        <f>IF(A18="","",IF(C18&gt;D18,"",B18*1000000+C18))</f>
        <v/>
      </c>
      <c r="H18" s="14">
        <f>IF(G18="","",SUMIFS(Оплаты!$B$6:$B$505,Оплаты!$D$6:$D$505,A18,Оплаты!$A$6:$A$505,D18))</f>
        <v/>
      </c>
      <c r="I18">
        <f>IF(G18="","",SUMPRODUCT((((((D18+'По дням'!$K$6:$K$155-ABS(D18-'По дням'!$K$6:$K$155))-(C18+'По дням'!$J$6:$J$155+ABS(C18-'По дням'!$J$6:$J$155)))/2+1)&gt;0)*(((D18+'По дням'!$K$6:$K$155-ABS(D18-'По дням'!$K$6:$K$155))-(C18+'По дням'!$J$6:$J$155+ABS(C18-'По дням'!$J$6:$J$155)))/2+1)&gt;0)*1))</f>
        <v/>
      </c>
    </row>
    <row r="19">
      <c r="A19">
        <f>IF(AND(Оплаты!$E$11="ок",COUNTIFS(Акты!$B$5:$B$16,Оплаты!$D$11,Акты!$H$5:$H$16,"ок")&gt;0,COUNTIFS(Оплаты!$D$6:$D$10,Оплаты!$D$11,Оплаты!$A$6:$A$10,Оплаты!$A$11)=0),Оплаты!$D$11,"")</f>
        <v/>
      </c>
      <c r="B19">
        <f>IF(A19="","",MATCH(A19,Акты!$B$5:$B$16,0))</f>
        <v/>
      </c>
      <c r="C19" s="20">
        <f>IF(A19="","",Оплаты!$A$11+1)</f>
        <v/>
      </c>
      <c r="D19" s="20">
        <f>IF(A19="","",MIN(Ввод!$B$4,Ввод!$B$4+1-SUMPRODUCT(MAX((Оплаты!$D$6:$D$505=A19)*(Оплаты!$A$6:$A$505&gt;Оплаты!$A$11)*(Ввод!$B$4+1-Оплаты!$A$6:$A$505)))))</f>
        <v/>
      </c>
      <c r="E19" s="14">
        <f>IF(A19="","",INDEX(Акты!$D$5:$D$16,B19)-SUMIFS(Оплаты!$B$6:$B$505,Оплаты!$D$6:$D$505,A19,Оплаты!$A$6:$A$505,"&lt;="&amp;Оплаты!$A$11))</f>
        <v/>
      </c>
      <c r="F19" s="14">
        <f>IF(G19="","",SUMPRODUCT(ROUND(E19*'По дням'!$L$6:$L$155/100*((((D19+'По дням'!$K$6:$K$155-ABS(D19-'По дням'!$K$6:$K$155))-(C19+'По дням'!$J$6:$J$155+ABS(C19-'По дням'!$J$6:$J$155)))/2+1)&gt;0)*(((D19+'По дням'!$K$6:$K$155-ABS(D19-'По дням'!$K$6:$K$155))-(C19+'По дням'!$J$6:$J$155+ABS(C19-'По дням'!$J$6:$J$155)))/2+1)/'По дням'!$M$6:$M$155,2)*(1-'По дням'!$N$6:$N$155)))</f>
        <v/>
      </c>
      <c r="G19">
        <f>IF(A19="","",IF(C19&gt;D19,"",B19*1000000+C19))</f>
        <v/>
      </c>
      <c r="H19" s="14">
        <f>IF(G19="","",SUMIFS(Оплаты!$B$6:$B$505,Оплаты!$D$6:$D$505,A19,Оплаты!$A$6:$A$505,D19))</f>
        <v/>
      </c>
      <c r="I19">
        <f>IF(G19="","",SUMPRODUCT((((((D19+'По дням'!$K$6:$K$155-ABS(D19-'По дням'!$K$6:$K$155))-(C19+'По дням'!$J$6:$J$155+ABS(C19-'По дням'!$J$6:$J$155)))/2+1)&gt;0)*(((D19+'По дням'!$K$6:$K$155-ABS(D19-'По дням'!$K$6:$K$155))-(C19+'По дням'!$J$6:$J$155+ABS(C19-'По дням'!$J$6:$J$155)))/2+1)&gt;0)*1))</f>
        <v/>
      </c>
    </row>
    <row r="20">
      <c r="A20">
        <f>IF(AND(Оплаты!$E$12="ок",COUNTIFS(Акты!$B$5:$B$16,Оплаты!$D$12,Акты!$H$5:$H$16,"ок")&gt;0,COUNTIFS(Оплаты!$D$6:$D$11,Оплаты!$D$12,Оплаты!$A$6:$A$11,Оплаты!$A$12)=0),Оплаты!$D$12,"")</f>
        <v/>
      </c>
      <c r="B20">
        <f>IF(A20="","",MATCH(A20,Акты!$B$5:$B$16,0))</f>
        <v/>
      </c>
      <c r="C20" s="20">
        <f>IF(A20="","",Оплаты!$A$12+1)</f>
        <v/>
      </c>
      <c r="D20" s="20">
        <f>IF(A20="","",MIN(Ввод!$B$4,Ввод!$B$4+1-SUMPRODUCT(MAX((Оплаты!$D$6:$D$505=A20)*(Оплаты!$A$6:$A$505&gt;Оплаты!$A$12)*(Ввод!$B$4+1-Оплаты!$A$6:$A$505)))))</f>
        <v/>
      </c>
      <c r="E20" s="14">
        <f>IF(A20="","",INDEX(Акты!$D$5:$D$16,B20)-SUMIFS(Оплаты!$B$6:$B$505,Оплаты!$D$6:$D$505,A20,Оплаты!$A$6:$A$505,"&lt;="&amp;Оплаты!$A$12))</f>
        <v/>
      </c>
      <c r="F20" s="14">
        <f>IF(G20="","",SUMPRODUCT(ROUND(E20*'По дням'!$L$6:$L$155/100*((((D20+'По дням'!$K$6:$K$155-ABS(D20-'По дням'!$K$6:$K$155))-(C20+'По дням'!$J$6:$J$155+ABS(C20-'По дням'!$J$6:$J$155)))/2+1)&gt;0)*(((D20+'По дням'!$K$6:$K$155-ABS(D20-'По дням'!$K$6:$K$155))-(C20+'По дням'!$J$6:$J$155+ABS(C20-'По дням'!$J$6:$J$155)))/2+1)/'По дням'!$M$6:$M$155,2)*(1-'По дням'!$N$6:$N$155)))</f>
        <v/>
      </c>
      <c r="G20">
        <f>IF(A20="","",IF(C20&gt;D20,"",B20*1000000+C20))</f>
        <v/>
      </c>
      <c r="H20" s="14">
        <f>IF(G20="","",SUMIFS(Оплаты!$B$6:$B$505,Оплаты!$D$6:$D$505,A20,Оплаты!$A$6:$A$505,D20))</f>
        <v/>
      </c>
      <c r="I20">
        <f>IF(G20="","",SUMPRODUCT((((((D20+'По дням'!$K$6:$K$155-ABS(D20-'По дням'!$K$6:$K$155))-(C20+'По дням'!$J$6:$J$155+ABS(C20-'По дням'!$J$6:$J$155)))/2+1)&gt;0)*(((D20+'По дням'!$K$6:$K$155-ABS(D20-'По дням'!$K$6:$K$155))-(C20+'По дням'!$J$6:$J$155+ABS(C20-'По дням'!$J$6:$J$155)))/2+1)&gt;0)*1))</f>
        <v/>
      </c>
    </row>
    <row r="21">
      <c r="A21">
        <f>IF(AND(Оплаты!$E$13="ок",COUNTIFS(Акты!$B$5:$B$16,Оплаты!$D$13,Акты!$H$5:$H$16,"ок")&gt;0,COUNTIFS(Оплаты!$D$6:$D$12,Оплаты!$D$13,Оплаты!$A$6:$A$12,Оплаты!$A$13)=0),Оплаты!$D$13,"")</f>
        <v/>
      </c>
      <c r="B21">
        <f>IF(A21="","",MATCH(A21,Акты!$B$5:$B$16,0))</f>
        <v/>
      </c>
      <c r="C21" s="20">
        <f>IF(A21="","",Оплаты!$A$13+1)</f>
        <v/>
      </c>
      <c r="D21" s="20">
        <f>IF(A21="","",MIN(Ввод!$B$4,Ввод!$B$4+1-SUMPRODUCT(MAX((Оплаты!$D$6:$D$505=A21)*(Оплаты!$A$6:$A$505&gt;Оплаты!$A$13)*(Ввод!$B$4+1-Оплаты!$A$6:$A$505)))))</f>
        <v/>
      </c>
      <c r="E21" s="14">
        <f>IF(A21="","",INDEX(Акты!$D$5:$D$16,B21)-SUMIFS(Оплаты!$B$6:$B$505,Оплаты!$D$6:$D$505,A21,Оплаты!$A$6:$A$505,"&lt;="&amp;Оплаты!$A$13))</f>
        <v/>
      </c>
      <c r="F21" s="14">
        <f>IF(G21="","",SUMPRODUCT(ROUND(E21*'По дням'!$L$6:$L$155/100*((((D21+'По дням'!$K$6:$K$155-ABS(D21-'По дням'!$K$6:$K$155))-(C21+'По дням'!$J$6:$J$155+ABS(C21-'По дням'!$J$6:$J$155)))/2+1)&gt;0)*(((D21+'По дням'!$K$6:$K$155-ABS(D21-'По дням'!$K$6:$K$155))-(C21+'По дням'!$J$6:$J$155+ABS(C21-'По дням'!$J$6:$J$155)))/2+1)/'По дням'!$M$6:$M$155,2)*(1-'По дням'!$N$6:$N$155)))</f>
        <v/>
      </c>
      <c r="G21">
        <f>IF(A21="","",IF(C21&gt;D21,"",B21*1000000+C21))</f>
        <v/>
      </c>
      <c r="H21" s="14">
        <f>IF(G21="","",SUMIFS(Оплаты!$B$6:$B$505,Оплаты!$D$6:$D$505,A21,Оплаты!$A$6:$A$505,D21))</f>
        <v/>
      </c>
      <c r="I21">
        <f>IF(G21="","",SUMPRODUCT((((((D21+'По дням'!$K$6:$K$155-ABS(D21-'По дням'!$K$6:$K$155))-(C21+'По дням'!$J$6:$J$155+ABS(C21-'По дням'!$J$6:$J$155)))/2+1)&gt;0)*(((D21+'По дням'!$K$6:$K$155-ABS(D21-'По дням'!$K$6:$K$155))-(C21+'По дням'!$J$6:$J$155+ABS(C21-'По дням'!$J$6:$J$155)))/2+1)&gt;0)*1))</f>
        <v/>
      </c>
    </row>
    <row r="22">
      <c r="A22">
        <f>IF(AND(Оплаты!$E$14="ок",COUNTIFS(Акты!$B$5:$B$16,Оплаты!$D$14,Акты!$H$5:$H$16,"ок")&gt;0,COUNTIFS(Оплаты!$D$6:$D$13,Оплаты!$D$14,Оплаты!$A$6:$A$13,Оплаты!$A$14)=0),Оплаты!$D$14,"")</f>
        <v/>
      </c>
      <c r="B22">
        <f>IF(A22="","",MATCH(A22,Акты!$B$5:$B$16,0))</f>
        <v/>
      </c>
      <c r="C22" s="20">
        <f>IF(A22="","",Оплаты!$A$14+1)</f>
        <v/>
      </c>
      <c r="D22" s="20">
        <f>IF(A22="","",MIN(Ввод!$B$4,Ввод!$B$4+1-SUMPRODUCT(MAX((Оплаты!$D$6:$D$505=A22)*(Оплаты!$A$6:$A$505&gt;Оплаты!$A$14)*(Ввод!$B$4+1-Оплаты!$A$6:$A$505)))))</f>
        <v/>
      </c>
      <c r="E22" s="14">
        <f>IF(A22="","",INDEX(Акты!$D$5:$D$16,B22)-SUMIFS(Оплаты!$B$6:$B$505,Оплаты!$D$6:$D$505,A22,Оплаты!$A$6:$A$505,"&lt;="&amp;Оплаты!$A$14))</f>
        <v/>
      </c>
      <c r="F22" s="14">
        <f>IF(G22="","",SUMPRODUCT(ROUND(E22*'По дням'!$L$6:$L$155/100*((((D22+'По дням'!$K$6:$K$155-ABS(D22-'По дням'!$K$6:$K$155))-(C22+'По дням'!$J$6:$J$155+ABS(C22-'По дням'!$J$6:$J$155)))/2+1)&gt;0)*(((D22+'По дням'!$K$6:$K$155-ABS(D22-'По дням'!$K$6:$K$155))-(C22+'По дням'!$J$6:$J$155+ABS(C22-'По дням'!$J$6:$J$155)))/2+1)/'По дням'!$M$6:$M$155,2)*(1-'По дням'!$N$6:$N$155)))</f>
        <v/>
      </c>
      <c r="G22">
        <f>IF(A22="","",IF(C22&gt;D22,"",B22*1000000+C22))</f>
        <v/>
      </c>
      <c r="H22" s="14">
        <f>IF(G22="","",SUMIFS(Оплаты!$B$6:$B$505,Оплаты!$D$6:$D$505,A22,Оплаты!$A$6:$A$505,D22))</f>
        <v/>
      </c>
      <c r="I22">
        <f>IF(G22="","",SUMPRODUCT((((((D22+'По дням'!$K$6:$K$155-ABS(D22-'По дням'!$K$6:$K$155))-(C22+'По дням'!$J$6:$J$155+ABS(C22-'По дням'!$J$6:$J$155)))/2+1)&gt;0)*(((D22+'По дням'!$K$6:$K$155-ABS(D22-'По дням'!$K$6:$K$155))-(C22+'По дням'!$J$6:$J$155+ABS(C22-'По дням'!$J$6:$J$155)))/2+1)&gt;0)*1))</f>
        <v/>
      </c>
    </row>
    <row r="23">
      <c r="A23">
        <f>IF(AND(Оплаты!$E$15="ок",COUNTIFS(Акты!$B$5:$B$16,Оплаты!$D$15,Акты!$H$5:$H$16,"ок")&gt;0,COUNTIFS(Оплаты!$D$6:$D$14,Оплаты!$D$15,Оплаты!$A$6:$A$14,Оплаты!$A$15)=0),Оплаты!$D$15,"")</f>
        <v/>
      </c>
      <c r="B23">
        <f>IF(A23="","",MATCH(A23,Акты!$B$5:$B$16,0))</f>
        <v/>
      </c>
      <c r="C23" s="20">
        <f>IF(A23="","",Оплаты!$A$15+1)</f>
        <v/>
      </c>
      <c r="D23" s="20">
        <f>IF(A23="","",MIN(Ввод!$B$4,Ввод!$B$4+1-SUMPRODUCT(MAX((Оплаты!$D$6:$D$505=A23)*(Оплаты!$A$6:$A$505&gt;Оплаты!$A$15)*(Ввод!$B$4+1-Оплаты!$A$6:$A$505)))))</f>
        <v/>
      </c>
      <c r="E23" s="14">
        <f>IF(A23="","",INDEX(Акты!$D$5:$D$16,B23)-SUMIFS(Оплаты!$B$6:$B$505,Оплаты!$D$6:$D$505,A23,Оплаты!$A$6:$A$505,"&lt;="&amp;Оплаты!$A$15))</f>
        <v/>
      </c>
      <c r="F23" s="14">
        <f>IF(G23="","",SUMPRODUCT(ROUND(E23*'По дням'!$L$6:$L$155/100*((((D23+'По дням'!$K$6:$K$155-ABS(D23-'По дням'!$K$6:$K$155))-(C23+'По дням'!$J$6:$J$155+ABS(C23-'По дням'!$J$6:$J$155)))/2+1)&gt;0)*(((D23+'По дням'!$K$6:$K$155-ABS(D23-'По дням'!$K$6:$K$155))-(C23+'По дням'!$J$6:$J$155+ABS(C23-'По дням'!$J$6:$J$155)))/2+1)/'По дням'!$M$6:$M$155,2)*(1-'По дням'!$N$6:$N$155)))</f>
        <v/>
      </c>
      <c r="G23">
        <f>IF(A23="","",IF(C23&gt;D23,"",B23*1000000+C23))</f>
        <v/>
      </c>
      <c r="H23" s="14">
        <f>IF(G23="","",SUMIFS(Оплаты!$B$6:$B$505,Оплаты!$D$6:$D$505,A23,Оплаты!$A$6:$A$505,D23))</f>
        <v/>
      </c>
      <c r="I23">
        <f>IF(G23="","",SUMPRODUCT((((((D23+'По дням'!$K$6:$K$155-ABS(D23-'По дням'!$K$6:$K$155))-(C23+'По дням'!$J$6:$J$155+ABS(C23-'По дням'!$J$6:$J$155)))/2+1)&gt;0)*(((D23+'По дням'!$K$6:$K$155-ABS(D23-'По дням'!$K$6:$K$155))-(C23+'По дням'!$J$6:$J$155+ABS(C23-'По дням'!$J$6:$J$155)))/2+1)&gt;0)*1))</f>
        <v/>
      </c>
    </row>
    <row r="24">
      <c r="A24">
        <f>IF(AND(Оплаты!$E$16="ок",COUNTIFS(Акты!$B$5:$B$16,Оплаты!$D$16,Акты!$H$5:$H$16,"ок")&gt;0,COUNTIFS(Оплаты!$D$6:$D$15,Оплаты!$D$16,Оплаты!$A$6:$A$15,Оплаты!$A$16)=0),Оплаты!$D$16,"")</f>
        <v/>
      </c>
      <c r="B24">
        <f>IF(A24="","",MATCH(A24,Акты!$B$5:$B$16,0))</f>
        <v/>
      </c>
      <c r="C24" s="20">
        <f>IF(A24="","",Оплаты!$A$16+1)</f>
        <v/>
      </c>
      <c r="D24" s="20">
        <f>IF(A24="","",MIN(Ввод!$B$4,Ввод!$B$4+1-SUMPRODUCT(MAX((Оплаты!$D$6:$D$505=A24)*(Оплаты!$A$6:$A$505&gt;Оплаты!$A$16)*(Ввод!$B$4+1-Оплаты!$A$6:$A$505)))))</f>
        <v/>
      </c>
      <c r="E24" s="14">
        <f>IF(A24="","",INDEX(Акты!$D$5:$D$16,B24)-SUMIFS(Оплаты!$B$6:$B$505,Оплаты!$D$6:$D$505,A24,Оплаты!$A$6:$A$505,"&lt;="&amp;Оплаты!$A$16))</f>
        <v/>
      </c>
      <c r="F24" s="14">
        <f>IF(G24="","",SUMPRODUCT(ROUND(E24*'По дням'!$L$6:$L$155/100*((((D24+'По дням'!$K$6:$K$155-ABS(D24-'По дням'!$K$6:$K$155))-(C24+'По дням'!$J$6:$J$155+ABS(C24-'По дням'!$J$6:$J$155)))/2+1)&gt;0)*(((D24+'По дням'!$K$6:$K$155-ABS(D24-'По дням'!$K$6:$K$155))-(C24+'По дням'!$J$6:$J$155+ABS(C24-'По дням'!$J$6:$J$155)))/2+1)/'По дням'!$M$6:$M$155,2)*(1-'По дням'!$N$6:$N$155)))</f>
        <v/>
      </c>
      <c r="G24">
        <f>IF(A24="","",IF(C24&gt;D24,"",B24*1000000+C24))</f>
        <v/>
      </c>
      <c r="H24" s="14">
        <f>IF(G24="","",SUMIFS(Оплаты!$B$6:$B$505,Оплаты!$D$6:$D$505,A24,Оплаты!$A$6:$A$505,D24))</f>
        <v/>
      </c>
      <c r="I24">
        <f>IF(G24="","",SUMPRODUCT((((((D24+'По дням'!$K$6:$K$155-ABS(D24-'По дням'!$K$6:$K$155))-(C24+'По дням'!$J$6:$J$155+ABS(C24-'По дням'!$J$6:$J$155)))/2+1)&gt;0)*(((D24+'По дням'!$K$6:$K$155-ABS(D24-'По дням'!$K$6:$K$155))-(C24+'По дням'!$J$6:$J$155+ABS(C24-'По дням'!$J$6:$J$155)))/2+1)&gt;0)*1))</f>
        <v/>
      </c>
    </row>
    <row r="25">
      <c r="A25">
        <f>IF(AND(Оплаты!$E$17="ок",COUNTIFS(Акты!$B$5:$B$16,Оплаты!$D$17,Акты!$H$5:$H$16,"ок")&gt;0,COUNTIFS(Оплаты!$D$6:$D$16,Оплаты!$D$17,Оплаты!$A$6:$A$16,Оплаты!$A$17)=0),Оплаты!$D$17,"")</f>
        <v/>
      </c>
      <c r="B25">
        <f>IF(A25="","",MATCH(A25,Акты!$B$5:$B$16,0))</f>
        <v/>
      </c>
      <c r="C25" s="20">
        <f>IF(A25="","",Оплаты!$A$17+1)</f>
        <v/>
      </c>
      <c r="D25" s="20">
        <f>IF(A25="","",MIN(Ввод!$B$4,Ввод!$B$4+1-SUMPRODUCT(MAX((Оплаты!$D$6:$D$505=A25)*(Оплаты!$A$6:$A$505&gt;Оплаты!$A$17)*(Ввод!$B$4+1-Оплаты!$A$6:$A$505)))))</f>
        <v/>
      </c>
      <c r="E25" s="14">
        <f>IF(A25="","",INDEX(Акты!$D$5:$D$16,B25)-SUMIFS(Оплаты!$B$6:$B$505,Оплаты!$D$6:$D$505,A25,Оплаты!$A$6:$A$505,"&lt;="&amp;Оплаты!$A$17))</f>
        <v/>
      </c>
      <c r="F25" s="14">
        <f>IF(G25="","",SUMPRODUCT(ROUND(E25*'По дням'!$L$6:$L$155/100*((((D25+'По дням'!$K$6:$K$155-ABS(D25-'По дням'!$K$6:$K$155))-(C25+'По дням'!$J$6:$J$155+ABS(C25-'По дням'!$J$6:$J$155)))/2+1)&gt;0)*(((D25+'По дням'!$K$6:$K$155-ABS(D25-'По дням'!$K$6:$K$155))-(C25+'По дням'!$J$6:$J$155+ABS(C25-'По дням'!$J$6:$J$155)))/2+1)/'По дням'!$M$6:$M$155,2)*(1-'По дням'!$N$6:$N$155)))</f>
        <v/>
      </c>
      <c r="G25">
        <f>IF(A25="","",IF(C25&gt;D25,"",B25*1000000+C25))</f>
        <v/>
      </c>
      <c r="H25" s="14">
        <f>IF(G25="","",SUMIFS(Оплаты!$B$6:$B$505,Оплаты!$D$6:$D$505,A25,Оплаты!$A$6:$A$505,D25))</f>
        <v/>
      </c>
      <c r="I25">
        <f>IF(G25="","",SUMPRODUCT((((((D25+'По дням'!$K$6:$K$155-ABS(D25-'По дням'!$K$6:$K$155))-(C25+'По дням'!$J$6:$J$155+ABS(C25-'По дням'!$J$6:$J$155)))/2+1)&gt;0)*(((D25+'По дням'!$K$6:$K$155-ABS(D25-'По дням'!$K$6:$K$155))-(C25+'По дням'!$J$6:$J$155+ABS(C25-'По дням'!$J$6:$J$155)))/2+1)&gt;0)*1))</f>
        <v/>
      </c>
    </row>
    <row r="26">
      <c r="A26">
        <f>IF(AND(Оплаты!$E$18="ок",COUNTIFS(Акты!$B$5:$B$16,Оплаты!$D$18,Акты!$H$5:$H$16,"ок")&gt;0,COUNTIFS(Оплаты!$D$6:$D$17,Оплаты!$D$18,Оплаты!$A$6:$A$17,Оплаты!$A$18)=0),Оплаты!$D$18,"")</f>
        <v/>
      </c>
      <c r="B26">
        <f>IF(A26="","",MATCH(A26,Акты!$B$5:$B$16,0))</f>
        <v/>
      </c>
      <c r="C26" s="20">
        <f>IF(A26="","",Оплаты!$A$18+1)</f>
        <v/>
      </c>
      <c r="D26" s="20">
        <f>IF(A26="","",MIN(Ввод!$B$4,Ввод!$B$4+1-SUMPRODUCT(MAX((Оплаты!$D$6:$D$505=A26)*(Оплаты!$A$6:$A$505&gt;Оплаты!$A$18)*(Ввод!$B$4+1-Оплаты!$A$6:$A$505)))))</f>
        <v/>
      </c>
      <c r="E26" s="14">
        <f>IF(A26="","",INDEX(Акты!$D$5:$D$16,B26)-SUMIFS(Оплаты!$B$6:$B$505,Оплаты!$D$6:$D$505,A26,Оплаты!$A$6:$A$505,"&lt;="&amp;Оплаты!$A$18))</f>
        <v/>
      </c>
      <c r="F26" s="14">
        <f>IF(G26="","",SUMPRODUCT(ROUND(E26*'По дням'!$L$6:$L$155/100*((((D26+'По дням'!$K$6:$K$155-ABS(D26-'По дням'!$K$6:$K$155))-(C26+'По дням'!$J$6:$J$155+ABS(C26-'По дням'!$J$6:$J$155)))/2+1)&gt;0)*(((D26+'По дням'!$K$6:$K$155-ABS(D26-'По дням'!$K$6:$K$155))-(C26+'По дням'!$J$6:$J$155+ABS(C26-'По дням'!$J$6:$J$155)))/2+1)/'По дням'!$M$6:$M$155,2)*(1-'По дням'!$N$6:$N$155)))</f>
        <v/>
      </c>
      <c r="G26">
        <f>IF(A26="","",IF(C26&gt;D26,"",B26*1000000+C26))</f>
        <v/>
      </c>
      <c r="H26" s="14">
        <f>IF(G26="","",SUMIFS(Оплаты!$B$6:$B$505,Оплаты!$D$6:$D$505,A26,Оплаты!$A$6:$A$505,D26))</f>
        <v/>
      </c>
      <c r="I26">
        <f>IF(G26="","",SUMPRODUCT((((((D26+'По дням'!$K$6:$K$155-ABS(D26-'По дням'!$K$6:$K$155))-(C26+'По дням'!$J$6:$J$155+ABS(C26-'По дням'!$J$6:$J$155)))/2+1)&gt;0)*(((D26+'По дням'!$K$6:$K$155-ABS(D26-'По дням'!$K$6:$K$155))-(C26+'По дням'!$J$6:$J$155+ABS(C26-'По дням'!$J$6:$J$155)))/2+1)&gt;0)*1))</f>
        <v/>
      </c>
    </row>
    <row r="27">
      <c r="A27">
        <f>IF(AND(Оплаты!$E$19="ок",COUNTIFS(Акты!$B$5:$B$16,Оплаты!$D$19,Акты!$H$5:$H$16,"ок")&gt;0,COUNTIFS(Оплаты!$D$6:$D$18,Оплаты!$D$19,Оплаты!$A$6:$A$18,Оплаты!$A$19)=0),Оплаты!$D$19,"")</f>
        <v/>
      </c>
      <c r="B27">
        <f>IF(A27="","",MATCH(A27,Акты!$B$5:$B$16,0))</f>
        <v/>
      </c>
      <c r="C27" s="20">
        <f>IF(A27="","",Оплаты!$A$19+1)</f>
        <v/>
      </c>
      <c r="D27" s="20">
        <f>IF(A27="","",MIN(Ввод!$B$4,Ввод!$B$4+1-SUMPRODUCT(MAX((Оплаты!$D$6:$D$505=A27)*(Оплаты!$A$6:$A$505&gt;Оплаты!$A$19)*(Ввод!$B$4+1-Оплаты!$A$6:$A$505)))))</f>
        <v/>
      </c>
      <c r="E27" s="14">
        <f>IF(A27="","",INDEX(Акты!$D$5:$D$16,B27)-SUMIFS(Оплаты!$B$6:$B$505,Оплаты!$D$6:$D$505,A27,Оплаты!$A$6:$A$505,"&lt;="&amp;Оплаты!$A$19))</f>
        <v/>
      </c>
      <c r="F27" s="14">
        <f>IF(G27="","",SUMPRODUCT(ROUND(E27*'По дням'!$L$6:$L$155/100*((((D27+'По дням'!$K$6:$K$155-ABS(D27-'По дням'!$K$6:$K$155))-(C27+'По дням'!$J$6:$J$155+ABS(C27-'По дням'!$J$6:$J$155)))/2+1)&gt;0)*(((D27+'По дням'!$K$6:$K$155-ABS(D27-'По дням'!$K$6:$K$155))-(C27+'По дням'!$J$6:$J$155+ABS(C27-'По дням'!$J$6:$J$155)))/2+1)/'По дням'!$M$6:$M$155,2)*(1-'По дням'!$N$6:$N$155)))</f>
        <v/>
      </c>
      <c r="G27">
        <f>IF(A27="","",IF(C27&gt;D27,"",B27*1000000+C27))</f>
        <v/>
      </c>
      <c r="H27" s="14">
        <f>IF(G27="","",SUMIFS(Оплаты!$B$6:$B$505,Оплаты!$D$6:$D$505,A27,Оплаты!$A$6:$A$505,D27))</f>
        <v/>
      </c>
      <c r="I27">
        <f>IF(G27="","",SUMPRODUCT((((((D27+'По дням'!$K$6:$K$155-ABS(D27-'По дням'!$K$6:$K$155))-(C27+'По дням'!$J$6:$J$155+ABS(C27-'По дням'!$J$6:$J$155)))/2+1)&gt;0)*(((D27+'По дням'!$K$6:$K$155-ABS(D27-'По дням'!$K$6:$K$155))-(C27+'По дням'!$J$6:$J$155+ABS(C27-'По дням'!$J$6:$J$155)))/2+1)&gt;0)*1))</f>
        <v/>
      </c>
    </row>
    <row r="28">
      <c r="A28">
        <f>IF(AND(Оплаты!$E$20="ок",COUNTIFS(Акты!$B$5:$B$16,Оплаты!$D$20,Акты!$H$5:$H$16,"ок")&gt;0,COUNTIFS(Оплаты!$D$6:$D$19,Оплаты!$D$20,Оплаты!$A$6:$A$19,Оплаты!$A$20)=0),Оплаты!$D$20,"")</f>
        <v/>
      </c>
      <c r="B28">
        <f>IF(A28="","",MATCH(A28,Акты!$B$5:$B$16,0))</f>
        <v/>
      </c>
      <c r="C28" s="20">
        <f>IF(A28="","",Оплаты!$A$20+1)</f>
        <v/>
      </c>
      <c r="D28" s="20">
        <f>IF(A28="","",MIN(Ввод!$B$4,Ввод!$B$4+1-SUMPRODUCT(MAX((Оплаты!$D$6:$D$505=A28)*(Оплаты!$A$6:$A$505&gt;Оплаты!$A$20)*(Ввод!$B$4+1-Оплаты!$A$6:$A$505)))))</f>
        <v/>
      </c>
      <c r="E28" s="14">
        <f>IF(A28="","",INDEX(Акты!$D$5:$D$16,B28)-SUMIFS(Оплаты!$B$6:$B$505,Оплаты!$D$6:$D$505,A28,Оплаты!$A$6:$A$505,"&lt;="&amp;Оплаты!$A$20))</f>
        <v/>
      </c>
      <c r="F28" s="14">
        <f>IF(G28="","",SUMPRODUCT(ROUND(E28*'По дням'!$L$6:$L$155/100*((((D28+'По дням'!$K$6:$K$155-ABS(D28-'По дням'!$K$6:$K$155))-(C28+'По дням'!$J$6:$J$155+ABS(C28-'По дням'!$J$6:$J$155)))/2+1)&gt;0)*(((D28+'По дням'!$K$6:$K$155-ABS(D28-'По дням'!$K$6:$K$155))-(C28+'По дням'!$J$6:$J$155+ABS(C28-'По дням'!$J$6:$J$155)))/2+1)/'По дням'!$M$6:$M$155,2)*(1-'По дням'!$N$6:$N$155)))</f>
        <v/>
      </c>
      <c r="G28">
        <f>IF(A28="","",IF(C28&gt;D28,"",B28*1000000+C28))</f>
        <v/>
      </c>
      <c r="H28" s="14">
        <f>IF(G28="","",SUMIFS(Оплаты!$B$6:$B$505,Оплаты!$D$6:$D$505,A28,Оплаты!$A$6:$A$505,D28))</f>
        <v/>
      </c>
      <c r="I28">
        <f>IF(G28="","",SUMPRODUCT((((((D28+'По дням'!$K$6:$K$155-ABS(D28-'По дням'!$K$6:$K$155))-(C28+'По дням'!$J$6:$J$155+ABS(C28-'По дням'!$J$6:$J$155)))/2+1)&gt;0)*(((D28+'По дням'!$K$6:$K$155-ABS(D28-'По дням'!$K$6:$K$155))-(C28+'По дням'!$J$6:$J$155+ABS(C28-'По дням'!$J$6:$J$155)))/2+1)&gt;0)*1))</f>
        <v/>
      </c>
    </row>
    <row r="29">
      <c r="A29">
        <f>IF(AND(Оплаты!$E$21="ок",COUNTIFS(Акты!$B$5:$B$16,Оплаты!$D$21,Акты!$H$5:$H$16,"ок")&gt;0,COUNTIFS(Оплаты!$D$6:$D$20,Оплаты!$D$21,Оплаты!$A$6:$A$20,Оплаты!$A$21)=0),Оплаты!$D$21,"")</f>
        <v/>
      </c>
      <c r="B29">
        <f>IF(A29="","",MATCH(A29,Акты!$B$5:$B$16,0))</f>
        <v/>
      </c>
      <c r="C29" s="20">
        <f>IF(A29="","",Оплаты!$A$21+1)</f>
        <v/>
      </c>
      <c r="D29" s="20">
        <f>IF(A29="","",MIN(Ввод!$B$4,Ввод!$B$4+1-SUMPRODUCT(MAX((Оплаты!$D$6:$D$505=A29)*(Оплаты!$A$6:$A$505&gt;Оплаты!$A$21)*(Ввод!$B$4+1-Оплаты!$A$6:$A$505)))))</f>
        <v/>
      </c>
      <c r="E29" s="14">
        <f>IF(A29="","",INDEX(Акты!$D$5:$D$16,B29)-SUMIFS(Оплаты!$B$6:$B$505,Оплаты!$D$6:$D$505,A29,Оплаты!$A$6:$A$505,"&lt;="&amp;Оплаты!$A$21))</f>
        <v/>
      </c>
      <c r="F29" s="14">
        <f>IF(G29="","",SUMPRODUCT(ROUND(E29*'По дням'!$L$6:$L$155/100*((((D29+'По дням'!$K$6:$K$155-ABS(D29-'По дням'!$K$6:$K$155))-(C29+'По дням'!$J$6:$J$155+ABS(C29-'По дням'!$J$6:$J$155)))/2+1)&gt;0)*(((D29+'По дням'!$K$6:$K$155-ABS(D29-'По дням'!$K$6:$K$155))-(C29+'По дням'!$J$6:$J$155+ABS(C29-'По дням'!$J$6:$J$155)))/2+1)/'По дням'!$M$6:$M$155,2)*(1-'По дням'!$N$6:$N$155)))</f>
        <v/>
      </c>
      <c r="G29">
        <f>IF(A29="","",IF(C29&gt;D29,"",B29*1000000+C29))</f>
        <v/>
      </c>
      <c r="H29" s="14">
        <f>IF(G29="","",SUMIFS(Оплаты!$B$6:$B$505,Оплаты!$D$6:$D$505,A29,Оплаты!$A$6:$A$505,D29))</f>
        <v/>
      </c>
      <c r="I29">
        <f>IF(G29="","",SUMPRODUCT((((((D29+'По дням'!$K$6:$K$155-ABS(D29-'По дням'!$K$6:$K$155))-(C29+'По дням'!$J$6:$J$155+ABS(C29-'По дням'!$J$6:$J$155)))/2+1)&gt;0)*(((D29+'По дням'!$K$6:$K$155-ABS(D29-'По дням'!$K$6:$K$155))-(C29+'По дням'!$J$6:$J$155+ABS(C29-'По дням'!$J$6:$J$155)))/2+1)&gt;0)*1))</f>
        <v/>
      </c>
    </row>
    <row r="30">
      <c r="A30">
        <f>IF(AND(Оплаты!$E$22="ок",COUNTIFS(Акты!$B$5:$B$16,Оплаты!$D$22,Акты!$H$5:$H$16,"ок")&gt;0,COUNTIFS(Оплаты!$D$6:$D$21,Оплаты!$D$22,Оплаты!$A$6:$A$21,Оплаты!$A$22)=0),Оплаты!$D$22,"")</f>
        <v/>
      </c>
      <c r="B30">
        <f>IF(A30="","",MATCH(A30,Акты!$B$5:$B$16,0))</f>
        <v/>
      </c>
      <c r="C30" s="20">
        <f>IF(A30="","",Оплаты!$A$22+1)</f>
        <v/>
      </c>
      <c r="D30" s="20">
        <f>IF(A30="","",MIN(Ввод!$B$4,Ввод!$B$4+1-SUMPRODUCT(MAX((Оплаты!$D$6:$D$505=A30)*(Оплаты!$A$6:$A$505&gt;Оплаты!$A$22)*(Ввод!$B$4+1-Оплаты!$A$6:$A$505)))))</f>
        <v/>
      </c>
      <c r="E30" s="14">
        <f>IF(A30="","",INDEX(Акты!$D$5:$D$16,B30)-SUMIFS(Оплаты!$B$6:$B$505,Оплаты!$D$6:$D$505,A30,Оплаты!$A$6:$A$505,"&lt;="&amp;Оплаты!$A$22))</f>
        <v/>
      </c>
      <c r="F30" s="14">
        <f>IF(G30="","",SUMPRODUCT(ROUND(E30*'По дням'!$L$6:$L$155/100*((((D30+'По дням'!$K$6:$K$155-ABS(D30-'По дням'!$K$6:$K$155))-(C30+'По дням'!$J$6:$J$155+ABS(C30-'По дням'!$J$6:$J$155)))/2+1)&gt;0)*(((D30+'По дням'!$K$6:$K$155-ABS(D30-'По дням'!$K$6:$K$155))-(C30+'По дням'!$J$6:$J$155+ABS(C30-'По дням'!$J$6:$J$155)))/2+1)/'По дням'!$M$6:$M$155,2)*(1-'По дням'!$N$6:$N$155)))</f>
        <v/>
      </c>
      <c r="G30">
        <f>IF(A30="","",IF(C30&gt;D30,"",B30*1000000+C30))</f>
        <v/>
      </c>
      <c r="H30" s="14">
        <f>IF(G30="","",SUMIFS(Оплаты!$B$6:$B$505,Оплаты!$D$6:$D$505,A30,Оплаты!$A$6:$A$505,D30))</f>
        <v/>
      </c>
      <c r="I30">
        <f>IF(G30="","",SUMPRODUCT((((((D30+'По дням'!$K$6:$K$155-ABS(D30-'По дням'!$K$6:$K$155))-(C30+'По дням'!$J$6:$J$155+ABS(C30-'По дням'!$J$6:$J$155)))/2+1)&gt;0)*(((D30+'По дням'!$K$6:$K$155-ABS(D30-'По дням'!$K$6:$K$155))-(C30+'По дням'!$J$6:$J$155+ABS(C30-'По дням'!$J$6:$J$155)))/2+1)&gt;0)*1))</f>
        <v/>
      </c>
    </row>
    <row r="31">
      <c r="A31">
        <f>IF(AND(Оплаты!$E$23="ок",COUNTIFS(Акты!$B$5:$B$16,Оплаты!$D$23,Акты!$H$5:$H$16,"ок")&gt;0,COUNTIFS(Оплаты!$D$6:$D$22,Оплаты!$D$23,Оплаты!$A$6:$A$22,Оплаты!$A$23)=0),Оплаты!$D$23,"")</f>
        <v/>
      </c>
      <c r="B31">
        <f>IF(A31="","",MATCH(A31,Акты!$B$5:$B$16,0))</f>
        <v/>
      </c>
      <c r="C31" s="20">
        <f>IF(A31="","",Оплаты!$A$23+1)</f>
        <v/>
      </c>
      <c r="D31" s="20">
        <f>IF(A31="","",MIN(Ввод!$B$4,Ввод!$B$4+1-SUMPRODUCT(MAX((Оплаты!$D$6:$D$505=A31)*(Оплаты!$A$6:$A$505&gt;Оплаты!$A$23)*(Ввод!$B$4+1-Оплаты!$A$6:$A$505)))))</f>
        <v/>
      </c>
      <c r="E31" s="14">
        <f>IF(A31="","",INDEX(Акты!$D$5:$D$16,B31)-SUMIFS(Оплаты!$B$6:$B$505,Оплаты!$D$6:$D$505,A31,Оплаты!$A$6:$A$505,"&lt;="&amp;Оплаты!$A$23))</f>
        <v/>
      </c>
      <c r="F31" s="14">
        <f>IF(G31="","",SUMPRODUCT(ROUND(E31*'По дням'!$L$6:$L$155/100*((((D31+'По дням'!$K$6:$K$155-ABS(D31-'По дням'!$K$6:$K$155))-(C31+'По дням'!$J$6:$J$155+ABS(C31-'По дням'!$J$6:$J$155)))/2+1)&gt;0)*(((D31+'По дням'!$K$6:$K$155-ABS(D31-'По дням'!$K$6:$K$155))-(C31+'По дням'!$J$6:$J$155+ABS(C31-'По дням'!$J$6:$J$155)))/2+1)/'По дням'!$M$6:$M$155,2)*(1-'По дням'!$N$6:$N$155)))</f>
        <v/>
      </c>
      <c r="G31">
        <f>IF(A31="","",IF(C31&gt;D31,"",B31*1000000+C31))</f>
        <v/>
      </c>
      <c r="H31" s="14">
        <f>IF(G31="","",SUMIFS(Оплаты!$B$6:$B$505,Оплаты!$D$6:$D$505,A31,Оплаты!$A$6:$A$505,D31))</f>
        <v/>
      </c>
      <c r="I31">
        <f>IF(G31="","",SUMPRODUCT((((((D31+'По дням'!$K$6:$K$155-ABS(D31-'По дням'!$K$6:$K$155))-(C31+'По дням'!$J$6:$J$155+ABS(C31-'По дням'!$J$6:$J$155)))/2+1)&gt;0)*(((D31+'По дням'!$K$6:$K$155-ABS(D31-'По дням'!$K$6:$K$155))-(C31+'По дням'!$J$6:$J$155+ABS(C31-'По дням'!$J$6:$J$155)))/2+1)&gt;0)*1))</f>
        <v/>
      </c>
    </row>
    <row r="32">
      <c r="A32">
        <f>IF(AND(Оплаты!$E$24="ок",COUNTIFS(Акты!$B$5:$B$16,Оплаты!$D$24,Акты!$H$5:$H$16,"ок")&gt;0,COUNTIFS(Оплаты!$D$6:$D$23,Оплаты!$D$24,Оплаты!$A$6:$A$23,Оплаты!$A$24)=0),Оплаты!$D$24,"")</f>
        <v/>
      </c>
      <c r="B32">
        <f>IF(A32="","",MATCH(A32,Акты!$B$5:$B$16,0))</f>
        <v/>
      </c>
      <c r="C32" s="20">
        <f>IF(A32="","",Оплаты!$A$24+1)</f>
        <v/>
      </c>
      <c r="D32" s="20">
        <f>IF(A32="","",MIN(Ввод!$B$4,Ввод!$B$4+1-SUMPRODUCT(MAX((Оплаты!$D$6:$D$505=A32)*(Оплаты!$A$6:$A$505&gt;Оплаты!$A$24)*(Ввод!$B$4+1-Оплаты!$A$6:$A$505)))))</f>
        <v/>
      </c>
      <c r="E32" s="14">
        <f>IF(A32="","",INDEX(Акты!$D$5:$D$16,B32)-SUMIFS(Оплаты!$B$6:$B$505,Оплаты!$D$6:$D$505,A32,Оплаты!$A$6:$A$505,"&lt;="&amp;Оплаты!$A$24))</f>
        <v/>
      </c>
      <c r="F32" s="14">
        <f>IF(G32="","",SUMPRODUCT(ROUND(E32*'По дням'!$L$6:$L$155/100*((((D32+'По дням'!$K$6:$K$155-ABS(D32-'По дням'!$K$6:$K$155))-(C32+'По дням'!$J$6:$J$155+ABS(C32-'По дням'!$J$6:$J$155)))/2+1)&gt;0)*(((D32+'По дням'!$K$6:$K$155-ABS(D32-'По дням'!$K$6:$K$155))-(C32+'По дням'!$J$6:$J$155+ABS(C32-'По дням'!$J$6:$J$155)))/2+1)/'По дням'!$M$6:$M$155,2)*(1-'По дням'!$N$6:$N$155)))</f>
        <v/>
      </c>
      <c r="G32">
        <f>IF(A32="","",IF(C32&gt;D32,"",B32*1000000+C32))</f>
        <v/>
      </c>
      <c r="H32" s="14">
        <f>IF(G32="","",SUMIFS(Оплаты!$B$6:$B$505,Оплаты!$D$6:$D$505,A32,Оплаты!$A$6:$A$505,D32))</f>
        <v/>
      </c>
      <c r="I32">
        <f>IF(G32="","",SUMPRODUCT((((((D32+'По дням'!$K$6:$K$155-ABS(D32-'По дням'!$K$6:$K$155))-(C32+'По дням'!$J$6:$J$155+ABS(C32-'По дням'!$J$6:$J$155)))/2+1)&gt;0)*(((D32+'По дням'!$K$6:$K$155-ABS(D32-'По дням'!$K$6:$K$155))-(C32+'По дням'!$J$6:$J$155+ABS(C32-'По дням'!$J$6:$J$155)))/2+1)&gt;0)*1))</f>
        <v/>
      </c>
    </row>
    <row r="33">
      <c r="A33">
        <f>IF(AND(Оплаты!$E$25="ок",COUNTIFS(Акты!$B$5:$B$16,Оплаты!$D$25,Акты!$H$5:$H$16,"ок")&gt;0,COUNTIFS(Оплаты!$D$6:$D$24,Оплаты!$D$25,Оплаты!$A$6:$A$24,Оплаты!$A$25)=0),Оплаты!$D$25,"")</f>
        <v/>
      </c>
      <c r="B33">
        <f>IF(A33="","",MATCH(A33,Акты!$B$5:$B$16,0))</f>
        <v/>
      </c>
      <c r="C33" s="20">
        <f>IF(A33="","",Оплаты!$A$25+1)</f>
        <v/>
      </c>
      <c r="D33" s="20">
        <f>IF(A33="","",MIN(Ввод!$B$4,Ввод!$B$4+1-SUMPRODUCT(MAX((Оплаты!$D$6:$D$505=A33)*(Оплаты!$A$6:$A$505&gt;Оплаты!$A$25)*(Ввод!$B$4+1-Оплаты!$A$6:$A$505)))))</f>
        <v/>
      </c>
      <c r="E33" s="14">
        <f>IF(A33="","",INDEX(Акты!$D$5:$D$16,B33)-SUMIFS(Оплаты!$B$6:$B$505,Оплаты!$D$6:$D$505,A33,Оплаты!$A$6:$A$505,"&lt;="&amp;Оплаты!$A$25))</f>
        <v/>
      </c>
      <c r="F33" s="14">
        <f>IF(G33="","",SUMPRODUCT(ROUND(E33*'По дням'!$L$6:$L$155/100*((((D33+'По дням'!$K$6:$K$155-ABS(D33-'По дням'!$K$6:$K$155))-(C33+'По дням'!$J$6:$J$155+ABS(C33-'По дням'!$J$6:$J$155)))/2+1)&gt;0)*(((D33+'По дням'!$K$6:$K$155-ABS(D33-'По дням'!$K$6:$K$155))-(C33+'По дням'!$J$6:$J$155+ABS(C33-'По дням'!$J$6:$J$155)))/2+1)/'По дням'!$M$6:$M$155,2)*(1-'По дням'!$N$6:$N$155)))</f>
        <v/>
      </c>
      <c r="G33">
        <f>IF(A33="","",IF(C33&gt;D33,"",B33*1000000+C33))</f>
        <v/>
      </c>
      <c r="H33" s="14">
        <f>IF(G33="","",SUMIFS(Оплаты!$B$6:$B$505,Оплаты!$D$6:$D$505,A33,Оплаты!$A$6:$A$505,D33))</f>
        <v/>
      </c>
      <c r="I33">
        <f>IF(G33="","",SUMPRODUCT((((((D33+'По дням'!$K$6:$K$155-ABS(D33-'По дням'!$K$6:$K$155))-(C33+'По дням'!$J$6:$J$155+ABS(C33-'По дням'!$J$6:$J$155)))/2+1)&gt;0)*(((D33+'По дням'!$K$6:$K$155-ABS(D33-'По дням'!$K$6:$K$155))-(C33+'По дням'!$J$6:$J$155+ABS(C33-'По дням'!$J$6:$J$155)))/2+1)&gt;0)*1))</f>
        <v/>
      </c>
    </row>
    <row r="34">
      <c r="A34">
        <f>IF(AND(Оплаты!$E$26="ок",COUNTIFS(Акты!$B$5:$B$16,Оплаты!$D$26,Акты!$H$5:$H$16,"ок")&gt;0,COUNTIFS(Оплаты!$D$6:$D$25,Оплаты!$D$26,Оплаты!$A$6:$A$25,Оплаты!$A$26)=0),Оплаты!$D$26,"")</f>
        <v/>
      </c>
      <c r="B34">
        <f>IF(A34="","",MATCH(A34,Акты!$B$5:$B$16,0))</f>
        <v/>
      </c>
      <c r="C34" s="20">
        <f>IF(A34="","",Оплаты!$A$26+1)</f>
        <v/>
      </c>
      <c r="D34" s="20">
        <f>IF(A34="","",MIN(Ввод!$B$4,Ввод!$B$4+1-SUMPRODUCT(MAX((Оплаты!$D$6:$D$505=A34)*(Оплаты!$A$6:$A$505&gt;Оплаты!$A$26)*(Ввод!$B$4+1-Оплаты!$A$6:$A$505)))))</f>
        <v/>
      </c>
      <c r="E34" s="14">
        <f>IF(A34="","",INDEX(Акты!$D$5:$D$16,B34)-SUMIFS(Оплаты!$B$6:$B$505,Оплаты!$D$6:$D$505,A34,Оплаты!$A$6:$A$505,"&lt;="&amp;Оплаты!$A$26))</f>
        <v/>
      </c>
      <c r="F34" s="14">
        <f>IF(G34="","",SUMPRODUCT(ROUND(E34*'По дням'!$L$6:$L$155/100*((((D34+'По дням'!$K$6:$K$155-ABS(D34-'По дням'!$K$6:$K$155))-(C34+'По дням'!$J$6:$J$155+ABS(C34-'По дням'!$J$6:$J$155)))/2+1)&gt;0)*(((D34+'По дням'!$K$6:$K$155-ABS(D34-'По дням'!$K$6:$K$155))-(C34+'По дням'!$J$6:$J$155+ABS(C34-'По дням'!$J$6:$J$155)))/2+1)/'По дням'!$M$6:$M$155,2)*(1-'По дням'!$N$6:$N$155)))</f>
        <v/>
      </c>
      <c r="G34">
        <f>IF(A34="","",IF(C34&gt;D34,"",B34*1000000+C34))</f>
        <v/>
      </c>
      <c r="H34" s="14">
        <f>IF(G34="","",SUMIFS(Оплаты!$B$6:$B$505,Оплаты!$D$6:$D$505,A34,Оплаты!$A$6:$A$505,D34))</f>
        <v/>
      </c>
      <c r="I34">
        <f>IF(G34="","",SUMPRODUCT((((((D34+'По дням'!$K$6:$K$155-ABS(D34-'По дням'!$K$6:$K$155))-(C34+'По дням'!$J$6:$J$155+ABS(C34-'По дням'!$J$6:$J$155)))/2+1)&gt;0)*(((D34+'По дням'!$K$6:$K$155-ABS(D34-'По дням'!$K$6:$K$155))-(C34+'По дням'!$J$6:$J$155+ABS(C34-'По дням'!$J$6:$J$155)))/2+1)&gt;0)*1))</f>
        <v/>
      </c>
    </row>
    <row r="35">
      <c r="A35">
        <f>IF(AND(Оплаты!$E$27="ок",COUNTIFS(Акты!$B$5:$B$16,Оплаты!$D$27,Акты!$H$5:$H$16,"ок")&gt;0,COUNTIFS(Оплаты!$D$6:$D$26,Оплаты!$D$27,Оплаты!$A$6:$A$26,Оплаты!$A$27)=0),Оплаты!$D$27,"")</f>
        <v/>
      </c>
      <c r="B35">
        <f>IF(A35="","",MATCH(A35,Акты!$B$5:$B$16,0))</f>
        <v/>
      </c>
      <c r="C35" s="20">
        <f>IF(A35="","",Оплаты!$A$27+1)</f>
        <v/>
      </c>
      <c r="D35" s="20">
        <f>IF(A35="","",MIN(Ввод!$B$4,Ввод!$B$4+1-SUMPRODUCT(MAX((Оплаты!$D$6:$D$505=A35)*(Оплаты!$A$6:$A$505&gt;Оплаты!$A$27)*(Ввод!$B$4+1-Оплаты!$A$6:$A$505)))))</f>
        <v/>
      </c>
      <c r="E35" s="14">
        <f>IF(A35="","",INDEX(Акты!$D$5:$D$16,B35)-SUMIFS(Оплаты!$B$6:$B$505,Оплаты!$D$6:$D$505,A35,Оплаты!$A$6:$A$505,"&lt;="&amp;Оплаты!$A$27))</f>
        <v/>
      </c>
      <c r="F35" s="14">
        <f>IF(G35="","",SUMPRODUCT(ROUND(E35*'По дням'!$L$6:$L$155/100*((((D35+'По дням'!$K$6:$K$155-ABS(D35-'По дням'!$K$6:$K$155))-(C35+'По дням'!$J$6:$J$155+ABS(C35-'По дням'!$J$6:$J$155)))/2+1)&gt;0)*(((D35+'По дням'!$K$6:$K$155-ABS(D35-'По дням'!$K$6:$K$155))-(C35+'По дням'!$J$6:$J$155+ABS(C35-'По дням'!$J$6:$J$155)))/2+1)/'По дням'!$M$6:$M$155,2)*(1-'По дням'!$N$6:$N$155)))</f>
        <v/>
      </c>
      <c r="G35">
        <f>IF(A35="","",IF(C35&gt;D35,"",B35*1000000+C35))</f>
        <v/>
      </c>
      <c r="H35" s="14">
        <f>IF(G35="","",SUMIFS(Оплаты!$B$6:$B$505,Оплаты!$D$6:$D$505,A35,Оплаты!$A$6:$A$505,D35))</f>
        <v/>
      </c>
      <c r="I35">
        <f>IF(G35="","",SUMPRODUCT((((((D35+'По дням'!$K$6:$K$155-ABS(D35-'По дням'!$K$6:$K$155))-(C35+'По дням'!$J$6:$J$155+ABS(C35-'По дням'!$J$6:$J$155)))/2+1)&gt;0)*(((D35+'По дням'!$K$6:$K$155-ABS(D35-'По дням'!$K$6:$K$155))-(C35+'По дням'!$J$6:$J$155+ABS(C35-'По дням'!$J$6:$J$155)))/2+1)&gt;0)*1))</f>
        <v/>
      </c>
    </row>
    <row r="36">
      <c r="A36">
        <f>IF(AND(Оплаты!$E$28="ок",COUNTIFS(Акты!$B$5:$B$16,Оплаты!$D$28,Акты!$H$5:$H$16,"ок")&gt;0,COUNTIFS(Оплаты!$D$6:$D$27,Оплаты!$D$28,Оплаты!$A$6:$A$27,Оплаты!$A$28)=0),Оплаты!$D$28,"")</f>
        <v/>
      </c>
      <c r="B36">
        <f>IF(A36="","",MATCH(A36,Акты!$B$5:$B$16,0))</f>
        <v/>
      </c>
      <c r="C36" s="20">
        <f>IF(A36="","",Оплаты!$A$28+1)</f>
        <v/>
      </c>
      <c r="D36" s="20">
        <f>IF(A36="","",MIN(Ввод!$B$4,Ввод!$B$4+1-SUMPRODUCT(MAX((Оплаты!$D$6:$D$505=A36)*(Оплаты!$A$6:$A$505&gt;Оплаты!$A$28)*(Ввод!$B$4+1-Оплаты!$A$6:$A$505)))))</f>
        <v/>
      </c>
      <c r="E36" s="14">
        <f>IF(A36="","",INDEX(Акты!$D$5:$D$16,B36)-SUMIFS(Оплаты!$B$6:$B$505,Оплаты!$D$6:$D$505,A36,Оплаты!$A$6:$A$505,"&lt;="&amp;Оплаты!$A$28))</f>
        <v/>
      </c>
      <c r="F36" s="14">
        <f>IF(G36="","",SUMPRODUCT(ROUND(E36*'По дням'!$L$6:$L$155/100*((((D36+'По дням'!$K$6:$K$155-ABS(D36-'По дням'!$K$6:$K$155))-(C36+'По дням'!$J$6:$J$155+ABS(C36-'По дням'!$J$6:$J$155)))/2+1)&gt;0)*(((D36+'По дням'!$K$6:$K$155-ABS(D36-'По дням'!$K$6:$K$155))-(C36+'По дням'!$J$6:$J$155+ABS(C36-'По дням'!$J$6:$J$155)))/2+1)/'По дням'!$M$6:$M$155,2)*(1-'По дням'!$N$6:$N$155)))</f>
        <v/>
      </c>
      <c r="G36">
        <f>IF(A36="","",IF(C36&gt;D36,"",B36*1000000+C36))</f>
        <v/>
      </c>
      <c r="H36" s="14">
        <f>IF(G36="","",SUMIFS(Оплаты!$B$6:$B$505,Оплаты!$D$6:$D$505,A36,Оплаты!$A$6:$A$505,D36))</f>
        <v/>
      </c>
      <c r="I36">
        <f>IF(G36="","",SUMPRODUCT((((((D36+'По дням'!$K$6:$K$155-ABS(D36-'По дням'!$K$6:$K$155))-(C36+'По дням'!$J$6:$J$155+ABS(C36-'По дням'!$J$6:$J$155)))/2+1)&gt;0)*(((D36+'По дням'!$K$6:$K$155-ABS(D36-'По дням'!$K$6:$K$155))-(C36+'По дням'!$J$6:$J$155+ABS(C36-'По дням'!$J$6:$J$155)))/2+1)&gt;0)*1))</f>
        <v/>
      </c>
    </row>
    <row r="37">
      <c r="A37">
        <f>IF(AND(Оплаты!$E$29="ок",COUNTIFS(Акты!$B$5:$B$16,Оплаты!$D$29,Акты!$H$5:$H$16,"ок")&gt;0,COUNTIFS(Оплаты!$D$6:$D$28,Оплаты!$D$29,Оплаты!$A$6:$A$28,Оплаты!$A$29)=0),Оплаты!$D$29,"")</f>
        <v/>
      </c>
      <c r="B37">
        <f>IF(A37="","",MATCH(A37,Акты!$B$5:$B$16,0))</f>
        <v/>
      </c>
      <c r="C37" s="20">
        <f>IF(A37="","",Оплаты!$A$29+1)</f>
        <v/>
      </c>
      <c r="D37" s="20">
        <f>IF(A37="","",MIN(Ввод!$B$4,Ввод!$B$4+1-SUMPRODUCT(MAX((Оплаты!$D$6:$D$505=A37)*(Оплаты!$A$6:$A$505&gt;Оплаты!$A$29)*(Ввод!$B$4+1-Оплаты!$A$6:$A$505)))))</f>
        <v/>
      </c>
      <c r="E37" s="14">
        <f>IF(A37="","",INDEX(Акты!$D$5:$D$16,B37)-SUMIFS(Оплаты!$B$6:$B$505,Оплаты!$D$6:$D$505,A37,Оплаты!$A$6:$A$505,"&lt;="&amp;Оплаты!$A$29))</f>
        <v/>
      </c>
      <c r="F37" s="14">
        <f>IF(G37="","",SUMPRODUCT(ROUND(E37*'По дням'!$L$6:$L$155/100*((((D37+'По дням'!$K$6:$K$155-ABS(D37-'По дням'!$K$6:$K$155))-(C37+'По дням'!$J$6:$J$155+ABS(C37-'По дням'!$J$6:$J$155)))/2+1)&gt;0)*(((D37+'По дням'!$K$6:$K$155-ABS(D37-'По дням'!$K$6:$K$155))-(C37+'По дням'!$J$6:$J$155+ABS(C37-'По дням'!$J$6:$J$155)))/2+1)/'По дням'!$M$6:$M$155,2)*(1-'По дням'!$N$6:$N$155)))</f>
        <v/>
      </c>
      <c r="G37">
        <f>IF(A37="","",IF(C37&gt;D37,"",B37*1000000+C37))</f>
        <v/>
      </c>
      <c r="H37" s="14">
        <f>IF(G37="","",SUMIFS(Оплаты!$B$6:$B$505,Оплаты!$D$6:$D$505,A37,Оплаты!$A$6:$A$505,D37))</f>
        <v/>
      </c>
      <c r="I37">
        <f>IF(G37="","",SUMPRODUCT((((((D37+'По дням'!$K$6:$K$155-ABS(D37-'По дням'!$K$6:$K$155))-(C37+'По дням'!$J$6:$J$155+ABS(C37-'По дням'!$J$6:$J$155)))/2+1)&gt;0)*(((D37+'По дням'!$K$6:$K$155-ABS(D37-'По дням'!$K$6:$K$155))-(C37+'По дням'!$J$6:$J$155+ABS(C37-'По дням'!$J$6:$J$155)))/2+1)&gt;0)*1))</f>
        <v/>
      </c>
    </row>
    <row r="38">
      <c r="A38">
        <f>IF(AND(Оплаты!$E$30="ок",COUNTIFS(Акты!$B$5:$B$16,Оплаты!$D$30,Акты!$H$5:$H$16,"ок")&gt;0,COUNTIFS(Оплаты!$D$6:$D$29,Оплаты!$D$30,Оплаты!$A$6:$A$29,Оплаты!$A$30)=0),Оплаты!$D$30,"")</f>
        <v/>
      </c>
      <c r="B38">
        <f>IF(A38="","",MATCH(A38,Акты!$B$5:$B$16,0))</f>
        <v/>
      </c>
      <c r="C38" s="20">
        <f>IF(A38="","",Оплаты!$A$30+1)</f>
        <v/>
      </c>
      <c r="D38" s="20">
        <f>IF(A38="","",MIN(Ввод!$B$4,Ввод!$B$4+1-SUMPRODUCT(MAX((Оплаты!$D$6:$D$505=A38)*(Оплаты!$A$6:$A$505&gt;Оплаты!$A$30)*(Ввод!$B$4+1-Оплаты!$A$6:$A$505)))))</f>
        <v/>
      </c>
      <c r="E38" s="14">
        <f>IF(A38="","",INDEX(Акты!$D$5:$D$16,B38)-SUMIFS(Оплаты!$B$6:$B$505,Оплаты!$D$6:$D$505,A38,Оплаты!$A$6:$A$505,"&lt;="&amp;Оплаты!$A$30))</f>
        <v/>
      </c>
      <c r="F38" s="14">
        <f>IF(G38="","",SUMPRODUCT(ROUND(E38*'По дням'!$L$6:$L$155/100*((((D38+'По дням'!$K$6:$K$155-ABS(D38-'По дням'!$K$6:$K$155))-(C38+'По дням'!$J$6:$J$155+ABS(C38-'По дням'!$J$6:$J$155)))/2+1)&gt;0)*(((D38+'По дням'!$K$6:$K$155-ABS(D38-'По дням'!$K$6:$K$155))-(C38+'По дням'!$J$6:$J$155+ABS(C38-'По дням'!$J$6:$J$155)))/2+1)/'По дням'!$M$6:$M$155,2)*(1-'По дням'!$N$6:$N$155)))</f>
        <v/>
      </c>
      <c r="G38">
        <f>IF(A38="","",IF(C38&gt;D38,"",B38*1000000+C38))</f>
        <v/>
      </c>
      <c r="H38" s="14">
        <f>IF(G38="","",SUMIFS(Оплаты!$B$6:$B$505,Оплаты!$D$6:$D$505,A38,Оплаты!$A$6:$A$505,D38))</f>
        <v/>
      </c>
      <c r="I38">
        <f>IF(G38="","",SUMPRODUCT((((((D38+'По дням'!$K$6:$K$155-ABS(D38-'По дням'!$K$6:$K$155))-(C38+'По дням'!$J$6:$J$155+ABS(C38-'По дням'!$J$6:$J$155)))/2+1)&gt;0)*(((D38+'По дням'!$K$6:$K$155-ABS(D38-'По дням'!$K$6:$K$155))-(C38+'По дням'!$J$6:$J$155+ABS(C38-'По дням'!$J$6:$J$155)))/2+1)&gt;0)*1))</f>
        <v/>
      </c>
    </row>
    <row r="39">
      <c r="A39">
        <f>IF(AND(Оплаты!$E$31="ок",COUNTIFS(Акты!$B$5:$B$16,Оплаты!$D$31,Акты!$H$5:$H$16,"ок")&gt;0,COUNTIFS(Оплаты!$D$6:$D$30,Оплаты!$D$31,Оплаты!$A$6:$A$30,Оплаты!$A$31)=0),Оплаты!$D$31,"")</f>
        <v/>
      </c>
      <c r="B39">
        <f>IF(A39="","",MATCH(A39,Акты!$B$5:$B$16,0))</f>
        <v/>
      </c>
      <c r="C39" s="20">
        <f>IF(A39="","",Оплаты!$A$31+1)</f>
        <v/>
      </c>
      <c r="D39" s="20">
        <f>IF(A39="","",MIN(Ввод!$B$4,Ввод!$B$4+1-SUMPRODUCT(MAX((Оплаты!$D$6:$D$505=A39)*(Оплаты!$A$6:$A$505&gt;Оплаты!$A$31)*(Ввод!$B$4+1-Оплаты!$A$6:$A$505)))))</f>
        <v/>
      </c>
      <c r="E39" s="14">
        <f>IF(A39="","",INDEX(Акты!$D$5:$D$16,B39)-SUMIFS(Оплаты!$B$6:$B$505,Оплаты!$D$6:$D$505,A39,Оплаты!$A$6:$A$505,"&lt;="&amp;Оплаты!$A$31))</f>
        <v/>
      </c>
      <c r="F39" s="14">
        <f>IF(G39="","",SUMPRODUCT(ROUND(E39*'По дням'!$L$6:$L$155/100*((((D39+'По дням'!$K$6:$K$155-ABS(D39-'По дням'!$K$6:$K$155))-(C39+'По дням'!$J$6:$J$155+ABS(C39-'По дням'!$J$6:$J$155)))/2+1)&gt;0)*(((D39+'По дням'!$K$6:$K$155-ABS(D39-'По дням'!$K$6:$K$155))-(C39+'По дням'!$J$6:$J$155+ABS(C39-'По дням'!$J$6:$J$155)))/2+1)/'По дням'!$M$6:$M$155,2)*(1-'По дням'!$N$6:$N$155)))</f>
        <v/>
      </c>
      <c r="G39">
        <f>IF(A39="","",IF(C39&gt;D39,"",B39*1000000+C39))</f>
        <v/>
      </c>
      <c r="H39" s="14">
        <f>IF(G39="","",SUMIFS(Оплаты!$B$6:$B$505,Оплаты!$D$6:$D$505,A39,Оплаты!$A$6:$A$505,D39))</f>
        <v/>
      </c>
      <c r="I39">
        <f>IF(G39="","",SUMPRODUCT((((((D39+'По дням'!$K$6:$K$155-ABS(D39-'По дням'!$K$6:$K$155))-(C39+'По дням'!$J$6:$J$155+ABS(C39-'По дням'!$J$6:$J$155)))/2+1)&gt;0)*(((D39+'По дням'!$K$6:$K$155-ABS(D39-'По дням'!$K$6:$K$155))-(C39+'По дням'!$J$6:$J$155+ABS(C39-'По дням'!$J$6:$J$155)))/2+1)&gt;0)*1))</f>
        <v/>
      </c>
    </row>
    <row r="40">
      <c r="A40">
        <f>IF(AND(Оплаты!$E$32="ок",COUNTIFS(Акты!$B$5:$B$16,Оплаты!$D$32,Акты!$H$5:$H$16,"ок")&gt;0,COUNTIFS(Оплаты!$D$6:$D$31,Оплаты!$D$32,Оплаты!$A$6:$A$31,Оплаты!$A$32)=0),Оплаты!$D$32,"")</f>
        <v/>
      </c>
      <c r="B40">
        <f>IF(A40="","",MATCH(A40,Акты!$B$5:$B$16,0))</f>
        <v/>
      </c>
      <c r="C40" s="20">
        <f>IF(A40="","",Оплаты!$A$32+1)</f>
        <v/>
      </c>
      <c r="D40" s="20">
        <f>IF(A40="","",MIN(Ввод!$B$4,Ввод!$B$4+1-SUMPRODUCT(MAX((Оплаты!$D$6:$D$505=A40)*(Оплаты!$A$6:$A$505&gt;Оплаты!$A$32)*(Ввод!$B$4+1-Оплаты!$A$6:$A$505)))))</f>
        <v/>
      </c>
      <c r="E40" s="14">
        <f>IF(A40="","",INDEX(Акты!$D$5:$D$16,B40)-SUMIFS(Оплаты!$B$6:$B$505,Оплаты!$D$6:$D$505,A40,Оплаты!$A$6:$A$505,"&lt;="&amp;Оплаты!$A$32))</f>
        <v/>
      </c>
      <c r="F40" s="14">
        <f>IF(G40="","",SUMPRODUCT(ROUND(E40*'По дням'!$L$6:$L$155/100*((((D40+'По дням'!$K$6:$K$155-ABS(D40-'По дням'!$K$6:$K$155))-(C40+'По дням'!$J$6:$J$155+ABS(C40-'По дням'!$J$6:$J$155)))/2+1)&gt;0)*(((D40+'По дням'!$K$6:$K$155-ABS(D40-'По дням'!$K$6:$K$155))-(C40+'По дням'!$J$6:$J$155+ABS(C40-'По дням'!$J$6:$J$155)))/2+1)/'По дням'!$M$6:$M$155,2)*(1-'По дням'!$N$6:$N$155)))</f>
        <v/>
      </c>
      <c r="G40">
        <f>IF(A40="","",IF(C40&gt;D40,"",B40*1000000+C40))</f>
        <v/>
      </c>
      <c r="H40" s="14">
        <f>IF(G40="","",SUMIFS(Оплаты!$B$6:$B$505,Оплаты!$D$6:$D$505,A40,Оплаты!$A$6:$A$505,D40))</f>
        <v/>
      </c>
      <c r="I40">
        <f>IF(G40="","",SUMPRODUCT((((((D40+'По дням'!$K$6:$K$155-ABS(D40-'По дням'!$K$6:$K$155))-(C40+'По дням'!$J$6:$J$155+ABS(C40-'По дням'!$J$6:$J$155)))/2+1)&gt;0)*(((D40+'По дням'!$K$6:$K$155-ABS(D40-'По дням'!$K$6:$K$155))-(C40+'По дням'!$J$6:$J$155+ABS(C40-'По дням'!$J$6:$J$155)))/2+1)&gt;0)*1))</f>
        <v/>
      </c>
    </row>
    <row r="41">
      <c r="A41">
        <f>IF(AND(Оплаты!$E$33="ок",COUNTIFS(Акты!$B$5:$B$16,Оплаты!$D$33,Акты!$H$5:$H$16,"ок")&gt;0,COUNTIFS(Оплаты!$D$6:$D$32,Оплаты!$D$33,Оплаты!$A$6:$A$32,Оплаты!$A$33)=0),Оплаты!$D$33,"")</f>
        <v/>
      </c>
      <c r="B41">
        <f>IF(A41="","",MATCH(A41,Акты!$B$5:$B$16,0))</f>
        <v/>
      </c>
      <c r="C41" s="20">
        <f>IF(A41="","",Оплаты!$A$33+1)</f>
        <v/>
      </c>
      <c r="D41" s="20">
        <f>IF(A41="","",MIN(Ввод!$B$4,Ввод!$B$4+1-SUMPRODUCT(MAX((Оплаты!$D$6:$D$505=A41)*(Оплаты!$A$6:$A$505&gt;Оплаты!$A$33)*(Ввод!$B$4+1-Оплаты!$A$6:$A$505)))))</f>
        <v/>
      </c>
      <c r="E41" s="14">
        <f>IF(A41="","",INDEX(Акты!$D$5:$D$16,B41)-SUMIFS(Оплаты!$B$6:$B$505,Оплаты!$D$6:$D$505,A41,Оплаты!$A$6:$A$505,"&lt;="&amp;Оплаты!$A$33))</f>
        <v/>
      </c>
      <c r="F41" s="14">
        <f>IF(G41="","",SUMPRODUCT(ROUND(E41*'По дням'!$L$6:$L$155/100*((((D41+'По дням'!$K$6:$K$155-ABS(D41-'По дням'!$K$6:$K$155))-(C41+'По дням'!$J$6:$J$155+ABS(C41-'По дням'!$J$6:$J$155)))/2+1)&gt;0)*(((D41+'По дням'!$K$6:$K$155-ABS(D41-'По дням'!$K$6:$K$155))-(C41+'По дням'!$J$6:$J$155+ABS(C41-'По дням'!$J$6:$J$155)))/2+1)/'По дням'!$M$6:$M$155,2)*(1-'По дням'!$N$6:$N$155)))</f>
        <v/>
      </c>
      <c r="G41">
        <f>IF(A41="","",IF(C41&gt;D41,"",B41*1000000+C41))</f>
        <v/>
      </c>
      <c r="H41" s="14">
        <f>IF(G41="","",SUMIFS(Оплаты!$B$6:$B$505,Оплаты!$D$6:$D$505,A41,Оплаты!$A$6:$A$505,D41))</f>
        <v/>
      </c>
      <c r="I41">
        <f>IF(G41="","",SUMPRODUCT((((((D41+'По дням'!$K$6:$K$155-ABS(D41-'По дням'!$K$6:$K$155))-(C41+'По дням'!$J$6:$J$155+ABS(C41-'По дням'!$J$6:$J$155)))/2+1)&gt;0)*(((D41+'По дням'!$K$6:$K$155-ABS(D41-'По дням'!$K$6:$K$155))-(C41+'По дням'!$J$6:$J$155+ABS(C41-'По дням'!$J$6:$J$155)))/2+1)&gt;0)*1))</f>
        <v/>
      </c>
    </row>
    <row r="42">
      <c r="A42">
        <f>IF(AND(Оплаты!$E$34="ок",COUNTIFS(Акты!$B$5:$B$16,Оплаты!$D$34,Акты!$H$5:$H$16,"ок")&gt;0,COUNTIFS(Оплаты!$D$6:$D$33,Оплаты!$D$34,Оплаты!$A$6:$A$33,Оплаты!$A$34)=0),Оплаты!$D$34,"")</f>
        <v/>
      </c>
      <c r="B42">
        <f>IF(A42="","",MATCH(A42,Акты!$B$5:$B$16,0))</f>
        <v/>
      </c>
      <c r="C42" s="20">
        <f>IF(A42="","",Оплаты!$A$34+1)</f>
        <v/>
      </c>
      <c r="D42" s="20">
        <f>IF(A42="","",MIN(Ввод!$B$4,Ввод!$B$4+1-SUMPRODUCT(MAX((Оплаты!$D$6:$D$505=A42)*(Оплаты!$A$6:$A$505&gt;Оплаты!$A$34)*(Ввод!$B$4+1-Оплаты!$A$6:$A$505)))))</f>
        <v/>
      </c>
      <c r="E42" s="14">
        <f>IF(A42="","",INDEX(Акты!$D$5:$D$16,B42)-SUMIFS(Оплаты!$B$6:$B$505,Оплаты!$D$6:$D$505,A42,Оплаты!$A$6:$A$505,"&lt;="&amp;Оплаты!$A$34))</f>
        <v/>
      </c>
      <c r="F42" s="14">
        <f>IF(G42="","",SUMPRODUCT(ROUND(E42*'По дням'!$L$6:$L$155/100*((((D42+'По дням'!$K$6:$K$155-ABS(D42-'По дням'!$K$6:$K$155))-(C42+'По дням'!$J$6:$J$155+ABS(C42-'По дням'!$J$6:$J$155)))/2+1)&gt;0)*(((D42+'По дням'!$K$6:$K$155-ABS(D42-'По дням'!$K$6:$K$155))-(C42+'По дням'!$J$6:$J$155+ABS(C42-'По дням'!$J$6:$J$155)))/2+1)/'По дням'!$M$6:$M$155,2)*(1-'По дням'!$N$6:$N$155)))</f>
        <v/>
      </c>
      <c r="G42">
        <f>IF(A42="","",IF(C42&gt;D42,"",B42*1000000+C42))</f>
        <v/>
      </c>
      <c r="H42" s="14">
        <f>IF(G42="","",SUMIFS(Оплаты!$B$6:$B$505,Оплаты!$D$6:$D$505,A42,Оплаты!$A$6:$A$505,D42))</f>
        <v/>
      </c>
      <c r="I42">
        <f>IF(G42="","",SUMPRODUCT((((((D42+'По дням'!$K$6:$K$155-ABS(D42-'По дням'!$K$6:$K$155))-(C42+'По дням'!$J$6:$J$155+ABS(C42-'По дням'!$J$6:$J$155)))/2+1)&gt;0)*(((D42+'По дням'!$K$6:$K$155-ABS(D42-'По дням'!$K$6:$K$155))-(C42+'По дням'!$J$6:$J$155+ABS(C42-'По дням'!$J$6:$J$155)))/2+1)&gt;0)*1))</f>
        <v/>
      </c>
    </row>
    <row r="43">
      <c r="A43">
        <f>IF(AND(Оплаты!$E$35="ок",COUNTIFS(Акты!$B$5:$B$16,Оплаты!$D$35,Акты!$H$5:$H$16,"ок")&gt;0,COUNTIFS(Оплаты!$D$6:$D$34,Оплаты!$D$35,Оплаты!$A$6:$A$34,Оплаты!$A$35)=0),Оплаты!$D$35,"")</f>
        <v/>
      </c>
      <c r="B43">
        <f>IF(A43="","",MATCH(A43,Акты!$B$5:$B$16,0))</f>
        <v/>
      </c>
      <c r="C43" s="20">
        <f>IF(A43="","",Оплаты!$A$35+1)</f>
        <v/>
      </c>
      <c r="D43" s="20">
        <f>IF(A43="","",MIN(Ввод!$B$4,Ввод!$B$4+1-SUMPRODUCT(MAX((Оплаты!$D$6:$D$505=A43)*(Оплаты!$A$6:$A$505&gt;Оплаты!$A$35)*(Ввод!$B$4+1-Оплаты!$A$6:$A$505)))))</f>
        <v/>
      </c>
      <c r="E43" s="14">
        <f>IF(A43="","",INDEX(Акты!$D$5:$D$16,B43)-SUMIFS(Оплаты!$B$6:$B$505,Оплаты!$D$6:$D$505,A43,Оплаты!$A$6:$A$505,"&lt;="&amp;Оплаты!$A$35))</f>
        <v/>
      </c>
      <c r="F43" s="14">
        <f>IF(G43="","",SUMPRODUCT(ROUND(E43*'По дням'!$L$6:$L$155/100*((((D43+'По дням'!$K$6:$K$155-ABS(D43-'По дням'!$K$6:$K$155))-(C43+'По дням'!$J$6:$J$155+ABS(C43-'По дням'!$J$6:$J$155)))/2+1)&gt;0)*(((D43+'По дням'!$K$6:$K$155-ABS(D43-'По дням'!$K$6:$K$155))-(C43+'По дням'!$J$6:$J$155+ABS(C43-'По дням'!$J$6:$J$155)))/2+1)/'По дням'!$M$6:$M$155,2)*(1-'По дням'!$N$6:$N$155)))</f>
        <v/>
      </c>
      <c r="G43">
        <f>IF(A43="","",IF(C43&gt;D43,"",B43*1000000+C43))</f>
        <v/>
      </c>
      <c r="H43" s="14">
        <f>IF(G43="","",SUMIFS(Оплаты!$B$6:$B$505,Оплаты!$D$6:$D$505,A43,Оплаты!$A$6:$A$505,D43))</f>
        <v/>
      </c>
      <c r="I43">
        <f>IF(G43="","",SUMPRODUCT((((((D43+'По дням'!$K$6:$K$155-ABS(D43-'По дням'!$K$6:$K$155))-(C43+'По дням'!$J$6:$J$155+ABS(C43-'По дням'!$J$6:$J$155)))/2+1)&gt;0)*(((D43+'По дням'!$K$6:$K$155-ABS(D43-'По дням'!$K$6:$K$155))-(C43+'По дням'!$J$6:$J$155+ABS(C43-'По дням'!$J$6:$J$155)))/2+1)&gt;0)*1))</f>
        <v/>
      </c>
    </row>
    <row r="44">
      <c r="A44">
        <f>IF(AND(Оплаты!$E$36="ок",COUNTIFS(Акты!$B$5:$B$16,Оплаты!$D$36,Акты!$H$5:$H$16,"ок")&gt;0,COUNTIFS(Оплаты!$D$6:$D$35,Оплаты!$D$36,Оплаты!$A$6:$A$35,Оплаты!$A$36)=0),Оплаты!$D$36,"")</f>
        <v/>
      </c>
      <c r="B44">
        <f>IF(A44="","",MATCH(A44,Акты!$B$5:$B$16,0))</f>
        <v/>
      </c>
      <c r="C44" s="20">
        <f>IF(A44="","",Оплаты!$A$36+1)</f>
        <v/>
      </c>
      <c r="D44" s="20">
        <f>IF(A44="","",MIN(Ввод!$B$4,Ввод!$B$4+1-SUMPRODUCT(MAX((Оплаты!$D$6:$D$505=A44)*(Оплаты!$A$6:$A$505&gt;Оплаты!$A$36)*(Ввод!$B$4+1-Оплаты!$A$6:$A$505)))))</f>
        <v/>
      </c>
      <c r="E44" s="14">
        <f>IF(A44="","",INDEX(Акты!$D$5:$D$16,B44)-SUMIFS(Оплаты!$B$6:$B$505,Оплаты!$D$6:$D$505,A44,Оплаты!$A$6:$A$505,"&lt;="&amp;Оплаты!$A$36))</f>
        <v/>
      </c>
      <c r="F44" s="14">
        <f>IF(G44="","",SUMPRODUCT(ROUND(E44*'По дням'!$L$6:$L$155/100*((((D44+'По дням'!$K$6:$K$155-ABS(D44-'По дням'!$K$6:$K$155))-(C44+'По дням'!$J$6:$J$155+ABS(C44-'По дням'!$J$6:$J$155)))/2+1)&gt;0)*(((D44+'По дням'!$K$6:$K$155-ABS(D44-'По дням'!$K$6:$K$155))-(C44+'По дням'!$J$6:$J$155+ABS(C44-'По дням'!$J$6:$J$155)))/2+1)/'По дням'!$M$6:$M$155,2)*(1-'По дням'!$N$6:$N$155)))</f>
        <v/>
      </c>
      <c r="G44">
        <f>IF(A44="","",IF(C44&gt;D44,"",B44*1000000+C44))</f>
        <v/>
      </c>
      <c r="H44" s="14">
        <f>IF(G44="","",SUMIFS(Оплаты!$B$6:$B$505,Оплаты!$D$6:$D$505,A44,Оплаты!$A$6:$A$505,D44))</f>
        <v/>
      </c>
      <c r="I44">
        <f>IF(G44="","",SUMPRODUCT((((((D44+'По дням'!$K$6:$K$155-ABS(D44-'По дням'!$K$6:$K$155))-(C44+'По дням'!$J$6:$J$155+ABS(C44-'По дням'!$J$6:$J$155)))/2+1)&gt;0)*(((D44+'По дням'!$K$6:$K$155-ABS(D44-'По дням'!$K$6:$K$155))-(C44+'По дням'!$J$6:$J$155+ABS(C44-'По дням'!$J$6:$J$155)))/2+1)&gt;0)*1))</f>
        <v/>
      </c>
    </row>
    <row r="45">
      <c r="A45">
        <f>IF(AND(Оплаты!$E$37="ок",COUNTIFS(Акты!$B$5:$B$16,Оплаты!$D$37,Акты!$H$5:$H$16,"ок")&gt;0,COUNTIFS(Оплаты!$D$6:$D$36,Оплаты!$D$37,Оплаты!$A$6:$A$36,Оплаты!$A$37)=0),Оплаты!$D$37,"")</f>
        <v/>
      </c>
      <c r="B45">
        <f>IF(A45="","",MATCH(A45,Акты!$B$5:$B$16,0))</f>
        <v/>
      </c>
      <c r="C45" s="20">
        <f>IF(A45="","",Оплаты!$A$37+1)</f>
        <v/>
      </c>
      <c r="D45" s="20">
        <f>IF(A45="","",MIN(Ввод!$B$4,Ввод!$B$4+1-SUMPRODUCT(MAX((Оплаты!$D$6:$D$505=A45)*(Оплаты!$A$6:$A$505&gt;Оплаты!$A$37)*(Ввод!$B$4+1-Оплаты!$A$6:$A$505)))))</f>
        <v/>
      </c>
      <c r="E45" s="14">
        <f>IF(A45="","",INDEX(Акты!$D$5:$D$16,B45)-SUMIFS(Оплаты!$B$6:$B$505,Оплаты!$D$6:$D$505,A45,Оплаты!$A$6:$A$505,"&lt;="&amp;Оплаты!$A$37))</f>
        <v/>
      </c>
      <c r="F45" s="14">
        <f>IF(G45="","",SUMPRODUCT(ROUND(E45*'По дням'!$L$6:$L$155/100*((((D45+'По дням'!$K$6:$K$155-ABS(D45-'По дням'!$K$6:$K$155))-(C45+'По дням'!$J$6:$J$155+ABS(C45-'По дням'!$J$6:$J$155)))/2+1)&gt;0)*(((D45+'По дням'!$K$6:$K$155-ABS(D45-'По дням'!$K$6:$K$155))-(C45+'По дням'!$J$6:$J$155+ABS(C45-'По дням'!$J$6:$J$155)))/2+1)/'По дням'!$M$6:$M$155,2)*(1-'По дням'!$N$6:$N$155)))</f>
        <v/>
      </c>
      <c r="G45">
        <f>IF(A45="","",IF(C45&gt;D45,"",B45*1000000+C45))</f>
        <v/>
      </c>
      <c r="H45" s="14">
        <f>IF(G45="","",SUMIFS(Оплаты!$B$6:$B$505,Оплаты!$D$6:$D$505,A45,Оплаты!$A$6:$A$505,D45))</f>
        <v/>
      </c>
      <c r="I45">
        <f>IF(G45="","",SUMPRODUCT((((((D45+'По дням'!$K$6:$K$155-ABS(D45-'По дням'!$K$6:$K$155))-(C45+'По дням'!$J$6:$J$155+ABS(C45-'По дням'!$J$6:$J$155)))/2+1)&gt;0)*(((D45+'По дням'!$K$6:$K$155-ABS(D45-'По дням'!$K$6:$K$155))-(C45+'По дням'!$J$6:$J$155+ABS(C45-'По дням'!$J$6:$J$155)))/2+1)&gt;0)*1))</f>
        <v/>
      </c>
    </row>
    <row r="46">
      <c r="A46">
        <f>IF(AND(Оплаты!$E$38="ок",COUNTIFS(Акты!$B$5:$B$16,Оплаты!$D$38,Акты!$H$5:$H$16,"ок")&gt;0,COUNTIFS(Оплаты!$D$6:$D$37,Оплаты!$D$38,Оплаты!$A$6:$A$37,Оплаты!$A$38)=0),Оплаты!$D$38,"")</f>
        <v/>
      </c>
      <c r="B46">
        <f>IF(A46="","",MATCH(A46,Акты!$B$5:$B$16,0))</f>
        <v/>
      </c>
      <c r="C46" s="20">
        <f>IF(A46="","",Оплаты!$A$38+1)</f>
        <v/>
      </c>
      <c r="D46" s="20">
        <f>IF(A46="","",MIN(Ввод!$B$4,Ввод!$B$4+1-SUMPRODUCT(MAX((Оплаты!$D$6:$D$505=A46)*(Оплаты!$A$6:$A$505&gt;Оплаты!$A$38)*(Ввод!$B$4+1-Оплаты!$A$6:$A$505)))))</f>
        <v/>
      </c>
      <c r="E46" s="14">
        <f>IF(A46="","",INDEX(Акты!$D$5:$D$16,B46)-SUMIFS(Оплаты!$B$6:$B$505,Оплаты!$D$6:$D$505,A46,Оплаты!$A$6:$A$505,"&lt;="&amp;Оплаты!$A$38))</f>
        <v/>
      </c>
      <c r="F46" s="14">
        <f>IF(G46="","",SUMPRODUCT(ROUND(E46*'По дням'!$L$6:$L$155/100*((((D46+'По дням'!$K$6:$K$155-ABS(D46-'По дням'!$K$6:$K$155))-(C46+'По дням'!$J$6:$J$155+ABS(C46-'По дням'!$J$6:$J$155)))/2+1)&gt;0)*(((D46+'По дням'!$K$6:$K$155-ABS(D46-'По дням'!$K$6:$K$155))-(C46+'По дням'!$J$6:$J$155+ABS(C46-'По дням'!$J$6:$J$155)))/2+1)/'По дням'!$M$6:$M$155,2)*(1-'По дням'!$N$6:$N$155)))</f>
        <v/>
      </c>
      <c r="G46">
        <f>IF(A46="","",IF(C46&gt;D46,"",B46*1000000+C46))</f>
        <v/>
      </c>
      <c r="H46" s="14">
        <f>IF(G46="","",SUMIFS(Оплаты!$B$6:$B$505,Оплаты!$D$6:$D$505,A46,Оплаты!$A$6:$A$505,D46))</f>
        <v/>
      </c>
      <c r="I46">
        <f>IF(G46="","",SUMPRODUCT((((((D46+'По дням'!$K$6:$K$155-ABS(D46-'По дням'!$K$6:$K$155))-(C46+'По дням'!$J$6:$J$155+ABS(C46-'По дням'!$J$6:$J$155)))/2+1)&gt;0)*(((D46+'По дням'!$K$6:$K$155-ABS(D46-'По дням'!$K$6:$K$155))-(C46+'По дням'!$J$6:$J$155+ABS(C46-'По дням'!$J$6:$J$155)))/2+1)&gt;0)*1))</f>
        <v/>
      </c>
    </row>
    <row r="47">
      <c r="A47">
        <f>IF(AND(Оплаты!$E$39="ок",COUNTIFS(Акты!$B$5:$B$16,Оплаты!$D$39,Акты!$H$5:$H$16,"ок")&gt;0,COUNTIFS(Оплаты!$D$6:$D$38,Оплаты!$D$39,Оплаты!$A$6:$A$38,Оплаты!$A$39)=0),Оплаты!$D$39,"")</f>
        <v/>
      </c>
      <c r="B47">
        <f>IF(A47="","",MATCH(A47,Акты!$B$5:$B$16,0))</f>
        <v/>
      </c>
      <c r="C47" s="20">
        <f>IF(A47="","",Оплаты!$A$39+1)</f>
        <v/>
      </c>
      <c r="D47" s="20">
        <f>IF(A47="","",MIN(Ввод!$B$4,Ввод!$B$4+1-SUMPRODUCT(MAX((Оплаты!$D$6:$D$505=A47)*(Оплаты!$A$6:$A$505&gt;Оплаты!$A$39)*(Ввод!$B$4+1-Оплаты!$A$6:$A$505)))))</f>
        <v/>
      </c>
      <c r="E47" s="14">
        <f>IF(A47="","",INDEX(Акты!$D$5:$D$16,B47)-SUMIFS(Оплаты!$B$6:$B$505,Оплаты!$D$6:$D$505,A47,Оплаты!$A$6:$A$505,"&lt;="&amp;Оплаты!$A$39))</f>
        <v/>
      </c>
      <c r="F47" s="14">
        <f>IF(G47="","",SUMPRODUCT(ROUND(E47*'По дням'!$L$6:$L$155/100*((((D47+'По дням'!$K$6:$K$155-ABS(D47-'По дням'!$K$6:$K$155))-(C47+'По дням'!$J$6:$J$155+ABS(C47-'По дням'!$J$6:$J$155)))/2+1)&gt;0)*(((D47+'По дням'!$K$6:$K$155-ABS(D47-'По дням'!$K$6:$K$155))-(C47+'По дням'!$J$6:$J$155+ABS(C47-'По дням'!$J$6:$J$155)))/2+1)/'По дням'!$M$6:$M$155,2)*(1-'По дням'!$N$6:$N$155)))</f>
        <v/>
      </c>
      <c r="G47">
        <f>IF(A47="","",IF(C47&gt;D47,"",B47*1000000+C47))</f>
        <v/>
      </c>
      <c r="H47" s="14">
        <f>IF(G47="","",SUMIFS(Оплаты!$B$6:$B$505,Оплаты!$D$6:$D$505,A47,Оплаты!$A$6:$A$505,D47))</f>
        <v/>
      </c>
      <c r="I47">
        <f>IF(G47="","",SUMPRODUCT((((((D47+'По дням'!$K$6:$K$155-ABS(D47-'По дням'!$K$6:$K$155))-(C47+'По дням'!$J$6:$J$155+ABS(C47-'По дням'!$J$6:$J$155)))/2+1)&gt;0)*(((D47+'По дням'!$K$6:$K$155-ABS(D47-'По дням'!$K$6:$K$155))-(C47+'По дням'!$J$6:$J$155+ABS(C47-'По дням'!$J$6:$J$155)))/2+1)&gt;0)*1))</f>
        <v/>
      </c>
    </row>
    <row r="48">
      <c r="A48">
        <f>IF(AND(Оплаты!$E$40="ок",COUNTIFS(Акты!$B$5:$B$16,Оплаты!$D$40,Акты!$H$5:$H$16,"ок")&gt;0,COUNTIFS(Оплаты!$D$6:$D$39,Оплаты!$D$40,Оплаты!$A$6:$A$39,Оплаты!$A$40)=0),Оплаты!$D$40,"")</f>
        <v/>
      </c>
      <c r="B48">
        <f>IF(A48="","",MATCH(A48,Акты!$B$5:$B$16,0))</f>
        <v/>
      </c>
      <c r="C48" s="20">
        <f>IF(A48="","",Оплаты!$A$40+1)</f>
        <v/>
      </c>
      <c r="D48" s="20">
        <f>IF(A48="","",MIN(Ввод!$B$4,Ввод!$B$4+1-SUMPRODUCT(MAX((Оплаты!$D$6:$D$505=A48)*(Оплаты!$A$6:$A$505&gt;Оплаты!$A$40)*(Ввод!$B$4+1-Оплаты!$A$6:$A$505)))))</f>
        <v/>
      </c>
      <c r="E48" s="14">
        <f>IF(A48="","",INDEX(Акты!$D$5:$D$16,B48)-SUMIFS(Оплаты!$B$6:$B$505,Оплаты!$D$6:$D$505,A48,Оплаты!$A$6:$A$505,"&lt;="&amp;Оплаты!$A$40))</f>
        <v/>
      </c>
      <c r="F48" s="14">
        <f>IF(G48="","",SUMPRODUCT(ROUND(E48*'По дням'!$L$6:$L$155/100*((((D48+'По дням'!$K$6:$K$155-ABS(D48-'По дням'!$K$6:$K$155))-(C48+'По дням'!$J$6:$J$155+ABS(C48-'По дням'!$J$6:$J$155)))/2+1)&gt;0)*(((D48+'По дням'!$K$6:$K$155-ABS(D48-'По дням'!$K$6:$K$155))-(C48+'По дням'!$J$6:$J$155+ABS(C48-'По дням'!$J$6:$J$155)))/2+1)/'По дням'!$M$6:$M$155,2)*(1-'По дням'!$N$6:$N$155)))</f>
        <v/>
      </c>
      <c r="G48">
        <f>IF(A48="","",IF(C48&gt;D48,"",B48*1000000+C48))</f>
        <v/>
      </c>
      <c r="H48" s="14">
        <f>IF(G48="","",SUMIFS(Оплаты!$B$6:$B$505,Оплаты!$D$6:$D$505,A48,Оплаты!$A$6:$A$505,D48))</f>
        <v/>
      </c>
      <c r="I48">
        <f>IF(G48="","",SUMPRODUCT((((((D48+'По дням'!$K$6:$K$155-ABS(D48-'По дням'!$K$6:$K$155))-(C48+'По дням'!$J$6:$J$155+ABS(C48-'По дням'!$J$6:$J$155)))/2+1)&gt;0)*(((D48+'По дням'!$K$6:$K$155-ABS(D48-'По дням'!$K$6:$K$155))-(C48+'По дням'!$J$6:$J$155+ABS(C48-'По дням'!$J$6:$J$155)))/2+1)&gt;0)*1))</f>
        <v/>
      </c>
    </row>
    <row r="49">
      <c r="A49">
        <f>IF(AND(Оплаты!$E$41="ок",COUNTIFS(Акты!$B$5:$B$16,Оплаты!$D$41,Акты!$H$5:$H$16,"ок")&gt;0,COUNTIFS(Оплаты!$D$6:$D$40,Оплаты!$D$41,Оплаты!$A$6:$A$40,Оплаты!$A$41)=0),Оплаты!$D$41,"")</f>
        <v/>
      </c>
      <c r="B49">
        <f>IF(A49="","",MATCH(A49,Акты!$B$5:$B$16,0))</f>
        <v/>
      </c>
      <c r="C49" s="20">
        <f>IF(A49="","",Оплаты!$A$41+1)</f>
        <v/>
      </c>
      <c r="D49" s="20">
        <f>IF(A49="","",MIN(Ввод!$B$4,Ввод!$B$4+1-SUMPRODUCT(MAX((Оплаты!$D$6:$D$505=A49)*(Оплаты!$A$6:$A$505&gt;Оплаты!$A$41)*(Ввод!$B$4+1-Оплаты!$A$6:$A$505)))))</f>
        <v/>
      </c>
      <c r="E49" s="14">
        <f>IF(A49="","",INDEX(Акты!$D$5:$D$16,B49)-SUMIFS(Оплаты!$B$6:$B$505,Оплаты!$D$6:$D$505,A49,Оплаты!$A$6:$A$505,"&lt;="&amp;Оплаты!$A$41))</f>
        <v/>
      </c>
      <c r="F49" s="14">
        <f>IF(G49="","",SUMPRODUCT(ROUND(E49*'По дням'!$L$6:$L$155/100*((((D49+'По дням'!$K$6:$K$155-ABS(D49-'По дням'!$K$6:$K$155))-(C49+'По дням'!$J$6:$J$155+ABS(C49-'По дням'!$J$6:$J$155)))/2+1)&gt;0)*(((D49+'По дням'!$K$6:$K$155-ABS(D49-'По дням'!$K$6:$K$155))-(C49+'По дням'!$J$6:$J$155+ABS(C49-'По дням'!$J$6:$J$155)))/2+1)/'По дням'!$M$6:$M$155,2)*(1-'По дням'!$N$6:$N$155)))</f>
        <v/>
      </c>
      <c r="G49">
        <f>IF(A49="","",IF(C49&gt;D49,"",B49*1000000+C49))</f>
        <v/>
      </c>
      <c r="H49" s="14">
        <f>IF(G49="","",SUMIFS(Оплаты!$B$6:$B$505,Оплаты!$D$6:$D$505,A49,Оплаты!$A$6:$A$505,D49))</f>
        <v/>
      </c>
      <c r="I49">
        <f>IF(G49="","",SUMPRODUCT((((((D49+'По дням'!$K$6:$K$155-ABS(D49-'По дням'!$K$6:$K$155))-(C49+'По дням'!$J$6:$J$155+ABS(C49-'По дням'!$J$6:$J$155)))/2+1)&gt;0)*(((D49+'По дням'!$K$6:$K$155-ABS(D49-'По дням'!$K$6:$K$155))-(C49+'По дням'!$J$6:$J$155+ABS(C49-'По дням'!$J$6:$J$155)))/2+1)&gt;0)*1))</f>
        <v/>
      </c>
    </row>
    <row r="50">
      <c r="A50">
        <f>IF(AND(Оплаты!$E$42="ок",COUNTIFS(Акты!$B$5:$B$16,Оплаты!$D$42,Акты!$H$5:$H$16,"ок")&gt;0,COUNTIFS(Оплаты!$D$6:$D$41,Оплаты!$D$42,Оплаты!$A$6:$A$41,Оплаты!$A$42)=0),Оплаты!$D$42,"")</f>
        <v/>
      </c>
      <c r="B50">
        <f>IF(A50="","",MATCH(A50,Акты!$B$5:$B$16,0))</f>
        <v/>
      </c>
      <c r="C50" s="20">
        <f>IF(A50="","",Оплаты!$A$42+1)</f>
        <v/>
      </c>
      <c r="D50" s="20">
        <f>IF(A50="","",MIN(Ввод!$B$4,Ввод!$B$4+1-SUMPRODUCT(MAX((Оплаты!$D$6:$D$505=A50)*(Оплаты!$A$6:$A$505&gt;Оплаты!$A$42)*(Ввод!$B$4+1-Оплаты!$A$6:$A$505)))))</f>
        <v/>
      </c>
      <c r="E50" s="14">
        <f>IF(A50="","",INDEX(Акты!$D$5:$D$16,B50)-SUMIFS(Оплаты!$B$6:$B$505,Оплаты!$D$6:$D$505,A50,Оплаты!$A$6:$A$505,"&lt;="&amp;Оплаты!$A$42))</f>
        <v/>
      </c>
      <c r="F50" s="14">
        <f>IF(G50="","",SUMPRODUCT(ROUND(E50*'По дням'!$L$6:$L$155/100*((((D50+'По дням'!$K$6:$K$155-ABS(D50-'По дням'!$K$6:$K$155))-(C50+'По дням'!$J$6:$J$155+ABS(C50-'По дням'!$J$6:$J$155)))/2+1)&gt;0)*(((D50+'По дням'!$K$6:$K$155-ABS(D50-'По дням'!$K$6:$K$155))-(C50+'По дням'!$J$6:$J$155+ABS(C50-'По дням'!$J$6:$J$155)))/2+1)/'По дням'!$M$6:$M$155,2)*(1-'По дням'!$N$6:$N$155)))</f>
        <v/>
      </c>
      <c r="G50">
        <f>IF(A50="","",IF(C50&gt;D50,"",B50*1000000+C50))</f>
        <v/>
      </c>
      <c r="H50" s="14">
        <f>IF(G50="","",SUMIFS(Оплаты!$B$6:$B$505,Оплаты!$D$6:$D$505,A50,Оплаты!$A$6:$A$505,D50))</f>
        <v/>
      </c>
      <c r="I50">
        <f>IF(G50="","",SUMPRODUCT((((((D50+'По дням'!$K$6:$K$155-ABS(D50-'По дням'!$K$6:$K$155))-(C50+'По дням'!$J$6:$J$155+ABS(C50-'По дням'!$J$6:$J$155)))/2+1)&gt;0)*(((D50+'По дням'!$K$6:$K$155-ABS(D50-'По дням'!$K$6:$K$155))-(C50+'По дням'!$J$6:$J$155+ABS(C50-'По дням'!$J$6:$J$155)))/2+1)&gt;0)*1))</f>
        <v/>
      </c>
    </row>
    <row r="51">
      <c r="A51">
        <f>IF(AND(Оплаты!$E$43="ок",COUNTIFS(Акты!$B$5:$B$16,Оплаты!$D$43,Акты!$H$5:$H$16,"ок")&gt;0,COUNTIFS(Оплаты!$D$6:$D$42,Оплаты!$D$43,Оплаты!$A$6:$A$42,Оплаты!$A$43)=0),Оплаты!$D$43,"")</f>
        <v/>
      </c>
      <c r="B51">
        <f>IF(A51="","",MATCH(A51,Акты!$B$5:$B$16,0))</f>
        <v/>
      </c>
      <c r="C51" s="20">
        <f>IF(A51="","",Оплаты!$A$43+1)</f>
        <v/>
      </c>
      <c r="D51" s="20">
        <f>IF(A51="","",MIN(Ввод!$B$4,Ввод!$B$4+1-SUMPRODUCT(MAX((Оплаты!$D$6:$D$505=A51)*(Оплаты!$A$6:$A$505&gt;Оплаты!$A$43)*(Ввод!$B$4+1-Оплаты!$A$6:$A$505)))))</f>
        <v/>
      </c>
      <c r="E51" s="14">
        <f>IF(A51="","",INDEX(Акты!$D$5:$D$16,B51)-SUMIFS(Оплаты!$B$6:$B$505,Оплаты!$D$6:$D$505,A51,Оплаты!$A$6:$A$505,"&lt;="&amp;Оплаты!$A$43))</f>
        <v/>
      </c>
      <c r="F51" s="14">
        <f>IF(G51="","",SUMPRODUCT(ROUND(E51*'По дням'!$L$6:$L$155/100*((((D51+'По дням'!$K$6:$K$155-ABS(D51-'По дням'!$K$6:$K$155))-(C51+'По дням'!$J$6:$J$155+ABS(C51-'По дням'!$J$6:$J$155)))/2+1)&gt;0)*(((D51+'По дням'!$K$6:$K$155-ABS(D51-'По дням'!$K$6:$K$155))-(C51+'По дням'!$J$6:$J$155+ABS(C51-'По дням'!$J$6:$J$155)))/2+1)/'По дням'!$M$6:$M$155,2)*(1-'По дням'!$N$6:$N$155)))</f>
        <v/>
      </c>
      <c r="G51">
        <f>IF(A51="","",IF(C51&gt;D51,"",B51*1000000+C51))</f>
        <v/>
      </c>
      <c r="H51" s="14">
        <f>IF(G51="","",SUMIFS(Оплаты!$B$6:$B$505,Оплаты!$D$6:$D$505,A51,Оплаты!$A$6:$A$505,D51))</f>
        <v/>
      </c>
      <c r="I51">
        <f>IF(G51="","",SUMPRODUCT((((((D51+'По дням'!$K$6:$K$155-ABS(D51-'По дням'!$K$6:$K$155))-(C51+'По дням'!$J$6:$J$155+ABS(C51-'По дням'!$J$6:$J$155)))/2+1)&gt;0)*(((D51+'По дням'!$K$6:$K$155-ABS(D51-'По дням'!$K$6:$K$155))-(C51+'По дням'!$J$6:$J$155+ABS(C51-'По дням'!$J$6:$J$155)))/2+1)&gt;0)*1))</f>
        <v/>
      </c>
    </row>
    <row r="52">
      <c r="A52">
        <f>IF(AND(Оплаты!$E$44="ок",COUNTIFS(Акты!$B$5:$B$16,Оплаты!$D$44,Акты!$H$5:$H$16,"ок")&gt;0,COUNTIFS(Оплаты!$D$6:$D$43,Оплаты!$D$44,Оплаты!$A$6:$A$43,Оплаты!$A$44)=0),Оплаты!$D$44,"")</f>
        <v/>
      </c>
      <c r="B52">
        <f>IF(A52="","",MATCH(A52,Акты!$B$5:$B$16,0))</f>
        <v/>
      </c>
      <c r="C52" s="20">
        <f>IF(A52="","",Оплаты!$A$44+1)</f>
        <v/>
      </c>
      <c r="D52" s="20">
        <f>IF(A52="","",MIN(Ввод!$B$4,Ввод!$B$4+1-SUMPRODUCT(MAX((Оплаты!$D$6:$D$505=A52)*(Оплаты!$A$6:$A$505&gt;Оплаты!$A$44)*(Ввод!$B$4+1-Оплаты!$A$6:$A$505)))))</f>
        <v/>
      </c>
      <c r="E52" s="14">
        <f>IF(A52="","",INDEX(Акты!$D$5:$D$16,B52)-SUMIFS(Оплаты!$B$6:$B$505,Оплаты!$D$6:$D$505,A52,Оплаты!$A$6:$A$505,"&lt;="&amp;Оплаты!$A$44))</f>
        <v/>
      </c>
      <c r="F52" s="14">
        <f>IF(G52="","",SUMPRODUCT(ROUND(E52*'По дням'!$L$6:$L$155/100*((((D52+'По дням'!$K$6:$K$155-ABS(D52-'По дням'!$K$6:$K$155))-(C52+'По дням'!$J$6:$J$155+ABS(C52-'По дням'!$J$6:$J$155)))/2+1)&gt;0)*(((D52+'По дням'!$K$6:$K$155-ABS(D52-'По дням'!$K$6:$K$155))-(C52+'По дням'!$J$6:$J$155+ABS(C52-'По дням'!$J$6:$J$155)))/2+1)/'По дням'!$M$6:$M$155,2)*(1-'По дням'!$N$6:$N$155)))</f>
        <v/>
      </c>
      <c r="G52">
        <f>IF(A52="","",IF(C52&gt;D52,"",B52*1000000+C52))</f>
        <v/>
      </c>
      <c r="H52" s="14">
        <f>IF(G52="","",SUMIFS(Оплаты!$B$6:$B$505,Оплаты!$D$6:$D$505,A52,Оплаты!$A$6:$A$505,D52))</f>
        <v/>
      </c>
      <c r="I52">
        <f>IF(G52="","",SUMPRODUCT((((((D52+'По дням'!$K$6:$K$155-ABS(D52-'По дням'!$K$6:$K$155))-(C52+'По дням'!$J$6:$J$155+ABS(C52-'По дням'!$J$6:$J$155)))/2+1)&gt;0)*(((D52+'По дням'!$K$6:$K$155-ABS(D52-'По дням'!$K$6:$K$155))-(C52+'По дням'!$J$6:$J$155+ABS(C52-'По дням'!$J$6:$J$155)))/2+1)&gt;0)*1))</f>
        <v/>
      </c>
    </row>
    <row r="53">
      <c r="A53">
        <f>IF(AND(Оплаты!$E$45="ок",COUNTIFS(Акты!$B$5:$B$16,Оплаты!$D$45,Акты!$H$5:$H$16,"ок")&gt;0,COUNTIFS(Оплаты!$D$6:$D$44,Оплаты!$D$45,Оплаты!$A$6:$A$44,Оплаты!$A$45)=0),Оплаты!$D$45,"")</f>
        <v/>
      </c>
      <c r="B53">
        <f>IF(A53="","",MATCH(A53,Акты!$B$5:$B$16,0))</f>
        <v/>
      </c>
      <c r="C53" s="20">
        <f>IF(A53="","",Оплаты!$A$45+1)</f>
        <v/>
      </c>
      <c r="D53" s="20">
        <f>IF(A53="","",MIN(Ввод!$B$4,Ввод!$B$4+1-SUMPRODUCT(MAX((Оплаты!$D$6:$D$505=A53)*(Оплаты!$A$6:$A$505&gt;Оплаты!$A$45)*(Ввод!$B$4+1-Оплаты!$A$6:$A$505)))))</f>
        <v/>
      </c>
      <c r="E53" s="14">
        <f>IF(A53="","",INDEX(Акты!$D$5:$D$16,B53)-SUMIFS(Оплаты!$B$6:$B$505,Оплаты!$D$6:$D$505,A53,Оплаты!$A$6:$A$505,"&lt;="&amp;Оплаты!$A$45))</f>
        <v/>
      </c>
      <c r="F53" s="14">
        <f>IF(G53="","",SUMPRODUCT(ROUND(E53*'По дням'!$L$6:$L$155/100*((((D53+'По дням'!$K$6:$K$155-ABS(D53-'По дням'!$K$6:$K$155))-(C53+'По дням'!$J$6:$J$155+ABS(C53-'По дням'!$J$6:$J$155)))/2+1)&gt;0)*(((D53+'По дням'!$K$6:$K$155-ABS(D53-'По дням'!$K$6:$K$155))-(C53+'По дням'!$J$6:$J$155+ABS(C53-'По дням'!$J$6:$J$155)))/2+1)/'По дням'!$M$6:$M$155,2)*(1-'По дням'!$N$6:$N$155)))</f>
        <v/>
      </c>
      <c r="G53">
        <f>IF(A53="","",IF(C53&gt;D53,"",B53*1000000+C53))</f>
        <v/>
      </c>
      <c r="H53" s="14">
        <f>IF(G53="","",SUMIFS(Оплаты!$B$6:$B$505,Оплаты!$D$6:$D$505,A53,Оплаты!$A$6:$A$505,D53))</f>
        <v/>
      </c>
      <c r="I53">
        <f>IF(G53="","",SUMPRODUCT((((((D53+'По дням'!$K$6:$K$155-ABS(D53-'По дням'!$K$6:$K$155))-(C53+'По дням'!$J$6:$J$155+ABS(C53-'По дням'!$J$6:$J$155)))/2+1)&gt;0)*(((D53+'По дням'!$K$6:$K$155-ABS(D53-'По дням'!$K$6:$K$155))-(C53+'По дням'!$J$6:$J$155+ABS(C53-'По дням'!$J$6:$J$155)))/2+1)&gt;0)*1))</f>
        <v/>
      </c>
    </row>
    <row r="54">
      <c r="A54">
        <f>IF(AND(Оплаты!$E$46="ок",COUNTIFS(Акты!$B$5:$B$16,Оплаты!$D$46,Акты!$H$5:$H$16,"ок")&gt;0,COUNTIFS(Оплаты!$D$6:$D$45,Оплаты!$D$46,Оплаты!$A$6:$A$45,Оплаты!$A$46)=0),Оплаты!$D$46,"")</f>
        <v/>
      </c>
      <c r="B54">
        <f>IF(A54="","",MATCH(A54,Акты!$B$5:$B$16,0))</f>
        <v/>
      </c>
      <c r="C54" s="20">
        <f>IF(A54="","",Оплаты!$A$46+1)</f>
        <v/>
      </c>
      <c r="D54" s="20">
        <f>IF(A54="","",MIN(Ввод!$B$4,Ввод!$B$4+1-SUMPRODUCT(MAX((Оплаты!$D$6:$D$505=A54)*(Оплаты!$A$6:$A$505&gt;Оплаты!$A$46)*(Ввод!$B$4+1-Оплаты!$A$6:$A$505)))))</f>
        <v/>
      </c>
      <c r="E54" s="14">
        <f>IF(A54="","",INDEX(Акты!$D$5:$D$16,B54)-SUMIFS(Оплаты!$B$6:$B$505,Оплаты!$D$6:$D$505,A54,Оплаты!$A$6:$A$505,"&lt;="&amp;Оплаты!$A$46))</f>
        <v/>
      </c>
      <c r="F54" s="14">
        <f>IF(G54="","",SUMPRODUCT(ROUND(E54*'По дням'!$L$6:$L$155/100*((((D54+'По дням'!$K$6:$K$155-ABS(D54-'По дням'!$K$6:$K$155))-(C54+'По дням'!$J$6:$J$155+ABS(C54-'По дням'!$J$6:$J$155)))/2+1)&gt;0)*(((D54+'По дням'!$K$6:$K$155-ABS(D54-'По дням'!$K$6:$K$155))-(C54+'По дням'!$J$6:$J$155+ABS(C54-'По дням'!$J$6:$J$155)))/2+1)/'По дням'!$M$6:$M$155,2)*(1-'По дням'!$N$6:$N$155)))</f>
        <v/>
      </c>
      <c r="G54">
        <f>IF(A54="","",IF(C54&gt;D54,"",B54*1000000+C54))</f>
        <v/>
      </c>
      <c r="H54" s="14">
        <f>IF(G54="","",SUMIFS(Оплаты!$B$6:$B$505,Оплаты!$D$6:$D$505,A54,Оплаты!$A$6:$A$505,D54))</f>
        <v/>
      </c>
      <c r="I54">
        <f>IF(G54="","",SUMPRODUCT((((((D54+'По дням'!$K$6:$K$155-ABS(D54-'По дням'!$K$6:$K$155))-(C54+'По дням'!$J$6:$J$155+ABS(C54-'По дням'!$J$6:$J$155)))/2+1)&gt;0)*(((D54+'По дням'!$K$6:$K$155-ABS(D54-'По дням'!$K$6:$K$155))-(C54+'По дням'!$J$6:$J$155+ABS(C54-'По дням'!$J$6:$J$155)))/2+1)&gt;0)*1))</f>
        <v/>
      </c>
    </row>
    <row r="55">
      <c r="A55">
        <f>IF(AND(Оплаты!$E$47="ок",COUNTIFS(Акты!$B$5:$B$16,Оплаты!$D$47,Акты!$H$5:$H$16,"ок")&gt;0,COUNTIFS(Оплаты!$D$6:$D$46,Оплаты!$D$47,Оплаты!$A$6:$A$46,Оплаты!$A$47)=0),Оплаты!$D$47,"")</f>
        <v/>
      </c>
      <c r="B55">
        <f>IF(A55="","",MATCH(A55,Акты!$B$5:$B$16,0))</f>
        <v/>
      </c>
      <c r="C55" s="20">
        <f>IF(A55="","",Оплаты!$A$47+1)</f>
        <v/>
      </c>
      <c r="D55" s="20">
        <f>IF(A55="","",MIN(Ввод!$B$4,Ввод!$B$4+1-SUMPRODUCT(MAX((Оплаты!$D$6:$D$505=A55)*(Оплаты!$A$6:$A$505&gt;Оплаты!$A$47)*(Ввод!$B$4+1-Оплаты!$A$6:$A$505)))))</f>
        <v/>
      </c>
      <c r="E55" s="14">
        <f>IF(A55="","",INDEX(Акты!$D$5:$D$16,B55)-SUMIFS(Оплаты!$B$6:$B$505,Оплаты!$D$6:$D$505,A55,Оплаты!$A$6:$A$505,"&lt;="&amp;Оплаты!$A$47))</f>
        <v/>
      </c>
      <c r="F55" s="14">
        <f>IF(G55="","",SUMPRODUCT(ROUND(E55*'По дням'!$L$6:$L$155/100*((((D55+'По дням'!$K$6:$K$155-ABS(D55-'По дням'!$K$6:$K$155))-(C55+'По дням'!$J$6:$J$155+ABS(C55-'По дням'!$J$6:$J$155)))/2+1)&gt;0)*(((D55+'По дням'!$K$6:$K$155-ABS(D55-'По дням'!$K$6:$K$155))-(C55+'По дням'!$J$6:$J$155+ABS(C55-'По дням'!$J$6:$J$155)))/2+1)/'По дням'!$M$6:$M$155,2)*(1-'По дням'!$N$6:$N$155)))</f>
        <v/>
      </c>
      <c r="G55">
        <f>IF(A55="","",IF(C55&gt;D55,"",B55*1000000+C55))</f>
        <v/>
      </c>
      <c r="H55" s="14">
        <f>IF(G55="","",SUMIFS(Оплаты!$B$6:$B$505,Оплаты!$D$6:$D$505,A55,Оплаты!$A$6:$A$505,D55))</f>
        <v/>
      </c>
      <c r="I55">
        <f>IF(G55="","",SUMPRODUCT((((((D55+'По дням'!$K$6:$K$155-ABS(D55-'По дням'!$K$6:$K$155))-(C55+'По дням'!$J$6:$J$155+ABS(C55-'По дням'!$J$6:$J$155)))/2+1)&gt;0)*(((D55+'По дням'!$K$6:$K$155-ABS(D55-'По дням'!$K$6:$K$155))-(C55+'По дням'!$J$6:$J$155+ABS(C55-'По дням'!$J$6:$J$155)))/2+1)&gt;0)*1))</f>
        <v/>
      </c>
    </row>
    <row r="56">
      <c r="A56">
        <f>IF(AND(Оплаты!$E$48="ок",COUNTIFS(Акты!$B$5:$B$16,Оплаты!$D$48,Акты!$H$5:$H$16,"ок")&gt;0,COUNTIFS(Оплаты!$D$6:$D$47,Оплаты!$D$48,Оплаты!$A$6:$A$47,Оплаты!$A$48)=0),Оплаты!$D$48,"")</f>
        <v/>
      </c>
      <c r="B56">
        <f>IF(A56="","",MATCH(A56,Акты!$B$5:$B$16,0))</f>
        <v/>
      </c>
      <c r="C56" s="20">
        <f>IF(A56="","",Оплаты!$A$48+1)</f>
        <v/>
      </c>
      <c r="D56" s="20">
        <f>IF(A56="","",MIN(Ввод!$B$4,Ввод!$B$4+1-SUMPRODUCT(MAX((Оплаты!$D$6:$D$505=A56)*(Оплаты!$A$6:$A$505&gt;Оплаты!$A$48)*(Ввод!$B$4+1-Оплаты!$A$6:$A$505)))))</f>
        <v/>
      </c>
      <c r="E56" s="14">
        <f>IF(A56="","",INDEX(Акты!$D$5:$D$16,B56)-SUMIFS(Оплаты!$B$6:$B$505,Оплаты!$D$6:$D$505,A56,Оплаты!$A$6:$A$505,"&lt;="&amp;Оплаты!$A$48))</f>
        <v/>
      </c>
      <c r="F56" s="14">
        <f>IF(G56="","",SUMPRODUCT(ROUND(E56*'По дням'!$L$6:$L$155/100*((((D56+'По дням'!$K$6:$K$155-ABS(D56-'По дням'!$K$6:$K$155))-(C56+'По дням'!$J$6:$J$155+ABS(C56-'По дням'!$J$6:$J$155)))/2+1)&gt;0)*(((D56+'По дням'!$K$6:$K$155-ABS(D56-'По дням'!$K$6:$K$155))-(C56+'По дням'!$J$6:$J$155+ABS(C56-'По дням'!$J$6:$J$155)))/2+1)/'По дням'!$M$6:$M$155,2)*(1-'По дням'!$N$6:$N$155)))</f>
        <v/>
      </c>
      <c r="G56">
        <f>IF(A56="","",IF(C56&gt;D56,"",B56*1000000+C56))</f>
        <v/>
      </c>
      <c r="H56" s="14">
        <f>IF(G56="","",SUMIFS(Оплаты!$B$6:$B$505,Оплаты!$D$6:$D$505,A56,Оплаты!$A$6:$A$505,D56))</f>
        <v/>
      </c>
      <c r="I56">
        <f>IF(G56="","",SUMPRODUCT((((((D56+'По дням'!$K$6:$K$155-ABS(D56-'По дням'!$K$6:$K$155))-(C56+'По дням'!$J$6:$J$155+ABS(C56-'По дням'!$J$6:$J$155)))/2+1)&gt;0)*(((D56+'По дням'!$K$6:$K$155-ABS(D56-'По дням'!$K$6:$K$155))-(C56+'По дням'!$J$6:$J$155+ABS(C56-'По дням'!$J$6:$J$155)))/2+1)&gt;0)*1))</f>
        <v/>
      </c>
    </row>
    <row r="57">
      <c r="A57">
        <f>IF(AND(Оплаты!$E$49="ок",COUNTIFS(Акты!$B$5:$B$16,Оплаты!$D$49,Акты!$H$5:$H$16,"ок")&gt;0,COUNTIFS(Оплаты!$D$6:$D$48,Оплаты!$D$49,Оплаты!$A$6:$A$48,Оплаты!$A$49)=0),Оплаты!$D$49,"")</f>
        <v/>
      </c>
      <c r="B57">
        <f>IF(A57="","",MATCH(A57,Акты!$B$5:$B$16,0))</f>
        <v/>
      </c>
      <c r="C57" s="20">
        <f>IF(A57="","",Оплаты!$A$49+1)</f>
        <v/>
      </c>
      <c r="D57" s="20">
        <f>IF(A57="","",MIN(Ввод!$B$4,Ввод!$B$4+1-SUMPRODUCT(MAX((Оплаты!$D$6:$D$505=A57)*(Оплаты!$A$6:$A$505&gt;Оплаты!$A$49)*(Ввод!$B$4+1-Оплаты!$A$6:$A$505)))))</f>
        <v/>
      </c>
      <c r="E57" s="14">
        <f>IF(A57="","",INDEX(Акты!$D$5:$D$16,B57)-SUMIFS(Оплаты!$B$6:$B$505,Оплаты!$D$6:$D$505,A57,Оплаты!$A$6:$A$505,"&lt;="&amp;Оплаты!$A$49))</f>
        <v/>
      </c>
      <c r="F57" s="14">
        <f>IF(G57="","",SUMPRODUCT(ROUND(E57*'По дням'!$L$6:$L$155/100*((((D57+'По дням'!$K$6:$K$155-ABS(D57-'По дням'!$K$6:$K$155))-(C57+'По дням'!$J$6:$J$155+ABS(C57-'По дням'!$J$6:$J$155)))/2+1)&gt;0)*(((D57+'По дням'!$K$6:$K$155-ABS(D57-'По дням'!$K$6:$K$155))-(C57+'По дням'!$J$6:$J$155+ABS(C57-'По дням'!$J$6:$J$155)))/2+1)/'По дням'!$M$6:$M$155,2)*(1-'По дням'!$N$6:$N$155)))</f>
        <v/>
      </c>
      <c r="G57">
        <f>IF(A57="","",IF(C57&gt;D57,"",B57*1000000+C57))</f>
        <v/>
      </c>
      <c r="H57" s="14">
        <f>IF(G57="","",SUMIFS(Оплаты!$B$6:$B$505,Оплаты!$D$6:$D$505,A57,Оплаты!$A$6:$A$505,D57))</f>
        <v/>
      </c>
      <c r="I57">
        <f>IF(G57="","",SUMPRODUCT((((((D57+'По дням'!$K$6:$K$155-ABS(D57-'По дням'!$K$6:$K$155))-(C57+'По дням'!$J$6:$J$155+ABS(C57-'По дням'!$J$6:$J$155)))/2+1)&gt;0)*(((D57+'По дням'!$K$6:$K$155-ABS(D57-'По дням'!$K$6:$K$155))-(C57+'По дням'!$J$6:$J$155+ABS(C57-'По дням'!$J$6:$J$155)))/2+1)&gt;0)*1))</f>
        <v/>
      </c>
    </row>
    <row r="58">
      <c r="A58">
        <f>IF(AND(Оплаты!$E$50="ок",COUNTIFS(Акты!$B$5:$B$16,Оплаты!$D$50,Акты!$H$5:$H$16,"ок")&gt;0,COUNTIFS(Оплаты!$D$6:$D$49,Оплаты!$D$50,Оплаты!$A$6:$A$49,Оплаты!$A$50)=0),Оплаты!$D$50,"")</f>
        <v/>
      </c>
      <c r="B58">
        <f>IF(A58="","",MATCH(A58,Акты!$B$5:$B$16,0))</f>
        <v/>
      </c>
      <c r="C58" s="20">
        <f>IF(A58="","",Оплаты!$A$50+1)</f>
        <v/>
      </c>
      <c r="D58" s="20">
        <f>IF(A58="","",MIN(Ввод!$B$4,Ввод!$B$4+1-SUMPRODUCT(MAX((Оплаты!$D$6:$D$505=A58)*(Оплаты!$A$6:$A$505&gt;Оплаты!$A$50)*(Ввод!$B$4+1-Оплаты!$A$6:$A$505)))))</f>
        <v/>
      </c>
      <c r="E58" s="14">
        <f>IF(A58="","",INDEX(Акты!$D$5:$D$16,B58)-SUMIFS(Оплаты!$B$6:$B$505,Оплаты!$D$6:$D$505,A58,Оплаты!$A$6:$A$505,"&lt;="&amp;Оплаты!$A$50))</f>
        <v/>
      </c>
      <c r="F58" s="14">
        <f>IF(G58="","",SUMPRODUCT(ROUND(E58*'По дням'!$L$6:$L$155/100*((((D58+'По дням'!$K$6:$K$155-ABS(D58-'По дням'!$K$6:$K$155))-(C58+'По дням'!$J$6:$J$155+ABS(C58-'По дням'!$J$6:$J$155)))/2+1)&gt;0)*(((D58+'По дням'!$K$6:$K$155-ABS(D58-'По дням'!$K$6:$K$155))-(C58+'По дням'!$J$6:$J$155+ABS(C58-'По дням'!$J$6:$J$155)))/2+1)/'По дням'!$M$6:$M$155,2)*(1-'По дням'!$N$6:$N$155)))</f>
        <v/>
      </c>
      <c r="G58">
        <f>IF(A58="","",IF(C58&gt;D58,"",B58*1000000+C58))</f>
        <v/>
      </c>
      <c r="H58" s="14">
        <f>IF(G58="","",SUMIFS(Оплаты!$B$6:$B$505,Оплаты!$D$6:$D$505,A58,Оплаты!$A$6:$A$505,D58))</f>
        <v/>
      </c>
      <c r="I58">
        <f>IF(G58="","",SUMPRODUCT((((((D58+'По дням'!$K$6:$K$155-ABS(D58-'По дням'!$K$6:$K$155))-(C58+'По дням'!$J$6:$J$155+ABS(C58-'По дням'!$J$6:$J$155)))/2+1)&gt;0)*(((D58+'По дням'!$K$6:$K$155-ABS(D58-'По дням'!$K$6:$K$155))-(C58+'По дням'!$J$6:$J$155+ABS(C58-'По дням'!$J$6:$J$155)))/2+1)&gt;0)*1))</f>
        <v/>
      </c>
    </row>
    <row r="59">
      <c r="A59">
        <f>IF(AND(Оплаты!$E$51="ок",COUNTIFS(Акты!$B$5:$B$16,Оплаты!$D$51,Акты!$H$5:$H$16,"ок")&gt;0,COUNTIFS(Оплаты!$D$6:$D$50,Оплаты!$D$51,Оплаты!$A$6:$A$50,Оплаты!$A$51)=0),Оплаты!$D$51,"")</f>
        <v/>
      </c>
      <c r="B59">
        <f>IF(A59="","",MATCH(A59,Акты!$B$5:$B$16,0))</f>
        <v/>
      </c>
      <c r="C59" s="20">
        <f>IF(A59="","",Оплаты!$A$51+1)</f>
        <v/>
      </c>
      <c r="D59" s="20">
        <f>IF(A59="","",MIN(Ввод!$B$4,Ввод!$B$4+1-SUMPRODUCT(MAX((Оплаты!$D$6:$D$505=A59)*(Оплаты!$A$6:$A$505&gt;Оплаты!$A$51)*(Ввод!$B$4+1-Оплаты!$A$6:$A$505)))))</f>
        <v/>
      </c>
      <c r="E59" s="14">
        <f>IF(A59="","",INDEX(Акты!$D$5:$D$16,B59)-SUMIFS(Оплаты!$B$6:$B$505,Оплаты!$D$6:$D$505,A59,Оплаты!$A$6:$A$505,"&lt;="&amp;Оплаты!$A$51))</f>
        <v/>
      </c>
      <c r="F59" s="14">
        <f>IF(G59="","",SUMPRODUCT(ROUND(E59*'По дням'!$L$6:$L$155/100*((((D59+'По дням'!$K$6:$K$155-ABS(D59-'По дням'!$K$6:$K$155))-(C59+'По дням'!$J$6:$J$155+ABS(C59-'По дням'!$J$6:$J$155)))/2+1)&gt;0)*(((D59+'По дням'!$K$6:$K$155-ABS(D59-'По дням'!$K$6:$K$155))-(C59+'По дням'!$J$6:$J$155+ABS(C59-'По дням'!$J$6:$J$155)))/2+1)/'По дням'!$M$6:$M$155,2)*(1-'По дням'!$N$6:$N$155)))</f>
        <v/>
      </c>
      <c r="G59">
        <f>IF(A59="","",IF(C59&gt;D59,"",B59*1000000+C59))</f>
        <v/>
      </c>
      <c r="H59" s="14">
        <f>IF(G59="","",SUMIFS(Оплаты!$B$6:$B$505,Оплаты!$D$6:$D$505,A59,Оплаты!$A$6:$A$505,D59))</f>
        <v/>
      </c>
      <c r="I59">
        <f>IF(G59="","",SUMPRODUCT((((((D59+'По дням'!$K$6:$K$155-ABS(D59-'По дням'!$K$6:$K$155))-(C59+'По дням'!$J$6:$J$155+ABS(C59-'По дням'!$J$6:$J$155)))/2+1)&gt;0)*(((D59+'По дням'!$K$6:$K$155-ABS(D59-'По дням'!$K$6:$K$155))-(C59+'По дням'!$J$6:$J$155+ABS(C59-'По дням'!$J$6:$J$155)))/2+1)&gt;0)*1))</f>
        <v/>
      </c>
    </row>
    <row r="60">
      <c r="A60">
        <f>IF(AND(Оплаты!$E$52="ок",COUNTIFS(Акты!$B$5:$B$16,Оплаты!$D$52,Акты!$H$5:$H$16,"ок")&gt;0,COUNTIFS(Оплаты!$D$6:$D$51,Оплаты!$D$52,Оплаты!$A$6:$A$51,Оплаты!$A$52)=0),Оплаты!$D$52,"")</f>
        <v/>
      </c>
      <c r="B60">
        <f>IF(A60="","",MATCH(A60,Акты!$B$5:$B$16,0))</f>
        <v/>
      </c>
      <c r="C60" s="20">
        <f>IF(A60="","",Оплаты!$A$52+1)</f>
        <v/>
      </c>
      <c r="D60" s="20">
        <f>IF(A60="","",MIN(Ввод!$B$4,Ввод!$B$4+1-SUMPRODUCT(MAX((Оплаты!$D$6:$D$505=A60)*(Оплаты!$A$6:$A$505&gt;Оплаты!$A$52)*(Ввод!$B$4+1-Оплаты!$A$6:$A$505)))))</f>
        <v/>
      </c>
      <c r="E60" s="14">
        <f>IF(A60="","",INDEX(Акты!$D$5:$D$16,B60)-SUMIFS(Оплаты!$B$6:$B$505,Оплаты!$D$6:$D$505,A60,Оплаты!$A$6:$A$505,"&lt;="&amp;Оплаты!$A$52))</f>
        <v/>
      </c>
      <c r="F60" s="14">
        <f>IF(G60="","",SUMPRODUCT(ROUND(E60*'По дням'!$L$6:$L$155/100*((((D60+'По дням'!$K$6:$K$155-ABS(D60-'По дням'!$K$6:$K$155))-(C60+'По дням'!$J$6:$J$155+ABS(C60-'По дням'!$J$6:$J$155)))/2+1)&gt;0)*(((D60+'По дням'!$K$6:$K$155-ABS(D60-'По дням'!$K$6:$K$155))-(C60+'По дням'!$J$6:$J$155+ABS(C60-'По дням'!$J$6:$J$155)))/2+1)/'По дням'!$M$6:$M$155,2)*(1-'По дням'!$N$6:$N$155)))</f>
        <v/>
      </c>
      <c r="G60">
        <f>IF(A60="","",IF(C60&gt;D60,"",B60*1000000+C60))</f>
        <v/>
      </c>
      <c r="H60" s="14">
        <f>IF(G60="","",SUMIFS(Оплаты!$B$6:$B$505,Оплаты!$D$6:$D$505,A60,Оплаты!$A$6:$A$505,D60))</f>
        <v/>
      </c>
      <c r="I60">
        <f>IF(G60="","",SUMPRODUCT((((((D60+'По дням'!$K$6:$K$155-ABS(D60-'По дням'!$K$6:$K$155))-(C60+'По дням'!$J$6:$J$155+ABS(C60-'По дням'!$J$6:$J$155)))/2+1)&gt;0)*(((D60+'По дням'!$K$6:$K$155-ABS(D60-'По дням'!$K$6:$K$155))-(C60+'По дням'!$J$6:$J$155+ABS(C60-'По дням'!$J$6:$J$155)))/2+1)&gt;0)*1))</f>
        <v/>
      </c>
    </row>
    <row r="61">
      <c r="A61">
        <f>IF(AND(Оплаты!$E$53="ок",COUNTIFS(Акты!$B$5:$B$16,Оплаты!$D$53,Акты!$H$5:$H$16,"ок")&gt;0,COUNTIFS(Оплаты!$D$6:$D$52,Оплаты!$D$53,Оплаты!$A$6:$A$52,Оплаты!$A$53)=0),Оплаты!$D$53,"")</f>
        <v/>
      </c>
      <c r="B61">
        <f>IF(A61="","",MATCH(A61,Акты!$B$5:$B$16,0))</f>
        <v/>
      </c>
      <c r="C61" s="20">
        <f>IF(A61="","",Оплаты!$A$53+1)</f>
        <v/>
      </c>
      <c r="D61" s="20">
        <f>IF(A61="","",MIN(Ввод!$B$4,Ввод!$B$4+1-SUMPRODUCT(MAX((Оплаты!$D$6:$D$505=A61)*(Оплаты!$A$6:$A$505&gt;Оплаты!$A$53)*(Ввод!$B$4+1-Оплаты!$A$6:$A$505)))))</f>
        <v/>
      </c>
      <c r="E61" s="14">
        <f>IF(A61="","",INDEX(Акты!$D$5:$D$16,B61)-SUMIFS(Оплаты!$B$6:$B$505,Оплаты!$D$6:$D$505,A61,Оплаты!$A$6:$A$505,"&lt;="&amp;Оплаты!$A$53))</f>
        <v/>
      </c>
      <c r="F61" s="14">
        <f>IF(G61="","",SUMPRODUCT(ROUND(E61*'По дням'!$L$6:$L$155/100*((((D61+'По дням'!$K$6:$K$155-ABS(D61-'По дням'!$K$6:$K$155))-(C61+'По дням'!$J$6:$J$155+ABS(C61-'По дням'!$J$6:$J$155)))/2+1)&gt;0)*(((D61+'По дням'!$K$6:$K$155-ABS(D61-'По дням'!$K$6:$K$155))-(C61+'По дням'!$J$6:$J$155+ABS(C61-'По дням'!$J$6:$J$155)))/2+1)/'По дням'!$M$6:$M$155,2)*(1-'По дням'!$N$6:$N$155)))</f>
        <v/>
      </c>
      <c r="G61">
        <f>IF(A61="","",IF(C61&gt;D61,"",B61*1000000+C61))</f>
        <v/>
      </c>
      <c r="H61" s="14">
        <f>IF(G61="","",SUMIFS(Оплаты!$B$6:$B$505,Оплаты!$D$6:$D$505,A61,Оплаты!$A$6:$A$505,D61))</f>
        <v/>
      </c>
      <c r="I61">
        <f>IF(G61="","",SUMPRODUCT((((((D61+'По дням'!$K$6:$K$155-ABS(D61-'По дням'!$K$6:$K$155))-(C61+'По дням'!$J$6:$J$155+ABS(C61-'По дням'!$J$6:$J$155)))/2+1)&gt;0)*(((D61+'По дням'!$K$6:$K$155-ABS(D61-'По дням'!$K$6:$K$155))-(C61+'По дням'!$J$6:$J$155+ABS(C61-'По дням'!$J$6:$J$155)))/2+1)&gt;0)*1))</f>
        <v/>
      </c>
    </row>
    <row r="62">
      <c r="A62">
        <f>IF(AND(Оплаты!$E$54="ок",COUNTIFS(Акты!$B$5:$B$16,Оплаты!$D$54,Акты!$H$5:$H$16,"ок")&gt;0,COUNTIFS(Оплаты!$D$6:$D$53,Оплаты!$D$54,Оплаты!$A$6:$A$53,Оплаты!$A$54)=0),Оплаты!$D$54,"")</f>
        <v/>
      </c>
      <c r="B62">
        <f>IF(A62="","",MATCH(A62,Акты!$B$5:$B$16,0))</f>
        <v/>
      </c>
      <c r="C62" s="20">
        <f>IF(A62="","",Оплаты!$A$54+1)</f>
        <v/>
      </c>
      <c r="D62" s="20">
        <f>IF(A62="","",MIN(Ввод!$B$4,Ввод!$B$4+1-SUMPRODUCT(MAX((Оплаты!$D$6:$D$505=A62)*(Оплаты!$A$6:$A$505&gt;Оплаты!$A$54)*(Ввод!$B$4+1-Оплаты!$A$6:$A$505)))))</f>
        <v/>
      </c>
      <c r="E62" s="14">
        <f>IF(A62="","",INDEX(Акты!$D$5:$D$16,B62)-SUMIFS(Оплаты!$B$6:$B$505,Оплаты!$D$6:$D$505,A62,Оплаты!$A$6:$A$505,"&lt;="&amp;Оплаты!$A$54))</f>
        <v/>
      </c>
      <c r="F62" s="14">
        <f>IF(G62="","",SUMPRODUCT(ROUND(E62*'По дням'!$L$6:$L$155/100*((((D62+'По дням'!$K$6:$K$155-ABS(D62-'По дням'!$K$6:$K$155))-(C62+'По дням'!$J$6:$J$155+ABS(C62-'По дням'!$J$6:$J$155)))/2+1)&gt;0)*(((D62+'По дням'!$K$6:$K$155-ABS(D62-'По дням'!$K$6:$K$155))-(C62+'По дням'!$J$6:$J$155+ABS(C62-'По дням'!$J$6:$J$155)))/2+1)/'По дням'!$M$6:$M$155,2)*(1-'По дням'!$N$6:$N$155)))</f>
        <v/>
      </c>
      <c r="G62">
        <f>IF(A62="","",IF(C62&gt;D62,"",B62*1000000+C62))</f>
        <v/>
      </c>
      <c r="H62" s="14">
        <f>IF(G62="","",SUMIFS(Оплаты!$B$6:$B$505,Оплаты!$D$6:$D$505,A62,Оплаты!$A$6:$A$505,D62))</f>
        <v/>
      </c>
      <c r="I62">
        <f>IF(G62="","",SUMPRODUCT((((((D62+'По дням'!$K$6:$K$155-ABS(D62-'По дням'!$K$6:$K$155))-(C62+'По дням'!$J$6:$J$155+ABS(C62-'По дням'!$J$6:$J$155)))/2+1)&gt;0)*(((D62+'По дням'!$K$6:$K$155-ABS(D62-'По дням'!$K$6:$K$155))-(C62+'По дням'!$J$6:$J$155+ABS(C62-'По дням'!$J$6:$J$155)))/2+1)&gt;0)*1))</f>
        <v/>
      </c>
    </row>
    <row r="63">
      <c r="A63">
        <f>IF(AND(Оплаты!$E$55="ок",COUNTIFS(Акты!$B$5:$B$16,Оплаты!$D$55,Акты!$H$5:$H$16,"ок")&gt;0,COUNTIFS(Оплаты!$D$6:$D$54,Оплаты!$D$55,Оплаты!$A$6:$A$54,Оплаты!$A$55)=0),Оплаты!$D$55,"")</f>
        <v/>
      </c>
      <c r="B63">
        <f>IF(A63="","",MATCH(A63,Акты!$B$5:$B$16,0))</f>
        <v/>
      </c>
      <c r="C63" s="20">
        <f>IF(A63="","",Оплаты!$A$55+1)</f>
        <v/>
      </c>
      <c r="D63" s="20">
        <f>IF(A63="","",MIN(Ввод!$B$4,Ввод!$B$4+1-SUMPRODUCT(MAX((Оплаты!$D$6:$D$505=A63)*(Оплаты!$A$6:$A$505&gt;Оплаты!$A$55)*(Ввод!$B$4+1-Оплаты!$A$6:$A$505)))))</f>
        <v/>
      </c>
      <c r="E63" s="14">
        <f>IF(A63="","",INDEX(Акты!$D$5:$D$16,B63)-SUMIFS(Оплаты!$B$6:$B$505,Оплаты!$D$6:$D$505,A63,Оплаты!$A$6:$A$505,"&lt;="&amp;Оплаты!$A$55))</f>
        <v/>
      </c>
      <c r="F63" s="14">
        <f>IF(G63="","",SUMPRODUCT(ROUND(E63*'По дням'!$L$6:$L$155/100*((((D63+'По дням'!$K$6:$K$155-ABS(D63-'По дням'!$K$6:$K$155))-(C63+'По дням'!$J$6:$J$155+ABS(C63-'По дням'!$J$6:$J$155)))/2+1)&gt;0)*(((D63+'По дням'!$K$6:$K$155-ABS(D63-'По дням'!$K$6:$K$155))-(C63+'По дням'!$J$6:$J$155+ABS(C63-'По дням'!$J$6:$J$155)))/2+1)/'По дням'!$M$6:$M$155,2)*(1-'По дням'!$N$6:$N$155)))</f>
        <v/>
      </c>
      <c r="G63">
        <f>IF(A63="","",IF(C63&gt;D63,"",B63*1000000+C63))</f>
        <v/>
      </c>
      <c r="H63" s="14">
        <f>IF(G63="","",SUMIFS(Оплаты!$B$6:$B$505,Оплаты!$D$6:$D$505,A63,Оплаты!$A$6:$A$505,D63))</f>
        <v/>
      </c>
      <c r="I63">
        <f>IF(G63="","",SUMPRODUCT((((((D63+'По дням'!$K$6:$K$155-ABS(D63-'По дням'!$K$6:$K$155))-(C63+'По дням'!$J$6:$J$155+ABS(C63-'По дням'!$J$6:$J$155)))/2+1)&gt;0)*(((D63+'По дням'!$K$6:$K$155-ABS(D63-'По дням'!$K$6:$K$155))-(C63+'По дням'!$J$6:$J$155+ABS(C63-'По дням'!$J$6:$J$155)))/2+1)&gt;0)*1))</f>
        <v/>
      </c>
    </row>
    <row r="64">
      <c r="A64">
        <f>IF(AND(Оплаты!$E$56="ок",COUNTIFS(Акты!$B$5:$B$16,Оплаты!$D$56,Акты!$H$5:$H$16,"ок")&gt;0,COUNTIFS(Оплаты!$D$6:$D$55,Оплаты!$D$56,Оплаты!$A$6:$A$55,Оплаты!$A$56)=0),Оплаты!$D$56,"")</f>
        <v/>
      </c>
      <c r="B64">
        <f>IF(A64="","",MATCH(A64,Акты!$B$5:$B$16,0))</f>
        <v/>
      </c>
      <c r="C64" s="20">
        <f>IF(A64="","",Оплаты!$A$56+1)</f>
        <v/>
      </c>
      <c r="D64" s="20">
        <f>IF(A64="","",MIN(Ввод!$B$4,Ввод!$B$4+1-SUMPRODUCT(MAX((Оплаты!$D$6:$D$505=A64)*(Оплаты!$A$6:$A$505&gt;Оплаты!$A$56)*(Ввод!$B$4+1-Оплаты!$A$6:$A$505)))))</f>
        <v/>
      </c>
      <c r="E64" s="14">
        <f>IF(A64="","",INDEX(Акты!$D$5:$D$16,B64)-SUMIFS(Оплаты!$B$6:$B$505,Оплаты!$D$6:$D$505,A64,Оплаты!$A$6:$A$505,"&lt;="&amp;Оплаты!$A$56))</f>
        <v/>
      </c>
      <c r="F64" s="14">
        <f>IF(G64="","",SUMPRODUCT(ROUND(E64*'По дням'!$L$6:$L$155/100*((((D64+'По дням'!$K$6:$K$155-ABS(D64-'По дням'!$K$6:$K$155))-(C64+'По дням'!$J$6:$J$155+ABS(C64-'По дням'!$J$6:$J$155)))/2+1)&gt;0)*(((D64+'По дням'!$K$6:$K$155-ABS(D64-'По дням'!$K$6:$K$155))-(C64+'По дням'!$J$6:$J$155+ABS(C64-'По дням'!$J$6:$J$155)))/2+1)/'По дням'!$M$6:$M$155,2)*(1-'По дням'!$N$6:$N$155)))</f>
        <v/>
      </c>
      <c r="G64">
        <f>IF(A64="","",IF(C64&gt;D64,"",B64*1000000+C64))</f>
        <v/>
      </c>
      <c r="H64" s="14">
        <f>IF(G64="","",SUMIFS(Оплаты!$B$6:$B$505,Оплаты!$D$6:$D$505,A64,Оплаты!$A$6:$A$505,D64))</f>
        <v/>
      </c>
      <c r="I64">
        <f>IF(G64="","",SUMPRODUCT((((((D64+'По дням'!$K$6:$K$155-ABS(D64-'По дням'!$K$6:$K$155))-(C64+'По дням'!$J$6:$J$155+ABS(C64-'По дням'!$J$6:$J$155)))/2+1)&gt;0)*(((D64+'По дням'!$K$6:$K$155-ABS(D64-'По дням'!$K$6:$K$155))-(C64+'По дням'!$J$6:$J$155+ABS(C64-'По дням'!$J$6:$J$155)))/2+1)&gt;0)*1))</f>
        <v/>
      </c>
    </row>
    <row r="65">
      <c r="A65">
        <f>IF(AND(Оплаты!$E$57="ок",COUNTIFS(Акты!$B$5:$B$16,Оплаты!$D$57,Акты!$H$5:$H$16,"ок")&gt;0,COUNTIFS(Оплаты!$D$6:$D$56,Оплаты!$D$57,Оплаты!$A$6:$A$56,Оплаты!$A$57)=0),Оплаты!$D$57,"")</f>
        <v/>
      </c>
      <c r="B65">
        <f>IF(A65="","",MATCH(A65,Акты!$B$5:$B$16,0))</f>
        <v/>
      </c>
      <c r="C65" s="20">
        <f>IF(A65="","",Оплаты!$A$57+1)</f>
        <v/>
      </c>
      <c r="D65" s="20">
        <f>IF(A65="","",MIN(Ввод!$B$4,Ввод!$B$4+1-SUMPRODUCT(MAX((Оплаты!$D$6:$D$505=A65)*(Оплаты!$A$6:$A$505&gt;Оплаты!$A$57)*(Ввод!$B$4+1-Оплаты!$A$6:$A$505)))))</f>
        <v/>
      </c>
      <c r="E65" s="14">
        <f>IF(A65="","",INDEX(Акты!$D$5:$D$16,B65)-SUMIFS(Оплаты!$B$6:$B$505,Оплаты!$D$6:$D$505,A65,Оплаты!$A$6:$A$505,"&lt;="&amp;Оплаты!$A$57))</f>
        <v/>
      </c>
      <c r="F65" s="14">
        <f>IF(G65="","",SUMPRODUCT(ROUND(E65*'По дням'!$L$6:$L$155/100*((((D65+'По дням'!$K$6:$K$155-ABS(D65-'По дням'!$K$6:$K$155))-(C65+'По дням'!$J$6:$J$155+ABS(C65-'По дням'!$J$6:$J$155)))/2+1)&gt;0)*(((D65+'По дням'!$K$6:$K$155-ABS(D65-'По дням'!$K$6:$K$155))-(C65+'По дням'!$J$6:$J$155+ABS(C65-'По дням'!$J$6:$J$155)))/2+1)/'По дням'!$M$6:$M$155,2)*(1-'По дням'!$N$6:$N$155)))</f>
        <v/>
      </c>
      <c r="G65">
        <f>IF(A65="","",IF(C65&gt;D65,"",B65*1000000+C65))</f>
        <v/>
      </c>
      <c r="H65" s="14">
        <f>IF(G65="","",SUMIFS(Оплаты!$B$6:$B$505,Оплаты!$D$6:$D$505,A65,Оплаты!$A$6:$A$505,D65))</f>
        <v/>
      </c>
      <c r="I65">
        <f>IF(G65="","",SUMPRODUCT((((((D65+'По дням'!$K$6:$K$155-ABS(D65-'По дням'!$K$6:$K$155))-(C65+'По дням'!$J$6:$J$155+ABS(C65-'По дням'!$J$6:$J$155)))/2+1)&gt;0)*(((D65+'По дням'!$K$6:$K$155-ABS(D65-'По дням'!$K$6:$K$155))-(C65+'По дням'!$J$6:$J$155+ABS(C65-'По дням'!$J$6:$J$155)))/2+1)&gt;0)*1))</f>
        <v/>
      </c>
    </row>
    <row r="66">
      <c r="A66">
        <f>IF(AND(Оплаты!$E$58="ок",COUNTIFS(Акты!$B$5:$B$16,Оплаты!$D$58,Акты!$H$5:$H$16,"ок")&gt;0,COUNTIFS(Оплаты!$D$6:$D$57,Оплаты!$D$58,Оплаты!$A$6:$A$57,Оплаты!$A$58)=0),Оплаты!$D$58,"")</f>
        <v/>
      </c>
      <c r="B66">
        <f>IF(A66="","",MATCH(A66,Акты!$B$5:$B$16,0))</f>
        <v/>
      </c>
      <c r="C66" s="20">
        <f>IF(A66="","",Оплаты!$A$58+1)</f>
        <v/>
      </c>
      <c r="D66" s="20">
        <f>IF(A66="","",MIN(Ввод!$B$4,Ввод!$B$4+1-SUMPRODUCT(MAX((Оплаты!$D$6:$D$505=A66)*(Оплаты!$A$6:$A$505&gt;Оплаты!$A$58)*(Ввод!$B$4+1-Оплаты!$A$6:$A$505)))))</f>
        <v/>
      </c>
      <c r="E66" s="14">
        <f>IF(A66="","",INDEX(Акты!$D$5:$D$16,B66)-SUMIFS(Оплаты!$B$6:$B$505,Оплаты!$D$6:$D$505,A66,Оплаты!$A$6:$A$505,"&lt;="&amp;Оплаты!$A$58))</f>
        <v/>
      </c>
      <c r="F66" s="14">
        <f>IF(G66="","",SUMPRODUCT(ROUND(E66*'По дням'!$L$6:$L$155/100*((((D66+'По дням'!$K$6:$K$155-ABS(D66-'По дням'!$K$6:$K$155))-(C66+'По дням'!$J$6:$J$155+ABS(C66-'По дням'!$J$6:$J$155)))/2+1)&gt;0)*(((D66+'По дням'!$K$6:$K$155-ABS(D66-'По дням'!$K$6:$K$155))-(C66+'По дням'!$J$6:$J$155+ABS(C66-'По дням'!$J$6:$J$155)))/2+1)/'По дням'!$M$6:$M$155,2)*(1-'По дням'!$N$6:$N$155)))</f>
        <v/>
      </c>
      <c r="G66">
        <f>IF(A66="","",IF(C66&gt;D66,"",B66*1000000+C66))</f>
        <v/>
      </c>
      <c r="H66" s="14">
        <f>IF(G66="","",SUMIFS(Оплаты!$B$6:$B$505,Оплаты!$D$6:$D$505,A66,Оплаты!$A$6:$A$505,D66))</f>
        <v/>
      </c>
      <c r="I66">
        <f>IF(G66="","",SUMPRODUCT((((((D66+'По дням'!$K$6:$K$155-ABS(D66-'По дням'!$K$6:$K$155))-(C66+'По дням'!$J$6:$J$155+ABS(C66-'По дням'!$J$6:$J$155)))/2+1)&gt;0)*(((D66+'По дням'!$K$6:$K$155-ABS(D66-'По дням'!$K$6:$K$155))-(C66+'По дням'!$J$6:$J$155+ABS(C66-'По дням'!$J$6:$J$155)))/2+1)&gt;0)*1))</f>
        <v/>
      </c>
    </row>
    <row r="67">
      <c r="A67">
        <f>IF(AND(Оплаты!$E$59="ок",COUNTIFS(Акты!$B$5:$B$16,Оплаты!$D$59,Акты!$H$5:$H$16,"ок")&gt;0,COUNTIFS(Оплаты!$D$6:$D$58,Оплаты!$D$59,Оплаты!$A$6:$A$58,Оплаты!$A$59)=0),Оплаты!$D$59,"")</f>
        <v/>
      </c>
      <c r="B67">
        <f>IF(A67="","",MATCH(A67,Акты!$B$5:$B$16,0))</f>
        <v/>
      </c>
      <c r="C67" s="20">
        <f>IF(A67="","",Оплаты!$A$59+1)</f>
        <v/>
      </c>
      <c r="D67" s="20">
        <f>IF(A67="","",MIN(Ввод!$B$4,Ввод!$B$4+1-SUMPRODUCT(MAX((Оплаты!$D$6:$D$505=A67)*(Оплаты!$A$6:$A$505&gt;Оплаты!$A$59)*(Ввод!$B$4+1-Оплаты!$A$6:$A$505)))))</f>
        <v/>
      </c>
      <c r="E67" s="14">
        <f>IF(A67="","",INDEX(Акты!$D$5:$D$16,B67)-SUMIFS(Оплаты!$B$6:$B$505,Оплаты!$D$6:$D$505,A67,Оплаты!$A$6:$A$505,"&lt;="&amp;Оплаты!$A$59))</f>
        <v/>
      </c>
      <c r="F67" s="14">
        <f>IF(G67="","",SUMPRODUCT(ROUND(E67*'По дням'!$L$6:$L$155/100*((((D67+'По дням'!$K$6:$K$155-ABS(D67-'По дням'!$K$6:$K$155))-(C67+'По дням'!$J$6:$J$155+ABS(C67-'По дням'!$J$6:$J$155)))/2+1)&gt;0)*(((D67+'По дням'!$K$6:$K$155-ABS(D67-'По дням'!$K$6:$K$155))-(C67+'По дням'!$J$6:$J$155+ABS(C67-'По дням'!$J$6:$J$155)))/2+1)/'По дням'!$M$6:$M$155,2)*(1-'По дням'!$N$6:$N$155)))</f>
        <v/>
      </c>
      <c r="G67">
        <f>IF(A67="","",IF(C67&gt;D67,"",B67*1000000+C67))</f>
        <v/>
      </c>
      <c r="H67" s="14">
        <f>IF(G67="","",SUMIFS(Оплаты!$B$6:$B$505,Оплаты!$D$6:$D$505,A67,Оплаты!$A$6:$A$505,D67))</f>
        <v/>
      </c>
      <c r="I67">
        <f>IF(G67="","",SUMPRODUCT((((((D67+'По дням'!$K$6:$K$155-ABS(D67-'По дням'!$K$6:$K$155))-(C67+'По дням'!$J$6:$J$155+ABS(C67-'По дням'!$J$6:$J$155)))/2+1)&gt;0)*(((D67+'По дням'!$K$6:$K$155-ABS(D67-'По дням'!$K$6:$K$155))-(C67+'По дням'!$J$6:$J$155+ABS(C67-'По дням'!$J$6:$J$155)))/2+1)&gt;0)*1))</f>
        <v/>
      </c>
    </row>
    <row r="68">
      <c r="A68">
        <f>IF(AND(Оплаты!$E$60="ок",COUNTIFS(Акты!$B$5:$B$16,Оплаты!$D$60,Акты!$H$5:$H$16,"ок")&gt;0,COUNTIFS(Оплаты!$D$6:$D$59,Оплаты!$D$60,Оплаты!$A$6:$A$59,Оплаты!$A$60)=0),Оплаты!$D$60,"")</f>
        <v/>
      </c>
      <c r="B68">
        <f>IF(A68="","",MATCH(A68,Акты!$B$5:$B$16,0))</f>
        <v/>
      </c>
      <c r="C68" s="20">
        <f>IF(A68="","",Оплаты!$A$60+1)</f>
        <v/>
      </c>
      <c r="D68" s="20">
        <f>IF(A68="","",MIN(Ввод!$B$4,Ввод!$B$4+1-SUMPRODUCT(MAX((Оплаты!$D$6:$D$505=A68)*(Оплаты!$A$6:$A$505&gt;Оплаты!$A$60)*(Ввод!$B$4+1-Оплаты!$A$6:$A$505)))))</f>
        <v/>
      </c>
      <c r="E68" s="14">
        <f>IF(A68="","",INDEX(Акты!$D$5:$D$16,B68)-SUMIFS(Оплаты!$B$6:$B$505,Оплаты!$D$6:$D$505,A68,Оплаты!$A$6:$A$505,"&lt;="&amp;Оплаты!$A$60))</f>
        <v/>
      </c>
      <c r="F68" s="14">
        <f>IF(G68="","",SUMPRODUCT(ROUND(E68*'По дням'!$L$6:$L$155/100*((((D68+'По дням'!$K$6:$K$155-ABS(D68-'По дням'!$K$6:$K$155))-(C68+'По дням'!$J$6:$J$155+ABS(C68-'По дням'!$J$6:$J$155)))/2+1)&gt;0)*(((D68+'По дням'!$K$6:$K$155-ABS(D68-'По дням'!$K$6:$K$155))-(C68+'По дням'!$J$6:$J$155+ABS(C68-'По дням'!$J$6:$J$155)))/2+1)/'По дням'!$M$6:$M$155,2)*(1-'По дням'!$N$6:$N$155)))</f>
        <v/>
      </c>
      <c r="G68">
        <f>IF(A68="","",IF(C68&gt;D68,"",B68*1000000+C68))</f>
        <v/>
      </c>
      <c r="H68" s="14">
        <f>IF(G68="","",SUMIFS(Оплаты!$B$6:$B$505,Оплаты!$D$6:$D$505,A68,Оплаты!$A$6:$A$505,D68))</f>
        <v/>
      </c>
      <c r="I68">
        <f>IF(G68="","",SUMPRODUCT((((((D68+'По дням'!$K$6:$K$155-ABS(D68-'По дням'!$K$6:$K$155))-(C68+'По дням'!$J$6:$J$155+ABS(C68-'По дням'!$J$6:$J$155)))/2+1)&gt;0)*(((D68+'По дням'!$K$6:$K$155-ABS(D68-'По дням'!$K$6:$K$155))-(C68+'По дням'!$J$6:$J$155+ABS(C68-'По дням'!$J$6:$J$155)))/2+1)&gt;0)*1))</f>
        <v/>
      </c>
    </row>
    <row r="69">
      <c r="A69">
        <f>IF(AND(Оплаты!$E$61="ок",COUNTIFS(Акты!$B$5:$B$16,Оплаты!$D$61,Акты!$H$5:$H$16,"ок")&gt;0,COUNTIFS(Оплаты!$D$6:$D$60,Оплаты!$D$61,Оплаты!$A$6:$A$60,Оплаты!$A$61)=0),Оплаты!$D$61,"")</f>
        <v/>
      </c>
      <c r="B69">
        <f>IF(A69="","",MATCH(A69,Акты!$B$5:$B$16,0))</f>
        <v/>
      </c>
      <c r="C69" s="20">
        <f>IF(A69="","",Оплаты!$A$61+1)</f>
        <v/>
      </c>
      <c r="D69" s="20">
        <f>IF(A69="","",MIN(Ввод!$B$4,Ввод!$B$4+1-SUMPRODUCT(MAX((Оплаты!$D$6:$D$505=A69)*(Оплаты!$A$6:$A$505&gt;Оплаты!$A$61)*(Ввод!$B$4+1-Оплаты!$A$6:$A$505)))))</f>
        <v/>
      </c>
      <c r="E69" s="14">
        <f>IF(A69="","",INDEX(Акты!$D$5:$D$16,B69)-SUMIFS(Оплаты!$B$6:$B$505,Оплаты!$D$6:$D$505,A69,Оплаты!$A$6:$A$505,"&lt;="&amp;Оплаты!$A$61))</f>
        <v/>
      </c>
      <c r="F69" s="14">
        <f>IF(G69="","",SUMPRODUCT(ROUND(E69*'По дням'!$L$6:$L$155/100*((((D69+'По дням'!$K$6:$K$155-ABS(D69-'По дням'!$K$6:$K$155))-(C69+'По дням'!$J$6:$J$155+ABS(C69-'По дням'!$J$6:$J$155)))/2+1)&gt;0)*(((D69+'По дням'!$K$6:$K$155-ABS(D69-'По дням'!$K$6:$K$155))-(C69+'По дням'!$J$6:$J$155+ABS(C69-'По дням'!$J$6:$J$155)))/2+1)/'По дням'!$M$6:$M$155,2)*(1-'По дням'!$N$6:$N$155)))</f>
        <v/>
      </c>
      <c r="G69">
        <f>IF(A69="","",IF(C69&gt;D69,"",B69*1000000+C69))</f>
        <v/>
      </c>
      <c r="H69" s="14">
        <f>IF(G69="","",SUMIFS(Оплаты!$B$6:$B$505,Оплаты!$D$6:$D$505,A69,Оплаты!$A$6:$A$505,D69))</f>
        <v/>
      </c>
      <c r="I69">
        <f>IF(G69="","",SUMPRODUCT((((((D69+'По дням'!$K$6:$K$155-ABS(D69-'По дням'!$K$6:$K$155))-(C69+'По дням'!$J$6:$J$155+ABS(C69-'По дням'!$J$6:$J$155)))/2+1)&gt;0)*(((D69+'По дням'!$K$6:$K$155-ABS(D69-'По дням'!$K$6:$K$155))-(C69+'По дням'!$J$6:$J$155+ABS(C69-'По дням'!$J$6:$J$155)))/2+1)&gt;0)*1))</f>
        <v/>
      </c>
    </row>
    <row r="70">
      <c r="A70">
        <f>IF(AND(Оплаты!$E$62="ок",COUNTIFS(Акты!$B$5:$B$16,Оплаты!$D$62,Акты!$H$5:$H$16,"ок")&gt;0,COUNTIFS(Оплаты!$D$6:$D$61,Оплаты!$D$62,Оплаты!$A$6:$A$61,Оплаты!$A$62)=0),Оплаты!$D$62,"")</f>
        <v/>
      </c>
      <c r="B70">
        <f>IF(A70="","",MATCH(A70,Акты!$B$5:$B$16,0))</f>
        <v/>
      </c>
      <c r="C70" s="20">
        <f>IF(A70="","",Оплаты!$A$62+1)</f>
        <v/>
      </c>
      <c r="D70" s="20">
        <f>IF(A70="","",MIN(Ввод!$B$4,Ввод!$B$4+1-SUMPRODUCT(MAX((Оплаты!$D$6:$D$505=A70)*(Оплаты!$A$6:$A$505&gt;Оплаты!$A$62)*(Ввод!$B$4+1-Оплаты!$A$6:$A$505)))))</f>
        <v/>
      </c>
      <c r="E70" s="14">
        <f>IF(A70="","",INDEX(Акты!$D$5:$D$16,B70)-SUMIFS(Оплаты!$B$6:$B$505,Оплаты!$D$6:$D$505,A70,Оплаты!$A$6:$A$505,"&lt;="&amp;Оплаты!$A$62))</f>
        <v/>
      </c>
      <c r="F70" s="14">
        <f>IF(G70="","",SUMPRODUCT(ROUND(E70*'По дням'!$L$6:$L$155/100*((((D70+'По дням'!$K$6:$K$155-ABS(D70-'По дням'!$K$6:$K$155))-(C70+'По дням'!$J$6:$J$155+ABS(C70-'По дням'!$J$6:$J$155)))/2+1)&gt;0)*(((D70+'По дням'!$K$6:$K$155-ABS(D70-'По дням'!$K$6:$K$155))-(C70+'По дням'!$J$6:$J$155+ABS(C70-'По дням'!$J$6:$J$155)))/2+1)/'По дням'!$M$6:$M$155,2)*(1-'По дням'!$N$6:$N$155)))</f>
        <v/>
      </c>
      <c r="G70">
        <f>IF(A70="","",IF(C70&gt;D70,"",B70*1000000+C70))</f>
        <v/>
      </c>
      <c r="H70" s="14">
        <f>IF(G70="","",SUMIFS(Оплаты!$B$6:$B$505,Оплаты!$D$6:$D$505,A70,Оплаты!$A$6:$A$505,D70))</f>
        <v/>
      </c>
      <c r="I70">
        <f>IF(G70="","",SUMPRODUCT((((((D70+'По дням'!$K$6:$K$155-ABS(D70-'По дням'!$K$6:$K$155))-(C70+'По дням'!$J$6:$J$155+ABS(C70-'По дням'!$J$6:$J$155)))/2+1)&gt;0)*(((D70+'По дням'!$K$6:$K$155-ABS(D70-'По дням'!$K$6:$K$155))-(C70+'По дням'!$J$6:$J$155+ABS(C70-'По дням'!$J$6:$J$155)))/2+1)&gt;0)*1))</f>
        <v/>
      </c>
    </row>
    <row r="71">
      <c r="A71">
        <f>IF(AND(Оплаты!$E$63="ок",COUNTIFS(Акты!$B$5:$B$16,Оплаты!$D$63,Акты!$H$5:$H$16,"ок")&gt;0,COUNTIFS(Оплаты!$D$6:$D$62,Оплаты!$D$63,Оплаты!$A$6:$A$62,Оплаты!$A$63)=0),Оплаты!$D$63,"")</f>
        <v/>
      </c>
      <c r="B71">
        <f>IF(A71="","",MATCH(A71,Акты!$B$5:$B$16,0))</f>
        <v/>
      </c>
      <c r="C71" s="20">
        <f>IF(A71="","",Оплаты!$A$63+1)</f>
        <v/>
      </c>
      <c r="D71" s="20">
        <f>IF(A71="","",MIN(Ввод!$B$4,Ввод!$B$4+1-SUMPRODUCT(MAX((Оплаты!$D$6:$D$505=A71)*(Оплаты!$A$6:$A$505&gt;Оплаты!$A$63)*(Ввод!$B$4+1-Оплаты!$A$6:$A$505)))))</f>
        <v/>
      </c>
      <c r="E71" s="14">
        <f>IF(A71="","",INDEX(Акты!$D$5:$D$16,B71)-SUMIFS(Оплаты!$B$6:$B$505,Оплаты!$D$6:$D$505,A71,Оплаты!$A$6:$A$505,"&lt;="&amp;Оплаты!$A$63))</f>
        <v/>
      </c>
      <c r="F71" s="14">
        <f>IF(G71="","",SUMPRODUCT(ROUND(E71*'По дням'!$L$6:$L$155/100*((((D71+'По дням'!$K$6:$K$155-ABS(D71-'По дням'!$K$6:$K$155))-(C71+'По дням'!$J$6:$J$155+ABS(C71-'По дням'!$J$6:$J$155)))/2+1)&gt;0)*(((D71+'По дням'!$K$6:$K$155-ABS(D71-'По дням'!$K$6:$K$155))-(C71+'По дням'!$J$6:$J$155+ABS(C71-'По дням'!$J$6:$J$155)))/2+1)/'По дням'!$M$6:$M$155,2)*(1-'По дням'!$N$6:$N$155)))</f>
        <v/>
      </c>
      <c r="G71">
        <f>IF(A71="","",IF(C71&gt;D71,"",B71*1000000+C71))</f>
        <v/>
      </c>
      <c r="H71" s="14">
        <f>IF(G71="","",SUMIFS(Оплаты!$B$6:$B$505,Оплаты!$D$6:$D$505,A71,Оплаты!$A$6:$A$505,D71))</f>
        <v/>
      </c>
      <c r="I71">
        <f>IF(G71="","",SUMPRODUCT((((((D71+'По дням'!$K$6:$K$155-ABS(D71-'По дням'!$K$6:$K$155))-(C71+'По дням'!$J$6:$J$155+ABS(C71-'По дням'!$J$6:$J$155)))/2+1)&gt;0)*(((D71+'По дням'!$K$6:$K$155-ABS(D71-'По дням'!$K$6:$K$155))-(C71+'По дням'!$J$6:$J$155+ABS(C71-'По дням'!$J$6:$J$155)))/2+1)&gt;0)*1))</f>
        <v/>
      </c>
    </row>
    <row r="72">
      <c r="A72">
        <f>IF(AND(Оплаты!$E$64="ок",COUNTIFS(Акты!$B$5:$B$16,Оплаты!$D$64,Акты!$H$5:$H$16,"ок")&gt;0,COUNTIFS(Оплаты!$D$6:$D$63,Оплаты!$D$64,Оплаты!$A$6:$A$63,Оплаты!$A$64)=0),Оплаты!$D$64,"")</f>
        <v/>
      </c>
      <c r="B72">
        <f>IF(A72="","",MATCH(A72,Акты!$B$5:$B$16,0))</f>
        <v/>
      </c>
      <c r="C72" s="20">
        <f>IF(A72="","",Оплаты!$A$64+1)</f>
        <v/>
      </c>
      <c r="D72" s="20">
        <f>IF(A72="","",MIN(Ввод!$B$4,Ввод!$B$4+1-SUMPRODUCT(MAX((Оплаты!$D$6:$D$505=A72)*(Оплаты!$A$6:$A$505&gt;Оплаты!$A$64)*(Ввод!$B$4+1-Оплаты!$A$6:$A$505)))))</f>
        <v/>
      </c>
      <c r="E72" s="14">
        <f>IF(A72="","",INDEX(Акты!$D$5:$D$16,B72)-SUMIFS(Оплаты!$B$6:$B$505,Оплаты!$D$6:$D$505,A72,Оплаты!$A$6:$A$505,"&lt;="&amp;Оплаты!$A$64))</f>
        <v/>
      </c>
      <c r="F72" s="14">
        <f>IF(G72="","",SUMPRODUCT(ROUND(E72*'По дням'!$L$6:$L$155/100*((((D72+'По дням'!$K$6:$K$155-ABS(D72-'По дням'!$K$6:$K$155))-(C72+'По дням'!$J$6:$J$155+ABS(C72-'По дням'!$J$6:$J$155)))/2+1)&gt;0)*(((D72+'По дням'!$K$6:$K$155-ABS(D72-'По дням'!$K$6:$K$155))-(C72+'По дням'!$J$6:$J$155+ABS(C72-'По дням'!$J$6:$J$155)))/2+1)/'По дням'!$M$6:$M$155,2)*(1-'По дням'!$N$6:$N$155)))</f>
        <v/>
      </c>
      <c r="G72">
        <f>IF(A72="","",IF(C72&gt;D72,"",B72*1000000+C72))</f>
        <v/>
      </c>
      <c r="H72" s="14">
        <f>IF(G72="","",SUMIFS(Оплаты!$B$6:$B$505,Оплаты!$D$6:$D$505,A72,Оплаты!$A$6:$A$505,D72))</f>
        <v/>
      </c>
      <c r="I72">
        <f>IF(G72="","",SUMPRODUCT((((((D72+'По дням'!$K$6:$K$155-ABS(D72-'По дням'!$K$6:$K$155))-(C72+'По дням'!$J$6:$J$155+ABS(C72-'По дням'!$J$6:$J$155)))/2+1)&gt;0)*(((D72+'По дням'!$K$6:$K$155-ABS(D72-'По дням'!$K$6:$K$155))-(C72+'По дням'!$J$6:$J$155+ABS(C72-'По дням'!$J$6:$J$155)))/2+1)&gt;0)*1))</f>
        <v/>
      </c>
    </row>
    <row r="73">
      <c r="A73">
        <f>IF(AND(Оплаты!$E$65="ок",COUNTIFS(Акты!$B$5:$B$16,Оплаты!$D$65,Акты!$H$5:$H$16,"ок")&gt;0,COUNTIFS(Оплаты!$D$6:$D$64,Оплаты!$D$65,Оплаты!$A$6:$A$64,Оплаты!$A$65)=0),Оплаты!$D$65,"")</f>
        <v/>
      </c>
      <c r="B73">
        <f>IF(A73="","",MATCH(A73,Акты!$B$5:$B$16,0))</f>
        <v/>
      </c>
      <c r="C73" s="20">
        <f>IF(A73="","",Оплаты!$A$65+1)</f>
        <v/>
      </c>
      <c r="D73" s="20">
        <f>IF(A73="","",MIN(Ввод!$B$4,Ввод!$B$4+1-SUMPRODUCT(MAX((Оплаты!$D$6:$D$505=A73)*(Оплаты!$A$6:$A$505&gt;Оплаты!$A$65)*(Ввод!$B$4+1-Оплаты!$A$6:$A$505)))))</f>
        <v/>
      </c>
      <c r="E73" s="14">
        <f>IF(A73="","",INDEX(Акты!$D$5:$D$16,B73)-SUMIFS(Оплаты!$B$6:$B$505,Оплаты!$D$6:$D$505,A73,Оплаты!$A$6:$A$505,"&lt;="&amp;Оплаты!$A$65))</f>
        <v/>
      </c>
      <c r="F73" s="14">
        <f>IF(G73="","",SUMPRODUCT(ROUND(E73*'По дням'!$L$6:$L$155/100*((((D73+'По дням'!$K$6:$K$155-ABS(D73-'По дням'!$K$6:$K$155))-(C73+'По дням'!$J$6:$J$155+ABS(C73-'По дням'!$J$6:$J$155)))/2+1)&gt;0)*(((D73+'По дням'!$K$6:$K$155-ABS(D73-'По дням'!$K$6:$K$155))-(C73+'По дням'!$J$6:$J$155+ABS(C73-'По дням'!$J$6:$J$155)))/2+1)/'По дням'!$M$6:$M$155,2)*(1-'По дням'!$N$6:$N$155)))</f>
        <v/>
      </c>
      <c r="G73">
        <f>IF(A73="","",IF(C73&gt;D73,"",B73*1000000+C73))</f>
        <v/>
      </c>
      <c r="H73" s="14">
        <f>IF(G73="","",SUMIFS(Оплаты!$B$6:$B$505,Оплаты!$D$6:$D$505,A73,Оплаты!$A$6:$A$505,D73))</f>
        <v/>
      </c>
      <c r="I73">
        <f>IF(G73="","",SUMPRODUCT((((((D73+'По дням'!$K$6:$K$155-ABS(D73-'По дням'!$K$6:$K$155))-(C73+'По дням'!$J$6:$J$155+ABS(C73-'По дням'!$J$6:$J$155)))/2+1)&gt;0)*(((D73+'По дням'!$K$6:$K$155-ABS(D73-'По дням'!$K$6:$K$155))-(C73+'По дням'!$J$6:$J$155+ABS(C73-'По дням'!$J$6:$J$155)))/2+1)&gt;0)*1))</f>
        <v/>
      </c>
    </row>
    <row r="74">
      <c r="A74">
        <f>IF(AND(Оплаты!$E$66="ок",COUNTIFS(Акты!$B$5:$B$16,Оплаты!$D$66,Акты!$H$5:$H$16,"ок")&gt;0,COUNTIFS(Оплаты!$D$6:$D$65,Оплаты!$D$66,Оплаты!$A$6:$A$65,Оплаты!$A$66)=0),Оплаты!$D$66,"")</f>
        <v/>
      </c>
      <c r="B74">
        <f>IF(A74="","",MATCH(A74,Акты!$B$5:$B$16,0))</f>
        <v/>
      </c>
      <c r="C74" s="20">
        <f>IF(A74="","",Оплаты!$A$66+1)</f>
        <v/>
      </c>
      <c r="D74" s="20">
        <f>IF(A74="","",MIN(Ввод!$B$4,Ввод!$B$4+1-SUMPRODUCT(MAX((Оплаты!$D$6:$D$505=A74)*(Оплаты!$A$6:$A$505&gt;Оплаты!$A$66)*(Ввод!$B$4+1-Оплаты!$A$6:$A$505)))))</f>
        <v/>
      </c>
      <c r="E74" s="14">
        <f>IF(A74="","",INDEX(Акты!$D$5:$D$16,B74)-SUMIFS(Оплаты!$B$6:$B$505,Оплаты!$D$6:$D$505,A74,Оплаты!$A$6:$A$505,"&lt;="&amp;Оплаты!$A$66))</f>
        <v/>
      </c>
      <c r="F74" s="14">
        <f>IF(G74="","",SUMPRODUCT(ROUND(E74*'По дням'!$L$6:$L$155/100*((((D74+'По дням'!$K$6:$K$155-ABS(D74-'По дням'!$K$6:$K$155))-(C74+'По дням'!$J$6:$J$155+ABS(C74-'По дням'!$J$6:$J$155)))/2+1)&gt;0)*(((D74+'По дням'!$K$6:$K$155-ABS(D74-'По дням'!$K$6:$K$155))-(C74+'По дням'!$J$6:$J$155+ABS(C74-'По дням'!$J$6:$J$155)))/2+1)/'По дням'!$M$6:$M$155,2)*(1-'По дням'!$N$6:$N$155)))</f>
        <v/>
      </c>
      <c r="G74">
        <f>IF(A74="","",IF(C74&gt;D74,"",B74*1000000+C74))</f>
        <v/>
      </c>
      <c r="H74" s="14">
        <f>IF(G74="","",SUMIFS(Оплаты!$B$6:$B$505,Оплаты!$D$6:$D$505,A74,Оплаты!$A$6:$A$505,D74))</f>
        <v/>
      </c>
      <c r="I74">
        <f>IF(G74="","",SUMPRODUCT((((((D74+'По дням'!$K$6:$K$155-ABS(D74-'По дням'!$K$6:$K$155))-(C74+'По дням'!$J$6:$J$155+ABS(C74-'По дням'!$J$6:$J$155)))/2+1)&gt;0)*(((D74+'По дням'!$K$6:$K$155-ABS(D74-'По дням'!$K$6:$K$155))-(C74+'По дням'!$J$6:$J$155+ABS(C74-'По дням'!$J$6:$J$155)))/2+1)&gt;0)*1))</f>
        <v/>
      </c>
    </row>
    <row r="75">
      <c r="A75">
        <f>IF(AND(Оплаты!$E$67="ок",COUNTIFS(Акты!$B$5:$B$16,Оплаты!$D$67,Акты!$H$5:$H$16,"ок")&gt;0,COUNTIFS(Оплаты!$D$6:$D$66,Оплаты!$D$67,Оплаты!$A$6:$A$66,Оплаты!$A$67)=0),Оплаты!$D$67,"")</f>
        <v/>
      </c>
      <c r="B75">
        <f>IF(A75="","",MATCH(A75,Акты!$B$5:$B$16,0))</f>
        <v/>
      </c>
      <c r="C75" s="20">
        <f>IF(A75="","",Оплаты!$A$67+1)</f>
        <v/>
      </c>
      <c r="D75" s="20">
        <f>IF(A75="","",MIN(Ввод!$B$4,Ввод!$B$4+1-SUMPRODUCT(MAX((Оплаты!$D$6:$D$505=A75)*(Оплаты!$A$6:$A$505&gt;Оплаты!$A$67)*(Ввод!$B$4+1-Оплаты!$A$6:$A$505)))))</f>
        <v/>
      </c>
      <c r="E75" s="14">
        <f>IF(A75="","",INDEX(Акты!$D$5:$D$16,B75)-SUMIFS(Оплаты!$B$6:$B$505,Оплаты!$D$6:$D$505,A75,Оплаты!$A$6:$A$505,"&lt;="&amp;Оплаты!$A$67))</f>
        <v/>
      </c>
      <c r="F75" s="14">
        <f>IF(G75="","",SUMPRODUCT(ROUND(E75*'По дням'!$L$6:$L$155/100*((((D75+'По дням'!$K$6:$K$155-ABS(D75-'По дням'!$K$6:$K$155))-(C75+'По дням'!$J$6:$J$155+ABS(C75-'По дням'!$J$6:$J$155)))/2+1)&gt;0)*(((D75+'По дням'!$K$6:$K$155-ABS(D75-'По дням'!$K$6:$K$155))-(C75+'По дням'!$J$6:$J$155+ABS(C75-'По дням'!$J$6:$J$155)))/2+1)/'По дням'!$M$6:$M$155,2)*(1-'По дням'!$N$6:$N$155)))</f>
        <v/>
      </c>
      <c r="G75">
        <f>IF(A75="","",IF(C75&gt;D75,"",B75*1000000+C75))</f>
        <v/>
      </c>
      <c r="H75" s="14">
        <f>IF(G75="","",SUMIFS(Оплаты!$B$6:$B$505,Оплаты!$D$6:$D$505,A75,Оплаты!$A$6:$A$505,D75))</f>
        <v/>
      </c>
      <c r="I75">
        <f>IF(G75="","",SUMPRODUCT((((((D75+'По дням'!$K$6:$K$155-ABS(D75-'По дням'!$K$6:$K$155))-(C75+'По дням'!$J$6:$J$155+ABS(C75-'По дням'!$J$6:$J$155)))/2+1)&gt;0)*(((D75+'По дням'!$K$6:$K$155-ABS(D75-'По дням'!$K$6:$K$155))-(C75+'По дням'!$J$6:$J$155+ABS(C75-'По дням'!$J$6:$J$155)))/2+1)&gt;0)*1))</f>
        <v/>
      </c>
    </row>
    <row r="76">
      <c r="A76">
        <f>IF(AND(Оплаты!$E$68="ок",COUNTIFS(Акты!$B$5:$B$16,Оплаты!$D$68,Акты!$H$5:$H$16,"ок")&gt;0,COUNTIFS(Оплаты!$D$6:$D$67,Оплаты!$D$68,Оплаты!$A$6:$A$67,Оплаты!$A$68)=0),Оплаты!$D$68,"")</f>
        <v/>
      </c>
      <c r="B76">
        <f>IF(A76="","",MATCH(A76,Акты!$B$5:$B$16,0))</f>
        <v/>
      </c>
      <c r="C76" s="20">
        <f>IF(A76="","",Оплаты!$A$68+1)</f>
        <v/>
      </c>
      <c r="D76" s="20">
        <f>IF(A76="","",MIN(Ввод!$B$4,Ввод!$B$4+1-SUMPRODUCT(MAX((Оплаты!$D$6:$D$505=A76)*(Оплаты!$A$6:$A$505&gt;Оплаты!$A$68)*(Ввод!$B$4+1-Оплаты!$A$6:$A$505)))))</f>
        <v/>
      </c>
      <c r="E76" s="14">
        <f>IF(A76="","",INDEX(Акты!$D$5:$D$16,B76)-SUMIFS(Оплаты!$B$6:$B$505,Оплаты!$D$6:$D$505,A76,Оплаты!$A$6:$A$505,"&lt;="&amp;Оплаты!$A$68))</f>
        <v/>
      </c>
      <c r="F76" s="14">
        <f>IF(G76="","",SUMPRODUCT(ROUND(E76*'По дням'!$L$6:$L$155/100*((((D76+'По дням'!$K$6:$K$155-ABS(D76-'По дням'!$K$6:$K$155))-(C76+'По дням'!$J$6:$J$155+ABS(C76-'По дням'!$J$6:$J$155)))/2+1)&gt;0)*(((D76+'По дням'!$K$6:$K$155-ABS(D76-'По дням'!$K$6:$K$155))-(C76+'По дням'!$J$6:$J$155+ABS(C76-'По дням'!$J$6:$J$155)))/2+1)/'По дням'!$M$6:$M$155,2)*(1-'По дням'!$N$6:$N$155)))</f>
        <v/>
      </c>
      <c r="G76">
        <f>IF(A76="","",IF(C76&gt;D76,"",B76*1000000+C76))</f>
        <v/>
      </c>
      <c r="H76" s="14">
        <f>IF(G76="","",SUMIFS(Оплаты!$B$6:$B$505,Оплаты!$D$6:$D$505,A76,Оплаты!$A$6:$A$505,D76))</f>
        <v/>
      </c>
      <c r="I76">
        <f>IF(G76="","",SUMPRODUCT((((((D76+'По дням'!$K$6:$K$155-ABS(D76-'По дням'!$K$6:$K$155))-(C76+'По дням'!$J$6:$J$155+ABS(C76-'По дням'!$J$6:$J$155)))/2+1)&gt;0)*(((D76+'По дням'!$K$6:$K$155-ABS(D76-'По дням'!$K$6:$K$155))-(C76+'По дням'!$J$6:$J$155+ABS(C76-'По дням'!$J$6:$J$155)))/2+1)&gt;0)*1))</f>
        <v/>
      </c>
    </row>
    <row r="77">
      <c r="A77">
        <f>IF(AND(Оплаты!$E$69="ок",COUNTIFS(Акты!$B$5:$B$16,Оплаты!$D$69,Акты!$H$5:$H$16,"ок")&gt;0,COUNTIFS(Оплаты!$D$6:$D$68,Оплаты!$D$69,Оплаты!$A$6:$A$68,Оплаты!$A$69)=0),Оплаты!$D$69,"")</f>
        <v/>
      </c>
      <c r="B77">
        <f>IF(A77="","",MATCH(A77,Акты!$B$5:$B$16,0))</f>
        <v/>
      </c>
      <c r="C77" s="20">
        <f>IF(A77="","",Оплаты!$A$69+1)</f>
        <v/>
      </c>
      <c r="D77" s="20">
        <f>IF(A77="","",MIN(Ввод!$B$4,Ввод!$B$4+1-SUMPRODUCT(MAX((Оплаты!$D$6:$D$505=A77)*(Оплаты!$A$6:$A$505&gt;Оплаты!$A$69)*(Ввод!$B$4+1-Оплаты!$A$6:$A$505)))))</f>
        <v/>
      </c>
      <c r="E77" s="14">
        <f>IF(A77="","",INDEX(Акты!$D$5:$D$16,B77)-SUMIFS(Оплаты!$B$6:$B$505,Оплаты!$D$6:$D$505,A77,Оплаты!$A$6:$A$505,"&lt;="&amp;Оплаты!$A$69))</f>
        <v/>
      </c>
      <c r="F77" s="14">
        <f>IF(G77="","",SUMPRODUCT(ROUND(E77*'По дням'!$L$6:$L$155/100*((((D77+'По дням'!$K$6:$K$155-ABS(D77-'По дням'!$K$6:$K$155))-(C77+'По дням'!$J$6:$J$155+ABS(C77-'По дням'!$J$6:$J$155)))/2+1)&gt;0)*(((D77+'По дням'!$K$6:$K$155-ABS(D77-'По дням'!$K$6:$K$155))-(C77+'По дням'!$J$6:$J$155+ABS(C77-'По дням'!$J$6:$J$155)))/2+1)/'По дням'!$M$6:$M$155,2)*(1-'По дням'!$N$6:$N$155)))</f>
        <v/>
      </c>
      <c r="G77">
        <f>IF(A77="","",IF(C77&gt;D77,"",B77*1000000+C77))</f>
        <v/>
      </c>
      <c r="H77" s="14">
        <f>IF(G77="","",SUMIFS(Оплаты!$B$6:$B$505,Оплаты!$D$6:$D$505,A77,Оплаты!$A$6:$A$505,D77))</f>
        <v/>
      </c>
      <c r="I77">
        <f>IF(G77="","",SUMPRODUCT((((((D77+'По дням'!$K$6:$K$155-ABS(D77-'По дням'!$K$6:$K$155))-(C77+'По дням'!$J$6:$J$155+ABS(C77-'По дням'!$J$6:$J$155)))/2+1)&gt;0)*(((D77+'По дням'!$K$6:$K$155-ABS(D77-'По дням'!$K$6:$K$155))-(C77+'По дням'!$J$6:$J$155+ABS(C77-'По дням'!$J$6:$J$155)))/2+1)&gt;0)*1))</f>
        <v/>
      </c>
    </row>
    <row r="78">
      <c r="A78">
        <f>IF(AND(Оплаты!$E$70="ок",COUNTIFS(Акты!$B$5:$B$16,Оплаты!$D$70,Акты!$H$5:$H$16,"ок")&gt;0,COUNTIFS(Оплаты!$D$6:$D$69,Оплаты!$D$70,Оплаты!$A$6:$A$69,Оплаты!$A$70)=0),Оплаты!$D$70,"")</f>
        <v/>
      </c>
      <c r="B78">
        <f>IF(A78="","",MATCH(A78,Акты!$B$5:$B$16,0))</f>
        <v/>
      </c>
      <c r="C78" s="20">
        <f>IF(A78="","",Оплаты!$A$70+1)</f>
        <v/>
      </c>
      <c r="D78" s="20">
        <f>IF(A78="","",MIN(Ввод!$B$4,Ввод!$B$4+1-SUMPRODUCT(MAX((Оплаты!$D$6:$D$505=A78)*(Оплаты!$A$6:$A$505&gt;Оплаты!$A$70)*(Ввод!$B$4+1-Оплаты!$A$6:$A$505)))))</f>
        <v/>
      </c>
      <c r="E78" s="14">
        <f>IF(A78="","",INDEX(Акты!$D$5:$D$16,B78)-SUMIFS(Оплаты!$B$6:$B$505,Оплаты!$D$6:$D$505,A78,Оплаты!$A$6:$A$505,"&lt;="&amp;Оплаты!$A$70))</f>
        <v/>
      </c>
      <c r="F78" s="14">
        <f>IF(G78="","",SUMPRODUCT(ROUND(E78*'По дням'!$L$6:$L$155/100*((((D78+'По дням'!$K$6:$K$155-ABS(D78-'По дням'!$K$6:$K$155))-(C78+'По дням'!$J$6:$J$155+ABS(C78-'По дням'!$J$6:$J$155)))/2+1)&gt;0)*(((D78+'По дням'!$K$6:$K$155-ABS(D78-'По дням'!$K$6:$K$155))-(C78+'По дням'!$J$6:$J$155+ABS(C78-'По дням'!$J$6:$J$155)))/2+1)/'По дням'!$M$6:$M$155,2)*(1-'По дням'!$N$6:$N$155)))</f>
        <v/>
      </c>
      <c r="G78">
        <f>IF(A78="","",IF(C78&gt;D78,"",B78*1000000+C78))</f>
        <v/>
      </c>
      <c r="H78" s="14">
        <f>IF(G78="","",SUMIFS(Оплаты!$B$6:$B$505,Оплаты!$D$6:$D$505,A78,Оплаты!$A$6:$A$505,D78))</f>
        <v/>
      </c>
      <c r="I78">
        <f>IF(G78="","",SUMPRODUCT((((((D78+'По дням'!$K$6:$K$155-ABS(D78-'По дням'!$K$6:$K$155))-(C78+'По дням'!$J$6:$J$155+ABS(C78-'По дням'!$J$6:$J$155)))/2+1)&gt;0)*(((D78+'По дням'!$K$6:$K$155-ABS(D78-'По дням'!$K$6:$K$155))-(C78+'По дням'!$J$6:$J$155+ABS(C78-'По дням'!$J$6:$J$155)))/2+1)&gt;0)*1))</f>
        <v/>
      </c>
    </row>
    <row r="79">
      <c r="A79">
        <f>IF(AND(Оплаты!$E$71="ок",COUNTIFS(Акты!$B$5:$B$16,Оплаты!$D$71,Акты!$H$5:$H$16,"ок")&gt;0,COUNTIFS(Оплаты!$D$6:$D$70,Оплаты!$D$71,Оплаты!$A$6:$A$70,Оплаты!$A$71)=0),Оплаты!$D$71,"")</f>
        <v/>
      </c>
      <c r="B79">
        <f>IF(A79="","",MATCH(A79,Акты!$B$5:$B$16,0))</f>
        <v/>
      </c>
      <c r="C79" s="20">
        <f>IF(A79="","",Оплаты!$A$71+1)</f>
        <v/>
      </c>
      <c r="D79" s="20">
        <f>IF(A79="","",MIN(Ввод!$B$4,Ввод!$B$4+1-SUMPRODUCT(MAX((Оплаты!$D$6:$D$505=A79)*(Оплаты!$A$6:$A$505&gt;Оплаты!$A$71)*(Ввод!$B$4+1-Оплаты!$A$6:$A$505)))))</f>
        <v/>
      </c>
      <c r="E79" s="14">
        <f>IF(A79="","",INDEX(Акты!$D$5:$D$16,B79)-SUMIFS(Оплаты!$B$6:$B$505,Оплаты!$D$6:$D$505,A79,Оплаты!$A$6:$A$505,"&lt;="&amp;Оплаты!$A$71))</f>
        <v/>
      </c>
      <c r="F79" s="14">
        <f>IF(G79="","",SUMPRODUCT(ROUND(E79*'По дням'!$L$6:$L$155/100*((((D79+'По дням'!$K$6:$K$155-ABS(D79-'По дням'!$K$6:$K$155))-(C79+'По дням'!$J$6:$J$155+ABS(C79-'По дням'!$J$6:$J$155)))/2+1)&gt;0)*(((D79+'По дням'!$K$6:$K$155-ABS(D79-'По дням'!$K$6:$K$155))-(C79+'По дням'!$J$6:$J$155+ABS(C79-'По дням'!$J$6:$J$155)))/2+1)/'По дням'!$M$6:$M$155,2)*(1-'По дням'!$N$6:$N$155)))</f>
        <v/>
      </c>
      <c r="G79">
        <f>IF(A79="","",IF(C79&gt;D79,"",B79*1000000+C79))</f>
        <v/>
      </c>
      <c r="H79" s="14">
        <f>IF(G79="","",SUMIFS(Оплаты!$B$6:$B$505,Оплаты!$D$6:$D$505,A79,Оплаты!$A$6:$A$505,D79))</f>
        <v/>
      </c>
      <c r="I79">
        <f>IF(G79="","",SUMPRODUCT((((((D79+'По дням'!$K$6:$K$155-ABS(D79-'По дням'!$K$6:$K$155))-(C79+'По дням'!$J$6:$J$155+ABS(C79-'По дням'!$J$6:$J$155)))/2+1)&gt;0)*(((D79+'По дням'!$K$6:$K$155-ABS(D79-'По дням'!$K$6:$K$155))-(C79+'По дням'!$J$6:$J$155+ABS(C79-'По дням'!$J$6:$J$155)))/2+1)&gt;0)*1))</f>
        <v/>
      </c>
    </row>
    <row r="80">
      <c r="A80">
        <f>IF(AND(Оплаты!$E$72="ок",COUNTIFS(Акты!$B$5:$B$16,Оплаты!$D$72,Акты!$H$5:$H$16,"ок")&gt;0,COUNTIFS(Оплаты!$D$6:$D$71,Оплаты!$D$72,Оплаты!$A$6:$A$71,Оплаты!$A$72)=0),Оплаты!$D$72,"")</f>
        <v/>
      </c>
      <c r="B80">
        <f>IF(A80="","",MATCH(A80,Акты!$B$5:$B$16,0))</f>
        <v/>
      </c>
      <c r="C80" s="20">
        <f>IF(A80="","",Оплаты!$A$72+1)</f>
        <v/>
      </c>
      <c r="D80" s="20">
        <f>IF(A80="","",MIN(Ввод!$B$4,Ввод!$B$4+1-SUMPRODUCT(MAX((Оплаты!$D$6:$D$505=A80)*(Оплаты!$A$6:$A$505&gt;Оплаты!$A$72)*(Ввод!$B$4+1-Оплаты!$A$6:$A$505)))))</f>
        <v/>
      </c>
      <c r="E80" s="14">
        <f>IF(A80="","",INDEX(Акты!$D$5:$D$16,B80)-SUMIFS(Оплаты!$B$6:$B$505,Оплаты!$D$6:$D$505,A80,Оплаты!$A$6:$A$505,"&lt;="&amp;Оплаты!$A$72))</f>
        <v/>
      </c>
      <c r="F80" s="14">
        <f>IF(G80="","",SUMPRODUCT(ROUND(E80*'По дням'!$L$6:$L$155/100*((((D80+'По дням'!$K$6:$K$155-ABS(D80-'По дням'!$K$6:$K$155))-(C80+'По дням'!$J$6:$J$155+ABS(C80-'По дням'!$J$6:$J$155)))/2+1)&gt;0)*(((D80+'По дням'!$K$6:$K$155-ABS(D80-'По дням'!$K$6:$K$155))-(C80+'По дням'!$J$6:$J$155+ABS(C80-'По дням'!$J$6:$J$155)))/2+1)/'По дням'!$M$6:$M$155,2)*(1-'По дням'!$N$6:$N$155)))</f>
        <v/>
      </c>
      <c r="G80">
        <f>IF(A80="","",IF(C80&gt;D80,"",B80*1000000+C80))</f>
        <v/>
      </c>
      <c r="H80" s="14">
        <f>IF(G80="","",SUMIFS(Оплаты!$B$6:$B$505,Оплаты!$D$6:$D$505,A80,Оплаты!$A$6:$A$505,D80))</f>
        <v/>
      </c>
      <c r="I80">
        <f>IF(G80="","",SUMPRODUCT((((((D80+'По дням'!$K$6:$K$155-ABS(D80-'По дням'!$K$6:$K$155))-(C80+'По дням'!$J$6:$J$155+ABS(C80-'По дням'!$J$6:$J$155)))/2+1)&gt;0)*(((D80+'По дням'!$K$6:$K$155-ABS(D80-'По дням'!$K$6:$K$155))-(C80+'По дням'!$J$6:$J$155+ABS(C80-'По дням'!$J$6:$J$155)))/2+1)&gt;0)*1))</f>
        <v/>
      </c>
    </row>
    <row r="81">
      <c r="A81">
        <f>IF(AND(Оплаты!$E$73="ок",COUNTIFS(Акты!$B$5:$B$16,Оплаты!$D$73,Акты!$H$5:$H$16,"ок")&gt;0,COUNTIFS(Оплаты!$D$6:$D$72,Оплаты!$D$73,Оплаты!$A$6:$A$72,Оплаты!$A$73)=0),Оплаты!$D$73,"")</f>
        <v/>
      </c>
      <c r="B81">
        <f>IF(A81="","",MATCH(A81,Акты!$B$5:$B$16,0))</f>
        <v/>
      </c>
      <c r="C81" s="20">
        <f>IF(A81="","",Оплаты!$A$73+1)</f>
        <v/>
      </c>
      <c r="D81" s="20">
        <f>IF(A81="","",MIN(Ввод!$B$4,Ввод!$B$4+1-SUMPRODUCT(MAX((Оплаты!$D$6:$D$505=A81)*(Оплаты!$A$6:$A$505&gt;Оплаты!$A$73)*(Ввод!$B$4+1-Оплаты!$A$6:$A$505)))))</f>
        <v/>
      </c>
      <c r="E81" s="14">
        <f>IF(A81="","",INDEX(Акты!$D$5:$D$16,B81)-SUMIFS(Оплаты!$B$6:$B$505,Оплаты!$D$6:$D$505,A81,Оплаты!$A$6:$A$505,"&lt;="&amp;Оплаты!$A$73))</f>
        <v/>
      </c>
      <c r="F81" s="14">
        <f>IF(G81="","",SUMPRODUCT(ROUND(E81*'По дням'!$L$6:$L$155/100*((((D81+'По дням'!$K$6:$K$155-ABS(D81-'По дням'!$K$6:$K$155))-(C81+'По дням'!$J$6:$J$155+ABS(C81-'По дням'!$J$6:$J$155)))/2+1)&gt;0)*(((D81+'По дням'!$K$6:$K$155-ABS(D81-'По дням'!$K$6:$K$155))-(C81+'По дням'!$J$6:$J$155+ABS(C81-'По дням'!$J$6:$J$155)))/2+1)/'По дням'!$M$6:$M$155,2)*(1-'По дням'!$N$6:$N$155)))</f>
        <v/>
      </c>
      <c r="G81">
        <f>IF(A81="","",IF(C81&gt;D81,"",B81*1000000+C81))</f>
        <v/>
      </c>
      <c r="H81" s="14">
        <f>IF(G81="","",SUMIFS(Оплаты!$B$6:$B$505,Оплаты!$D$6:$D$505,A81,Оплаты!$A$6:$A$505,D81))</f>
        <v/>
      </c>
      <c r="I81">
        <f>IF(G81="","",SUMPRODUCT((((((D81+'По дням'!$K$6:$K$155-ABS(D81-'По дням'!$K$6:$K$155))-(C81+'По дням'!$J$6:$J$155+ABS(C81-'По дням'!$J$6:$J$155)))/2+1)&gt;0)*(((D81+'По дням'!$K$6:$K$155-ABS(D81-'По дням'!$K$6:$K$155))-(C81+'По дням'!$J$6:$J$155+ABS(C81-'По дням'!$J$6:$J$155)))/2+1)&gt;0)*1))</f>
        <v/>
      </c>
    </row>
    <row r="82">
      <c r="A82">
        <f>IF(AND(Оплаты!$E$74="ок",COUNTIFS(Акты!$B$5:$B$16,Оплаты!$D$74,Акты!$H$5:$H$16,"ок")&gt;0,COUNTIFS(Оплаты!$D$6:$D$73,Оплаты!$D$74,Оплаты!$A$6:$A$73,Оплаты!$A$74)=0),Оплаты!$D$74,"")</f>
        <v/>
      </c>
      <c r="B82">
        <f>IF(A82="","",MATCH(A82,Акты!$B$5:$B$16,0))</f>
        <v/>
      </c>
      <c r="C82" s="20">
        <f>IF(A82="","",Оплаты!$A$74+1)</f>
        <v/>
      </c>
      <c r="D82" s="20">
        <f>IF(A82="","",MIN(Ввод!$B$4,Ввод!$B$4+1-SUMPRODUCT(MAX((Оплаты!$D$6:$D$505=A82)*(Оплаты!$A$6:$A$505&gt;Оплаты!$A$74)*(Ввод!$B$4+1-Оплаты!$A$6:$A$505)))))</f>
        <v/>
      </c>
      <c r="E82" s="14">
        <f>IF(A82="","",INDEX(Акты!$D$5:$D$16,B82)-SUMIFS(Оплаты!$B$6:$B$505,Оплаты!$D$6:$D$505,A82,Оплаты!$A$6:$A$505,"&lt;="&amp;Оплаты!$A$74))</f>
        <v/>
      </c>
      <c r="F82" s="14">
        <f>IF(G82="","",SUMPRODUCT(ROUND(E82*'По дням'!$L$6:$L$155/100*((((D82+'По дням'!$K$6:$K$155-ABS(D82-'По дням'!$K$6:$K$155))-(C82+'По дням'!$J$6:$J$155+ABS(C82-'По дням'!$J$6:$J$155)))/2+1)&gt;0)*(((D82+'По дням'!$K$6:$K$155-ABS(D82-'По дням'!$K$6:$K$155))-(C82+'По дням'!$J$6:$J$155+ABS(C82-'По дням'!$J$6:$J$155)))/2+1)/'По дням'!$M$6:$M$155,2)*(1-'По дням'!$N$6:$N$155)))</f>
        <v/>
      </c>
      <c r="G82">
        <f>IF(A82="","",IF(C82&gt;D82,"",B82*1000000+C82))</f>
        <v/>
      </c>
      <c r="H82" s="14">
        <f>IF(G82="","",SUMIFS(Оплаты!$B$6:$B$505,Оплаты!$D$6:$D$505,A82,Оплаты!$A$6:$A$505,D82))</f>
        <v/>
      </c>
      <c r="I82">
        <f>IF(G82="","",SUMPRODUCT((((((D82+'По дням'!$K$6:$K$155-ABS(D82-'По дням'!$K$6:$K$155))-(C82+'По дням'!$J$6:$J$155+ABS(C82-'По дням'!$J$6:$J$155)))/2+1)&gt;0)*(((D82+'По дням'!$K$6:$K$155-ABS(D82-'По дням'!$K$6:$K$155))-(C82+'По дням'!$J$6:$J$155+ABS(C82-'По дням'!$J$6:$J$155)))/2+1)&gt;0)*1))</f>
        <v/>
      </c>
    </row>
    <row r="83">
      <c r="A83">
        <f>IF(AND(Оплаты!$E$75="ок",COUNTIFS(Акты!$B$5:$B$16,Оплаты!$D$75,Акты!$H$5:$H$16,"ок")&gt;0,COUNTIFS(Оплаты!$D$6:$D$74,Оплаты!$D$75,Оплаты!$A$6:$A$74,Оплаты!$A$75)=0),Оплаты!$D$75,"")</f>
        <v/>
      </c>
      <c r="B83">
        <f>IF(A83="","",MATCH(A83,Акты!$B$5:$B$16,0))</f>
        <v/>
      </c>
      <c r="C83" s="20">
        <f>IF(A83="","",Оплаты!$A$75+1)</f>
        <v/>
      </c>
      <c r="D83" s="20">
        <f>IF(A83="","",MIN(Ввод!$B$4,Ввод!$B$4+1-SUMPRODUCT(MAX((Оплаты!$D$6:$D$505=A83)*(Оплаты!$A$6:$A$505&gt;Оплаты!$A$75)*(Ввод!$B$4+1-Оплаты!$A$6:$A$505)))))</f>
        <v/>
      </c>
      <c r="E83" s="14">
        <f>IF(A83="","",INDEX(Акты!$D$5:$D$16,B83)-SUMIFS(Оплаты!$B$6:$B$505,Оплаты!$D$6:$D$505,A83,Оплаты!$A$6:$A$505,"&lt;="&amp;Оплаты!$A$75))</f>
        <v/>
      </c>
      <c r="F83" s="14">
        <f>IF(G83="","",SUMPRODUCT(ROUND(E83*'По дням'!$L$6:$L$155/100*((((D83+'По дням'!$K$6:$K$155-ABS(D83-'По дням'!$K$6:$K$155))-(C83+'По дням'!$J$6:$J$155+ABS(C83-'По дням'!$J$6:$J$155)))/2+1)&gt;0)*(((D83+'По дням'!$K$6:$K$155-ABS(D83-'По дням'!$K$6:$K$155))-(C83+'По дням'!$J$6:$J$155+ABS(C83-'По дням'!$J$6:$J$155)))/2+1)/'По дням'!$M$6:$M$155,2)*(1-'По дням'!$N$6:$N$155)))</f>
        <v/>
      </c>
      <c r="G83">
        <f>IF(A83="","",IF(C83&gt;D83,"",B83*1000000+C83))</f>
        <v/>
      </c>
      <c r="H83" s="14">
        <f>IF(G83="","",SUMIFS(Оплаты!$B$6:$B$505,Оплаты!$D$6:$D$505,A83,Оплаты!$A$6:$A$505,D83))</f>
        <v/>
      </c>
      <c r="I83">
        <f>IF(G83="","",SUMPRODUCT((((((D83+'По дням'!$K$6:$K$155-ABS(D83-'По дням'!$K$6:$K$155))-(C83+'По дням'!$J$6:$J$155+ABS(C83-'По дням'!$J$6:$J$155)))/2+1)&gt;0)*(((D83+'По дням'!$K$6:$K$155-ABS(D83-'По дням'!$K$6:$K$155))-(C83+'По дням'!$J$6:$J$155+ABS(C83-'По дням'!$J$6:$J$155)))/2+1)&gt;0)*1))</f>
        <v/>
      </c>
    </row>
    <row r="84">
      <c r="A84">
        <f>IF(AND(Оплаты!$E$76="ок",COUNTIFS(Акты!$B$5:$B$16,Оплаты!$D$76,Акты!$H$5:$H$16,"ок")&gt;0,COUNTIFS(Оплаты!$D$6:$D$75,Оплаты!$D$76,Оплаты!$A$6:$A$75,Оплаты!$A$76)=0),Оплаты!$D$76,"")</f>
        <v/>
      </c>
      <c r="B84">
        <f>IF(A84="","",MATCH(A84,Акты!$B$5:$B$16,0))</f>
        <v/>
      </c>
      <c r="C84" s="20">
        <f>IF(A84="","",Оплаты!$A$76+1)</f>
        <v/>
      </c>
      <c r="D84" s="20">
        <f>IF(A84="","",MIN(Ввод!$B$4,Ввод!$B$4+1-SUMPRODUCT(MAX((Оплаты!$D$6:$D$505=A84)*(Оплаты!$A$6:$A$505&gt;Оплаты!$A$76)*(Ввод!$B$4+1-Оплаты!$A$6:$A$505)))))</f>
        <v/>
      </c>
      <c r="E84" s="14">
        <f>IF(A84="","",INDEX(Акты!$D$5:$D$16,B84)-SUMIFS(Оплаты!$B$6:$B$505,Оплаты!$D$6:$D$505,A84,Оплаты!$A$6:$A$505,"&lt;="&amp;Оплаты!$A$76))</f>
        <v/>
      </c>
      <c r="F84" s="14">
        <f>IF(G84="","",SUMPRODUCT(ROUND(E84*'По дням'!$L$6:$L$155/100*((((D84+'По дням'!$K$6:$K$155-ABS(D84-'По дням'!$K$6:$K$155))-(C84+'По дням'!$J$6:$J$155+ABS(C84-'По дням'!$J$6:$J$155)))/2+1)&gt;0)*(((D84+'По дням'!$K$6:$K$155-ABS(D84-'По дням'!$K$6:$K$155))-(C84+'По дням'!$J$6:$J$155+ABS(C84-'По дням'!$J$6:$J$155)))/2+1)/'По дням'!$M$6:$M$155,2)*(1-'По дням'!$N$6:$N$155)))</f>
        <v/>
      </c>
      <c r="G84">
        <f>IF(A84="","",IF(C84&gt;D84,"",B84*1000000+C84))</f>
        <v/>
      </c>
      <c r="H84" s="14">
        <f>IF(G84="","",SUMIFS(Оплаты!$B$6:$B$505,Оплаты!$D$6:$D$505,A84,Оплаты!$A$6:$A$505,D84))</f>
        <v/>
      </c>
      <c r="I84">
        <f>IF(G84="","",SUMPRODUCT((((((D84+'По дням'!$K$6:$K$155-ABS(D84-'По дням'!$K$6:$K$155))-(C84+'По дням'!$J$6:$J$155+ABS(C84-'По дням'!$J$6:$J$155)))/2+1)&gt;0)*(((D84+'По дням'!$K$6:$K$155-ABS(D84-'По дням'!$K$6:$K$155))-(C84+'По дням'!$J$6:$J$155+ABS(C84-'По дням'!$J$6:$J$155)))/2+1)&gt;0)*1))</f>
        <v/>
      </c>
    </row>
    <row r="85">
      <c r="A85">
        <f>IF(AND(Оплаты!$E$77="ок",COUNTIFS(Акты!$B$5:$B$16,Оплаты!$D$77,Акты!$H$5:$H$16,"ок")&gt;0,COUNTIFS(Оплаты!$D$6:$D$76,Оплаты!$D$77,Оплаты!$A$6:$A$76,Оплаты!$A$77)=0),Оплаты!$D$77,"")</f>
        <v/>
      </c>
      <c r="B85">
        <f>IF(A85="","",MATCH(A85,Акты!$B$5:$B$16,0))</f>
        <v/>
      </c>
      <c r="C85" s="20">
        <f>IF(A85="","",Оплаты!$A$77+1)</f>
        <v/>
      </c>
      <c r="D85" s="20">
        <f>IF(A85="","",MIN(Ввод!$B$4,Ввод!$B$4+1-SUMPRODUCT(MAX((Оплаты!$D$6:$D$505=A85)*(Оплаты!$A$6:$A$505&gt;Оплаты!$A$77)*(Ввод!$B$4+1-Оплаты!$A$6:$A$505)))))</f>
        <v/>
      </c>
      <c r="E85" s="14">
        <f>IF(A85="","",INDEX(Акты!$D$5:$D$16,B85)-SUMIFS(Оплаты!$B$6:$B$505,Оплаты!$D$6:$D$505,A85,Оплаты!$A$6:$A$505,"&lt;="&amp;Оплаты!$A$77))</f>
        <v/>
      </c>
      <c r="F85" s="14">
        <f>IF(G85="","",SUMPRODUCT(ROUND(E85*'По дням'!$L$6:$L$155/100*((((D85+'По дням'!$K$6:$K$155-ABS(D85-'По дням'!$K$6:$K$155))-(C85+'По дням'!$J$6:$J$155+ABS(C85-'По дням'!$J$6:$J$155)))/2+1)&gt;0)*(((D85+'По дням'!$K$6:$K$155-ABS(D85-'По дням'!$K$6:$K$155))-(C85+'По дням'!$J$6:$J$155+ABS(C85-'По дням'!$J$6:$J$155)))/2+1)/'По дням'!$M$6:$M$155,2)*(1-'По дням'!$N$6:$N$155)))</f>
        <v/>
      </c>
      <c r="G85">
        <f>IF(A85="","",IF(C85&gt;D85,"",B85*1000000+C85))</f>
        <v/>
      </c>
      <c r="H85" s="14">
        <f>IF(G85="","",SUMIFS(Оплаты!$B$6:$B$505,Оплаты!$D$6:$D$505,A85,Оплаты!$A$6:$A$505,D85))</f>
        <v/>
      </c>
      <c r="I85">
        <f>IF(G85="","",SUMPRODUCT((((((D85+'По дням'!$K$6:$K$155-ABS(D85-'По дням'!$K$6:$K$155))-(C85+'По дням'!$J$6:$J$155+ABS(C85-'По дням'!$J$6:$J$155)))/2+1)&gt;0)*(((D85+'По дням'!$K$6:$K$155-ABS(D85-'По дням'!$K$6:$K$155))-(C85+'По дням'!$J$6:$J$155+ABS(C85-'По дням'!$J$6:$J$155)))/2+1)&gt;0)*1))</f>
        <v/>
      </c>
    </row>
    <row r="86">
      <c r="A86">
        <f>IF(AND(Оплаты!$E$78="ок",COUNTIFS(Акты!$B$5:$B$16,Оплаты!$D$78,Акты!$H$5:$H$16,"ок")&gt;0,COUNTIFS(Оплаты!$D$6:$D$77,Оплаты!$D$78,Оплаты!$A$6:$A$77,Оплаты!$A$78)=0),Оплаты!$D$78,"")</f>
        <v/>
      </c>
      <c r="B86">
        <f>IF(A86="","",MATCH(A86,Акты!$B$5:$B$16,0))</f>
        <v/>
      </c>
      <c r="C86" s="20">
        <f>IF(A86="","",Оплаты!$A$78+1)</f>
        <v/>
      </c>
      <c r="D86" s="20">
        <f>IF(A86="","",MIN(Ввод!$B$4,Ввод!$B$4+1-SUMPRODUCT(MAX((Оплаты!$D$6:$D$505=A86)*(Оплаты!$A$6:$A$505&gt;Оплаты!$A$78)*(Ввод!$B$4+1-Оплаты!$A$6:$A$505)))))</f>
        <v/>
      </c>
      <c r="E86" s="14">
        <f>IF(A86="","",INDEX(Акты!$D$5:$D$16,B86)-SUMIFS(Оплаты!$B$6:$B$505,Оплаты!$D$6:$D$505,A86,Оплаты!$A$6:$A$505,"&lt;="&amp;Оплаты!$A$78))</f>
        <v/>
      </c>
      <c r="F86" s="14">
        <f>IF(G86="","",SUMPRODUCT(ROUND(E86*'По дням'!$L$6:$L$155/100*((((D86+'По дням'!$K$6:$K$155-ABS(D86-'По дням'!$K$6:$K$155))-(C86+'По дням'!$J$6:$J$155+ABS(C86-'По дням'!$J$6:$J$155)))/2+1)&gt;0)*(((D86+'По дням'!$K$6:$K$155-ABS(D86-'По дням'!$K$6:$K$155))-(C86+'По дням'!$J$6:$J$155+ABS(C86-'По дням'!$J$6:$J$155)))/2+1)/'По дням'!$M$6:$M$155,2)*(1-'По дням'!$N$6:$N$155)))</f>
        <v/>
      </c>
      <c r="G86">
        <f>IF(A86="","",IF(C86&gt;D86,"",B86*1000000+C86))</f>
        <v/>
      </c>
      <c r="H86" s="14">
        <f>IF(G86="","",SUMIFS(Оплаты!$B$6:$B$505,Оплаты!$D$6:$D$505,A86,Оплаты!$A$6:$A$505,D86))</f>
        <v/>
      </c>
      <c r="I86">
        <f>IF(G86="","",SUMPRODUCT((((((D86+'По дням'!$K$6:$K$155-ABS(D86-'По дням'!$K$6:$K$155))-(C86+'По дням'!$J$6:$J$155+ABS(C86-'По дням'!$J$6:$J$155)))/2+1)&gt;0)*(((D86+'По дням'!$K$6:$K$155-ABS(D86-'По дням'!$K$6:$K$155))-(C86+'По дням'!$J$6:$J$155+ABS(C86-'По дням'!$J$6:$J$155)))/2+1)&gt;0)*1))</f>
        <v/>
      </c>
    </row>
    <row r="87">
      <c r="A87">
        <f>IF(AND(Оплаты!$E$79="ок",COUNTIFS(Акты!$B$5:$B$16,Оплаты!$D$79,Акты!$H$5:$H$16,"ок")&gt;0,COUNTIFS(Оплаты!$D$6:$D$78,Оплаты!$D$79,Оплаты!$A$6:$A$78,Оплаты!$A$79)=0),Оплаты!$D$79,"")</f>
        <v/>
      </c>
      <c r="B87">
        <f>IF(A87="","",MATCH(A87,Акты!$B$5:$B$16,0))</f>
        <v/>
      </c>
      <c r="C87" s="20">
        <f>IF(A87="","",Оплаты!$A$79+1)</f>
        <v/>
      </c>
      <c r="D87" s="20">
        <f>IF(A87="","",MIN(Ввод!$B$4,Ввод!$B$4+1-SUMPRODUCT(MAX((Оплаты!$D$6:$D$505=A87)*(Оплаты!$A$6:$A$505&gt;Оплаты!$A$79)*(Ввод!$B$4+1-Оплаты!$A$6:$A$505)))))</f>
        <v/>
      </c>
      <c r="E87" s="14">
        <f>IF(A87="","",INDEX(Акты!$D$5:$D$16,B87)-SUMIFS(Оплаты!$B$6:$B$505,Оплаты!$D$6:$D$505,A87,Оплаты!$A$6:$A$505,"&lt;="&amp;Оплаты!$A$79))</f>
        <v/>
      </c>
      <c r="F87" s="14">
        <f>IF(G87="","",SUMPRODUCT(ROUND(E87*'По дням'!$L$6:$L$155/100*((((D87+'По дням'!$K$6:$K$155-ABS(D87-'По дням'!$K$6:$K$155))-(C87+'По дням'!$J$6:$J$155+ABS(C87-'По дням'!$J$6:$J$155)))/2+1)&gt;0)*(((D87+'По дням'!$K$6:$K$155-ABS(D87-'По дням'!$K$6:$K$155))-(C87+'По дням'!$J$6:$J$155+ABS(C87-'По дням'!$J$6:$J$155)))/2+1)/'По дням'!$M$6:$M$155,2)*(1-'По дням'!$N$6:$N$155)))</f>
        <v/>
      </c>
      <c r="G87">
        <f>IF(A87="","",IF(C87&gt;D87,"",B87*1000000+C87))</f>
        <v/>
      </c>
      <c r="H87" s="14">
        <f>IF(G87="","",SUMIFS(Оплаты!$B$6:$B$505,Оплаты!$D$6:$D$505,A87,Оплаты!$A$6:$A$505,D87))</f>
        <v/>
      </c>
      <c r="I87">
        <f>IF(G87="","",SUMPRODUCT((((((D87+'По дням'!$K$6:$K$155-ABS(D87-'По дням'!$K$6:$K$155))-(C87+'По дням'!$J$6:$J$155+ABS(C87-'По дням'!$J$6:$J$155)))/2+1)&gt;0)*(((D87+'По дням'!$K$6:$K$155-ABS(D87-'По дням'!$K$6:$K$155))-(C87+'По дням'!$J$6:$J$155+ABS(C87-'По дням'!$J$6:$J$155)))/2+1)&gt;0)*1))</f>
        <v/>
      </c>
    </row>
    <row r="88">
      <c r="A88">
        <f>IF(AND(Оплаты!$E$80="ок",COUNTIFS(Акты!$B$5:$B$16,Оплаты!$D$80,Акты!$H$5:$H$16,"ок")&gt;0,COUNTIFS(Оплаты!$D$6:$D$79,Оплаты!$D$80,Оплаты!$A$6:$A$79,Оплаты!$A$80)=0),Оплаты!$D$80,"")</f>
        <v/>
      </c>
      <c r="B88">
        <f>IF(A88="","",MATCH(A88,Акты!$B$5:$B$16,0))</f>
        <v/>
      </c>
      <c r="C88" s="20">
        <f>IF(A88="","",Оплаты!$A$80+1)</f>
        <v/>
      </c>
      <c r="D88" s="20">
        <f>IF(A88="","",MIN(Ввод!$B$4,Ввод!$B$4+1-SUMPRODUCT(MAX((Оплаты!$D$6:$D$505=A88)*(Оплаты!$A$6:$A$505&gt;Оплаты!$A$80)*(Ввод!$B$4+1-Оплаты!$A$6:$A$505)))))</f>
        <v/>
      </c>
      <c r="E88" s="14">
        <f>IF(A88="","",INDEX(Акты!$D$5:$D$16,B88)-SUMIFS(Оплаты!$B$6:$B$505,Оплаты!$D$6:$D$505,A88,Оплаты!$A$6:$A$505,"&lt;="&amp;Оплаты!$A$80))</f>
        <v/>
      </c>
      <c r="F88" s="14">
        <f>IF(G88="","",SUMPRODUCT(ROUND(E88*'По дням'!$L$6:$L$155/100*((((D88+'По дням'!$K$6:$K$155-ABS(D88-'По дням'!$K$6:$K$155))-(C88+'По дням'!$J$6:$J$155+ABS(C88-'По дням'!$J$6:$J$155)))/2+1)&gt;0)*(((D88+'По дням'!$K$6:$K$155-ABS(D88-'По дням'!$K$6:$K$155))-(C88+'По дням'!$J$6:$J$155+ABS(C88-'По дням'!$J$6:$J$155)))/2+1)/'По дням'!$M$6:$M$155,2)*(1-'По дням'!$N$6:$N$155)))</f>
        <v/>
      </c>
      <c r="G88">
        <f>IF(A88="","",IF(C88&gt;D88,"",B88*1000000+C88))</f>
        <v/>
      </c>
      <c r="H88" s="14">
        <f>IF(G88="","",SUMIFS(Оплаты!$B$6:$B$505,Оплаты!$D$6:$D$505,A88,Оплаты!$A$6:$A$505,D88))</f>
        <v/>
      </c>
      <c r="I88">
        <f>IF(G88="","",SUMPRODUCT((((((D88+'По дням'!$K$6:$K$155-ABS(D88-'По дням'!$K$6:$K$155))-(C88+'По дням'!$J$6:$J$155+ABS(C88-'По дням'!$J$6:$J$155)))/2+1)&gt;0)*(((D88+'По дням'!$K$6:$K$155-ABS(D88-'По дням'!$K$6:$K$155))-(C88+'По дням'!$J$6:$J$155+ABS(C88-'По дням'!$J$6:$J$155)))/2+1)&gt;0)*1))</f>
        <v/>
      </c>
    </row>
    <row r="89">
      <c r="A89">
        <f>IF(AND(Оплаты!$E$81="ок",COUNTIFS(Акты!$B$5:$B$16,Оплаты!$D$81,Акты!$H$5:$H$16,"ок")&gt;0,COUNTIFS(Оплаты!$D$6:$D$80,Оплаты!$D$81,Оплаты!$A$6:$A$80,Оплаты!$A$81)=0),Оплаты!$D$81,"")</f>
        <v/>
      </c>
      <c r="B89">
        <f>IF(A89="","",MATCH(A89,Акты!$B$5:$B$16,0))</f>
        <v/>
      </c>
      <c r="C89" s="20">
        <f>IF(A89="","",Оплаты!$A$81+1)</f>
        <v/>
      </c>
      <c r="D89" s="20">
        <f>IF(A89="","",MIN(Ввод!$B$4,Ввод!$B$4+1-SUMPRODUCT(MAX((Оплаты!$D$6:$D$505=A89)*(Оплаты!$A$6:$A$505&gt;Оплаты!$A$81)*(Ввод!$B$4+1-Оплаты!$A$6:$A$505)))))</f>
        <v/>
      </c>
      <c r="E89" s="14">
        <f>IF(A89="","",INDEX(Акты!$D$5:$D$16,B89)-SUMIFS(Оплаты!$B$6:$B$505,Оплаты!$D$6:$D$505,A89,Оплаты!$A$6:$A$505,"&lt;="&amp;Оплаты!$A$81))</f>
        <v/>
      </c>
      <c r="F89" s="14">
        <f>IF(G89="","",SUMPRODUCT(ROUND(E89*'По дням'!$L$6:$L$155/100*((((D89+'По дням'!$K$6:$K$155-ABS(D89-'По дням'!$K$6:$K$155))-(C89+'По дням'!$J$6:$J$155+ABS(C89-'По дням'!$J$6:$J$155)))/2+1)&gt;0)*(((D89+'По дням'!$K$6:$K$155-ABS(D89-'По дням'!$K$6:$K$155))-(C89+'По дням'!$J$6:$J$155+ABS(C89-'По дням'!$J$6:$J$155)))/2+1)/'По дням'!$M$6:$M$155,2)*(1-'По дням'!$N$6:$N$155)))</f>
        <v/>
      </c>
      <c r="G89">
        <f>IF(A89="","",IF(C89&gt;D89,"",B89*1000000+C89))</f>
        <v/>
      </c>
      <c r="H89" s="14">
        <f>IF(G89="","",SUMIFS(Оплаты!$B$6:$B$505,Оплаты!$D$6:$D$505,A89,Оплаты!$A$6:$A$505,D89))</f>
        <v/>
      </c>
      <c r="I89">
        <f>IF(G89="","",SUMPRODUCT((((((D89+'По дням'!$K$6:$K$155-ABS(D89-'По дням'!$K$6:$K$155))-(C89+'По дням'!$J$6:$J$155+ABS(C89-'По дням'!$J$6:$J$155)))/2+1)&gt;0)*(((D89+'По дням'!$K$6:$K$155-ABS(D89-'По дням'!$K$6:$K$155))-(C89+'По дням'!$J$6:$J$155+ABS(C89-'По дням'!$J$6:$J$155)))/2+1)&gt;0)*1))</f>
        <v/>
      </c>
    </row>
    <row r="90">
      <c r="A90">
        <f>IF(AND(Оплаты!$E$82="ок",COUNTIFS(Акты!$B$5:$B$16,Оплаты!$D$82,Акты!$H$5:$H$16,"ок")&gt;0,COUNTIFS(Оплаты!$D$6:$D$81,Оплаты!$D$82,Оплаты!$A$6:$A$81,Оплаты!$A$82)=0),Оплаты!$D$82,"")</f>
        <v/>
      </c>
      <c r="B90">
        <f>IF(A90="","",MATCH(A90,Акты!$B$5:$B$16,0))</f>
        <v/>
      </c>
      <c r="C90" s="20">
        <f>IF(A90="","",Оплаты!$A$82+1)</f>
        <v/>
      </c>
      <c r="D90" s="20">
        <f>IF(A90="","",MIN(Ввод!$B$4,Ввод!$B$4+1-SUMPRODUCT(MAX((Оплаты!$D$6:$D$505=A90)*(Оплаты!$A$6:$A$505&gt;Оплаты!$A$82)*(Ввод!$B$4+1-Оплаты!$A$6:$A$505)))))</f>
        <v/>
      </c>
      <c r="E90" s="14">
        <f>IF(A90="","",INDEX(Акты!$D$5:$D$16,B90)-SUMIFS(Оплаты!$B$6:$B$505,Оплаты!$D$6:$D$505,A90,Оплаты!$A$6:$A$505,"&lt;="&amp;Оплаты!$A$82))</f>
        <v/>
      </c>
      <c r="F90" s="14">
        <f>IF(G90="","",SUMPRODUCT(ROUND(E90*'По дням'!$L$6:$L$155/100*((((D90+'По дням'!$K$6:$K$155-ABS(D90-'По дням'!$K$6:$K$155))-(C90+'По дням'!$J$6:$J$155+ABS(C90-'По дням'!$J$6:$J$155)))/2+1)&gt;0)*(((D90+'По дням'!$K$6:$K$155-ABS(D90-'По дням'!$K$6:$K$155))-(C90+'По дням'!$J$6:$J$155+ABS(C90-'По дням'!$J$6:$J$155)))/2+1)/'По дням'!$M$6:$M$155,2)*(1-'По дням'!$N$6:$N$155)))</f>
        <v/>
      </c>
      <c r="G90">
        <f>IF(A90="","",IF(C90&gt;D90,"",B90*1000000+C90))</f>
        <v/>
      </c>
      <c r="H90" s="14">
        <f>IF(G90="","",SUMIFS(Оплаты!$B$6:$B$505,Оплаты!$D$6:$D$505,A90,Оплаты!$A$6:$A$505,D90))</f>
        <v/>
      </c>
      <c r="I90">
        <f>IF(G90="","",SUMPRODUCT((((((D90+'По дням'!$K$6:$K$155-ABS(D90-'По дням'!$K$6:$K$155))-(C90+'По дням'!$J$6:$J$155+ABS(C90-'По дням'!$J$6:$J$155)))/2+1)&gt;0)*(((D90+'По дням'!$K$6:$K$155-ABS(D90-'По дням'!$K$6:$K$155))-(C90+'По дням'!$J$6:$J$155+ABS(C90-'По дням'!$J$6:$J$155)))/2+1)&gt;0)*1))</f>
        <v/>
      </c>
    </row>
    <row r="91">
      <c r="A91">
        <f>IF(AND(Оплаты!$E$83="ок",COUNTIFS(Акты!$B$5:$B$16,Оплаты!$D$83,Акты!$H$5:$H$16,"ок")&gt;0,COUNTIFS(Оплаты!$D$6:$D$82,Оплаты!$D$83,Оплаты!$A$6:$A$82,Оплаты!$A$83)=0),Оплаты!$D$83,"")</f>
        <v/>
      </c>
      <c r="B91">
        <f>IF(A91="","",MATCH(A91,Акты!$B$5:$B$16,0))</f>
        <v/>
      </c>
      <c r="C91" s="20">
        <f>IF(A91="","",Оплаты!$A$83+1)</f>
        <v/>
      </c>
      <c r="D91" s="20">
        <f>IF(A91="","",MIN(Ввод!$B$4,Ввод!$B$4+1-SUMPRODUCT(MAX((Оплаты!$D$6:$D$505=A91)*(Оплаты!$A$6:$A$505&gt;Оплаты!$A$83)*(Ввод!$B$4+1-Оплаты!$A$6:$A$505)))))</f>
        <v/>
      </c>
      <c r="E91" s="14">
        <f>IF(A91="","",INDEX(Акты!$D$5:$D$16,B91)-SUMIFS(Оплаты!$B$6:$B$505,Оплаты!$D$6:$D$505,A91,Оплаты!$A$6:$A$505,"&lt;="&amp;Оплаты!$A$83))</f>
        <v/>
      </c>
      <c r="F91" s="14">
        <f>IF(G91="","",SUMPRODUCT(ROUND(E91*'По дням'!$L$6:$L$155/100*((((D91+'По дням'!$K$6:$K$155-ABS(D91-'По дням'!$K$6:$K$155))-(C91+'По дням'!$J$6:$J$155+ABS(C91-'По дням'!$J$6:$J$155)))/2+1)&gt;0)*(((D91+'По дням'!$K$6:$K$155-ABS(D91-'По дням'!$K$6:$K$155))-(C91+'По дням'!$J$6:$J$155+ABS(C91-'По дням'!$J$6:$J$155)))/2+1)/'По дням'!$M$6:$M$155,2)*(1-'По дням'!$N$6:$N$155)))</f>
        <v/>
      </c>
      <c r="G91">
        <f>IF(A91="","",IF(C91&gt;D91,"",B91*1000000+C91))</f>
        <v/>
      </c>
      <c r="H91" s="14">
        <f>IF(G91="","",SUMIFS(Оплаты!$B$6:$B$505,Оплаты!$D$6:$D$505,A91,Оплаты!$A$6:$A$505,D91))</f>
        <v/>
      </c>
      <c r="I91">
        <f>IF(G91="","",SUMPRODUCT((((((D91+'По дням'!$K$6:$K$155-ABS(D91-'По дням'!$K$6:$K$155))-(C91+'По дням'!$J$6:$J$155+ABS(C91-'По дням'!$J$6:$J$155)))/2+1)&gt;0)*(((D91+'По дням'!$K$6:$K$155-ABS(D91-'По дням'!$K$6:$K$155))-(C91+'По дням'!$J$6:$J$155+ABS(C91-'По дням'!$J$6:$J$155)))/2+1)&gt;0)*1))</f>
        <v/>
      </c>
    </row>
    <row r="92">
      <c r="A92">
        <f>IF(AND(Оплаты!$E$84="ок",COUNTIFS(Акты!$B$5:$B$16,Оплаты!$D$84,Акты!$H$5:$H$16,"ок")&gt;0,COUNTIFS(Оплаты!$D$6:$D$83,Оплаты!$D$84,Оплаты!$A$6:$A$83,Оплаты!$A$84)=0),Оплаты!$D$84,"")</f>
        <v/>
      </c>
      <c r="B92">
        <f>IF(A92="","",MATCH(A92,Акты!$B$5:$B$16,0))</f>
        <v/>
      </c>
      <c r="C92" s="20">
        <f>IF(A92="","",Оплаты!$A$84+1)</f>
        <v/>
      </c>
      <c r="D92" s="20">
        <f>IF(A92="","",MIN(Ввод!$B$4,Ввод!$B$4+1-SUMPRODUCT(MAX((Оплаты!$D$6:$D$505=A92)*(Оплаты!$A$6:$A$505&gt;Оплаты!$A$84)*(Ввод!$B$4+1-Оплаты!$A$6:$A$505)))))</f>
        <v/>
      </c>
      <c r="E92" s="14">
        <f>IF(A92="","",INDEX(Акты!$D$5:$D$16,B92)-SUMIFS(Оплаты!$B$6:$B$505,Оплаты!$D$6:$D$505,A92,Оплаты!$A$6:$A$505,"&lt;="&amp;Оплаты!$A$84))</f>
        <v/>
      </c>
      <c r="F92" s="14">
        <f>IF(G92="","",SUMPRODUCT(ROUND(E92*'По дням'!$L$6:$L$155/100*((((D92+'По дням'!$K$6:$K$155-ABS(D92-'По дням'!$K$6:$K$155))-(C92+'По дням'!$J$6:$J$155+ABS(C92-'По дням'!$J$6:$J$155)))/2+1)&gt;0)*(((D92+'По дням'!$K$6:$K$155-ABS(D92-'По дням'!$K$6:$K$155))-(C92+'По дням'!$J$6:$J$155+ABS(C92-'По дням'!$J$6:$J$155)))/2+1)/'По дням'!$M$6:$M$155,2)*(1-'По дням'!$N$6:$N$155)))</f>
        <v/>
      </c>
      <c r="G92">
        <f>IF(A92="","",IF(C92&gt;D92,"",B92*1000000+C92))</f>
        <v/>
      </c>
      <c r="H92" s="14">
        <f>IF(G92="","",SUMIFS(Оплаты!$B$6:$B$505,Оплаты!$D$6:$D$505,A92,Оплаты!$A$6:$A$505,D92))</f>
        <v/>
      </c>
      <c r="I92">
        <f>IF(G92="","",SUMPRODUCT((((((D92+'По дням'!$K$6:$K$155-ABS(D92-'По дням'!$K$6:$K$155))-(C92+'По дням'!$J$6:$J$155+ABS(C92-'По дням'!$J$6:$J$155)))/2+1)&gt;0)*(((D92+'По дням'!$K$6:$K$155-ABS(D92-'По дням'!$K$6:$K$155))-(C92+'По дням'!$J$6:$J$155+ABS(C92-'По дням'!$J$6:$J$155)))/2+1)&gt;0)*1))</f>
        <v/>
      </c>
    </row>
    <row r="93">
      <c r="A93">
        <f>IF(AND(Оплаты!$E$85="ок",COUNTIFS(Акты!$B$5:$B$16,Оплаты!$D$85,Акты!$H$5:$H$16,"ок")&gt;0,COUNTIFS(Оплаты!$D$6:$D$84,Оплаты!$D$85,Оплаты!$A$6:$A$84,Оплаты!$A$85)=0),Оплаты!$D$85,"")</f>
        <v/>
      </c>
      <c r="B93">
        <f>IF(A93="","",MATCH(A93,Акты!$B$5:$B$16,0))</f>
        <v/>
      </c>
      <c r="C93" s="20">
        <f>IF(A93="","",Оплаты!$A$85+1)</f>
        <v/>
      </c>
      <c r="D93" s="20">
        <f>IF(A93="","",MIN(Ввод!$B$4,Ввод!$B$4+1-SUMPRODUCT(MAX((Оплаты!$D$6:$D$505=A93)*(Оплаты!$A$6:$A$505&gt;Оплаты!$A$85)*(Ввод!$B$4+1-Оплаты!$A$6:$A$505)))))</f>
        <v/>
      </c>
      <c r="E93" s="14">
        <f>IF(A93="","",INDEX(Акты!$D$5:$D$16,B93)-SUMIFS(Оплаты!$B$6:$B$505,Оплаты!$D$6:$D$505,A93,Оплаты!$A$6:$A$505,"&lt;="&amp;Оплаты!$A$85))</f>
        <v/>
      </c>
      <c r="F93" s="14">
        <f>IF(G93="","",SUMPRODUCT(ROUND(E93*'По дням'!$L$6:$L$155/100*((((D93+'По дням'!$K$6:$K$155-ABS(D93-'По дням'!$K$6:$K$155))-(C93+'По дням'!$J$6:$J$155+ABS(C93-'По дням'!$J$6:$J$155)))/2+1)&gt;0)*(((D93+'По дням'!$K$6:$K$155-ABS(D93-'По дням'!$K$6:$K$155))-(C93+'По дням'!$J$6:$J$155+ABS(C93-'По дням'!$J$6:$J$155)))/2+1)/'По дням'!$M$6:$M$155,2)*(1-'По дням'!$N$6:$N$155)))</f>
        <v/>
      </c>
      <c r="G93">
        <f>IF(A93="","",IF(C93&gt;D93,"",B93*1000000+C93))</f>
        <v/>
      </c>
      <c r="H93" s="14">
        <f>IF(G93="","",SUMIFS(Оплаты!$B$6:$B$505,Оплаты!$D$6:$D$505,A93,Оплаты!$A$6:$A$505,D93))</f>
        <v/>
      </c>
      <c r="I93">
        <f>IF(G93="","",SUMPRODUCT((((((D93+'По дням'!$K$6:$K$155-ABS(D93-'По дням'!$K$6:$K$155))-(C93+'По дням'!$J$6:$J$155+ABS(C93-'По дням'!$J$6:$J$155)))/2+1)&gt;0)*(((D93+'По дням'!$K$6:$K$155-ABS(D93-'По дням'!$K$6:$K$155))-(C93+'По дням'!$J$6:$J$155+ABS(C93-'По дням'!$J$6:$J$155)))/2+1)&gt;0)*1))</f>
        <v/>
      </c>
    </row>
    <row r="94">
      <c r="A94">
        <f>IF(AND(Оплаты!$E$86="ок",COUNTIFS(Акты!$B$5:$B$16,Оплаты!$D$86,Акты!$H$5:$H$16,"ок")&gt;0,COUNTIFS(Оплаты!$D$6:$D$85,Оплаты!$D$86,Оплаты!$A$6:$A$85,Оплаты!$A$86)=0),Оплаты!$D$86,"")</f>
        <v/>
      </c>
      <c r="B94">
        <f>IF(A94="","",MATCH(A94,Акты!$B$5:$B$16,0))</f>
        <v/>
      </c>
      <c r="C94" s="20">
        <f>IF(A94="","",Оплаты!$A$86+1)</f>
        <v/>
      </c>
      <c r="D94" s="20">
        <f>IF(A94="","",MIN(Ввод!$B$4,Ввод!$B$4+1-SUMPRODUCT(MAX((Оплаты!$D$6:$D$505=A94)*(Оплаты!$A$6:$A$505&gt;Оплаты!$A$86)*(Ввод!$B$4+1-Оплаты!$A$6:$A$505)))))</f>
        <v/>
      </c>
      <c r="E94" s="14">
        <f>IF(A94="","",INDEX(Акты!$D$5:$D$16,B94)-SUMIFS(Оплаты!$B$6:$B$505,Оплаты!$D$6:$D$505,A94,Оплаты!$A$6:$A$505,"&lt;="&amp;Оплаты!$A$86))</f>
        <v/>
      </c>
      <c r="F94" s="14">
        <f>IF(G94="","",SUMPRODUCT(ROUND(E94*'По дням'!$L$6:$L$155/100*((((D94+'По дням'!$K$6:$K$155-ABS(D94-'По дням'!$K$6:$K$155))-(C94+'По дням'!$J$6:$J$155+ABS(C94-'По дням'!$J$6:$J$155)))/2+1)&gt;0)*(((D94+'По дням'!$K$6:$K$155-ABS(D94-'По дням'!$K$6:$K$155))-(C94+'По дням'!$J$6:$J$155+ABS(C94-'По дням'!$J$6:$J$155)))/2+1)/'По дням'!$M$6:$M$155,2)*(1-'По дням'!$N$6:$N$155)))</f>
        <v/>
      </c>
      <c r="G94">
        <f>IF(A94="","",IF(C94&gt;D94,"",B94*1000000+C94))</f>
        <v/>
      </c>
      <c r="H94" s="14">
        <f>IF(G94="","",SUMIFS(Оплаты!$B$6:$B$505,Оплаты!$D$6:$D$505,A94,Оплаты!$A$6:$A$505,D94))</f>
        <v/>
      </c>
      <c r="I94">
        <f>IF(G94="","",SUMPRODUCT((((((D94+'По дням'!$K$6:$K$155-ABS(D94-'По дням'!$K$6:$K$155))-(C94+'По дням'!$J$6:$J$155+ABS(C94-'По дням'!$J$6:$J$155)))/2+1)&gt;0)*(((D94+'По дням'!$K$6:$K$155-ABS(D94-'По дням'!$K$6:$K$155))-(C94+'По дням'!$J$6:$J$155+ABS(C94-'По дням'!$J$6:$J$155)))/2+1)&gt;0)*1))</f>
        <v/>
      </c>
    </row>
    <row r="95">
      <c r="A95">
        <f>IF(AND(Оплаты!$E$87="ок",COUNTIFS(Акты!$B$5:$B$16,Оплаты!$D$87,Акты!$H$5:$H$16,"ок")&gt;0,COUNTIFS(Оплаты!$D$6:$D$86,Оплаты!$D$87,Оплаты!$A$6:$A$86,Оплаты!$A$87)=0),Оплаты!$D$87,"")</f>
        <v/>
      </c>
      <c r="B95">
        <f>IF(A95="","",MATCH(A95,Акты!$B$5:$B$16,0))</f>
        <v/>
      </c>
      <c r="C95" s="20">
        <f>IF(A95="","",Оплаты!$A$87+1)</f>
        <v/>
      </c>
      <c r="D95" s="20">
        <f>IF(A95="","",MIN(Ввод!$B$4,Ввод!$B$4+1-SUMPRODUCT(MAX((Оплаты!$D$6:$D$505=A95)*(Оплаты!$A$6:$A$505&gt;Оплаты!$A$87)*(Ввод!$B$4+1-Оплаты!$A$6:$A$505)))))</f>
        <v/>
      </c>
      <c r="E95" s="14">
        <f>IF(A95="","",INDEX(Акты!$D$5:$D$16,B95)-SUMIFS(Оплаты!$B$6:$B$505,Оплаты!$D$6:$D$505,A95,Оплаты!$A$6:$A$505,"&lt;="&amp;Оплаты!$A$87))</f>
        <v/>
      </c>
      <c r="F95" s="14">
        <f>IF(G95="","",SUMPRODUCT(ROUND(E95*'По дням'!$L$6:$L$155/100*((((D95+'По дням'!$K$6:$K$155-ABS(D95-'По дням'!$K$6:$K$155))-(C95+'По дням'!$J$6:$J$155+ABS(C95-'По дням'!$J$6:$J$155)))/2+1)&gt;0)*(((D95+'По дням'!$K$6:$K$155-ABS(D95-'По дням'!$K$6:$K$155))-(C95+'По дням'!$J$6:$J$155+ABS(C95-'По дням'!$J$6:$J$155)))/2+1)/'По дням'!$M$6:$M$155,2)*(1-'По дням'!$N$6:$N$155)))</f>
        <v/>
      </c>
      <c r="G95">
        <f>IF(A95="","",IF(C95&gt;D95,"",B95*1000000+C95))</f>
        <v/>
      </c>
      <c r="H95" s="14">
        <f>IF(G95="","",SUMIFS(Оплаты!$B$6:$B$505,Оплаты!$D$6:$D$505,A95,Оплаты!$A$6:$A$505,D95))</f>
        <v/>
      </c>
      <c r="I95">
        <f>IF(G95="","",SUMPRODUCT((((((D95+'По дням'!$K$6:$K$155-ABS(D95-'По дням'!$K$6:$K$155))-(C95+'По дням'!$J$6:$J$155+ABS(C95-'По дням'!$J$6:$J$155)))/2+1)&gt;0)*(((D95+'По дням'!$K$6:$K$155-ABS(D95-'По дням'!$K$6:$K$155))-(C95+'По дням'!$J$6:$J$155+ABS(C95-'По дням'!$J$6:$J$155)))/2+1)&gt;0)*1))</f>
        <v/>
      </c>
    </row>
    <row r="96">
      <c r="A96">
        <f>IF(AND(Оплаты!$E$88="ок",COUNTIFS(Акты!$B$5:$B$16,Оплаты!$D$88,Акты!$H$5:$H$16,"ок")&gt;0,COUNTIFS(Оплаты!$D$6:$D$87,Оплаты!$D$88,Оплаты!$A$6:$A$87,Оплаты!$A$88)=0),Оплаты!$D$88,"")</f>
        <v/>
      </c>
      <c r="B96">
        <f>IF(A96="","",MATCH(A96,Акты!$B$5:$B$16,0))</f>
        <v/>
      </c>
      <c r="C96" s="20">
        <f>IF(A96="","",Оплаты!$A$88+1)</f>
        <v/>
      </c>
      <c r="D96" s="20">
        <f>IF(A96="","",MIN(Ввод!$B$4,Ввод!$B$4+1-SUMPRODUCT(MAX((Оплаты!$D$6:$D$505=A96)*(Оплаты!$A$6:$A$505&gt;Оплаты!$A$88)*(Ввод!$B$4+1-Оплаты!$A$6:$A$505)))))</f>
        <v/>
      </c>
      <c r="E96" s="14">
        <f>IF(A96="","",INDEX(Акты!$D$5:$D$16,B96)-SUMIFS(Оплаты!$B$6:$B$505,Оплаты!$D$6:$D$505,A96,Оплаты!$A$6:$A$505,"&lt;="&amp;Оплаты!$A$88))</f>
        <v/>
      </c>
      <c r="F96" s="14">
        <f>IF(G96="","",SUMPRODUCT(ROUND(E96*'По дням'!$L$6:$L$155/100*((((D96+'По дням'!$K$6:$K$155-ABS(D96-'По дням'!$K$6:$K$155))-(C96+'По дням'!$J$6:$J$155+ABS(C96-'По дням'!$J$6:$J$155)))/2+1)&gt;0)*(((D96+'По дням'!$K$6:$K$155-ABS(D96-'По дням'!$K$6:$K$155))-(C96+'По дням'!$J$6:$J$155+ABS(C96-'По дням'!$J$6:$J$155)))/2+1)/'По дням'!$M$6:$M$155,2)*(1-'По дням'!$N$6:$N$155)))</f>
        <v/>
      </c>
      <c r="G96">
        <f>IF(A96="","",IF(C96&gt;D96,"",B96*1000000+C96))</f>
        <v/>
      </c>
      <c r="H96" s="14">
        <f>IF(G96="","",SUMIFS(Оплаты!$B$6:$B$505,Оплаты!$D$6:$D$505,A96,Оплаты!$A$6:$A$505,D96))</f>
        <v/>
      </c>
      <c r="I96">
        <f>IF(G96="","",SUMPRODUCT((((((D96+'По дням'!$K$6:$K$155-ABS(D96-'По дням'!$K$6:$K$155))-(C96+'По дням'!$J$6:$J$155+ABS(C96-'По дням'!$J$6:$J$155)))/2+1)&gt;0)*(((D96+'По дням'!$K$6:$K$155-ABS(D96-'По дням'!$K$6:$K$155))-(C96+'По дням'!$J$6:$J$155+ABS(C96-'По дням'!$J$6:$J$155)))/2+1)&gt;0)*1))</f>
        <v/>
      </c>
    </row>
    <row r="97">
      <c r="A97">
        <f>IF(AND(Оплаты!$E$89="ок",COUNTIFS(Акты!$B$5:$B$16,Оплаты!$D$89,Акты!$H$5:$H$16,"ок")&gt;0,COUNTIFS(Оплаты!$D$6:$D$88,Оплаты!$D$89,Оплаты!$A$6:$A$88,Оплаты!$A$89)=0),Оплаты!$D$89,"")</f>
        <v/>
      </c>
      <c r="B97">
        <f>IF(A97="","",MATCH(A97,Акты!$B$5:$B$16,0))</f>
        <v/>
      </c>
      <c r="C97" s="20">
        <f>IF(A97="","",Оплаты!$A$89+1)</f>
        <v/>
      </c>
      <c r="D97" s="20">
        <f>IF(A97="","",MIN(Ввод!$B$4,Ввод!$B$4+1-SUMPRODUCT(MAX((Оплаты!$D$6:$D$505=A97)*(Оплаты!$A$6:$A$505&gt;Оплаты!$A$89)*(Ввод!$B$4+1-Оплаты!$A$6:$A$505)))))</f>
        <v/>
      </c>
      <c r="E97" s="14">
        <f>IF(A97="","",INDEX(Акты!$D$5:$D$16,B97)-SUMIFS(Оплаты!$B$6:$B$505,Оплаты!$D$6:$D$505,A97,Оплаты!$A$6:$A$505,"&lt;="&amp;Оплаты!$A$89))</f>
        <v/>
      </c>
      <c r="F97" s="14">
        <f>IF(G97="","",SUMPRODUCT(ROUND(E97*'По дням'!$L$6:$L$155/100*((((D97+'По дням'!$K$6:$K$155-ABS(D97-'По дням'!$K$6:$K$155))-(C97+'По дням'!$J$6:$J$155+ABS(C97-'По дням'!$J$6:$J$155)))/2+1)&gt;0)*(((D97+'По дням'!$K$6:$K$155-ABS(D97-'По дням'!$K$6:$K$155))-(C97+'По дням'!$J$6:$J$155+ABS(C97-'По дням'!$J$6:$J$155)))/2+1)/'По дням'!$M$6:$M$155,2)*(1-'По дням'!$N$6:$N$155)))</f>
        <v/>
      </c>
      <c r="G97">
        <f>IF(A97="","",IF(C97&gt;D97,"",B97*1000000+C97))</f>
        <v/>
      </c>
      <c r="H97" s="14">
        <f>IF(G97="","",SUMIFS(Оплаты!$B$6:$B$505,Оплаты!$D$6:$D$505,A97,Оплаты!$A$6:$A$505,D97))</f>
        <v/>
      </c>
      <c r="I97">
        <f>IF(G97="","",SUMPRODUCT((((((D97+'По дням'!$K$6:$K$155-ABS(D97-'По дням'!$K$6:$K$155))-(C97+'По дням'!$J$6:$J$155+ABS(C97-'По дням'!$J$6:$J$155)))/2+1)&gt;0)*(((D97+'По дням'!$K$6:$K$155-ABS(D97-'По дням'!$K$6:$K$155))-(C97+'По дням'!$J$6:$J$155+ABS(C97-'По дням'!$J$6:$J$155)))/2+1)&gt;0)*1))</f>
        <v/>
      </c>
    </row>
    <row r="98">
      <c r="A98">
        <f>IF(AND(Оплаты!$E$90="ок",COUNTIFS(Акты!$B$5:$B$16,Оплаты!$D$90,Акты!$H$5:$H$16,"ок")&gt;0,COUNTIFS(Оплаты!$D$6:$D$89,Оплаты!$D$90,Оплаты!$A$6:$A$89,Оплаты!$A$90)=0),Оплаты!$D$90,"")</f>
        <v/>
      </c>
      <c r="B98">
        <f>IF(A98="","",MATCH(A98,Акты!$B$5:$B$16,0))</f>
        <v/>
      </c>
      <c r="C98" s="20">
        <f>IF(A98="","",Оплаты!$A$90+1)</f>
        <v/>
      </c>
      <c r="D98" s="20">
        <f>IF(A98="","",MIN(Ввод!$B$4,Ввод!$B$4+1-SUMPRODUCT(MAX((Оплаты!$D$6:$D$505=A98)*(Оплаты!$A$6:$A$505&gt;Оплаты!$A$90)*(Ввод!$B$4+1-Оплаты!$A$6:$A$505)))))</f>
        <v/>
      </c>
      <c r="E98" s="14">
        <f>IF(A98="","",INDEX(Акты!$D$5:$D$16,B98)-SUMIFS(Оплаты!$B$6:$B$505,Оплаты!$D$6:$D$505,A98,Оплаты!$A$6:$A$505,"&lt;="&amp;Оплаты!$A$90))</f>
        <v/>
      </c>
      <c r="F98" s="14">
        <f>IF(G98="","",SUMPRODUCT(ROUND(E98*'По дням'!$L$6:$L$155/100*((((D98+'По дням'!$K$6:$K$155-ABS(D98-'По дням'!$K$6:$K$155))-(C98+'По дням'!$J$6:$J$155+ABS(C98-'По дням'!$J$6:$J$155)))/2+1)&gt;0)*(((D98+'По дням'!$K$6:$K$155-ABS(D98-'По дням'!$K$6:$K$155))-(C98+'По дням'!$J$6:$J$155+ABS(C98-'По дням'!$J$6:$J$155)))/2+1)/'По дням'!$M$6:$M$155,2)*(1-'По дням'!$N$6:$N$155)))</f>
        <v/>
      </c>
      <c r="G98">
        <f>IF(A98="","",IF(C98&gt;D98,"",B98*1000000+C98))</f>
        <v/>
      </c>
      <c r="H98" s="14">
        <f>IF(G98="","",SUMIFS(Оплаты!$B$6:$B$505,Оплаты!$D$6:$D$505,A98,Оплаты!$A$6:$A$505,D98))</f>
        <v/>
      </c>
      <c r="I98">
        <f>IF(G98="","",SUMPRODUCT((((((D98+'По дням'!$K$6:$K$155-ABS(D98-'По дням'!$K$6:$K$155))-(C98+'По дням'!$J$6:$J$155+ABS(C98-'По дням'!$J$6:$J$155)))/2+1)&gt;0)*(((D98+'По дням'!$K$6:$K$155-ABS(D98-'По дням'!$K$6:$K$155))-(C98+'По дням'!$J$6:$J$155+ABS(C98-'По дням'!$J$6:$J$155)))/2+1)&gt;0)*1))</f>
        <v/>
      </c>
    </row>
    <row r="99">
      <c r="A99">
        <f>IF(AND(Оплаты!$E$91="ок",COUNTIFS(Акты!$B$5:$B$16,Оплаты!$D$91,Акты!$H$5:$H$16,"ок")&gt;0,COUNTIFS(Оплаты!$D$6:$D$90,Оплаты!$D$91,Оплаты!$A$6:$A$90,Оплаты!$A$91)=0),Оплаты!$D$91,"")</f>
        <v/>
      </c>
      <c r="B99">
        <f>IF(A99="","",MATCH(A99,Акты!$B$5:$B$16,0))</f>
        <v/>
      </c>
      <c r="C99" s="20">
        <f>IF(A99="","",Оплаты!$A$91+1)</f>
        <v/>
      </c>
      <c r="D99" s="20">
        <f>IF(A99="","",MIN(Ввод!$B$4,Ввод!$B$4+1-SUMPRODUCT(MAX((Оплаты!$D$6:$D$505=A99)*(Оплаты!$A$6:$A$505&gt;Оплаты!$A$91)*(Ввод!$B$4+1-Оплаты!$A$6:$A$505)))))</f>
        <v/>
      </c>
      <c r="E99" s="14">
        <f>IF(A99="","",INDEX(Акты!$D$5:$D$16,B99)-SUMIFS(Оплаты!$B$6:$B$505,Оплаты!$D$6:$D$505,A99,Оплаты!$A$6:$A$505,"&lt;="&amp;Оплаты!$A$91))</f>
        <v/>
      </c>
      <c r="F99" s="14">
        <f>IF(G99="","",SUMPRODUCT(ROUND(E99*'По дням'!$L$6:$L$155/100*((((D99+'По дням'!$K$6:$K$155-ABS(D99-'По дням'!$K$6:$K$155))-(C99+'По дням'!$J$6:$J$155+ABS(C99-'По дням'!$J$6:$J$155)))/2+1)&gt;0)*(((D99+'По дням'!$K$6:$K$155-ABS(D99-'По дням'!$K$6:$K$155))-(C99+'По дням'!$J$6:$J$155+ABS(C99-'По дням'!$J$6:$J$155)))/2+1)/'По дням'!$M$6:$M$155,2)*(1-'По дням'!$N$6:$N$155)))</f>
        <v/>
      </c>
      <c r="G99">
        <f>IF(A99="","",IF(C99&gt;D99,"",B99*1000000+C99))</f>
        <v/>
      </c>
      <c r="H99" s="14">
        <f>IF(G99="","",SUMIFS(Оплаты!$B$6:$B$505,Оплаты!$D$6:$D$505,A99,Оплаты!$A$6:$A$505,D99))</f>
        <v/>
      </c>
      <c r="I99">
        <f>IF(G99="","",SUMPRODUCT((((((D99+'По дням'!$K$6:$K$155-ABS(D99-'По дням'!$K$6:$K$155))-(C99+'По дням'!$J$6:$J$155+ABS(C99-'По дням'!$J$6:$J$155)))/2+1)&gt;0)*(((D99+'По дням'!$K$6:$K$155-ABS(D99-'По дням'!$K$6:$K$155))-(C99+'По дням'!$J$6:$J$155+ABS(C99-'По дням'!$J$6:$J$155)))/2+1)&gt;0)*1))</f>
        <v/>
      </c>
    </row>
    <row r="100">
      <c r="A100">
        <f>IF(AND(Оплаты!$E$92="ок",COUNTIFS(Акты!$B$5:$B$16,Оплаты!$D$92,Акты!$H$5:$H$16,"ок")&gt;0,COUNTIFS(Оплаты!$D$6:$D$91,Оплаты!$D$92,Оплаты!$A$6:$A$91,Оплаты!$A$92)=0),Оплаты!$D$92,"")</f>
        <v/>
      </c>
      <c r="B100">
        <f>IF(A100="","",MATCH(A100,Акты!$B$5:$B$16,0))</f>
        <v/>
      </c>
      <c r="C100" s="20">
        <f>IF(A100="","",Оплаты!$A$92+1)</f>
        <v/>
      </c>
      <c r="D100" s="20">
        <f>IF(A100="","",MIN(Ввод!$B$4,Ввод!$B$4+1-SUMPRODUCT(MAX((Оплаты!$D$6:$D$505=A100)*(Оплаты!$A$6:$A$505&gt;Оплаты!$A$92)*(Ввод!$B$4+1-Оплаты!$A$6:$A$505)))))</f>
        <v/>
      </c>
      <c r="E100" s="14">
        <f>IF(A100="","",INDEX(Акты!$D$5:$D$16,B100)-SUMIFS(Оплаты!$B$6:$B$505,Оплаты!$D$6:$D$505,A100,Оплаты!$A$6:$A$505,"&lt;="&amp;Оплаты!$A$92))</f>
        <v/>
      </c>
      <c r="F100" s="14">
        <f>IF(G100="","",SUMPRODUCT(ROUND(E100*'По дням'!$L$6:$L$155/100*((((D100+'По дням'!$K$6:$K$155-ABS(D100-'По дням'!$K$6:$K$155))-(C100+'По дням'!$J$6:$J$155+ABS(C100-'По дням'!$J$6:$J$155)))/2+1)&gt;0)*(((D100+'По дням'!$K$6:$K$155-ABS(D100-'По дням'!$K$6:$K$155))-(C100+'По дням'!$J$6:$J$155+ABS(C100-'По дням'!$J$6:$J$155)))/2+1)/'По дням'!$M$6:$M$155,2)*(1-'По дням'!$N$6:$N$155)))</f>
        <v/>
      </c>
      <c r="G100">
        <f>IF(A100="","",IF(C100&gt;D100,"",B100*1000000+C100))</f>
        <v/>
      </c>
      <c r="H100" s="14">
        <f>IF(G100="","",SUMIFS(Оплаты!$B$6:$B$505,Оплаты!$D$6:$D$505,A100,Оплаты!$A$6:$A$505,D100))</f>
        <v/>
      </c>
      <c r="I100">
        <f>IF(G100="","",SUMPRODUCT((((((D100+'По дням'!$K$6:$K$155-ABS(D100-'По дням'!$K$6:$K$155))-(C100+'По дням'!$J$6:$J$155+ABS(C100-'По дням'!$J$6:$J$155)))/2+1)&gt;0)*(((D100+'По дням'!$K$6:$K$155-ABS(D100-'По дням'!$K$6:$K$155))-(C100+'По дням'!$J$6:$J$155+ABS(C100-'По дням'!$J$6:$J$155)))/2+1)&gt;0)*1))</f>
        <v/>
      </c>
    </row>
    <row r="101">
      <c r="A101">
        <f>IF(AND(Оплаты!$E$93="ок",COUNTIFS(Акты!$B$5:$B$16,Оплаты!$D$93,Акты!$H$5:$H$16,"ок")&gt;0,COUNTIFS(Оплаты!$D$6:$D$92,Оплаты!$D$93,Оплаты!$A$6:$A$92,Оплаты!$A$93)=0),Оплаты!$D$93,"")</f>
        <v/>
      </c>
      <c r="B101">
        <f>IF(A101="","",MATCH(A101,Акты!$B$5:$B$16,0))</f>
        <v/>
      </c>
      <c r="C101" s="20">
        <f>IF(A101="","",Оплаты!$A$93+1)</f>
        <v/>
      </c>
      <c r="D101" s="20">
        <f>IF(A101="","",MIN(Ввод!$B$4,Ввод!$B$4+1-SUMPRODUCT(MAX((Оплаты!$D$6:$D$505=A101)*(Оплаты!$A$6:$A$505&gt;Оплаты!$A$93)*(Ввод!$B$4+1-Оплаты!$A$6:$A$505)))))</f>
        <v/>
      </c>
      <c r="E101" s="14">
        <f>IF(A101="","",INDEX(Акты!$D$5:$D$16,B101)-SUMIFS(Оплаты!$B$6:$B$505,Оплаты!$D$6:$D$505,A101,Оплаты!$A$6:$A$505,"&lt;="&amp;Оплаты!$A$93))</f>
        <v/>
      </c>
      <c r="F101" s="14">
        <f>IF(G101="","",SUMPRODUCT(ROUND(E101*'По дням'!$L$6:$L$155/100*((((D101+'По дням'!$K$6:$K$155-ABS(D101-'По дням'!$K$6:$K$155))-(C101+'По дням'!$J$6:$J$155+ABS(C101-'По дням'!$J$6:$J$155)))/2+1)&gt;0)*(((D101+'По дням'!$K$6:$K$155-ABS(D101-'По дням'!$K$6:$K$155))-(C101+'По дням'!$J$6:$J$155+ABS(C101-'По дням'!$J$6:$J$155)))/2+1)/'По дням'!$M$6:$M$155,2)*(1-'По дням'!$N$6:$N$155)))</f>
        <v/>
      </c>
      <c r="G101">
        <f>IF(A101="","",IF(C101&gt;D101,"",B101*1000000+C101))</f>
        <v/>
      </c>
      <c r="H101" s="14">
        <f>IF(G101="","",SUMIFS(Оплаты!$B$6:$B$505,Оплаты!$D$6:$D$505,A101,Оплаты!$A$6:$A$505,D101))</f>
        <v/>
      </c>
      <c r="I101">
        <f>IF(G101="","",SUMPRODUCT((((((D101+'По дням'!$K$6:$K$155-ABS(D101-'По дням'!$K$6:$K$155))-(C101+'По дням'!$J$6:$J$155+ABS(C101-'По дням'!$J$6:$J$155)))/2+1)&gt;0)*(((D101+'По дням'!$K$6:$K$155-ABS(D101-'По дням'!$K$6:$K$155))-(C101+'По дням'!$J$6:$J$155+ABS(C101-'По дням'!$J$6:$J$155)))/2+1)&gt;0)*1))</f>
        <v/>
      </c>
    </row>
    <row r="102">
      <c r="A102">
        <f>IF(AND(Оплаты!$E$94="ок",COUNTIFS(Акты!$B$5:$B$16,Оплаты!$D$94,Акты!$H$5:$H$16,"ок")&gt;0,COUNTIFS(Оплаты!$D$6:$D$93,Оплаты!$D$94,Оплаты!$A$6:$A$93,Оплаты!$A$94)=0),Оплаты!$D$94,"")</f>
        <v/>
      </c>
      <c r="B102">
        <f>IF(A102="","",MATCH(A102,Акты!$B$5:$B$16,0))</f>
        <v/>
      </c>
      <c r="C102" s="20">
        <f>IF(A102="","",Оплаты!$A$94+1)</f>
        <v/>
      </c>
      <c r="D102" s="20">
        <f>IF(A102="","",MIN(Ввод!$B$4,Ввод!$B$4+1-SUMPRODUCT(MAX((Оплаты!$D$6:$D$505=A102)*(Оплаты!$A$6:$A$505&gt;Оплаты!$A$94)*(Ввод!$B$4+1-Оплаты!$A$6:$A$505)))))</f>
        <v/>
      </c>
      <c r="E102" s="14">
        <f>IF(A102="","",INDEX(Акты!$D$5:$D$16,B102)-SUMIFS(Оплаты!$B$6:$B$505,Оплаты!$D$6:$D$505,A102,Оплаты!$A$6:$A$505,"&lt;="&amp;Оплаты!$A$94))</f>
        <v/>
      </c>
      <c r="F102" s="14">
        <f>IF(G102="","",SUMPRODUCT(ROUND(E102*'По дням'!$L$6:$L$155/100*((((D102+'По дням'!$K$6:$K$155-ABS(D102-'По дням'!$K$6:$K$155))-(C102+'По дням'!$J$6:$J$155+ABS(C102-'По дням'!$J$6:$J$155)))/2+1)&gt;0)*(((D102+'По дням'!$K$6:$K$155-ABS(D102-'По дням'!$K$6:$K$155))-(C102+'По дням'!$J$6:$J$155+ABS(C102-'По дням'!$J$6:$J$155)))/2+1)/'По дням'!$M$6:$M$155,2)*(1-'По дням'!$N$6:$N$155)))</f>
        <v/>
      </c>
      <c r="G102">
        <f>IF(A102="","",IF(C102&gt;D102,"",B102*1000000+C102))</f>
        <v/>
      </c>
      <c r="H102" s="14">
        <f>IF(G102="","",SUMIFS(Оплаты!$B$6:$B$505,Оплаты!$D$6:$D$505,A102,Оплаты!$A$6:$A$505,D102))</f>
        <v/>
      </c>
      <c r="I102">
        <f>IF(G102="","",SUMPRODUCT((((((D102+'По дням'!$K$6:$K$155-ABS(D102-'По дням'!$K$6:$K$155))-(C102+'По дням'!$J$6:$J$155+ABS(C102-'По дням'!$J$6:$J$155)))/2+1)&gt;0)*(((D102+'По дням'!$K$6:$K$155-ABS(D102-'По дням'!$K$6:$K$155))-(C102+'По дням'!$J$6:$J$155+ABS(C102-'По дням'!$J$6:$J$155)))/2+1)&gt;0)*1))</f>
        <v/>
      </c>
    </row>
    <row r="103">
      <c r="A103">
        <f>IF(AND(Оплаты!$E$95="ок",COUNTIFS(Акты!$B$5:$B$16,Оплаты!$D$95,Акты!$H$5:$H$16,"ок")&gt;0,COUNTIFS(Оплаты!$D$6:$D$94,Оплаты!$D$95,Оплаты!$A$6:$A$94,Оплаты!$A$95)=0),Оплаты!$D$95,"")</f>
        <v/>
      </c>
      <c r="B103">
        <f>IF(A103="","",MATCH(A103,Акты!$B$5:$B$16,0))</f>
        <v/>
      </c>
      <c r="C103" s="20">
        <f>IF(A103="","",Оплаты!$A$95+1)</f>
        <v/>
      </c>
      <c r="D103" s="20">
        <f>IF(A103="","",MIN(Ввод!$B$4,Ввод!$B$4+1-SUMPRODUCT(MAX((Оплаты!$D$6:$D$505=A103)*(Оплаты!$A$6:$A$505&gt;Оплаты!$A$95)*(Ввод!$B$4+1-Оплаты!$A$6:$A$505)))))</f>
        <v/>
      </c>
      <c r="E103" s="14">
        <f>IF(A103="","",INDEX(Акты!$D$5:$D$16,B103)-SUMIFS(Оплаты!$B$6:$B$505,Оплаты!$D$6:$D$505,A103,Оплаты!$A$6:$A$505,"&lt;="&amp;Оплаты!$A$95))</f>
        <v/>
      </c>
      <c r="F103" s="14">
        <f>IF(G103="","",SUMPRODUCT(ROUND(E103*'По дням'!$L$6:$L$155/100*((((D103+'По дням'!$K$6:$K$155-ABS(D103-'По дням'!$K$6:$K$155))-(C103+'По дням'!$J$6:$J$155+ABS(C103-'По дням'!$J$6:$J$155)))/2+1)&gt;0)*(((D103+'По дням'!$K$6:$K$155-ABS(D103-'По дням'!$K$6:$K$155))-(C103+'По дням'!$J$6:$J$155+ABS(C103-'По дням'!$J$6:$J$155)))/2+1)/'По дням'!$M$6:$M$155,2)*(1-'По дням'!$N$6:$N$155)))</f>
        <v/>
      </c>
      <c r="G103">
        <f>IF(A103="","",IF(C103&gt;D103,"",B103*1000000+C103))</f>
        <v/>
      </c>
      <c r="H103" s="14">
        <f>IF(G103="","",SUMIFS(Оплаты!$B$6:$B$505,Оплаты!$D$6:$D$505,A103,Оплаты!$A$6:$A$505,D103))</f>
        <v/>
      </c>
      <c r="I103">
        <f>IF(G103="","",SUMPRODUCT((((((D103+'По дням'!$K$6:$K$155-ABS(D103-'По дням'!$K$6:$K$155))-(C103+'По дням'!$J$6:$J$155+ABS(C103-'По дням'!$J$6:$J$155)))/2+1)&gt;0)*(((D103+'По дням'!$K$6:$K$155-ABS(D103-'По дням'!$K$6:$K$155))-(C103+'По дням'!$J$6:$J$155+ABS(C103-'По дням'!$J$6:$J$155)))/2+1)&gt;0)*1))</f>
        <v/>
      </c>
    </row>
    <row r="104">
      <c r="A104">
        <f>IF(AND(Оплаты!$E$96="ок",COUNTIFS(Акты!$B$5:$B$16,Оплаты!$D$96,Акты!$H$5:$H$16,"ок")&gt;0,COUNTIFS(Оплаты!$D$6:$D$95,Оплаты!$D$96,Оплаты!$A$6:$A$95,Оплаты!$A$96)=0),Оплаты!$D$96,"")</f>
        <v/>
      </c>
      <c r="B104">
        <f>IF(A104="","",MATCH(A104,Акты!$B$5:$B$16,0))</f>
        <v/>
      </c>
      <c r="C104" s="20">
        <f>IF(A104="","",Оплаты!$A$96+1)</f>
        <v/>
      </c>
      <c r="D104" s="20">
        <f>IF(A104="","",MIN(Ввод!$B$4,Ввод!$B$4+1-SUMPRODUCT(MAX((Оплаты!$D$6:$D$505=A104)*(Оплаты!$A$6:$A$505&gt;Оплаты!$A$96)*(Ввод!$B$4+1-Оплаты!$A$6:$A$505)))))</f>
        <v/>
      </c>
      <c r="E104" s="14">
        <f>IF(A104="","",INDEX(Акты!$D$5:$D$16,B104)-SUMIFS(Оплаты!$B$6:$B$505,Оплаты!$D$6:$D$505,A104,Оплаты!$A$6:$A$505,"&lt;="&amp;Оплаты!$A$96))</f>
        <v/>
      </c>
      <c r="F104" s="14">
        <f>IF(G104="","",SUMPRODUCT(ROUND(E104*'По дням'!$L$6:$L$155/100*((((D104+'По дням'!$K$6:$K$155-ABS(D104-'По дням'!$K$6:$K$155))-(C104+'По дням'!$J$6:$J$155+ABS(C104-'По дням'!$J$6:$J$155)))/2+1)&gt;0)*(((D104+'По дням'!$K$6:$K$155-ABS(D104-'По дням'!$K$6:$K$155))-(C104+'По дням'!$J$6:$J$155+ABS(C104-'По дням'!$J$6:$J$155)))/2+1)/'По дням'!$M$6:$M$155,2)*(1-'По дням'!$N$6:$N$155)))</f>
        <v/>
      </c>
      <c r="G104">
        <f>IF(A104="","",IF(C104&gt;D104,"",B104*1000000+C104))</f>
        <v/>
      </c>
      <c r="H104" s="14">
        <f>IF(G104="","",SUMIFS(Оплаты!$B$6:$B$505,Оплаты!$D$6:$D$505,A104,Оплаты!$A$6:$A$505,D104))</f>
        <v/>
      </c>
      <c r="I104">
        <f>IF(G104="","",SUMPRODUCT((((((D104+'По дням'!$K$6:$K$155-ABS(D104-'По дням'!$K$6:$K$155))-(C104+'По дням'!$J$6:$J$155+ABS(C104-'По дням'!$J$6:$J$155)))/2+1)&gt;0)*(((D104+'По дням'!$K$6:$K$155-ABS(D104-'По дням'!$K$6:$K$155))-(C104+'По дням'!$J$6:$J$155+ABS(C104-'По дням'!$J$6:$J$155)))/2+1)&gt;0)*1))</f>
        <v/>
      </c>
    </row>
    <row r="105">
      <c r="A105">
        <f>IF(AND(Оплаты!$E$97="ок",COUNTIFS(Акты!$B$5:$B$16,Оплаты!$D$97,Акты!$H$5:$H$16,"ок")&gt;0,COUNTIFS(Оплаты!$D$6:$D$96,Оплаты!$D$97,Оплаты!$A$6:$A$96,Оплаты!$A$97)=0),Оплаты!$D$97,"")</f>
        <v/>
      </c>
      <c r="B105">
        <f>IF(A105="","",MATCH(A105,Акты!$B$5:$B$16,0))</f>
        <v/>
      </c>
      <c r="C105" s="20">
        <f>IF(A105="","",Оплаты!$A$97+1)</f>
        <v/>
      </c>
      <c r="D105" s="20">
        <f>IF(A105="","",MIN(Ввод!$B$4,Ввод!$B$4+1-SUMPRODUCT(MAX((Оплаты!$D$6:$D$505=A105)*(Оплаты!$A$6:$A$505&gt;Оплаты!$A$97)*(Ввод!$B$4+1-Оплаты!$A$6:$A$505)))))</f>
        <v/>
      </c>
      <c r="E105" s="14">
        <f>IF(A105="","",INDEX(Акты!$D$5:$D$16,B105)-SUMIFS(Оплаты!$B$6:$B$505,Оплаты!$D$6:$D$505,A105,Оплаты!$A$6:$A$505,"&lt;="&amp;Оплаты!$A$97))</f>
        <v/>
      </c>
      <c r="F105" s="14">
        <f>IF(G105="","",SUMPRODUCT(ROUND(E105*'По дням'!$L$6:$L$155/100*((((D105+'По дням'!$K$6:$K$155-ABS(D105-'По дням'!$K$6:$K$155))-(C105+'По дням'!$J$6:$J$155+ABS(C105-'По дням'!$J$6:$J$155)))/2+1)&gt;0)*(((D105+'По дням'!$K$6:$K$155-ABS(D105-'По дням'!$K$6:$K$155))-(C105+'По дням'!$J$6:$J$155+ABS(C105-'По дням'!$J$6:$J$155)))/2+1)/'По дням'!$M$6:$M$155,2)*(1-'По дням'!$N$6:$N$155)))</f>
        <v/>
      </c>
      <c r="G105">
        <f>IF(A105="","",IF(C105&gt;D105,"",B105*1000000+C105))</f>
        <v/>
      </c>
      <c r="H105" s="14">
        <f>IF(G105="","",SUMIFS(Оплаты!$B$6:$B$505,Оплаты!$D$6:$D$505,A105,Оплаты!$A$6:$A$505,D105))</f>
        <v/>
      </c>
      <c r="I105">
        <f>IF(G105="","",SUMPRODUCT((((((D105+'По дням'!$K$6:$K$155-ABS(D105-'По дням'!$K$6:$K$155))-(C105+'По дням'!$J$6:$J$155+ABS(C105-'По дням'!$J$6:$J$155)))/2+1)&gt;0)*(((D105+'По дням'!$K$6:$K$155-ABS(D105-'По дням'!$K$6:$K$155))-(C105+'По дням'!$J$6:$J$155+ABS(C105-'По дням'!$J$6:$J$155)))/2+1)&gt;0)*1))</f>
        <v/>
      </c>
    </row>
    <row r="106">
      <c r="A106">
        <f>IF(AND(Оплаты!$E$98="ок",COUNTIFS(Акты!$B$5:$B$16,Оплаты!$D$98,Акты!$H$5:$H$16,"ок")&gt;0,COUNTIFS(Оплаты!$D$6:$D$97,Оплаты!$D$98,Оплаты!$A$6:$A$97,Оплаты!$A$98)=0),Оплаты!$D$98,"")</f>
        <v/>
      </c>
      <c r="B106">
        <f>IF(A106="","",MATCH(A106,Акты!$B$5:$B$16,0))</f>
        <v/>
      </c>
      <c r="C106" s="20">
        <f>IF(A106="","",Оплаты!$A$98+1)</f>
        <v/>
      </c>
      <c r="D106" s="20">
        <f>IF(A106="","",MIN(Ввод!$B$4,Ввод!$B$4+1-SUMPRODUCT(MAX((Оплаты!$D$6:$D$505=A106)*(Оплаты!$A$6:$A$505&gt;Оплаты!$A$98)*(Ввод!$B$4+1-Оплаты!$A$6:$A$505)))))</f>
        <v/>
      </c>
      <c r="E106" s="14">
        <f>IF(A106="","",INDEX(Акты!$D$5:$D$16,B106)-SUMIFS(Оплаты!$B$6:$B$505,Оплаты!$D$6:$D$505,A106,Оплаты!$A$6:$A$505,"&lt;="&amp;Оплаты!$A$98))</f>
        <v/>
      </c>
      <c r="F106" s="14">
        <f>IF(G106="","",SUMPRODUCT(ROUND(E106*'По дням'!$L$6:$L$155/100*((((D106+'По дням'!$K$6:$K$155-ABS(D106-'По дням'!$K$6:$K$155))-(C106+'По дням'!$J$6:$J$155+ABS(C106-'По дням'!$J$6:$J$155)))/2+1)&gt;0)*(((D106+'По дням'!$K$6:$K$155-ABS(D106-'По дням'!$K$6:$K$155))-(C106+'По дням'!$J$6:$J$155+ABS(C106-'По дням'!$J$6:$J$155)))/2+1)/'По дням'!$M$6:$M$155,2)*(1-'По дням'!$N$6:$N$155)))</f>
        <v/>
      </c>
      <c r="G106">
        <f>IF(A106="","",IF(C106&gt;D106,"",B106*1000000+C106))</f>
        <v/>
      </c>
      <c r="H106" s="14">
        <f>IF(G106="","",SUMIFS(Оплаты!$B$6:$B$505,Оплаты!$D$6:$D$505,A106,Оплаты!$A$6:$A$505,D106))</f>
        <v/>
      </c>
      <c r="I106">
        <f>IF(G106="","",SUMPRODUCT((((((D106+'По дням'!$K$6:$K$155-ABS(D106-'По дням'!$K$6:$K$155))-(C106+'По дням'!$J$6:$J$155+ABS(C106-'По дням'!$J$6:$J$155)))/2+1)&gt;0)*(((D106+'По дням'!$K$6:$K$155-ABS(D106-'По дням'!$K$6:$K$155))-(C106+'По дням'!$J$6:$J$155+ABS(C106-'По дням'!$J$6:$J$155)))/2+1)&gt;0)*1))</f>
        <v/>
      </c>
    </row>
    <row r="107">
      <c r="A107">
        <f>IF(AND(Оплаты!$E$99="ок",COUNTIFS(Акты!$B$5:$B$16,Оплаты!$D$99,Акты!$H$5:$H$16,"ок")&gt;0,COUNTIFS(Оплаты!$D$6:$D$98,Оплаты!$D$99,Оплаты!$A$6:$A$98,Оплаты!$A$99)=0),Оплаты!$D$99,"")</f>
        <v/>
      </c>
      <c r="B107">
        <f>IF(A107="","",MATCH(A107,Акты!$B$5:$B$16,0))</f>
        <v/>
      </c>
      <c r="C107" s="20">
        <f>IF(A107="","",Оплаты!$A$99+1)</f>
        <v/>
      </c>
      <c r="D107" s="20">
        <f>IF(A107="","",MIN(Ввод!$B$4,Ввод!$B$4+1-SUMPRODUCT(MAX((Оплаты!$D$6:$D$505=A107)*(Оплаты!$A$6:$A$505&gt;Оплаты!$A$99)*(Ввод!$B$4+1-Оплаты!$A$6:$A$505)))))</f>
        <v/>
      </c>
      <c r="E107" s="14">
        <f>IF(A107="","",INDEX(Акты!$D$5:$D$16,B107)-SUMIFS(Оплаты!$B$6:$B$505,Оплаты!$D$6:$D$505,A107,Оплаты!$A$6:$A$505,"&lt;="&amp;Оплаты!$A$99))</f>
        <v/>
      </c>
      <c r="F107" s="14">
        <f>IF(G107="","",SUMPRODUCT(ROUND(E107*'По дням'!$L$6:$L$155/100*((((D107+'По дням'!$K$6:$K$155-ABS(D107-'По дням'!$K$6:$K$155))-(C107+'По дням'!$J$6:$J$155+ABS(C107-'По дням'!$J$6:$J$155)))/2+1)&gt;0)*(((D107+'По дням'!$K$6:$K$155-ABS(D107-'По дням'!$K$6:$K$155))-(C107+'По дням'!$J$6:$J$155+ABS(C107-'По дням'!$J$6:$J$155)))/2+1)/'По дням'!$M$6:$M$155,2)*(1-'По дням'!$N$6:$N$155)))</f>
        <v/>
      </c>
      <c r="G107">
        <f>IF(A107="","",IF(C107&gt;D107,"",B107*1000000+C107))</f>
        <v/>
      </c>
      <c r="H107" s="14">
        <f>IF(G107="","",SUMIFS(Оплаты!$B$6:$B$505,Оплаты!$D$6:$D$505,A107,Оплаты!$A$6:$A$505,D107))</f>
        <v/>
      </c>
      <c r="I107">
        <f>IF(G107="","",SUMPRODUCT((((((D107+'По дням'!$K$6:$K$155-ABS(D107-'По дням'!$K$6:$K$155))-(C107+'По дням'!$J$6:$J$155+ABS(C107-'По дням'!$J$6:$J$155)))/2+1)&gt;0)*(((D107+'По дням'!$K$6:$K$155-ABS(D107-'По дням'!$K$6:$K$155))-(C107+'По дням'!$J$6:$J$155+ABS(C107-'По дням'!$J$6:$J$155)))/2+1)&gt;0)*1))</f>
        <v/>
      </c>
    </row>
    <row r="108">
      <c r="A108">
        <f>IF(AND(Оплаты!$E$100="ок",COUNTIFS(Акты!$B$5:$B$16,Оплаты!$D$100,Акты!$H$5:$H$16,"ок")&gt;0,COUNTIFS(Оплаты!$D$6:$D$99,Оплаты!$D$100,Оплаты!$A$6:$A$99,Оплаты!$A$100)=0),Оплаты!$D$100,"")</f>
        <v/>
      </c>
      <c r="B108">
        <f>IF(A108="","",MATCH(A108,Акты!$B$5:$B$16,0))</f>
        <v/>
      </c>
      <c r="C108" s="20">
        <f>IF(A108="","",Оплаты!$A$100+1)</f>
        <v/>
      </c>
      <c r="D108" s="20">
        <f>IF(A108="","",MIN(Ввод!$B$4,Ввод!$B$4+1-SUMPRODUCT(MAX((Оплаты!$D$6:$D$505=A108)*(Оплаты!$A$6:$A$505&gt;Оплаты!$A$100)*(Ввод!$B$4+1-Оплаты!$A$6:$A$505)))))</f>
        <v/>
      </c>
      <c r="E108" s="14">
        <f>IF(A108="","",INDEX(Акты!$D$5:$D$16,B108)-SUMIFS(Оплаты!$B$6:$B$505,Оплаты!$D$6:$D$505,A108,Оплаты!$A$6:$A$505,"&lt;="&amp;Оплаты!$A$100))</f>
        <v/>
      </c>
      <c r="F108" s="14">
        <f>IF(G108="","",SUMPRODUCT(ROUND(E108*'По дням'!$L$6:$L$155/100*((((D108+'По дням'!$K$6:$K$155-ABS(D108-'По дням'!$K$6:$K$155))-(C108+'По дням'!$J$6:$J$155+ABS(C108-'По дням'!$J$6:$J$155)))/2+1)&gt;0)*(((D108+'По дням'!$K$6:$K$155-ABS(D108-'По дням'!$K$6:$K$155))-(C108+'По дням'!$J$6:$J$155+ABS(C108-'По дням'!$J$6:$J$155)))/2+1)/'По дням'!$M$6:$M$155,2)*(1-'По дням'!$N$6:$N$155)))</f>
        <v/>
      </c>
      <c r="G108">
        <f>IF(A108="","",IF(C108&gt;D108,"",B108*1000000+C108))</f>
        <v/>
      </c>
      <c r="H108" s="14">
        <f>IF(G108="","",SUMIFS(Оплаты!$B$6:$B$505,Оплаты!$D$6:$D$505,A108,Оплаты!$A$6:$A$505,D108))</f>
        <v/>
      </c>
      <c r="I108">
        <f>IF(G108="","",SUMPRODUCT((((((D108+'По дням'!$K$6:$K$155-ABS(D108-'По дням'!$K$6:$K$155))-(C108+'По дням'!$J$6:$J$155+ABS(C108-'По дням'!$J$6:$J$155)))/2+1)&gt;0)*(((D108+'По дням'!$K$6:$K$155-ABS(D108-'По дням'!$K$6:$K$155))-(C108+'По дням'!$J$6:$J$155+ABS(C108-'По дням'!$J$6:$J$155)))/2+1)&gt;0)*1))</f>
        <v/>
      </c>
    </row>
    <row r="109">
      <c r="A109">
        <f>IF(AND(Оплаты!$E$101="ок",COUNTIFS(Акты!$B$5:$B$16,Оплаты!$D$101,Акты!$H$5:$H$16,"ок")&gt;0,COUNTIFS(Оплаты!$D$6:$D$100,Оплаты!$D$101,Оплаты!$A$6:$A$100,Оплаты!$A$101)=0),Оплаты!$D$101,"")</f>
        <v/>
      </c>
      <c r="B109">
        <f>IF(A109="","",MATCH(A109,Акты!$B$5:$B$16,0))</f>
        <v/>
      </c>
      <c r="C109" s="20">
        <f>IF(A109="","",Оплаты!$A$101+1)</f>
        <v/>
      </c>
      <c r="D109" s="20">
        <f>IF(A109="","",MIN(Ввод!$B$4,Ввод!$B$4+1-SUMPRODUCT(MAX((Оплаты!$D$6:$D$505=A109)*(Оплаты!$A$6:$A$505&gt;Оплаты!$A$101)*(Ввод!$B$4+1-Оплаты!$A$6:$A$505)))))</f>
        <v/>
      </c>
      <c r="E109" s="14">
        <f>IF(A109="","",INDEX(Акты!$D$5:$D$16,B109)-SUMIFS(Оплаты!$B$6:$B$505,Оплаты!$D$6:$D$505,A109,Оплаты!$A$6:$A$505,"&lt;="&amp;Оплаты!$A$101))</f>
        <v/>
      </c>
      <c r="F109" s="14">
        <f>IF(G109="","",SUMPRODUCT(ROUND(E109*'По дням'!$L$6:$L$155/100*((((D109+'По дням'!$K$6:$K$155-ABS(D109-'По дням'!$K$6:$K$155))-(C109+'По дням'!$J$6:$J$155+ABS(C109-'По дням'!$J$6:$J$155)))/2+1)&gt;0)*(((D109+'По дням'!$K$6:$K$155-ABS(D109-'По дням'!$K$6:$K$155))-(C109+'По дням'!$J$6:$J$155+ABS(C109-'По дням'!$J$6:$J$155)))/2+1)/'По дням'!$M$6:$M$155,2)*(1-'По дням'!$N$6:$N$155)))</f>
        <v/>
      </c>
      <c r="G109">
        <f>IF(A109="","",IF(C109&gt;D109,"",B109*1000000+C109))</f>
        <v/>
      </c>
      <c r="H109" s="14">
        <f>IF(G109="","",SUMIFS(Оплаты!$B$6:$B$505,Оплаты!$D$6:$D$505,A109,Оплаты!$A$6:$A$505,D109))</f>
        <v/>
      </c>
      <c r="I109">
        <f>IF(G109="","",SUMPRODUCT((((((D109+'По дням'!$K$6:$K$155-ABS(D109-'По дням'!$K$6:$K$155))-(C109+'По дням'!$J$6:$J$155+ABS(C109-'По дням'!$J$6:$J$155)))/2+1)&gt;0)*(((D109+'По дням'!$K$6:$K$155-ABS(D109-'По дням'!$K$6:$K$155))-(C109+'По дням'!$J$6:$J$155+ABS(C109-'По дням'!$J$6:$J$155)))/2+1)&gt;0)*1))</f>
        <v/>
      </c>
    </row>
    <row r="110">
      <c r="A110">
        <f>IF(AND(Оплаты!$E$102="ок",COUNTIFS(Акты!$B$5:$B$16,Оплаты!$D$102,Акты!$H$5:$H$16,"ок")&gt;0,COUNTIFS(Оплаты!$D$6:$D$101,Оплаты!$D$102,Оплаты!$A$6:$A$101,Оплаты!$A$102)=0),Оплаты!$D$102,"")</f>
        <v/>
      </c>
      <c r="B110">
        <f>IF(A110="","",MATCH(A110,Акты!$B$5:$B$16,0))</f>
        <v/>
      </c>
      <c r="C110" s="20">
        <f>IF(A110="","",Оплаты!$A$102+1)</f>
        <v/>
      </c>
      <c r="D110" s="20">
        <f>IF(A110="","",MIN(Ввод!$B$4,Ввод!$B$4+1-SUMPRODUCT(MAX((Оплаты!$D$6:$D$505=A110)*(Оплаты!$A$6:$A$505&gt;Оплаты!$A$102)*(Ввод!$B$4+1-Оплаты!$A$6:$A$505)))))</f>
        <v/>
      </c>
      <c r="E110" s="14">
        <f>IF(A110="","",INDEX(Акты!$D$5:$D$16,B110)-SUMIFS(Оплаты!$B$6:$B$505,Оплаты!$D$6:$D$505,A110,Оплаты!$A$6:$A$505,"&lt;="&amp;Оплаты!$A$102))</f>
        <v/>
      </c>
      <c r="F110" s="14">
        <f>IF(G110="","",SUMPRODUCT(ROUND(E110*'По дням'!$L$6:$L$155/100*((((D110+'По дням'!$K$6:$K$155-ABS(D110-'По дням'!$K$6:$K$155))-(C110+'По дням'!$J$6:$J$155+ABS(C110-'По дням'!$J$6:$J$155)))/2+1)&gt;0)*(((D110+'По дням'!$K$6:$K$155-ABS(D110-'По дням'!$K$6:$K$155))-(C110+'По дням'!$J$6:$J$155+ABS(C110-'По дням'!$J$6:$J$155)))/2+1)/'По дням'!$M$6:$M$155,2)*(1-'По дням'!$N$6:$N$155)))</f>
        <v/>
      </c>
      <c r="G110">
        <f>IF(A110="","",IF(C110&gt;D110,"",B110*1000000+C110))</f>
        <v/>
      </c>
      <c r="H110" s="14">
        <f>IF(G110="","",SUMIFS(Оплаты!$B$6:$B$505,Оплаты!$D$6:$D$505,A110,Оплаты!$A$6:$A$505,D110))</f>
        <v/>
      </c>
      <c r="I110">
        <f>IF(G110="","",SUMPRODUCT((((((D110+'По дням'!$K$6:$K$155-ABS(D110-'По дням'!$K$6:$K$155))-(C110+'По дням'!$J$6:$J$155+ABS(C110-'По дням'!$J$6:$J$155)))/2+1)&gt;0)*(((D110+'По дням'!$K$6:$K$155-ABS(D110-'По дням'!$K$6:$K$155))-(C110+'По дням'!$J$6:$J$155+ABS(C110-'По дням'!$J$6:$J$155)))/2+1)&gt;0)*1))</f>
        <v/>
      </c>
    </row>
    <row r="111">
      <c r="A111">
        <f>IF(AND(Оплаты!$E$103="ок",COUNTIFS(Акты!$B$5:$B$16,Оплаты!$D$103,Акты!$H$5:$H$16,"ок")&gt;0,COUNTIFS(Оплаты!$D$6:$D$102,Оплаты!$D$103,Оплаты!$A$6:$A$102,Оплаты!$A$103)=0),Оплаты!$D$103,"")</f>
        <v/>
      </c>
      <c r="B111">
        <f>IF(A111="","",MATCH(A111,Акты!$B$5:$B$16,0))</f>
        <v/>
      </c>
      <c r="C111" s="20">
        <f>IF(A111="","",Оплаты!$A$103+1)</f>
        <v/>
      </c>
      <c r="D111" s="20">
        <f>IF(A111="","",MIN(Ввод!$B$4,Ввод!$B$4+1-SUMPRODUCT(MAX((Оплаты!$D$6:$D$505=A111)*(Оплаты!$A$6:$A$505&gt;Оплаты!$A$103)*(Ввод!$B$4+1-Оплаты!$A$6:$A$505)))))</f>
        <v/>
      </c>
      <c r="E111" s="14">
        <f>IF(A111="","",INDEX(Акты!$D$5:$D$16,B111)-SUMIFS(Оплаты!$B$6:$B$505,Оплаты!$D$6:$D$505,A111,Оплаты!$A$6:$A$505,"&lt;="&amp;Оплаты!$A$103))</f>
        <v/>
      </c>
      <c r="F111" s="14">
        <f>IF(G111="","",SUMPRODUCT(ROUND(E111*'По дням'!$L$6:$L$155/100*((((D111+'По дням'!$K$6:$K$155-ABS(D111-'По дням'!$K$6:$K$155))-(C111+'По дням'!$J$6:$J$155+ABS(C111-'По дням'!$J$6:$J$155)))/2+1)&gt;0)*(((D111+'По дням'!$K$6:$K$155-ABS(D111-'По дням'!$K$6:$K$155))-(C111+'По дням'!$J$6:$J$155+ABS(C111-'По дням'!$J$6:$J$155)))/2+1)/'По дням'!$M$6:$M$155,2)*(1-'По дням'!$N$6:$N$155)))</f>
        <v/>
      </c>
      <c r="G111">
        <f>IF(A111="","",IF(C111&gt;D111,"",B111*1000000+C111))</f>
        <v/>
      </c>
      <c r="H111" s="14">
        <f>IF(G111="","",SUMIFS(Оплаты!$B$6:$B$505,Оплаты!$D$6:$D$505,A111,Оплаты!$A$6:$A$505,D111))</f>
        <v/>
      </c>
      <c r="I111">
        <f>IF(G111="","",SUMPRODUCT((((((D111+'По дням'!$K$6:$K$155-ABS(D111-'По дням'!$K$6:$K$155))-(C111+'По дням'!$J$6:$J$155+ABS(C111-'По дням'!$J$6:$J$155)))/2+1)&gt;0)*(((D111+'По дням'!$K$6:$K$155-ABS(D111-'По дням'!$K$6:$K$155))-(C111+'По дням'!$J$6:$J$155+ABS(C111-'По дням'!$J$6:$J$155)))/2+1)&gt;0)*1))</f>
        <v/>
      </c>
    </row>
    <row r="112">
      <c r="A112">
        <f>IF(AND(Оплаты!$E$104="ок",COUNTIFS(Акты!$B$5:$B$16,Оплаты!$D$104,Акты!$H$5:$H$16,"ок")&gt;0,COUNTIFS(Оплаты!$D$6:$D$103,Оплаты!$D$104,Оплаты!$A$6:$A$103,Оплаты!$A$104)=0),Оплаты!$D$104,"")</f>
        <v/>
      </c>
      <c r="B112">
        <f>IF(A112="","",MATCH(A112,Акты!$B$5:$B$16,0))</f>
        <v/>
      </c>
      <c r="C112" s="20">
        <f>IF(A112="","",Оплаты!$A$104+1)</f>
        <v/>
      </c>
      <c r="D112" s="20">
        <f>IF(A112="","",MIN(Ввод!$B$4,Ввод!$B$4+1-SUMPRODUCT(MAX((Оплаты!$D$6:$D$505=A112)*(Оплаты!$A$6:$A$505&gt;Оплаты!$A$104)*(Ввод!$B$4+1-Оплаты!$A$6:$A$505)))))</f>
        <v/>
      </c>
      <c r="E112" s="14">
        <f>IF(A112="","",INDEX(Акты!$D$5:$D$16,B112)-SUMIFS(Оплаты!$B$6:$B$505,Оплаты!$D$6:$D$505,A112,Оплаты!$A$6:$A$505,"&lt;="&amp;Оплаты!$A$104))</f>
        <v/>
      </c>
      <c r="F112" s="14">
        <f>IF(G112="","",SUMPRODUCT(ROUND(E112*'По дням'!$L$6:$L$155/100*((((D112+'По дням'!$K$6:$K$155-ABS(D112-'По дням'!$K$6:$K$155))-(C112+'По дням'!$J$6:$J$155+ABS(C112-'По дням'!$J$6:$J$155)))/2+1)&gt;0)*(((D112+'По дням'!$K$6:$K$155-ABS(D112-'По дням'!$K$6:$K$155))-(C112+'По дням'!$J$6:$J$155+ABS(C112-'По дням'!$J$6:$J$155)))/2+1)/'По дням'!$M$6:$M$155,2)*(1-'По дням'!$N$6:$N$155)))</f>
        <v/>
      </c>
      <c r="G112">
        <f>IF(A112="","",IF(C112&gt;D112,"",B112*1000000+C112))</f>
        <v/>
      </c>
      <c r="H112" s="14">
        <f>IF(G112="","",SUMIFS(Оплаты!$B$6:$B$505,Оплаты!$D$6:$D$505,A112,Оплаты!$A$6:$A$505,D112))</f>
        <v/>
      </c>
      <c r="I112">
        <f>IF(G112="","",SUMPRODUCT((((((D112+'По дням'!$K$6:$K$155-ABS(D112-'По дням'!$K$6:$K$155))-(C112+'По дням'!$J$6:$J$155+ABS(C112-'По дням'!$J$6:$J$155)))/2+1)&gt;0)*(((D112+'По дням'!$K$6:$K$155-ABS(D112-'По дням'!$K$6:$K$155))-(C112+'По дням'!$J$6:$J$155+ABS(C112-'По дням'!$J$6:$J$155)))/2+1)&gt;0)*1))</f>
        <v/>
      </c>
    </row>
    <row r="113">
      <c r="A113">
        <f>IF(AND(Оплаты!$E$105="ок",COUNTIFS(Акты!$B$5:$B$16,Оплаты!$D$105,Акты!$H$5:$H$16,"ок")&gt;0,COUNTIFS(Оплаты!$D$6:$D$104,Оплаты!$D$105,Оплаты!$A$6:$A$104,Оплаты!$A$105)=0),Оплаты!$D$105,"")</f>
        <v/>
      </c>
      <c r="B113">
        <f>IF(A113="","",MATCH(A113,Акты!$B$5:$B$16,0))</f>
        <v/>
      </c>
      <c r="C113" s="20">
        <f>IF(A113="","",Оплаты!$A$105+1)</f>
        <v/>
      </c>
      <c r="D113" s="20">
        <f>IF(A113="","",MIN(Ввод!$B$4,Ввод!$B$4+1-SUMPRODUCT(MAX((Оплаты!$D$6:$D$505=A113)*(Оплаты!$A$6:$A$505&gt;Оплаты!$A$105)*(Ввод!$B$4+1-Оплаты!$A$6:$A$505)))))</f>
        <v/>
      </c>
      <c r="E113" s="14">
        <f>IF(A113="","",INDEX(Акты!$D$5:$D$16,B113)-SUMIFS(Оплаты!$B$6:$B$505,Оплаты!$D$6:$D$505,A113,Оплаты!$A$6:$A$505,"&lt;="&amp;Оплаты!$A$105))</f>
        <v/>
      </c>
      <c r="F113" s="14">
        <f>IF(G113="","",SUMPRODUCT(ROUND(E113*'По дням'!$L$6:$L$155/100*((((D113+'По дням'!$K$6:$K$155-ABS(D113-'По дням'!$K$6:$K$155))-(C113+'По дням'!$J$6:$J$155+ABS(C113-'По дням'!$J$6:$J$155)))/2+1)&gt;0)*(((D113+'По дням'!$K$6:$K$155-ABS(D113-'По дням'!$K$6:$K$155))-(C113+'По дням'!$J$6:$J$155+ABS(C113-'По дням'!$J$6:$J$155)))/2+1)/'По дням'!$M$6:$M$155,2)*(1-'По дням'!$N$6:$N$155)))</f>
        <v/>
      </c>
      <c r="G113">
        <f>IF(A113="","",IF(C113&gt;D113,"",B113*1000000+C113))</f>
        <v/>
      </c>
      <c r="H113" s="14">
        <f>IF(G113="","",SUMIFS(Оплаты!$B$6:$B$505,Оплаты!$D$6:$D$505,A113,Оплаты!$A$6:$A$505,D113))</f>
        <v/>
      </c>
      <c r="I113">
        <f>IF(G113="","",SUMPRODUCT((((((D113+'По дням'!$K$6:$K$155-ABS(D113-'По дням'!$K$6:$K$155))-(C113+'По дням'!$J$6:$J$155+ABS(C113-'По дням'!$J$6:$J$155)))/2+1)&gt;0)*(((D113+'По дням'!$K$6:$K$155-ABS(D113-'По дням'!$K$6:$K$155))-(C113+'По дням'!$J$6:$J$155+ABS(C113-'По дням'!$J$6:$J$155)))/2+1)&gt;0)*1))</f>
        <v/>
      </c>
    </row>
    <row r="114">
      <c r="A114">
        <f>IF(AND(Оплаты!$E$106="ок",COUNTIFS(Акты!$B$5:$B$16,Оплаты!$D$106,Акты!$H$5:$H$16,"ок")&gt;0,COUNTIFS(Оплаты!$D$6:$D$105,Оплаты!$D$106,Оплаты!$A$6:$A$105,Оплаты!$A$106)=0),Оплаты!$D$106,"")</f>
        <v/>
      </c>
      <c r="B114">
        <f>IF(A114="","",MATCH(A114,Акты!$B$5:$B$16,0))</f>
        <v/>
      </c>
      <c r="C114" s="20">
        <f>IF(A114="","",Оплаты!$A$106+1)</f>
        <v/>
      </c>
      <c r="D114" s="20">
        <f>IF(A114="","",MIN(Ввод!$B$4,Ввод!$B$4+1-SUMPRODUCT(MAX((Оплаты!$D$6:$D$505=A114)*(Оплаты!$A$6:$A$505&gt;Оплаты!$A$106)*(Ввод!$B$4+1-Оплаты!$A$6:$A$505)))))</f>
        <v/>
      </c>
      <c r="E114" s="14">
        <f>IF(A114="","",INDEX(Акты!$D$5:$D$16,B114)-SUMIFS(Оплаты!$B$6:$B$505,Оплаты!$D$6:$D$505,A114,Оплаты!$A$6:$A$505,"&lt;="&amp;Оплаты!$A$106))</f>
        <v/>
      </c>
      <c r="F114" s="14">
        <f>IF(G114="","",SUMPRODUCT(ROUND(E114*'По дням'!$L$6:$L$155/100*((((D114+'По дням'!$K$6:$K$155-ABS(D114-'По дням'!$K$6:$K$155))-(C114+'По дням'!$J$6:$J$155+ABS(C114-'По дням'!$J$6:$J$155)))/2+1)&gt;0)*(((D114+'По дням'!$K$6:$K$155-ABS(D114-'По дням'!$K$6:$K$155))-(C114+'По дням'!$J$6:$J$155+ABS(C114-'По дням'!$J$6:$J$155)))/2+1)/'По дням'!$M$6:$M$155,2)*(1-'По дням'!$N$6:$N$155)))</f>
        <v/>
      </c>
      <c r="G114">
        <f>IF(A114="","",IF(C114&gt;D114,"",B114*1000000+C114))</f>
        <v/>
      </c>
      <c r="H114" s="14">
        <f>IF(G114="","",SUMIFS(Оплаты!$B$6:$B$505,Оплаты!$D$6:$D$505,A114,Оплаты!$A$6:$A$505,D114))</f>
        <v/>
      </c>
      <c r="I114">
        <f>IF(G114="","",SUMPRODUCT((((((D114+'По дням'!$K$6:$K$155-ABS(D114-'По дням'!$K$6:$K$155))-(C114+'По дням'!$J$6:$J$155+ABS(C114-'По дням'!$J$6:$J$155)))/2+1)&gt;0)*(((D114+'По дням'!$K$6:$K$155-ABS(D114-'По дням'!$K$6:$K$155))-(C114+'По дням'!$J$6:$J$155+ABS(C114-'По дням'!$J$6:$J$155)))/2+1)&gt;0)*1))</f>
        <v/>
      </c>
    </row>
    <row r="115">
      <c r="A115">
        <f>IF(AND(Оплаты!$E$107="ок",COUNTIFS(Акты!$B$5:$B$16,Оплаты!$D$107,Акты!$H$5:$H$16,"ок")&gt;0,COUNTIFS(Оплаты!$D$6:$D$106,Оплаты!$D$107,Оплаты!$A$6:$A$106,Оплаты!$A$107)=0),Оплаты!$D$107,"")</f>
        <v/>
      </c>
      <c r="B115">
        <f>IF(A115="","",MATCH(A115,Акты!$B$5:$B$16,0))</f>
        <v/>
      </c>
      <c r="C115" s="20">
        <f>IF(A115="","",Оплаты!$A$107+1)</f>
        <v/>
      </c>
      <c r="D115" s="20">
        <f>IF(A115="","",MIN(Ввод!$B$4,Ввод!$B$4+1-SUMPRODUCT(MAX((Оплаты!$D$6:$D$505=A115)*(Оплаты!$A$6:$A$505&gt;Оплаты!$A$107)*(Ввод!$B$4+1-Оплаты!$A$6:$A$505)))))</f>
        <v/>
      </c>
      <c r="E115" s="14">
        <f>IF(A115="","",INDEX(Акты!$D$5:$D$16,B115)-SUMIFS(Оплаты!$B$6:$B$505,Оплаты!$D$6:$D$505,A115,Оплаты!$A$6:$A$505,"&lt;="&amp;Оплаты!$A$107))</f>
        <v/>
      </c>
      <c r="F115" s="14">
        <f>IF(G115="","",SUMPRODUCT(ROUND(E115*'По дням'!$L$6:$L$155/100*((((D115+'По дням'!$K$6:$K$155-ABS(D115-'По дням'!$K$6:$K$155))-(C115+'По дням'!$J$6:$J$155+ABS(C115-'По дням'!$J$6:$J$155)))/2+1)&gt;0)*(((D115+'По дням'!$K$6:$K$155-ABS(D115-'По дням'!$K$6:$K$155))-(C115+'По дням'!$J$6:$J$155+ABS(C115-'По дням'!$J$6:$J$155)))/2+1)/'По дням'!$M$6:$M$155,2)*(1-'По дням'!$N$6:$N$155)))</f>
        <v/>
      </c>
      <c r="G115">
        <f>IF(A115="","",IF(C115&gt;D115,"",B115*1000000+C115))</f>
        <v/>
      </c>
      <c r="H115" s="14">
        <f>IF(G115="","",SUMIFS(Оплаты!$B$6:$B$505,Оплаты!$D$6:$D$505,A115,Оплаты!$A$6:$A$505,D115))</f>
        <v/>
      </c>
      <c r="I115">
        <f>IF(G115="","",SUMPRODUCT((((((D115+'По дням'!$K$6:$K$155-ABS(D115-'По дням'!$K$6:$K$155))-(C115+'По дням'!$J$6:$J$155+ABS(C115-'По дням'!$J$6:$J$155)))/2+1)&gt;0)*(((D115+'По дням'!$K$6:$K$155-ABS(D115-'По дням'!$K$6:$K$155))-(C115+'По дням'!$J$6:$J$155+ABS(C115-'По дням'!$J$6:$J$155)))/2+1)&gt;0)*1))</f>
        <v/>
      </c>
    </row>
    <row r="116">
      <c r="A116">
        <f>IF(AND(Оплаты!$E$108="ок",COUNTIFS(Акты!$B$5:$B$16,Оплаты!$D$108,Акты!$H$5:$H$16,"ок")&gt;0,COUNTIFS(Оплаты!$D$6:$D$107,Оплаты!$D$108,Оплаты!$A$6:$A$107,Оплаты!$A$108)=0),Оплаты!$D$108,"")</f>
        <v/>
      </c>
      <c r="B116">
        <f>IF(A116="","",MATCH(A116,Акты!$B$5:$B$16,0))</f>
        <v/>
      </c>
      <c r="C116" s="20">
        <f>IF(A116="","",Оплаты!$A$108+1)</f>
        <v/>
      </c>
      <c r="D116" s="20">
        <f>IF(A116="","",MIN(Ввод!$B$4,Ввод!$B$4+1-SUMPRODUCT(MAX((Оплаты!$D$6:$D$505=A116)*(Оплаты!$A$6:$A$505&gt;Оплаты!$A$108)*(Ввод!$B$4+1-Оплаты!$A$6:$A$505)))))</f>
        <v/>
      </c>
      <c r="E116" s="14">
        <f>IF(A116="","",INDEX(Акты!$D$5:$D$16,B116)-SUMIFS(Оплаты!$B$6:$B$505,Оплаты!$D$6:$D$505,A116,Оплаты!$A$6:$A$505,"&lt;="&amp;Оплаты!$A$108))</f>
        <v/>
      </c>
      <c r="F116" s="14">
        <f>IF(G116="","",SUMPRODUCT(ROUND(E116*'По дням'!$L$6:$L$155/100*((((D116+'По дням'!$K$6:$K$155-ABS(D116-'По дням'!$K$6:$K$155))-(C116+'По дням'!$J$6:$J$155+ABS(C116-'По дням'!$J$6:$J$155)))/2+1)&gt;0)*(((D116+'По дням'!$K$6:$K$155-ABS(D116-'По дням'!$K$6:$K$155))-(C116+'По дням'!$J$6:$J$155+ABS(C116-'По дням'!$J$6:$J$155)))/2+1)/'По дням'!$M$6:$M$155,2)*(1-'По дням'!$N$6:$N$155)))</f>
        <v/>
      </c>
      <c r="G116">
        <f>IF(A116="","",IF(C116&gt;D116,"",B116*1000000+C116))</f>
        <v/>
      </c>
      <c r="H116" s="14">
        <f>IF(G116="","",SUMIFS(Оплаты!$B$6:$B$505,Оплаты!$D$6:$D$505,A116,Оплаты!$A$6:$A$505,D116))</f>
        <v/>
      </c>
      <c r="I116">
        <f>IF(G116="","",SUMPRODUCT((((((D116+'По дням'!$K$6:$K$155-ABS(D116-'По дням'!$K$6:$K$155))-(C116+'По дням'!$J$6:$J$155+ABS(C116-'По дням'!$J$6:$J$155)))/2+1)&gt;0)*(((D116+'По дням'!$K$6:$K$155-ABS(D116-'По дням'!$K$6:$K$155))-(C116+'По дням'!$J$6:$J$155+ABS(C116-'По дням'!$J$6:$J$155)))/2+1)&gt;0)*1))</f>
        <v/>
      </c>
    </row>
    <row r="117">
      <c r="A117">
        <f>IF(AND(Оплаты!$E$109="ок",COUNTIFS(Акты!$B$5:$B$16,Оплаты!$D$109,Акты!$H$5:$H$16,"ок")&gt;0,COUNTIFS(Оплаты!$D$6:$D$108,Оплаты!$D$109,Оплаты!$A$6:$A$108,Оплаты!$A$109)=0),Оплаты!$D$109,"")</f>
        <v/>
      </c>
      <c r="B117">
        <f>IF(A117="","",MATCH(A117,Акты!$B$5:$B$16,0))</f>
        <v/>
      </c>
      <c r="C117" s="20">
        <f>IF(A117="","",Оплаты!$A$109+1)</f>
        <v/>
      </c>
      <c r="D117" s="20">
        <f>IF(A117="","",MIN(Ввод!$B$4,Ввод!$B$4+1-SUMPRODUCT(MAX((Оплаты!$D$6:$D$505=A117)*(Оплаты!$A$6:$A$505&gt;Оплаты!$A$109)*(Ввод!$B$4+1-Оплаты!$A$6:$A$505)))))</f>
        <v/>
      </c>
      <c r="E117" s="14">
        <f>IF(A117="","",INDEX(Акты!$D$5:$D$16,B117)-SUMIFS(Оплаты!$B$6:$B$505,Оплаты!$D$6:$D$505,A117,Оплаты!$A$6:$A$505,"&lt;="&amp;Оплаты!$A$109))</f>
        <v/>
      </c>
      <c r="F117" s="14">
        <f>IF(G117="","",SUMPRODUCT(ROUND(E117*'По дням'!$L$6:$L$155/100*((((D117+'По дням'!$K$6:$K$155-ABS(D117-'По дням'!$K$6:$K$155))-(C117+'По дням'!$J$6:$J$155+ABS(C117-'По дням'!$J$6:$J$155)))/2+1)&gt;0)*(((D117+'По дням'!$K$6:$K$155-ABS(D117-'По дням'!$K$6:$K$155))-(C117+'По дням'!$J$6:$J$155+ABS(C117-'По дням'!$J$6:$J$155)))/2+1)/'По дням'!$M$6:$M$155,2)*(1-'По дням'!$N$6:$N$155)))</f>
        <v/>
      </c>
      <c r="G117">
        <f>IF(A117="","",IF(C117&gt;D117,"",B117*1000000+C117))</f>
        <v/>
      </c>
      <c r="H117" s="14">
        <f>IF(G117="","",SUMIFS(Оплаты!$B$6:$B$505,Оплаты!$D$6:$D$505,A117,Оплаты!$A$6:$A$505,D117))</f>
        <v/>
      </c>
      <c r="I117">
        <f>IF(G117="","",SUMPRODUCT((((((D117+'По дням'!$K$6:$K$155-ABS(D117-'По дням'!$K$6:$K$155))-(C117+'По дням'!$J$6:$J$155+ABS(C117-'По дням'!$J$6:$J$155)))/2+1)&gt;0)*(((D117+'По дням'!$K$6:$K$155-ABS(D117-'По дням'!$K$6:$K$155))-(C117+'По дням'!$J$6:$J$155+ABS(C117-'По дням'!$J$6:$J$155)))/2+1)&gt;0)*1))</f>
        <v/>
      </c>
    </row>
    <row r="118">
      <c r="A118">
        <f>IF(AND(Оплаты!$E$110="ок",COUNTIFS(Акты!$B$5:$B$16,Оплаты!$D$110,Акты!$H$5:$H$16,"ок")&gt;0,COUNTIFS(Оплаты!$D$6:$D$109,Оплаты!$D$110,Оплаты!$A$6:$A$109,Оплаты!$A$110)=0),Оплаты!$D$110,"")</f>
        <v/>
      </c>
      <c r="B118">
        <f>IF(A118="","",MATCH(A118,Акты!$B$5:$B$16,0))</f>
        <v/>
      </c>
      <c r="C118" s="20">
        <f>IF(A118="","",Оплаты!$A$110+1)</f>
        <v/>
      </c>
      <c r="D118" s="20">
        <f>IF(A118="","",MIN(Ввод!$B$4,Ввод!$B$4+1-SUMPRODUCT(MAX((Оплаты!$D$6:$D$505=A118)*(Оплаты!$A$6:$A$505&gt;Оплаты!$A$110)*(Ввод!$B$4+1-Оплаты!$A$6:$A$505)))))</f>
        <v/>
      </c>
      <c r="E118" s="14">
        <f>IF(A118="","",INDEX(Акты!$D$5:$D$16,B118)-SUMIFS(Оплаты!$B$6:$B$505,Оплаты!$D$6:$D$505,A118,Оплаты!$A$6:$A$505,"&lt;="&amp;Оплаты!$A$110))</f>
        <v/>
      </c>
      <c r="F118" s="14">
        <f>IF(G118="","",SUMPRODUCT(ROUND(E118*'По дням'!$L$6:$L$155/100*((((D118+'По дням'!$K$6:$K$155-ABS(D118-'По дням'!$K$6:$K$155))-(C118+'По дням'!$J$6:$J$155+ABS(C118-'По дням'!$J$6:$J$155)))/2+1)&gt;0)*(((D118+'По дням'!$K$6:$K$155-ABS(D118-'По дням'!$K$6:$K$155))-(C118+'По дням'!$J$6:$J$155+ABS(C118-'По дням'!$J$6:$J$155)))/2+1)/'По дням'!$M$6:$M$155,2)*(1-'По дням'!$N$6:$N$155)))</f>
        <v/>
      </c>
      <c r="G118">
        <f>IF(A118="","",IF(C118&gt;D118,"",B118*1000000+C118))</f>
        <v/>
      </c>
      <c r="H118" s="14">
        <f>IF(G118="","",SUMIFS(Оплаты!$B$6:$B$505,Оплаты!$D$6:$D$505,A118,Оплаты!$A$6:$A$505,D118))</f>
        <v/>
      </c>
      <c r="I118">
        <f>IF(G118="","",SUMPRODUCT((((((D118+'По дням'!$K$6:$K$155-ABS(D118-'По дням'!$K$6:$K$155))-(C118+'По дням'!$J$6:$J$155+ABS(C118-'По дням'!$J$6:$J$155)))/2+1)&gt;0)*(((D118+'По дням'!$K$6:$K$155-ABS(D118-'По дням'!$K$6:$K$155))-(C118+'По дням'!$J$6:$J$155+ABS(C118-'По дням'!$J$6:$J$155)))/2+1)&gt;0)*1))</f>
        <v/>
      </c>
    </row>
    <row r="119">
      <c r="A119">
        <f>IF(AND(Оплаты!$E$111="ок",COUNTIFS(Акты!$B$5:$B$16,Оплаты!$D$111,Акты!$H$5:$H$16,"ок")&gt;0,COUNTIFS(Оплаты!$D$6:$D$110,Оплаты!$D$111,Оплаты!$A$6:$A$110,Оплаты!$A$111)=0),Оплаты!$D$111,"")</f>
        <v/>
      </c>
      <c r="B119">
        <f>IF(A119="","",MATCH(A119,Акты!$B$5:$B$16,0))</f>
        <v/>
      </c>
      <c r="C119" s="20">
        <f>IF(A119="","",Оплаты!$A$111+1)</f>
        <v/>
      </c>
      <c r="D119" s="20">
        <f>IF(A119="","",MIN(Ввод!$B$4,Ввод!$B$4+1-SUMPRODUCT(MAX((Оплаты!$D$6:$D$505=A119)*(Оплаты!$A$6:$A$505&gt;Оплаты!$A$111)*(Ввод!$B$4+1-Оплаты!$A$6:$A$505)))))</f>
        <v/>
      </c>
      <c r="E119" s="14">
        <f>IF(A119="","",INDEX(Акты!$D$5:$D$16,B119)-SUMIFS(Оплаты!$B$6:$B$505,Оплаты!$D$6:$D$505,A119,Оплаты!$A$6:$A$505,"&lt;="&amp;Оплаты!$A$111))</f>
        <v/>
      </c>
      <c r="F119" s="14">
        <f>IF(G119="","",SUMPRODUCT(ROUND(E119*'По дням'!$L$6:$L$155/100*((((D119+'По дням'!$K$6:$K$155-ABS(D119-'По дням'!$K$6:$K$155))-(C119+'По дням'!$J$6:$J$155+ABS(C119-'По дням'!$J$6:$J$155)))/2+1)&gt;0)*(((D119+'По дням'!$K$6:$K$155-ABS(D119-'По дням'!$K$6:$K$155))-(C119+'По дням'!$J$6:$J$155+ABS(C119-'По дням'!$J$6:$J$155)))/2+1)/'По дням'!$M$6:$M$155,2)*(1-'По дням'!$N$6:$N$155)))</f>
        <v/>
      </c>
      <c r="G119">
        <f>IF(A119="","",IF(C119&gt;D119,"",B119*1000000+C119))</f>
        <v/>
      </c>
      <c r="H119" s="14">
        <f>IF(G119="","",SUMIFS(Оплаты!$B$6:$B$505,Оплаты!$D$6:$D$505,A119,Оплаты!$A$6:$A$505,D119))</f>
        <v/>
      </c>
      <c r="I119">
        <f>IF(G119="","",SUMPRODUCT((((((D119+'По дням'!$K$6:$K$155-ABS(D119-'По дням'!$K$6:$K$155))-(C119+'По дням'!$J$6:$J$155+ABS(C119-'По дням'!$J$6:$J$155)))/2+1)&gt;0)*(((D119+'По дням'!$K$6:$K$155-ABS(D119-'По дням'!$K$6:$K$155))-(C119+'По дням'!$J$6:$J$155+ABS(C119-'По дням'!$J$6:$J$155)))/2+1)&gt;0)*1))</f>
        <v/>
      </c>
    </row>
    <row r="120">
      <c r="A120">
        <f>IF(AND(Оплаты!$E$112="ок",COUNTIFS(Акты!$B$5:$B$16,Оплаты!$D$112,Акты!$H$5:$H$16,"ок")&gt;0,COUNTIFS(Оплаты!$D$6:$D$111,Оплаты!$D$112,Оплаты!$A$6:$A$111,Оплаты!$A$112)=0),Оплаты!$D$112,"")</f>
        <v/>
      </c>
      <c r="B120">
        <f>IF(A120="","",MATCH(A120,Акты!$B$5:$B$16,0))</f>
        <v/>
      </c>
      <c r="C120" s="20">
        <f>IF(A120="","",Оплаты!$A$112+1)</f>
        <v/>
      </c>
      <c r="D120" s="20">
        <f>IF(A120="","",MIN(Ввод!$B$4,Ввод!$B$4+1-SUMPRODUCT(MAX((Оплаты!$D$6:$D$505=A120)*(Оплаты!$A$6:$A$505&gt;Оплаты!$A$112)*(Ввод!$B$4+1-Оплаты!$A$6:$A$505)))))</f>
        <v/>
      </c>
      <c r="E120" s="14">
        <f>IF(A120="","",INDEX(Акты!$D$5:$D$16,B120)-SUMIFS(Оплаты!$B$6:$B$505,Оплаты!$D$6:$D$505,A120,Оплаты!$A$6:$A$505,"&lt;="&amp;Оплаты!$A$112))</f>
        <v/>
      </c>
      <c r="F120" s="14">
        <f>IF(G120="","",SUMPRODUCT(ROUND(E120*'По дням'!$L$6:$L$155/100*((((D120+'По дням'!$K$6:$K$155-ABS(D120-'По дням'!$K$6:$K$155))-(C120+'По дням'!$J$6:$J$155+ABS(C120-'По дням'!$J$6:$J$155)))/2+1)&gt;0)*(((D120+'По дням'!$K$6:$K$155-ABS(D120-'По дням'!$K$6:$K$155))-(C120+'По дням'!$J$6:$J$155+ABS(C120-'По дням'!$J$6:$J$155)))/2+1)/'По дням'!$M$6:$M$155,2)*(1-'По дням'!$N$6:$N$155)))</f>
        <v/>
      </c>
      <c r="G120">
        <f>IF(A120="","",IF(C120&gt;D120,"",B120*1000000+C120))</f>
        <v/>
      </c>
      <c r="H120" s="14">
        <f>IF(G120="","",SUMIFS(Оплаты!$B$6:$B$505,Оплаты!$D$6:$D$505,A120,Оплаты!$A$6:$A$505,D120))</f>
        <v/>
      </c>
      <c r="I120">
        <f>IF(G120="","",SUMPRODUCT((((((D120+'По дням'!$K$6:$K$155-ABS(D120-'По дням'!$K$6:$K$155))-(C120+'По дням'!$J$6:$J$155+ABS(C120-'По дням'!$J$6:$J$155)))/2+1)&gt;0)*(((D120+'По дням'!$K$6:$K$155-ABS(D120-'По дням'!$K$6:$K$155))-(C120+'По дням'!$J$6:$J$155+ABS(C120-'По дням'!$J$6:$J$155)))/2+1)&gt;0)*1))</f>
        <v/>
      </c>
    </row>
    <row r="121">
      <c r="A121">
        <f>IF(AND(Оплаты!$E$113="ок",COUNTIFS(Акты!$B$5:$B$16,Оплаты!$D$113,Акты!$H$5:$H$16,"ок")&gt;0,COUNTIFS(Оплаты!$D$6:$D$112,Оплаты!$D$113,Оплаты!$A$6:$A$112,Оплаты!$A$113)=0),Оплаты!$D$113,"")</f>
        <v/>
      </c>
      <c r="B121">
        <f>IF(A121="","",MATCH(A121,Акты!$B$5:$B$16,0))</f>
        <v/>
      </c>
      <c r="C121" s="20">
        <f>IF(A121="","",Оплаты!$A$113+1)</f>
        <v/>
      </c>
      <c r="D121" s="20">
        <f>IF(A121="","",MIN(Ввод!$B$4,Ввод!$B$4+1-SUMPRODUCT(MAX((Оплаты!$D$6:$D$505=A121)*(Оплаты!$A$6:$A$505&gt;Оплаты!$A$113)*(Ввод!$B$4+1-Оплаты!$A$6:$A$505)))))</f>
        <v/>
      </c>
      <c r="E121" s="14">
        <f>IF(A121="","",INDEX(Акты!$D$5:$D$16,B121)-SUMIFS(Оплаты!$B$6:$B$505,Оплаты!$D$6:$D$505,A121,Оплаты!$A$6:$A$505,"&lt;="&amp;Оплаты!$A$113))</f>
        <v/>
      </c>
      <c r="F121" s="14">
        <f>IF(G121="","",SUMPRODUCT(ROUND(E121*'По дням'!$L$6:$L$155/100*((((D121+'По дням'!$K$6:$K$155-ABS(D121-'По дням'!$K$6:$K$155))-(C121+'По дням'!$J$6:$J$155+ABS(C121-'По дням'!$J$6:$J$155)))/2+1)&gt;0)*(((D121+'По дням'!$K$6:$K$155-ABS(D121-'По дням'!$K$6:$K$155))-(C121+'По дням'!$J$6:$J$155+ABS(C121-'По дням'!$J$6:$J$155)))/2+1)/'По дням'!$M$6:$M$155,2)*(1-'По дням'!$N$6:$N$155)))</f>
        <v/>
      </c>
      <c r="G121">
        <f>IF(A121="","",IF(C121&gt;D121,"",B121*1000000+C121))</f>
        <v/>
      </c>
      <c r="H121" s="14">
        <f>IF(G121="","",SUMIFS(Оплаты!$B$6:$B$505,Оплаты!$D$6:$D$505,A121,Оплаты!$A$6:$A$505,D121))</f>
        <v/>
      </c>
      <c r="I121">
        <f>IF(G121="","",SUMPRODUCT((((((D121+'По дням'!$K$6:$K$155-ABS(D121-'По дням'!$K$6:$K$155))-(C121+'По дням'!$J$6:$J$155+ABS(C121-'По дням'!$J$6:$J$155)))/2+1)&gt;0)*(((D121+'По дням'!$K$6:$K$155-ABS(D121-'По дням'!$K$6:$K$155))-(C121+'По дням'!$J$6:$J$155+ABS(C121-'По дням'!$J$6:$J$155)))/2+1)&gt;0)*1))</f>
        <v/>
      </c>
    </row>
    <row r="122">
      <c r="A122">
        <f>IF(AND(Оплаты!$E$114="ок",COUNTIFS(Акты!$B$5:$B$16,Оплаты!$D$114,Акты!$H$5:$H$16,"ок")&gt;0,COUNTIFS(Оплаты!$D$6:$D$113,Оплаты!$D$114,Оплаты!$A$6:$A$113,Оплаты!$A$114)=0),Оплаты!$D$114,"")</f>
        <v/>
      </c>
      <c r="B122">
        <f>IF(A122="","",MATCH(A122,Акты!$B$5:$B$16,0))</f>
        <v/>
      </c>
      <c r="C122" s="20">
        <f>IF(A122="","",Оплаты!$A$114+1)</f>
        <v/>
      </c>
      <c r="D122" s="20">
        <f>IF(A122="","",MIN(Ввод!$B$4,Ввод!$B$4+1-SUMPRODUCT(MAX((Оплаты!$D$6:$D$505=A122)*(Оплаты!$A$6:$A$505&gt;Оплаты!$A$114)*(Ввод!$B$4+1-Оплаты!$A$6:$A$505)))))</f>
        <v/>
      </c>
      <c r="E122" s="14">
        <f>IF(A122="","",INDEX(Акты!$D$5:$D$16,B122)-SUMIFS(Оплаты!$B$6:$B$505,Оплаты!$D$6:$D$505,A122,Оплаты!$A$6:$A$505,"&lt;="&amp;Оплаты!$A$114))</f>
        <v/>
      </c>
      <c r="F122" s="14">
        <f>IF(G122="","",SUMPRODUCT(ROUND(E122*'По дням'!$L$6:$L$155/100*((((D122+'По дням'!$K$6:$K$155-ABS(D122-'По дням'!$K$6:$K$155))-(C122+'По дням'!$J$6:$J$155+ABS(C122-'По дням'!$J$6:$J$155)))/2+1)&gt;0)*(((D122+'По дням'!$K$6:$K$155-ABS(D122-'По дням'!$K$6:$K$155))-(C122+'По дням'!$J$6:$J$155+ABS(C122-'По дням'!$J$6:$J$155)))/2+1)/'По дням'!$M$6:$M$155,2)*(1-'По дням'!$N$6:$N$155)))</f>
        <v/>
      </c>
      <c r="G122">
        <f>IF(A122="","",IF(C122&gt;D122,"",B122*1000000+C122))</f>
        <v/>
      </c>
      <c r="H122" s="14">
        <f>IF(G122="","",SUMIFS(Оплаты!$B$6:$B$505,Оплаты!$D$6:$D$505,A122,Оплаты!$A$6:$A$505,D122))</f>
        <v/>
      </c>
      <c r="I122">
        <f>IF(G122="","",SUMPRODUCT((((((D122+'По дням'!$K$6:$K$155-ABS(D122-'По дням'!$K$6:$K$155))-(C122+'По дням'!$J$6:$J$155+ABS(C122-'По дням'!$J$6:$J$155)))/2+1)&gt;0)*(((D122+'По дням'!$K$6:$K$155-ABS(D122-'По дням'!$K$6:$K$155))-(C122+'По дням'!$J$6:$J$155+ABS(C122-'По дням'!$J$6:$J$155)))/2+1)&gt;0)*1))</f>
        <v/>
      </c>
    </row>
    <row r="123">
      <c r="A123">
        <f>IF(AND(Оплаты!$E$115="ок",COUNTIFS(Акты!$B$5:$B$16,Оплаты!$D$115,Акты!$H$5:$H$16,"ок")&gt;0,COUNTIFS(Оплаты!$D$6:$D$114,Оплаты!$D$115,Оплаты!$A$6:$A$114,Оплаты!$A$115)=0),Оплаты!$D$115,"")</f>
        <v/>
      </c>
      <c r="B123">
        <f>IF(A123="","",MATCH(A123,Акты!$B$5:$B$16,0))</f>
        <v/>
      </c>
      <c r="C123" s="20">
        <f>IF(A123="","",Оплаты!$A$115+1)</f>
        <v/>
      </c>
      <c r="D123" s="20">
        <f>IF(A123="","",MIN(Ввод!$B$4,Ввод!$B$4+1-SUMPRODUCT(MAX((Оплаты!$D$6:$D$505=A123)*(Оплаты!$A$6:$A$505&gt;Оплаты!$A$115)*(Ввод!$B$4+1-Оплаты!$A$6:$A$505)))))</f>
        <v/>
      </c>
      <c r="E123" s="14">
        <f>IF(A123="","",INDEX(Акты!$D$5:$D$16,B123)-SUMIFS(Оплаты!$B$6:$B$505,Оплаты!$D$6:$D$505,A123,Оплаты!$A$6:$A$505,"&lt;="&amp;Оплаты!$A$115))</f>
        <v/>
      </c>
      <c r="F123" s="14">
        <f>IF(G123="","",SUMPRODUCT(ROUND(E123*'По дням'!$L$6:$L$155/100*((((D123+'По дням'!$K$6:$K$155-ABS(D123-'По дням'!$K$6:$K$155))-(C123+'По дням'!$J$6:$J$155+ABS(C123-'По дням'!$J$6:$J$155)))/2+1)&gt;0)*(((D123+'По дням'!$K$6:$K$155-ABS(D123-'По дням'!$K$6:$K$155))-(C123+'По дням'!$J$6:$J$155+ABS(C123-'По дням'!$J$6:$J$155)))/2+1)/'По дням'!$M$6:$M$155,2)*(1-'По дням'!$N$6:$N$155)))</f>
        <v/>
      </c>
      <c r="G123">
        <f>IF(A123="","",IF(C123&gt;D123,"",B123*1000000+C123))</f>
        <v/>
      </c>
      <c r="H123" s="14">
        <f>IF(G123="","",SUMIFS(Оплаты!$B$6:$B$505,Оплаты!$D$6:$D$505,A123,Оплаты!$A$6:$A$505,D123))</f>
        <v/>
      </c>
      <c r="I123">
        <f>IF(G123="","",SUMPRODUCT((((((D123+'По дням'!$K$6:$K$155-ABS(D123-'По дням'!$K$6:$K$155))-(C123+'По дням'!$J$6:$J$155+ABS(C123-'По дням'!$J$6:$J$155)))/2+1)&gt;0)*(((D123+'По дням'!$K$6:$K$155-ABS(D123-'По дням'!$K$6:$K$155))-(C123+'По дням'!$J$6:$J$155+ABS(C123-'По дням'!$J$6:$J$155)))/2+1)&gt;0)*1))</f>
        <v/>
      </c>
    </row>
    <row r="124">
      <c r="A124">
        <f>IF(AND(Оплаты!$E$116="ок",COUNTIFS(Акты!$B$5:$B$16,Оплаты!$D$116,Акты!$H$5:$H$16,"ок")&gt;0,COUNTIFS(Оплаты!$D$6:$D$115,Оплаты!$D$116,Оплаты!$A$6:$A$115,Оплаты!$A$116)=0),Оплаты!$D$116,"")</f>
        <v/>
      </c>
      <c r="B124">
        <f>IF(A124="","",MATCH(A124,Акты!$B$5:$B$16,0))</f>
        <v/>
      </c>
      <c r="C124" s="20">
        <f>IF(A124="","",Оплаты!$A$116+1)</f>
        <v/>
      </c>
      <c r="D124" s="20">
        <f>IF(A124="","",MIN(Ввод!$B$4,Ввод!$B$4+1-SUMPRODUCT(MAX((Оплаты!$D$6:$D$505=A124)*(Оплаты!$A$6:$A$505&gt;Оплаты!$A$116)*(Ввод!$B$4+1-Оплаты!$A$6:$A$505)))))</f>
        <v/>
      </c>
      <c r="E124" s="14">
        <f>IF(A124="","",INDEX(Акты!$D$5:$D$16,B124)-SUMIFS(Оплаты!$B$6:$B$505,Оплаты!$D$6:$D$505,A124,Оплаты!$A$6:$A$505,"&lt;="&amp;Оплаты!$A$116))</f>
        <v/>
      </c>
      <c r="F124" s="14">
        <f>IF(G124="","",SUMPRODUCT(ROUND(E124*'По дням'!$L$6:$L$155/100*((((D124+'По дням'!$K$6:$K$155-ABS(D124-'По дням'!$K$6:$K$155))-(C124+'По дням'!$J$6:$J$155+ABS(C124-'По дням'!$J$6:$J$155)))/2+1)&gt;0)*(((D124+'По дням'!$K$6:$K$155-ABS(D124-'По дням'!$K$6:$K$155))-(C124+'По дням'!$J$6:$J$155+ABS(C124-'По дням'!$J$6:$J$155)))/2+1)/'По дням'!$M$6:$M$155,2)*(1-'По дням'!$N$6:$N$155)))</f>
        <v/>
      </c>
      <c r="G124">
        <f>IF(A124="","",IF(C124&gt;D124,"",B124*1000000+C124))</f>
        <v/>
      </c>
      <c r="H124" s="14">
        <f>IF(G124="","",SUMIFS(Оплаты!$B$6:$B$505,Оплаты!$D$6:$D$505,A124,Оплаты!$A$6:$A$505,D124))</f>
        <v/>
      </c>
      <c r="I124">
        <f>IF(G124="","",SUMPRODUCT((((((D124+'По дням'!$K$6:$K$155-ABS(D124-'По дням'!$K$6:$K$155))-(C124+'По дням'!$J$6:$J$155+ABS(C124-'По дням'!$J$6:$J$155)))/2+1)&gt;0)*(((D124+'По дням'!$K$6:$K$155-ABS(D124-'По дням'!$K$6:$K$155))-(C124+'По дням'!$J$6:$J$155+ABS(C124-'По дням'!$J$6:$J$155)))/2+1)&gt;0)*1))</f>
        <v/>
      </c>
    </row>
    <row r="125">
      <c r="A125">
        <f>IF(AND(Оплаты!$E$117="ок",COUNTIFS(Акты!$B$5:$B$16,Оплаты!$D$117,Акты!$H$5:$H$16,"ок")&gt;0,COUNTIFS(Оплаты!$D$6:$D$116,Оплаты!$D$117,Оплаты!$A$6:$A$116,Оплаты!$A$117)=0),Оплаты!$D$117,"")</f>
        <v/>
      </c>
      <c r="B125">
        <f>IF(A125="","",MATCH(A125,Акты!$B$5:$B$16,0))</f>
        <v/>
      </c>
      <c r="C125" s="20">
        <f>IF(A125="","",Оплаты!$A$117+1)</f>
        <v/>
      </c>
      <c r="D125" s="20">
        <f>IF(A125="","",MIN(Ввод!$B$4,Ввод!$B$4+1-SUMPRODUCT(MAX((Оплаты!$D$6:$D$505=A125)*(Оплаты!$A$6:$A$505&gt;Оплаты!$A$117)*(Ввод!$B$4+1-Оплаты!$A$6:$A$505)))))</f>
        <v/>
      </c>
      <c r="E125" s="14">
        <f>IF(A125="","",INDEX(Акты!$D$5:$D$16,B125)-SUMIFS(Оплаты!$B$6:$B$505,Оплаты!$D$6:$D$505,A125,Оплаты!$A$6:$A$505,"&lt;="&amp;Оплаты!$A$117))</f>
        <v/>
      </c>
      <c r="F125" s="14">
        <f>IF(G125="","",SUMPRODUCT(ROUND(E125*'По дням'!$L$6:$L$155/100*((((D125+'По дням'!$K$6:$K$155-ABS(D125-'По дням'!$K$6:$K$155))-(C125+'По дням'!$J$6:$J$155+ABS(C125-'По дням'!$J$6:$J$155)))/2+1)&gt;0)*(((D125+'По дням'!$K$6:$K$155-ABS(D125-'По дням'!$K$6:$K$155))-(C125+'По дням'!$J$6:$J$155+ABS(C125-'По дням'!$J$6:$J$155)))/2+1)/'По дням'!$M$6:$M$155,2)*(1-'По дням'!$N$6:$N$155)))</f>
        <v/>
      </c>
      <c r="G125">
        <f>IF(A125="","",IF(C125&gt;D125,"",B125*1000000+C125))</f>
        <v/>
      </c>
      <c r="H125" s="14">
        <f>IF(G125="","",SUMIFS(Оплаты!$B$6:$B$505,Оплаты!$D$6:$D$505,A125,Оплаты!$A$6:$A$505,D125))</f>
        <v/>
      </c>
      <c r="I125">
        <f>IF(G125="","",SUMPRODUCT((((((D125+'По дням'!$K$6:$K$155-ABS(D125-'По дням'!$K$6:$K$155))-(C125+'По дням'!$J$6:$J$155+ABS(C125-'По дням'!$J$6:$J$155)))/2+1)&gt;0)*(((D125+'По дням'!$K$6:$K$155-ABS(D125-'По дням'!$K$6:$K$155))-(C125+'По дням'!$J$6:$J$155+ABS(C125-'По дням'!$J$6:$J$155)))/2+1)&gt;0)*1))</f>
        <v/>
      </c>
    </row>
    <row r="126">
      <c r="A126">
        <f>IF(AND(Оплаты!$E$118="ок",COUNTIFS(Акты!$B$5:$B$16,Оплаты!$D$118,Акты!$H$5:$H$16,"ок")&gt;0,COUNTIFS(Оплаты!$D$6:$D$117,Оплаты!$D$118,Оплаты!$A$6:$A$117,Оплаты!$A$118)=0),Оплаты!$D$118,"")</f>
        <v/>
      </c>
      <c r="B126">
        <f>IF(A126="","",MATCH(A126,Акты!$B$5:$B$16,0))</f>
        <v/>
      </c>
      <c r="C126" s="20">
        <f>IF(A126="","",Оплаты!$A$118+1)</f>
        <v/>
      </c>
      <c r="D126" s="20">
        <f>IF(A126="","",MIN(Ввод!$B$4,Ввод!$B$4+1-SUMPRODUCT(MAX((Оплаты!$D$6:$D$505=A126)*(Оплаты!$A$6:$A$505&gt;Оплаты!$A$118)*(Ввод!$B$4+1-Оплаты!$A$6:$A$505)))))</f>
        <v/>
      </c>
      <c r="E126" s="14">
        <f>IF(A126="","",INDEX(Акты!$D$5:$D$16,B126)-SUMIFS(Оплаты!$B$6:$B$505,Оплаты!$D$6:$D$505,A126,Оплаты!$A$6:$A$505,"&lt;="&amp;Оплаты!$A$118))</f>
        <v/>
      </c>
      <c r="F126" s="14">
        <f>IF(G126="","",SUMPRODUCT(ROUND(E126*'По дням'!$L$6:$L$155/100*((((D126+'По дням'!$K$6:$K$155-ABS(D126-'По дням'!$K$6:$K$155))-(C126+'По дням'!$J$6:$J$155+ABS(C126-'По дням'!$J$6:$J$155)))/2+1)&gt;0)*(((D126+'По дням'!$K$6:$K$155-ABS(D126-'По дням'!$K$6:$K$155))-(C126+'По дням'!$J$6:$J$155+ABS(C126-'По дням'!$J$6:$J$155)))/2+1)/'По дням'!$M$6:$M$155,2)*(1-'По дням'!$N$6:$N$155)))</f>
        <v/>
      </c>
      <c r="G126">
        <f>IF(A126="","",IF(C126&gt;D126,"",B126*1000000+C126))</f>
        <v/>
      </c>
      <c r="H126" s="14">
        <f>IF(G126="","",SUMIFS(Оплаты!$B$6:$B$505,Оплаты!$D$6:$D$505,A126,Оплаты!$A$6:$A$505,D126))</f>
        <v/>
      </c>
      <c r="I126">
        <f>IF(G126="","",SUMPRODUCT((((((D126+'По дням'!$K$6:$K$155-ABS(D126-'По дням'!$K$6:$K$155))-(C126+'По дням'!$J$6:$J$155+ABS(C126-'По дням'!$J$6:$J$155)))/2+1)&gt;0)*(((D126+'По дням'!$K$6:$K$155-ABS(D126-'По дням'!$K$6:$K$155))-(C126+'По дням'!$J$6:$J$155+ABS(C126-'По дням'!$J$6:$J$155)))/2+1)&gt;0)*1))</f>
        <v/>
      </c>
    </row>
    <row r="127">
      <c r="A127">
        <f>IF(AND(Оплаты!$E$119="ок",COUNTIFS(Акты!$B$5:$B$16,Оплаты!$D$119,Акты!$H$5:$H$16,"ок")&gt;0,COUNTIFS(Оплаты!$D$6:$D$118,Оплаты!$D$119,Оплаты!$A$6:$A$118,Оплаты!$A$119)=0),Оплаты!$D$119,"")</f>
        <v/>
      </c>
      <c r="B127">
        <f>IF(A127="","",MATCH(A127,Акты!$B$5:$B$16,0))</f>
        <v/>
      </c>
      <c r="C127" s="20">
        <f>IF(A127="","",Оплаты!$A$119+1)</f>
        <v/>
      </c>
      <c r="D127" s="20">
        <f>IF(A127="","",MIN(Ввод!$B$4,Ввод!$B$4+1-SUMPRODUCT(MAX((Оплаты!$D$6:$D$505=A127)*(Оплаты!$A$6:$A$505&gt;Оплаты!$A$119)*(Ввод!$B$4+1-Оплаты!$A$6:$A$505)))))</f>
        <v/>
      </c>
      <c r="E127" s="14">
        <f>IF(A127="","",INDEX(Акты!$D$5:$D$16,B127)-SUMIFS(Оплаты!$B$6:$B$505,Оплаты!$D$6:$D$505,A127,Оплаты!$A$6:$A$505,"&lt;="&amp;Оплаты!$A$119))</f>
        <v/>
      </c>
      <c r="F127" s="14">
        <f>IF(G127="","",SUMPRODUCT(ROUND(E127*'По дням'!$L$6:$L$155/100*((((D127+'По дням'!$K$6:$K$155-ABS(D127-'По дням'!$K$6:$K$155))-(C127+'По дням'!$J$6:$J$155+ABS(C127-'По дням'!$J$6:$J$155)))/2+1)&gt;0)*(((D127+'По дням'!$K$6:$K$155-ABS(D127-'По дням'!$K$6:$K$155))-(C127+'По дням'!$J$6:$J$155+ABS(C127-'По дням'!$J$6:$J$155)))/2+1)/'По дням'!$M$6:$M$155,2)*(1-'По дням'!$N$6:$N$155)))</f>
        <v/>
      </c>
      <c r="G127">
        <f>IF(A127="","",IF(C127&gt;D127,"",B127*1000000+C127))</f>
        <v/>
      </c>
      <c r="H127" s="14">
        <f>IF(G127="","",SUMIFS(Оплаты!$B$6:$B$505,Оплаты!$D$6:$D$505,A127,Оплаты!$A$6:$A$505,D127))</f>
        <v/>
      </c>
      <c r="I127">
        <f>IF(G127="","",SUMPRODUCT((((((D127+'По дням'!$K$6:$K$155-ABS(D127-'По дням'!$K$6:$K$155))-(C127+'По дням'!$J$6:$J$155+ABS(C127-'По дням'!$J$6:$J$155)))/2+1)&gt;0)*(((D127+'По дням'!$K$6:$K$155-ABS(D127-'По дням'!$K$6:$K$155))-(C127+'По дням'!$J$6:$J$155+ABS(C127-'По дням'!$J$6:$J$155)))/2+1)&gt;0)*1))</f>
        <v/>
      </c>
    </row>
    <row r="128">
      <c r="A128">
        <f>IF(AND(Оплаты!$E$120="ок",COUNTIFS(Акты!$B$5:$B$16,Оплаты!$D$120,Акты!$H$5:$H$16,"ок")&gt;0,COUNTIFS(Оплаты!$D$6:$D$119,Оплаты!$D$120,Оплаты!$A$6:$A$119,Оплаты!$A$120)=0),Оплаты!$D$120,"")</f>
        <v/>
      </c>
      <c r="B128">
        <f>IF(A128="","",MATCH(A128,Акты!$B$5:$B$16,0))</f>
        <v/>
      </c>
      <c r="C128" s="20">
        <f>IF(A128="","",Оплаты!$A$120+1)</f>
        <v/>
      </c>
      <c r="D128" s="20">
        <f>IF(A128="","",MIN(Ввод!$B$4,Ввод!$B$4+1-SUMPRODUCT(MAX((Оплаты!$D$6:$D$505=A128)*(Оплаты!$A$6:$A$505&gt;Оплаты!$A$120)*(Ввод!$B$4+1-Оплаты!$A$6:$A$505)))))</f>
        <v/>
      </c>
      <c r="E128" s="14">
        <f>IF(A128="","",INDEX(Акты!$D$5:$D$16,B128)-SUMIFS(Оплаты!$B$6:$B$505,Оплаты!$D$6:$D$505,A128,Оплаты!$A$6:$A$505,"&lt;="&amp;Оплаты!$A$120))</f>
        <v/>
      </c>
      <c r="F128" s="14">
        <f>IF(G128="","",SUMPRODUCT(ROUND(E128*'По дням'!$L$6:$L$155/100*((((D128+'По дням'!$K$6:$K$155-ABS(D128-'По дням'!$K$6:$K$155))-(C128+'По дням'!$J$6:$J$155+ABS(C128-'По дням'!$J$6:$J$155)))/2+1)&gt;0)*(((D128+'По дням'!$K$6:$K$155-ABS(D128-'По дням'!$K$6:$K$155))-(C128+'По дням'!$J$6:$J$155+ABS(C128-'По дням'!$J$6:$J$155)))/2+1)/'По дням'!$M$6:$M$155,2)*(1-'По дням'!$N$6:$N$155)))</f>
        <v/>
      </c>
      <c r="G128">
        <f>IF(A128="","",IF(C128&gt;D128,"",B128*1000000+C128))</f>
        <v/>
      </c>
      <c r="H128" s="14">
        <f>IF(G128="","",SUMIFS(Оплаты!$B$6:$B$505,Оплаты!$D$6:$D$505,A128,Оплаты!$A$6:$A$505,D128))</f>
        <v/>
      </c>
      <c r="I128">
        <f>IF(G128="","",SUMPRODUCT((((((D128+'По дням'!$K$6:$K$155-ABS(D128-'По дням'!$K$6:$K$155))-(C128+'По дням'!$J$6:$J$155+ABS(C128-'По дням'!$J$6:$J$155)))/2+1)&gt;0)*(((D128+'По дням'!$K$6:$K$155-ABS(D128-'По дням'!$K$6:$K$155))-(C128+'По дням'!$J$6:$J$155+ABS(C128-'По дням'!$J$6:$J$155)))/2+1)&gt;0)*1))</f>
        <v/>
      </c>
    </row>
    <row r="129">
      <c r="A129">
        <f>IF(AND(Оплаты!$E$121="ок",COUNTIFS(Акты!$B$5:$B$16,Оплаты!$D$121,Акты!$H$5:$H$16,"ок")&gt;0,COUNTIFS(Оплаты!$D$6:$D$120,Оплаты!$D$121,Оплаты!$A$6:$A$120,Оплаты!$A$121)=0),Оплаты!$D$121,"")</f>
        <v/>
      </c>
      <c r="B129">
        <f>IF(A129="","",MATCH(A129,Акты!$B$5:$B$16,0))</f>
        <v/>
      </c>
      <c r="C129" s="20">
        <f>IF(A129="","",Оплаты!$A$121+1)</f>
        <v/>
      </c>
      <c r="D129" s="20">
        <f>IF(A129="","",MIN(Ввод!$B$4,Ввод!$B$4+1-SUMPRODUCT(MAX((Оплаты!$D$6:$D$505=A129)*(Оплаты!$A$6:$A$505&gt;Оплаты!$A$121)*(Ввод!$B$4+1-Оплаты!$A$6:$A$505)))))</f>
        <v/>
      </c>
      <c r="E129" s="14">
        <f>IF(A129="","",INDEX(Акты!$D$5:$D$16,B129)-SUMIFS(Оплаты!$B$6:$B$505,Оплаты!$D$6:$D$505,A129,Оплаты!$A$6:$A$505,"&lt;="&amp;Оплаты!$A$121))</f>
        <v/>
      </c>
      <c r="F129" s="14">
        <f>IF(G129="","",SUMPRODUCT(ROUND(E129*'По дням'!$L$6:$L$155/100*((((D129+'По дням'!$K$6:$K$155-ABS(D129-'По дням'!$K$6:$K$155))-(C129+'По дням'!$J$6:$J$155+ABS(C129-'По дням'!$J$6:$J$155)))/2+1)&gt;0)*(((D129+'По дням'!$K$6:$K$155-ABS(D129-'По дням'!$K$6:$K$155))-(C129+'По дням'!$J$6:$J$155+ABS(C129-'По дням'!$J$6:$J$155)))/2+1)/'По дням'!$M$6:$M$155,2)*(1-'По дням'!$N$6:$N$155)))</f>
        <v/>
      </c>
      <c r="G129">
        <f>IF(A129="","",IF(C129&gt;D129,"",B129*1000000+C129))</f>
        <v/>
      </c>
      <c r="H129" s="14">
        <f>IF(G129="","",SUMIFS(Оплаты!$B$6:$B$505,Оплаты!$D$6:$D$505,A129,Оплаты!$A$6:$A$505,D129))</f>
        <v/>
      </c>
      <c r="I129">
        <f>IF(G129="","",SUMPRODUCT((((((D129+'По дням'!$K$6:$K$155-ABS(D129-'По дням'!$K$6:$K$155))-(C129+'По дням'!$J$6:$J$155+ABS(C129-'По дням'!$J$6:$J$155)))/2+1)&gt;0)*(((D129+'По дням'!$K$6:$K$155-ABS(D129-'По дням'!$K$6:$K$155))-(C129+'По дням'!$J$6:$J$155+ABS(C129-'По дням'!$J$6:$J$155)))/2+1)&gt;0)*1))</f>
        <v/>
      </c>
    </row>
    <row r="130">
      <c r="A130">
        <f>IF(AND(Оплаты!$E$122="ок",COUNTIFS(Акты!$B$5:$B$16,Оплаты!$D$122,Акты!$H$5:$H$16,"ок")&gt;0,COUNTIFS(Оплаты!$D$6:$D$121,Оплаты!$D$122,Оплаты!$A$6:$A$121,Оплаты!$A$122)=0),Оплаты!$D$122,"")</f>
        <v/>
      </c>
      <c r="B130">
        <f>IF(A130="","",MATCH(A130,Акты!$B$5:$B$16,0))</f>
        <v/>
      </c>
      <c r="C130" s="20">
        <f>IF(A130="","",Оплаты!$A$122+1)</f>
        <v/>
      </c>
      <c r="D130" s="20">
        <f>IF(A130="","",MIN(Ввод!$B$4,Ввод!$B$4+1-SUMPRODUCT(MAX((Оплаты!$D$6:$D$505=A130)*(Оплаты!$A$6:$A$505&gt;Оплаты!$A$122)*(Ввод!$B$4+1-Оплаты!$A$6:$A$505)))))</f>
        <v/>
      </c>
      <c r="E130" s="14">
        <f>IF(A130="","",INDEX(Акты!$D$5:$D$16,B130)-SUMIFS(Оплаты!$B$6:$B$505,Оплаты!$D$6:$D$505,A130,Оплаты!$A$6:$A$505,"&lt;="&amp;Оплаты!$A$122))</f>
        <v/>
      </c>
      <c r="F130" s="14">
        <f>IF(G130="","",SUMPRODUCT(ROUND(E130*'По дням'!$L$6:$L$155/100*((((D130+'По дням'!$K$6:$K$155-ABS(D130-'По дням'!$K$6:$K$155))-(C130+'По дням'!$J$6:$J$155+ABS(C130-'По дням'!$J$6:$J$155)))/2+1)&gt;0)*(((D130+'По дням'!$K$6:$K$155-ABS(D130-'По дням'!$K$6:$K$155))-(C130+'По дням'!$J$6:$J$155+ABS(C130-'По дням'!$J$6:$J$155)))/2+1)/'По дням'!$M$6:$M$155,2)*(1-'По дням'!$N$6:$N$155)))</f>
        <v/>
      </c>
      <c r="G130">
        <f>IF(A130="","",IF(C130&gt;D130,"",B130*1000000+C130))</f>
        <v/>
      </c>
      <c r="H130" s="14">
        <f>IF(G130="","",SUMIFS(Оплаты!$B$6:$B$505,Оплаты!$D$6:$D$505,A130,Оплаты!$A$6:$A$505,D130))</f>
        <v/>
      </c>
      <c r="I130">
        <f>IF(G130="","",SUMPRODUCT((((((D130+'По дням'!$K$6:$K$155-ABS(D130-'По дням'!$K$6:$K$155))-(C130+'По дням'!$J$6:$J$155+ABS(C130-'По дням'!$J$6:$J$155)))/2+1)&gt;0)*(((D130+'По дням'!$K$6:$K$155-ABS(D130-'По дням'!$K$6:$K$155))-(C130+'По дням'!$J$6:$J$155+ABS(C130-'По дням'!$J$6:$J$155)))/2+1)&gt;0)*1))</f>
        <v/>
      </c>
    </row>
    <row r="131">
      <c r="A131">
        <f>IF(AND(Оплаты!$E$123="ок",COUNTIFS(Акты!$B$5:$B$16,Оплаты!$D$123,Акты!$H$5:$H$16,"ок")&gt;0,COUNTIFS(Оплаты!$D$6:$D$122,Оплаты!$D$123,Оплаты!$A$6:$A$122,Оплаты!$A$123)=0),Оплаты!$D$123,"")</f>
        <v/>
      </c>
      <c r="B131">
        <f>IF(A131="","",MATCH(A131,Акты!$B$5:$B$16,0))</f>
        <v/>
      </c>
      <c r="C131" s="20">
        <f>IF(A131="","",Оплаты!$A$123+1)</f>
        <v/>
      </c>
      <c r="D131" s="20">
        <f>IF(A131="","",MIN(Ввод!$B$4,Ввод!$B$4+1-SUMPRODUCT(MAX((Оплаты!$D$6:$D$505=A131)*(Оплаты!$A$6:$A$505&gt;Оплаты!$A$123)*(Ввод!$B$4+1-Оплаты!$A$6:$A$505)))))</f>
        <v/>
      </c>
      <c r="E131" s="14">
        <f>IF(A131="","",INDEX(Акты!$D$5:$D$16,B131)-SUMIFS(Оплаты!$B$6:$B$505,Оплаты!$D$6:$D$505,A131,Оплаты!$A$6:$A$505,"&lt;="&amp;Оплаты!$A$123))</f>
        <v/>
      </c>
      <c r="F131" s="14">
        <f>IF(G131="","",SUMPRODUCT(ROUND(E131*'По дням'!$L$6:$L$155/100*((((D131+'По дням'!$K$6:$K$155-ABS(D131-'По дням'!$K$6:$K$155))-(C131+'По дням'!$J$6:$J$155+ABS(C131-'По дням'!$J$6:$J$155)))/2+1)&gt;0)*(((D131+'По дням'!$K$6:$K$155-ABS(D131-'По дням'!$K$6:$K$155))-(C131+'По дням'!$J$6:$J$155+ABS(C131-'По дням'!$J$6:$J$155)))/2+1)/'По дням'!$M$6:$M$155,2)*(1-'По дням'!$N$6:$N$155)))</f>
        <v/>
      </c>
      <c r="G131">
        <f>IF(A131="","",IF(C131&gt;D131,"",B131*1000000+C131))</f>
        <v/>
      </c>
      <c r="H131" s="14">
        <f>IF(G131="","",SUMIFS(Оплаты!$B$6:$B$505,Оплаты!$D$6:$D$505,A131,Оплаты!$A$6:$A$505,D131))</f>
        <v/>
      </c>
      <c r="I131">
        <f>IF(G131="","",SUMPRODUCT((((((D131+'По дням'!$K$6:$K$155-ABS(D131-'По дням'!$K$6:$K$155))-(C131+'По дням'!$J$6:$J$155+ABS(C131-'По дням'!$J$6:$J$155)))/2+1)&gt;0)*(((D131+'По дням'!$K$6:$K$155-ABS(D131-'По дням'!$K$6:$K$155))-(C131+'По дням'!$J$6:$J$155+ABS(C131-'По дням'!$J$6:$J$155)))/2+1)&gt;0)*1))</f>
        <v/>
      </c>
    </row>
    <row r="132">
      <c r="A132">
        <f>IF(AND(Оплаты!$E$124="ок",COUNTIFS(Акты!$B$5:$B$16,Оплаты!$D$124,Акты!$H$5:$H$16,"ок")&gt;0,COUNTIFS(Оплаты!$D$6:$D$123,Оплаты!$D$124,Оплаты!$A$6:$A$123,Оплаты!$A$124)=0),Оплаты!$D$124,"")</f>
        <v/>
      </c>
      <c r="B132">
        <f>IF(A132="","",MATCH(A132,Акты!$B$5:$B$16,0))</f>
        <v/>
      </c>
      <c r="C132" s="20">
        <f>IF(A132="","",Оплаты!$A$124+1)</f>
        <v/>
      </c>
      <c r="D132" s="20">
        <f>IF(A132="","",MIN(Ввод!$B$4,Ввод!$B$4+1-SUMPRODUCT(MAX((Оплаты!$D$6:$D$505=A132)*(Оплаты!$A$6:$A$505&gt;Оплаты!$A$124)*(Ввод!$B$4+1-Оплаты!$A$6:$A$505)))))</f>
        <v/>
      </c>
      <c r="E132" s="14">
        <f>IF(A132="","",INDEX(Акты!$D$5:$D$16,B132)-SUMIFS(Оплаты!$B$6:$B$505,Оплаты!$D$6:$D$505,A132,Оплаты!$A$6:$A$505,"&lt;="&amp;Оплаты!$A$124))</f>
        <v/>
      </c>
      <c r="F132" s="14">
        <f>IF(G132="","",SUMPRODUCT(ROUND(E132*'По дням'!$L$6:$L$155/100*((((D132+'По дням'!$K$6:$K$155-ABS(D132-'По дням'!$K$6:$K$155))-(C132+'По дням'!$J$6:$J$155+ABS(C132-'По дням'!$J$6:$J$155)))/2+1)&gt;0)*(((D132+'По дням'!$K$6:$K$155-ABS(D132-'По дням'!$K$6:$K$155))-(C132+'По дням'!$J$6:$J$155+ABS(C132-'По дням'!$J$6:$J$155)))/2+1)/'По дням'!$M$6:$M$155,2)*(1-'По дням'!$N$6:$N$155)))</f>
        <v/>
      </c>
      <c r="G132">
        <f>IF(A132="","",IF(C132&gt;D132,"",B132*1000000+C132))</f>
        <v/>
      </c>
      <c r="H132" s="14">
        <f>IF(G132="","",SUMIFS(Оплаты!$B$6:$B$505,Оплаты!$D$6:$D$505,A132,Оплаты!$A$6:$A$505,D132))</f>
        <v/>
      </c>
      <c r="I132">
        <f>IF(G132="","",SUMPRODUCT((((((D132+'По дням'!$K$6:$K$155-ABS(D132-'По дням'!$K$6:$K$155))-(C132+'По дням'!$J$6:$J$155+ABS(C132-'По дням'!$J$6:$J$155)))/2+1)&gt;0)*(((D132+'По дням'!$K$6:$K$155-ABS(D132-'По дням'!$K$6:$K$155))-(C132+'По дням'!$J$6:$J$155+ABS(C132-'По дням'!$J$6:$J$155)))/2+1)&gt;0)*1))</f>
        <v/>
      </c>
    </row>
    <row r="133">
      <c r="A133">
        <f>IF(AND(Оплаты!$E$125="ок",COUNTIFS(Акты!$B$5:$B$16,Оплаты!$D$125,Акты!$H$5:$H$16,"ок")&gt;0,COUNTIFS(Оплаты!$D$6:$D$124,Оплаты!$D$125,Оплаты!$A$6:$A$124,Оплаты!$A$125)=0),Оплаты!$D$125,"")</f>
        <v/>
      </c>
      <c r="B133">
        <f>IF(A133="","",MATCH(A133,Акты!$B$5:$B$16,0))</f>
        <v/>
      </c>
      <c r="C133" s="20">
        <f>IF(A133="","",Оплаты!$A$125+1)</f>
        <v/>
      </c>
      <c r="D133" s="20">
        <f>IF(A133="","",MIN(Ввод!$B$4,Ввод!$B$4+1-SUMPRODUCT(MAX((Оплаты!$D$6:$D$505=A133)*(Оплаты!$A$6:$A$505&gt;Оплаты!$A$125)*(Ввод!$B$4+1-Оплаты!$A$6:$A$505)))))</f>
        <v/>
      </c>
      <c r="E133" s="14">
        <f>IF(A133="","",INDEX(Акты!$D$5:$D$16,B133)-SUMIFS(Оплаты!$B$6:$B$505,Оплаты!$D$6:$D$505,A133,Оплаты!$A$6:$A$505,"&lt;="&amp;Оплаты!$A$125))</f>
        <v/>
      </c>
      <c r="F133" s="14">
        <f>IF(G133="","",SUMPRODUCT(ROUND(E133*'По дням'!$L$6:$L$155/100*((((D133+'По дням'!$K$6:$K$155-ABS(D133-'По дням'!$K$6:$K$155))-(C133+'По дням'!$J$6:$J$155+ABS(C133-'По дням'!$J$6:$J$155)))/2+1)&gt;0)*(((D133+'По дням'!$K$6:$K$155-ABS(D133-'По дням'!$K$6:$K$155))-(C133+'По дням'!$J$6:$J$155+ABS(C133-'По дням'!$J$6:$J$155)))/2+1)/'По дням'!$M$6:$M$155,2)*(1-'По дням'!$N$6:$N$155)))</f>
        <v/>
      </c>
      <c r="G133">
        <f>IF(A133="","",IF(C133&gt;D133,"",B133*1000000+C133))</f>
        <v/>
      </c>
      <c r="H133" s="14">
        <f>IF(G133="","",SUMIFS(Оплаты!$B$6:$B$505,Оплаты!$D$6:$D$505,A133,Оплаты!$A$6:$A$505,D133))</f>
        <v/>
      </c>
      <c r="I133">
        <f>IF(G133="","",SUMPRODUCT((((((D133+'По дням'!$K$6:$K$155-ABS(D133-'По дням'!$K$6:$K$155))-(C133+'По дням'!$J$6:$J$155+ABS(C133-'По дням'!$J$6:$J$155)))/2+1)&gt;0)*(((D133+'По дням'!$K$6:$K$155-ABS(D133-'По дням'!$K$6:$K$155))-(C133+'По дням'!$J$6:$J$155+ABS(C133-'По дням'!$J$6:$J$155)))/2+1)&gt;0)*1))</f>
        <v/>
      </c>
    </row>
    <row r="134">
      <c r="A134">
        <f>IF(AND(Оплаты!$E$126="ок",COUNTIFS(Акты!$B$5:$B$16,Оплаты!$D$126,Акты!$H$5:$H$16,"ок")&gt;0,COUNTIFS(Оплаты!$D$6:$D$125,Оплаты!$D$126,Оплаты!$A$6:$A$125,Оплаты!$A$126)=0),Оплаты!$D$126,"")</f>
        <v/>
      </c>
      <c r="B134">
        <f>IF(A134="","",MATCH(A134,Акты!$B$5:$B$16,0))</f>
        <v/>
      </c>
      <c r="C134" s="20">
        <f>IF(A134="","",Оплаты!$A$126+1)</f>
        <v/>
      </c>
      <c r="D134" s="20">
        <f>IF(A134="","",MIN(Ввод!$B$4,Ввод!$B$4+1-SUMPRODUCT(MAX((Оплаты!$D$6:$D$505=A134)*(Оплаты!$A$6:$A$505&gt;Оплаты!$A$126)*(Ввод!$B$4+1-Оплаты!$A$6:$A$505)))))</f>
        <v/>
      </c>
      <c r="E134" s="14">
        <f>IF(A134="","",INDEX(Акты!$D$5:$D$16,B134)-SUMIFS(Оплаты!$B$6:$B$505,Оплаты!$D$6:$D$505,A134,Оплаты!$A$6:$A$505,"&lt;="&amp;Оплаты!$A$126))</f>
        <v/>
      </c>
      <c r="F134" s="14">
        <f>IF(G134="","",SUMPRODUCT(ROUND(E134*'По дням'!$L$6:$L$155/100*((((D134+'По дням'!$K$6:$K$155-ABS(D134-'По дням'!$K$6:$K$155))-(C134+'По дням'!$J$6:$J$155+ABS(C134-'По дням'!$J$6:$J$155)))/2+1)&gt;0)*(((D134+'По дням'!$K$6:$K$155-ABS(D134-'По дням'!$K$6:$K$155))-(C134+'По дням'!$J$6:$J$155+ABS(C134-'По дням'!$J$6:$J$155)))/2+1)/'По дням'!$M$6:$M$155,2)*(1-'По дням'!$N$6:$N$155)))</f>
        <v/>
      </c>
      <c r="G134">
        <f>IF(A134="","",IF(C134&gt;D134,"",B134*1000000+C134))</f>
        <v/>
      </c>
      <c r="H134" s="14">
        <f>IF(G134="","",SUMIFS(Оплаты!$B$6:$B$505,Оплаты!$D$6:$D$505,A134,Оплаты!$A$6:$A$505,D134))</f>
        <v/>
      </c>
      <c r="I134">
        <f>IF(G134="","",SUMPRODUCT((((((D134+'По дням'!$K$6:$K$155-ABS(D134-'По дням'!$K$6:$K$155))-(C134+'По дням'!$J$6:$J$155+ABS(C134-'По дням'!$J$6:$J$155)))/2+1)&gt;0)*(((D134+'По дням'!$K$6:$K$155-ABS(D134-'По дням'!$K$6:$K$155))-(C134+'По дням'!$J$6:$J$155+ABS(C134-'По дням'!$J$6:$J$155)))/2+1)&gt;0)*1))</f>
        <v/>
      </c>
    </row>
    <row r="135">
      <c r="A135">
        <f>IF(AND(Оплаты!$E$127="ок",COUNTIFS(Акты!$B$5:$B$16,Оплаты!$D$127,Акты!$H$5:$H$16,"ок")&gt;0,COUNTIFS(Оплаты!$D$6:$D$126,Оплаты!$D$127,Оплаты!$A$6:$A$126,Оплаты!$A$127)=0),Оплаты!$D$127,"")</f>
        <v/>
      </c>
      <c r="B135">
        <f>IF(A135="","",MATCH(A135,Акты!$B$5:$B$16,0))</f>
        <v/>
      </c>
      <c r="C135" s="20">
        <f>IF(A135="","",Оплаты!$A$127+1)</f>
        <v/>
      </c>
      <c r="D135" s="20">
        <f>IF(A135="","",MIN(Ввод!$B$4,Ввод!$B$4+1-SUMPRODUCT(MAX((Оплаты!$D$6:$D$505=A135)*(Оплаты!$A$6:$A$505&gt;Оплаты!$A$127)*(Ввод!$B$4+1-Оплаты!$A$6:$A$505)))))</f>
        <v/>
      </c>
      <c r="E135" s="14">
        <f>IF(A135="","",INDEX(Акты!$D$5:$D$16,B135)-SUMIFS(Оплаты!$B$6:$B$505,Оплаты!$D$6:$D$505,A135,Оплаты!$A$6:$A$505,"&lt;="&amp;Оплаты!$A$127))</f>
        <v/>
      </c>
      <c r="F135" s="14">
        <f>IF(G135="","",SUMPRODUCT(ROUND(E135*'По дням'!$L$6:$L$155/100*((((D135+'По дням'!$K$6:$K$155-ABS(D135-'По дням'!$K$6:$K$155))-(C135+'По дням'!$J$6:$J$155+ABS(C135-'По дням'!$J$6:$J$155)))/2+1)&gt;0)*(((D135+'По дням'!$K$6:$K$155-ABS(D135-'По дням'!$K$6:$K$155))-(C135+'По дням'!$J$6:$J$155+ABS(C135-'По дням'!$J$6:$J$155)))/2+1)/'По дням'!$M$6:$M$155,2)*(1-'По дням'!$N$6:$N$155)))</f>
        <v/>
      </c>
      <c r="G135">
        <f>IF(A135="","",IF(C135&gt;D135,"",B135*1000000+C135))</f>
        <v/>
      </c>
      <c r="H135" s="14">
        <f>IF(G135="","",SUMIFS(Оплаты!$B$6:$B$505,Оплаты!$D$6:$D$505,A135,Оплаты!$A$6:$A$505,D135))</f>
        <v/>
      </c>
      <c r="I135">
        <f>IF(G135="","",SUMPRODUCT((((((D135+'По дням'!$K$6:$K$155-ABS(D135-'По дням'!$K$6:$K$155))-(C135+'По дням'!$J$6:$J$155+ABS(C135-'По дням'!$J$6:$J$155)))/2+1)&gt;0)*(((D135+'По дням'!$K$6:$K$155-ABS(D135-'По дням'!$K$6:$K$155))-(C135+'По дням'!$J$6:$J$155+ABS(C135-'По дням'!$J$6:$J$155)))/2+1)&gt;0)*1))</f>
        <v/>
      </c>
    </row>
    <row r="136">
      <c r="A136">
        <f>IF(AND(Оплаты!$E$128="ок",COUNTIFS(Акты!$B$5:$B$16,Оплаты!$D$128,Акты!$H$5:$H$16,"ок")&gt;0,COUNTIFS(Оплаты!$D$6:$D$127,Оплаты!$D$128,Оплаты!$A$6:$A$127,Оплаты!$A$128)=0),Оплаты!$D$128,"")</f>
        <v/>
      </c>
      <c r="B136">
        <f>IF(A136="","",MATCH(A136,Акты!$B$5:$B$16,0))</f>
        <v/>
      </c>
      <c r="C136" s="20">
        <f>IF(A136="","",Оплаты!$A$128+1)</f>
        <v/>
      </c>
      <c r="D136" s="20">
        <f>IF(A136="","",MIN(Ввод!$B$4,Ввод!$B$4+1-SUMPRODUCT(MAX((Оплаты!$D$6:$D$505=A136)*(Оплаты!$A$6:$A$505&gt;Оплаты!$A$128)*(Ввод!$B$4+1-Оплаты!$A$6:$A$505)))))</f>
        <v/>
      </c>
      <c r="E136" s="14">
        <f>IF(A136="","",INDEX(Акты!$D$5:$D$16,B136)-SUMIFS(Оплаты!$B$6:$B$505,Оплаты!$D$6:$D$505,A136,Оплаты!$A$6:$A$505,"&lt;="&amp;Оплаты!$A$128))</f>
        <v/>
      </c>
      <c r="F136" s="14">
        <f>IF(G136="","",SUMPRODUCT(ROUND(E136*'По дням'!$L$6:$L$155/100*((((D136+'По дням'!$K$6:$K$155-ABS(D136-'По дням'!$K$6:$K$155))-(C136+'По дням'!$J$6:$J$155+ABS(C136-'По дням'!$J$6:$J$155)))/2+1)&gt;0)*(((D136+'По дням'!$K$6:$K$155-ABS(D136-'По дням'!$K$6:$K$155))-(C136+'По дням'!$J$6:$J$155+ABS(C136-'По дням'!$J$6:$J$155)))/2+1)/'По дням'!$M$6:$M$155,2)*(1-'По дням'!$N$6:$N$155)))</f>
        <v/>
      </c>
      <c r="G136">
        <f>IF(A136="","",IF(C136&gt;D136,"",B136*1000000+C136))</f>
        <v/>
      </c>
      <c r="H136" s="14">
        <f>IF(G136="","",SUMIFS(Оплаты!$B$6:$B$505,Оплаты!$D$6:$D$505,A136,Оплаты!$A$6:$A$505,D136))</f>
        <v/>
      </c>
      <c r="I136">
        <f>IF(G136="","",SUMPRODUCT((((((D136+'По дням'!$K$6:$K$155-ABS(D136-'По дням'!$K$6:$K$155))-(C136+'По дням'!$J$6:$J$155+ABS(C136-'По дням'!$J$6:$J$155)))/2+1)&gt;0)*(((D136+'По дням'!$K$6:$K$155-ABS(D136-'По дням'!$K$6:$K$155))-(C136+'По дням'!$J$6:$J$155+ABS(C136-'По дням'!$J$6:$J$155)))/2+1)&gt;0)*1))</f>
        <v/>
      </c>
    </row>
    <row r="137">
      <c r="A137">
        <f>IF(AND(Оплаты!$E$129="ок",COUNTIFS(Акты!$B$5:$B$16,Оплаты!$D$129,Акты!$H$5:$H$16,"ок")&gt;0,COUNTIFS(Оплаты!$D$6:$D$128,Оплаты!$D$129,Оплаты!$A$6:$A$128,Оплаты!$A$129)=0),Оплаты!$D$129,"")</f>
        <v/>
      </c>
      <c r="B137">
        <f>IF(A137="","",MATCH(A137,Акты!$B$5:$B$16,0))</f>
        <v/>
      </c>
      <c r="C137" s="20">
        <f>IF(A137="","",Оплаты!$A$129+1)</f>
        <v/>
      </c>
      <c r="D137" s="20">
        <f>IF(A137="","",MIN(Ввод!$B$4,Ввод!$B$4+1-SUMPRODUCT(MAX((Оплаты!$D$6:$D$505=A137)*(Оплаты!$A$6:$A$505&gt;Оплаты!$A$129)*(Ввод!$B$4+1-Оплаты!$A$6:$A$505)))))</f>
        <v/>
      </c>
      <c r="E137" s="14">
        <f>IF(A137="","",INDEX(Акты!$D$5:$D$16,B137)-SUMIFS(Оплаты!$B$6:$B$505,Оплаты!$D$6:$D$505,A137,Оплаты!$A$6:$A$505,"&lt;="&amp;Оплаты!$A$129))</f>
        <v/>
      </c>
      <c r="F137" s="14">
        <f>IF(G137="","",SUMPRODUCT(ROUND(E137*'По дням'!$L$6:$L$155/100*((((D137+'По дням'!$K$6:$K$155-ABS(D137-'По дням'!$K$6:$K$155))-(C137+'По дням'!$J$6:$J$155+ABS(C137-'По дням'!$J$6:$J$155)))/2+1)&gt;0)*(((D137+'По дням'!$K$6:$K$155-ABS(D137-'По дням'!$K$6:$K$155))-(C137+'По дням'!$J$6:$J$155+ABS(C137-'По дням'!$J$6:$J$155)))/2+1)/'По дням'!$M$6:$M$155,2)*(1-'По дням'!$N$6:$N$155)))</f>
        <v/>
      </c>
      <c r="G137">
        <f>IF(A137="","",IF(C137&gt;D137,"",B137*1000000+C137))</f>
        <v/>
      </c>
      <c r="H137" s="14">
        <f>IF(G137="","",SUMIFS(Оплаты!$B$6:$B$505,Оплаты!$D$6:$D$505,A137,Оплаты!$A$6:$A$505,D137))</f>
        <v/>
      </c>
      <c r="I137">
        <f>IF(G137="","",SUMPRODUCT((((((D137+'По дням'!$K$6:$K$155-ABS(D137-'По дням'!$K$6:$K$155))-(C137+'По дням'!$J$6:$J$155+ABS(C137-'По дням'!$J$6:$J$155)))/2+1)&gt;0)*(((D137+'По дням'!$K$6:$K$155-ABS(D137-'По дням'!$K$6:$K$155))-(C137+'По дням'!$J$6:$J$155+ABS(C137-'По дням'!$J$6:$J$155)))/2+1)&gt;0)*1))</f>
        <v/>
      </c>
    </row>
    <row r="138">
      <c r="A138">
        <f>IF(AND(Оплаты!$E$130="ок",COUNTIFS(Акты!$B$5:$B$16,Оплаты!$D$130,Акты!$H$5:$H$16,"ок")&gt;0,COUNTIFS(Оплаты!$D$6:$D$129,Оплаты!$D$130,Оплаты!$A$6:$A$129,Оплаты!$A$130)=0),Оплаты!$D$130,"")</f>
        <v/>
      </c>
      <c r="B138">
        <f>IF(A138="","",MATCH(A138,Акты!$B$5:$B$16,0))</f>
        <v/>
      </c>
      <c r="C138" s="20">
        <f>IF(A138="","",Оплаты!$A$130+1)</f>
        <v/>
      </c>
      <c r="D138" s="20">
        <f>IF(A138="","",MIN(Ввод!$B$4,Ввод!$B$4+1-SUMPRODUCT(MAX((Оплаты!$D$6:$D$505=A138)*(Оплаты!$A$6:$A$505&gt;Оплаты!$A$130)*(Ввод!$B$4+1-Оплаты!$A$6:$A$505)))))</f>
        <v/>
      </c>
      <c r="E138" s="14">
        <f>IF(A138="","",INDEX(Акты!$D$5:$D$16,B138)-SUMIFS(Оплаты!$B$6:$B$505,Оплаты!$D$6:$D$505,A138,Оплаты!$A$6:$A$505,"&lt;="&amp;Оплаты!$A$130))</f>
        <v/>
      </c>
      <c r="F138" s="14">
        <f>IF(G138="","",SUMPRODUCT(ROUND(E138*'По дням'!$L$6:$L$155/100*((((D138+'По дням'!$K$6:$K$155-ABS(D138-'По дням'!$K$6:$K$155))-(C138+'По дням'!$J$6:$J$155+ABS(C138-'По дням'!$J$6:$J$155)))/2+1)&gt;0)*(((D138+'По дням'!$K$6:$K$155-ABS(D138-'По дням'!$K$6:$K$155))-(C138+'По дням'!$J$6:$J$155+ABS(C138-'По дням'!$J$6:$J$155)))/2+1)/'По дням'!$M$6:$M$155,2)*(1-'По дням'!$N$6:$N$155)))</f>
        <v/>
      </c>
      <c r="G138">
        <f>IF(A138="","",IF(C138&gt;D138,"",B138*1000000+C138))</f>
        <v/>
      </c>
      <c r="H138" s="14">
        <f>IF(G138="","",SUMIFS(Оплаты!$B$6:$B$505,Оплаты!$D$6:$D$505,A138,Оплаты!$A$6:$A$505,D138))</f>
        <v/>
      </c>
      <c r="I138">
        <f>IF(G138="","",SUMPRODUCT((((((D138+'По дням'!$K$6:$K$155-ABS(D138-'По дням'!$K$6:$K$155))-(C138+'По дням'!$J$6:$J$155+ABS(C138-'По дням'!$J$6:$J$155)))/2+1)&gt;0)*(((D138+'По дням'!$K$6:$K$155-ABS(D138-'По дням'!$K$6:$K$155))-(C138+'По дням'!$J$6:$J$155+ABS(C138-'По дням'!$J$6:$J$155)))/2+1)&gt;0)*1))</f>
        <v/>
      </c>
    </row>
    <row r="139">
      <c r="A139">
        <f>IF(AND(Оплаты!$E$131="ок",COUNTIFS(Акты!$B$5:$B$16,Оплаты!$D$131,Акты!$H$5:$H$16,"ок")&gt;0,COUNTIFS(Оплаты!$D$6:$D$130,Оплаты!$D$131,Оплаты!$A$6:$A$130,Оплаты!$A$131)=0),Оплаты!$D$131,"")</f>
        <v/>
      </c>
      <c r="B139">
        <f>IF(A139="","",MATCH(A139,Акты!$B$5:$B$16,0))</f>
        <v/>
      </c>
      <c r="C139" s="20">
        <f>IF(A139="","",Оплаты!$A$131+1)</f>
        <v/>
      </c>
      <c r="D139" s="20">
        <f>IF(A139="","",MIN(Ввод!$B$4,Ввод!$B$4+1-SUMPRODUCT(MAX((Оплаты!$D$6:$D$505=A139)*(Оплаты!$A$6:$A$505&gt;Оплаты!$A$131)*(Ввод!$B$4+1-Оплаты!$A$6:$A$505)))))</f>
        <v/>
      </c>
      <c r="E139" s="14">
        <f>IF(A139="","",INDEX(Акты!$D$5:$D$16,B139)-SUMIFS(Оплаты!$B$6:$B$505,Оплаты!$D$6:$D$505,A139,Оплаты!$A$6:$A$505,"&lt;="&amp;Оплаты!$A$131))</f>
        <v/>
      </c>
      <c r="F139" s="14">
        <f>IF(G139="","",SUMPRODUCT(ROUND(E139*'По дням'!$L$6:$L$155/100*((((D139+'По дням'!$K$6:$K$155-ABS(D139-'По дням'!$K$6:$K$155))-(C139+'По дням'!$J$6:$J$155+ABS(C139-'По дням'!$J$6:$J$155)))/2+1)&gt;0)*(((D139+'По дням'!$K$6:$K$155-ABS(D139-'По дням'!$K$6:$K$155))-(C139+'По дням'!$J$6:$J$155+ABS(C139-'По дням'!$J$6:$J$155)))/2+1)/'По дням'!$M$6:$M$155,2)*(1-'По дням'!$N$6:$N$155)))</f>
        <v/>
      </c>
      <c r="G139">
        <f>IF(A139="","",IF(C139&gt;D139,"",B139*1000000+C139))</f>
        <v/>
      </c>
      <c r="H139" s="14">
        <f>IF(G139="","",SUMIFS(Оплаты!$B$6:$B$505,Оплаты!$D$6:$D$505,A139,Оплаты!$A$6:$A$505,D139))</f>
        <v/>
      </c>
      <c r="I139">
        <f>IF(G139="","",SUMPRODUCT((((((D139+'По дням'!$K$6:$K$155-ABS(D139-'По дням'!$K$6:$K$155))-(C139+'По дням'!$J$6:$J$155+ABS(C139-'По дням'!$J$6:$J$155)))/2+1)&gt;0)*(((D139+'По дням'!$K$6:$K$155-ABS(D139-'По дням'!$K$6:$K$155))-(C139+'По дням'!$J$6:$J$155+ABS(C139-'По дням'!$J$6:$J$155)))/2+1)&gt;0)*1))</f>
        <v/>
      </c>
    </row>
    <row r="140">
      <c r="A140">
        <f>IF(AND(Оплаты!$E$132="ок",COUNTIFS(Акты!$B$5:$B$16,Оплаты!$D$132,Акты!$H$5:$H$16,"ок")&gt;0,COUNTIFS(Оплаты!$D$6:$D$131,Оплаты!$D$132,Оплаты!$A$6:$A$131,Оплаты!$A$132)=0),Оплаты!$D$132,"")</f>
        <v/>
      </c>
      <c r="B140">
        <f>IF(A140="","",MATCH(A140,Акты!$B$5:$B$16,0))</f>
        <v/>
      </c>
      <c r="C140" s="20">
        <f>IF(A140="","",Оплаты!$A$132+1)</f>
        <v/>
      </c>
      <c r="D140" s="20">
        <f>IF(A140="","",MIN(Ввод!$B$4,Ввод!$B$4+1-SUMPRODUCT(MAX((Оплаты!$D$6:$D$505=A140)*(Оплаты!$A$6:$A$505&gt;Оплаты!$A$132)*(Ввод!$B$4+1-Оплаты!$A$6:$A$505)))))</f>
        <v/>
      </c>
      <c r="E140" s="14">
        <f>IF(A140="","",INDEX(Акты!$D$5:$D$16,B140)-SUMIFS(Оплаты!$B$6:$B$505,Оплаты!$D$6:$D$505,A140,Оплаты!$A$6:$A$505,"&lt;="&amp;Оплаты!$A$132))</f>
        <v/>
      </c>
      <c r="F140" s="14">
        <f>IF(G140="","",SUMPRODUCT(ROUND(E140*'По дням'!$L$6:$L$155/100*((((D140+'По дням'!$K$6:$K$155-ABS(D140-'По дням'!$K$6:$K$155))-(C140+'По дням'!$J$6:$J$155+ABS(C140-'По дням'!$J$6:$J$155)))/2+1)&gt;0)*(((D140+'По дням'!$K$6:$K$155-ABS(D140-'По дням'!$K$6:$K$155))-(C140+'По дням'!$J$6:$J$155+ABS(C140-'По дням'!$J$6:$J$155)))/2+1)/'По дням'!$M$6:$M$155,2)*(1-'По дням'!$N$6:$N$155)))</f>
        <v/>
      </c>
      <c r="G140">
        <f>IF(A140="","",IF(C140&gt;D140,"",B140*1000000+C140))</f>
        <v/>
      </c>
      <c r="H140" s="14">
        <f>IF(G140="","",SUMIFS(Оплаты!$B$6:$B$505,Оплаты!$D$6:$D$505,A140,Оплаты!$A$6:$A$505,D140))</f>
        <v/>
      </c>
      <c r="I140">
        <f>IF(G140="","",SUMPRODUCT((((((D140+'По дням'!$K$6:$K$155-ABS(D140-'По дням'!$K$6:$K$155))-(C140+'По дням'!$J$6:$J$155+ABS(C140-'По дням'!$J$6:$J$155)))/2+1)&gt;0)*(((D140+'По дням'!$K$6:$K$155-ABS(D140-'По дням'!$K$6:$K$155))-(C140+'По дням'!$J$6:$J$155+ABS(C140-'По дням'!$J$6:$J$155)))/2+1)&gt;0)*1))</f>
        <v/>
      </c>
    </row>
    <row r="141">
      <c r="A141">
        <f>IF(AND(Оплаты!$E$133="ок",COUNTIFS(Акты!$B$5:$B$16,Оплаты!$D$133,Акты!$H$5:$H$16,"ок")&gt;0,COUNTIFS(Оплаты!$D$6:$D$132,Оплаты!$D$133,Оплаты!$A$6:$A$132,Оплаты!$A$133)=0),Оплаты!$D$133,"")</f>
        <v/>
      </c>
      <c r="B141">
        <f>IF(A141="","",MATCH(A141,Акты!$B$5:$B$16,0))</f>
        <v/>
      </c>
      <c r="C141" s="20">
        <f>IF(A141="","",Оплаты!$A$133+1)</f>
        <v/>
      </c>
      <c r="D141" s="20">
        <f>IF(A141="","",MIN(Ввод!$B$4,Ввод!$B$4+1-SUMPRODUCT(MAX((Оплаты!$D$6:$D$505=A141)*(Оплаты!$A$6:$A$505&gt;Оплаты!$A$133)*(Ввод!$B$4+1-Оплаты!$A$6:$A$505)))))</f>
        <v/>
      </c>
      <c r="E141" s="14">
        <f>IF(A141="","",INDEX(Акты!$D$5:$D$16,B141)-SUMIFS(Оплаты!$B$6:$B$505,Оплаты!$D$6:$D$505,A141,Оплаты!$A$6:$A$505,"&lt;="&amp;Оплаты!$A$133))</f>
        <v/>
      </c>
      <c r="F141" s="14">
        <f>IF(G141="","",SUMPRODUCT(ROUND(E141*'По дням'!$L$6:$L$155/100*((((D141+'По дням'!$K$6:$K$155-ABS(D141-'По дням'!$K$6:$K$155))-(C141+'По дням'!$J$6:$J$155+ABS(C141-'По дням'!$J$6:$J$155)))/2+1)&gt;0)*(((D141+'По дням'!$K$6:$K$155-ABS(D141-'По дням'!$K$6:$K$155))-(C141+'По дням'!$J$6:$J$155+ABS(C141-'По дням'!$J$6:$J$155)))/2+1)/'По дням'!$M$6:$M$155,2)*(1-'По дням'!$N$6:$N$155)))</f>
        <v/>
      </c>
      <c r="G141">
        <f>IF(A141="","",IF(C141&gt;D141,"",B141*1000000+C141))</f>
        <v/>
      </c>
      <c r="H141" s="14">
        <f>IF(G141="","",SUMIFS(Оплаты!$B$6:$B$505,Оплаты!$D$6:$D$505,A141,Оплаты!$A$6:$A$505,D141))</f>
        <v/>
      </c>
      <c r="I141">
        <f>IF(G141="","",SUMPRODUCT((((((D141+'По дням'!$K$6:$K$155-ABS(D141-'По дням'!$K$6:$K$155))-(C141+'По дням'!$J$6:$J$155+ABS(C141-'По дням'!$J$6:$J$155)))/2+1)&gt;0)*(((D141+'По дням'!$K$6:$K$155-ABS(D141-'По дням'!$K$6:$K$155))-(C141+'По дням'!$J$6:$J$155+ABS(C141-'По дням'!$J$6:$J$155)))/2+1)&gt;0)*1))</f>
        <v/>
      </c>
    </row>
    <row r="142">
      <c r="A142">
        <f>IF(AND(Оплаты!$E$134="ок",COUNTIFS(Акты!$B$5:$B$16,Оплаты!$D$134,Акты!$H$5:$H$16,"ок")&gt;0,COUNTIFS(Оплаты!$D$6:$D$133,Оплаты!$D$134,Оплаты!$A$6:$A$133,Оплаты!$A$134)=0),Оплаты!$D$134,"")</f>
        <v/>
      </c>
      <c r="B142">
        <f>IF(A142="","",MATCH(A142,Акты!$B$5:$B$16,0))</f>
        <v/>
      </c>
      <c r="C142" s="20">
        <f>IF(A142="","",Оплаты!$A$134+1)</f>
        <v/>
      </c>
      <c r="D142" s="20">
        <f>IF(A142="","",MIN(Ввод!$B$4,Ввод!$B$4+1-SUMPRODUCT(MAX((Оплаты!$D$6:$D$505=A142)*(Оплаты!$A$6:$A$505&gt;Оплаты!$A$134)*(Ввод!$B$4+1-Оплаты!$A$6:$A$505)))))</f>
        <v/>
      </c>
      <c r="E142" s="14">
        <f>IF(A142="","",INDEX(Акты!$D$5:$D$16,B142)-SUMIFS(Оплаты!$B$6:$B$505,Оплаты!$D$6:$D$505,A142,Оплаты!$A$6:$A$505,"&lt;="&amp;Оплаты!$A$134))</f>
        <v/>
      </c>
      <c r="F142" s="14">
        <f>IF(G142="","",SUMPRODUCT(ROUND(E142*'По дням'!$L$6:$L$155/100*((((D142+'По дням'!$K$6:$K$155-ABS(D142-'По дням'!$K$6:$K$155))-(C142+'По дням'!$J$6:$J$155+ABS(C142-'По дням'!$J$6:$J$155)))/2+1)&gt;0)*(((D142+'По дням'!$K$6:$K$155-ABS(D142-'По дням'!$K$6:$K$155))-(C142+'По дням'!$J$6:$J$155+ABS(C142-'По дням'!$J$6:$J$155)))/2+1)/'По дням'!$M$6:$M$155,2)*(1-'По дням'!$N$6:$N$155)))</f>
        <v/>
      </c>
      <c r="G142">
        <f>IF(A142="","",IF(C142&gt;D142,"",B142*1000000+C142))</f>
        <v/>
      </c>
      <c r="H142" s="14">
        <f>IF(G142="","",SUMIFS(Оплаты!$B$6:$B$505,Оплаты!$D$6:$D$505,A142,Оплаты!$A$6:$A$505,D142))</f>
        <v/>
      </c>
      <c r="I142">
        <f>IF(G142="","",SUMPRODUCT((((((D142+'По дням'!$K$6:$K$155-ABS(D142-'По дням'!$K$6:$K$155))-(C142+'По дням'!$J$6:$J$155+ABS(C142-'По дням'!$J$6:$J$155)))/2+1)&gt;0)*(((D142+'По дням'!$K$6:$K$155-ABS(D142-'По дням'!$K$6:$K$155))-(C142+'По дням'!$J$6:$J$155+ABS(C142-'По дням'!$J$6:$J$155)))/2+1)&gt;0)*1))</f>
        <v/>
      </c>
    </row>
    <row r="143">
      <c r="A143">
        <f>IF(AND(Оплаты!$E$135="ок",COUNTIFS(Акты!$B$5:$B$16,Оплаты!$D$135,Акты!$H$5:$H$16,"ок")&gt;0,COUNTIFS(Оплаты!$D$6:$D$134,Оплаты!$D$135,Оплаты!$A$6:$A$134,Оплаты!$A$135)=0),Оплаты!$D$135,"")</f>
        <v/>
      </c>
      <c r="B143">
        <f>IF(A143="","",MATCH(A143,Акты!$B$5:$B$16,0))</f>
        <v/>
      </c>
      <c r="C143" s="20">
        <f>IF(A143="","",Оплаты!$A$135+1)</f>
        <v/>
      </c>
      <c r="D143" s="20">
        <f>IF(A143="","",MIN(Ввод!$B$4,Ввод!$B$4+1-SUMPRODUCT(MAX((Оплаты!$D$6:$D$505=A143)*(Оплаты!$A$6:$A$505&gt;Оплаты!$A$135)*(Ввод!$B$4+1-Оплаты!$A$6:$A$505)))))</f>
        <v/>
      </c>
      <c r="E143" s="14">
        <f>IF(A143="","",INDEX(Акты!$D$5:$D$16,B143)-SUMIFS(Оплаты!$B$6:$B$505,Оплаты!$D$6:$D$505,A143,Оплаты!$A$6:$A$505,"&lt;="&amp;Оплаты!$A$135))</f>
        <v/>
      </c>
      <c r="F143" s="14">
        <f>IF(G143="","",SUMPRODUCT(ROUND(E143*'По дням'!$L$6:$L$155/100*((((D143+'По дням'!$K$6:$K$155-ABS(D143-'По дням'!$K$6:$K$155))-(C143+'По дням'!$J$6:$J$155+ABS(C143-'По дням'!$J$6:$J$155)))/2+1)&gt;0)*(((D143+'По дням'!$K$6:$K$155-ABS(D143-'По дням'!$K$6:$K$155))-(C143+'По дням'!$J$6:$J$155+ABS(C143-'По дням'!$J$6:$J$155)))/2+1)/'По дням'!$M$6:$M$155,2)*(1-'По дням'!$N$6:$N$155)))</f>
        <v/>
      </c>
      <c r="G143">
        <f>IF(A143="","",IF(C143&gt;D143,"",B143*1000000+C143))</f>
        <v/>
      </c>
      <c r="H143" s="14">
        <f>IF(G143="","",SUMIFS(Оплаты!$B$6:$B$505,Оплаты!$D$6:$D$505,A143,Оплаты!$A$6:$A$505,D143))</f>
        <v/>
      </c>
      <c r="I143">
        <f>IF(G143="","",SUMPRODUCT((((((D143+'По дням'!$K$6:$K$155-ABS(D143-'По дням'!$K$6:$K$155))-(C143+'По дням'!$J$6:$J$155+ABS(C143-'По дням'!$J$6:$J$155)))/2+1)&gt;0)*(((D143+'По дням'!$K$6:$K$155-ABS(D143-'По дням'!$K$6:$K$155))-(C143+'По дням'!$J$6:$J$155+ABS(C143-'По дням'!$J$6:$J$155)))/2+1)&gt;0)*1))</f>
        <v/>
      </c>
    </row>
    <row r="144">
      <c r="A144">
        <f>IF(AND(Оплаты!$E$136="ок",COUNTIFS(Акты!$B$5:$B$16,Оплаты!$D$136,Акты!$H$5:$H$16,"ок")&gt;0,COUNTIFS(Оплаты!$D$6:$D$135,Оплаты!$D$136,Оплаты!$A$6:$A$135,Оплаты!$A$136)=0),Оплаты!$D$136,"")</f>
        <v/>
      </c>
      <c r="B144">
        <f>IF(A144="","",MATCH(A144,Акты!$B$5:$B$16,0))</f>
        <v/>
      </c>
      <c r="C144" s="20">
        <f>IF(A144="","",Оплаты!$A$136+1)</f>
        <v/>
      </c>
      <c r="D144" s="20">
        <f>IF(A144="","",MIN(Ввод!$B$4,Ввод!$B$4+1-SUMPRODUCT(MAX((Оплаты!$D$6:$D$505=A144)*(Оплаты!$A$6:$A$505&gt;Оплаты!$A$136)*(Ввод!$B$4+1-Оплаты!$A$6:$A$505)))))</f>
        <v/>
      </c>
      <c r="E144" s="14">
        <f>IF(A144="","",INDEX(Акты!$D$5:$D$16,B144)-SUMIFS(Оплаты!$B$6:$B$505,Оплаты!$D$6:$D$505,A144,Оплаты!$A$6:$A$505,"&lt;="&amp;Оплаты!$A$136))</f>
        <v/>
      </c>
      <c r="F144" s="14">
        <f>IF(G144="","",SUMPRODUCT(ROUND(E144*'По дням'!$L$6:$L$155/100*((((D144+'По дням'!$K$6:$K$155-ABS(D144-'По дням'!$K$6:$K$155))-(C144+'По дням'!$J$6:$J$155+ABS(C144-'По дням'!$J$6:$J$155)))/2+1)&gt;0)*(((D144+'По дням'!$K$6:$K$155-ABS(D144-'По дням'!$K$6:$K$155))-(C144+'По дням'!$J$6:$J$155+ABS(C144-'По дням'!$J$6:$J$155)))/2+1)/'По дням'!$M$6:$M$155,2)*(1-'По дням'!$N$6:$N$155)))</f>
        <v/>
      </c>
      <c r="G144">
        <f>IF(A144="","",IF(C144&gt;D144,"",B144*1000000+C144))</f>
        <v/>
      </c>
      <c r="H144" s="14">
        <f>IF(G144="","",SUMIFS(Оплаты!$B$6:$B$505,Оплаты!$D$6:$D$505,A144,Оплаты!$A$6:$A$505,D144))</f>
        <v/>
      </c>
      <c r="I144">
        <f>IF(G144="","",SUMPRODUCT((((((D144+'По дням'!$K$6:$K$155-ABS(D144-'По дням'!$K$6:$K$155))-(C144+'По дням'!$J$6:$J$155+ABS(C144-'По дням'!$J$6:$J$155)))/2+1)&gt;0)*(((D144+'По дням'!$K$6:$K$155-ABS(D144-'По дням'!$K$6:$K$155))-(C144+'По дням'!$J$6:$J$155+ABS(C144-'По дням'!$J$6:$J$155)))/2+1)&gt;0)*1))</f>
        <v/>
      </c>
    </row>
    <row r="145">
      <c r="A145">
        <f>IF(AND(Оплаты!$E$137="ок",COUNTIFS(Акты!$B$5:$B$16,Оплаты!$D$137,Акты!$H$5:$H$16,"ок")&gt;0,COUNTIFS(Оплаты!$D$6:$D$136,Оплаты!$D$137,Оплаты!$A$6:$A$136,Оплаты!$A$137)=0),Оплаты!$D$137,"")</f>
        <v/>
      </c>
      <c r="B145">
        <f>IF(A145="","",MATCH(A145,Акты!$B$5:$B$16,0))</f>
        <v/>
      </c>
      <c r="C145" s="20">
        <f>IF(A145="","",Оплаты!$A$137+1)</f>
        <v/>
      </c>
      <c r="D145" s="20">
        <f>IF(A145="","",MIN(Ввод!$B$4,Ввод!$B$4+1-SUMPRODUCT(MAX((Оплаты!$D$6:$D$505=A145)*(Оплаты!$A$6:$A$505&gt;Оплаты!$A$137)*(Ввод!$B$4+1-Оплаты!$A$6:$A$505)))))</f>
        <v/>
      </c>
      <c r="E145" s="14">
        <f>IF(A145="","",INDEX(Акты!$D$5:$D$16,B145)-SUMIFS(Оплаты!$B$6:$B$505,Оплаты!$D$6:$D$505,A145,Оплаты!$A$6:$A$505,"&lt;="&amp;Оплаты!$A$137))</f>
        <v/>
      </c>
      <c r="F145" s="14">
        <f>IF(G145="","",SUMPRODUCT(ROUND(E145*'По дням'!$L$6:$L$155/100*((((D145+'По дням'!$K$6:$K$155-ABS(D145-'По дням'!$K$6:$K$155))-(C145+'По дням'!$J$6:$J$155+ABS(C145-'По дням'!$J$6:$J$155)))/2+1)&gt;0)*(((D145+'По дням'!$K$6:$K$155-ABS(D145-'По дням'!$K$6:$K$155))-(C145+'По дням'!$J$6:$J$155+ABS(C145-'По дням'!$J$6:$J$155)))/2+1)/'По дням'!$M$6:$M$155,2)*(1-'По дням'!$N$6:$N$155)))</f>
        <v/>
      </c>
      <c r="G145">
        <f>IF(A145="","",IF(C145&gt;D145,"",B145*1000000+C145))</f>
        <v/>
      </c>
      <c r="H145" s="14">
        <f>IF(G145="","",SUMIFS(Оплаты!$B$6:$B$505,Оплаты!$D$6:$D$505,A145,Оплаты!$A$6:$A$505,D145))</f>
        <v/>
      </c>
      <c r="I145">
        <f>IF(G145="","",SUMPRODUCT((((((D145+'По дням'!$K$6:$K$155-ABS(D145-'По дням'!$K$6:$K$155))-(C145+'По дням'!$J$6:$J$155+ABS(C145-'По дням'!$J$6:$J$155)))/2+1)&gt;0)*(((D145+'По дням'!$K$6:$K$155-ABS(D145-'По дням'!$K$6:$K$155))-(C145+'По дням'!$J$6:$J$155+ABS(C145-'По дням'!$J$6:$J$155)))/2+1)&gt;0)*1))</f>
        <v/>
      </c>
    </row>
    <row r="146">
      <c r="A146">
        <f>IF(AND(Оплаты!$E$138="ок",COUNTIFS(Акты!$B$5:$B$16,Оплаты!$D$138,Акты!$H$5:$H$16,"ок")&gt;0,COUNTIFS(Оплаты!$D$6:$D$137,Оплаты!$D$138,Оплаты!$A$6:$A$137,Оплаты!$A$138)=0),Оплаты!$D$138,"")</f>
        <v/>
      </c>
      <c r="B146">
        <f>IF(A146="","",MATCH(A146,Акты!$B$5:$B$16,0))</f>
        <v/>
      </c>
      <c r="C146" s="20">
        <f>IF(A146="","",Оплаты!$A$138+1)</f>
        <v/>
      </c>
      <c r="D146" s="20">
        <f>IF(A146="","",MIN(Ввод!$B$4,Ввод!$B$4+1-SUMPRODUCT(MAX((Оплаты!$D$6:$D$505=A146)*(Оплаты!$A$6:$A$505&gt;Оплаты!$A$138)*(Ввод!$B$4+1-Оплаты!$A$6:$A$505)))))</f>
        <v/>
      </c>
      <c r="E146" s="14">
        <f>IF(A146="","",INDEX(Акты!$D$5:$D$16,B146)-SUMIFS(Оплаты!$B$6:$B$505,Оплаты!$D$6:$D$505,A146,Оплаты!$A$6:$A$505,"&lt;="&amp;Оплаты!$A$138))</f>
        <v/>
      </c>
      <c r="F146" s="14">
        <f>IF(G146="","",SUMPRODUCT(ROUND(E146*'По дням'!$L$6:$L$155/100*((((D146+'По дням'!$K$6:$K$155-ABS(D146-'По дням'!$K$6:$K$155))-(C146+'По дням'!$J$6:$J$155+ABS(C146-'По дням'!$J$6:$J$155)))/2+1)&gt;0)*(((D146+'По дням'!$K$6:$K$155-ABS(D146-'По дням'!$K$6:$K$155))-(C146+'По дням'!$J$6:$J$155+ABS(C146-'По дням'!$J$6:$J$155)))/2+1)/'По дням'!$M$6:$M$155,2)*(1-'По дням'!$N$6:$N$155)))</f>
        <v/>
      </c>
      <c r="G146">
        <f>IF(A146="","",IF(C146&gt;D146,"",B146*1000000+C146))</f>
        <v/>
      </c>
      <c r="H146" s="14">
        <f>IF(G146="","",SUMIFS(Оплаты!$B$6:$B$505,Оплаты!$D$6:$D$505,A146,Оплаты!$A$6:$A$505,D146))</f>
        <v/>
      </c>
      <c r="I146">
        <f>IF(G146="","",SUMPRODUCT((((((D146+'По дням'!$K$6:$K$155-ABS(D146-'По дням'!$K$6:$K$155))-(C146+'По дням'!$J$6:$J$155+ABS(C146-'По дням'!$J$6:$J$155)))/2+1)&gt;0)*(((D146+'По дням'!$K$6:$K$155-ABS(D146-'По дням'!$K$6:$K$155))-(C146+'По дням'!$J$6:$J$155+ABS(C146-'По дням'!$J$6:$J$155)))/2+1)&gt;0)*1))</f>
        <v/>
      </c>
    </row>
    <row r="147">
      <c r="A147">
        <f>IF(AND(Оплаты!$E$139="ок",COUNTIFS(Акты!$B$5:$B$16,Оплаты!$D$139,Акты!$H$5:$H$16,"ок")&gt;0,COUNTIFS(Оплаты!$D$6:$D$138,Оплаты!$D$139,Оплаты!$A$6:$A$138,Оплаты!$A$139)=0),Оплаты!$D$139,"")</f>
        <v/>
      </c>
      <c r="B147">
        <f>IF(A147="","",MATCH(A147,Акты!$B$5:$B$16,0))</f>
        <v/>
      </c>
      <c r="C147" s="20">
        <f>IF(A147="","",Оплаты!$A$139+1)</f>
        <v/>
      </c>
      <c r="D147" s="20">
        <f>IF(A147="","",MIN(Ввод!$B$4,Ввод!$B$4+1-SUMPRODUCT(MAX((Оплаты!$D$6:$D$505=A147)*(Оплаты!$A$6:$A$505&gt;Оплаты!$A$139)*(Ввод!$B$4+1-Оплаты!$A$6:$A$505)))))</f>
        <v/>
      </c>
      <c r="E147" s="14">
        <f>IF(A147="","",INDEX(Акты!$D$5:$D$16,B147)-SUMIFS(Оплаты!$B$6:$B$505,Оплаты!$D$6:$D$505,A147,Оплаты!$A$6:$A$505,"&lt;="&amp;Оплаты!$A$139))</f>
        <v/>
      </c>
      <c r="F147" s="14">
        <f>IF(G147="","",SUMPRODUCT(ROUND(E147*'По дням'!$L$6:$L$155/100*((((D147+'По дням'!$K$6:$K$155-ABS(D147-'По дням'!$K$6:$K$155))-(C147+'По дням'!$J$6:$J$155+ABS(C147-'По дням'!$J$6:$J$155)))/2+1)&gt;0)*(((D147+'По дням'!$K$6:$K$155-ABS(D147-'По дням'!$K$6:$K$155))-(C147+'По дням'!$J$6:$J$155+ABS(C147-'По дням'!$J$6:$J$155)))/2+1)/'По дням'!$M$6:$M$155,2)*(1-'По дням'!$N$6:$N$155)))</f>
        <v/>
      </c>
      <c r="G147">
        <f>IF(A147="","",IF(C147&gt;D147,"",B147*1000000+C147))</f>
        <v/>
      </c>
      <c r="H147" s="14">
        <f>IF(G147="","",SUMIFS(Оплаты!$B$6:$B$505,Оплаты!$D$6:$D$505,A147,Оплаты!$A$6:$A$505,D147))</f>
        <v/>
      </c>
      <c r="I147">
        <f>IF(G147="","",SUMPRODUCT((((((D147+'По дням'!$K$6:$K$155-ABS(D147-'По дням'!$K$6:$K$155))-(C147+'По дням'!$J$6:$J$155+ABS(C147-'По дням'!$J$6:$J$155)))/2+1)&gt;0)*(((D147+'По дням'!$K$6:$K$155-ABS(D147-'По дням'!$K$6:$K$155))-(C147+'По дням'!$J$6:$J$155+ABS(C147-'По дням'!$J$6:$J$155)))/2+1)&gt;0)*1))</f>
        <v/>
      </c>
    </row>
    <row r="148">
      <c r="A148">
        <f>IF(AND(Оплаты!$E$140="ок",COUNTIFS(Акты!$B$5:$B$16,Оплаты!$D$140,Акты!$H$5:$H$16,"ок")&gt;0,COUNTIFS(Оплаты!$D$6:$D$139,Оплаты!$D$140,Оплаты!$A$6:$A$139,Оплаты!$A$140)=0),Оплаты!$D$140,"")</f>
        <v/>
      </c>
      <c r="B148">
        <f>IF(A148="","",MATCH(A148,Акты!$B$5:$B$16,0))</f>
        <v/>
      </c>
      <c r="C148" s="20">
        <f>IF(A148="","",Оплаты!$A$140+1)</f>
        <v/>
      </c>
      <c r="D148" s="20">
        <f>IF(A148="","",MIN(Ввод!$B$4,Ввод!$B$4+1-SUMPRODUCT(MAX((Оплаты!$D$6:$D$505=A148)*(Оплаты!$A$6:$A$505&gt;Оплаты!$A$140)*(Ввод!$B$4+1-Оплаты!$A$6:$A$505)))))</f>
        <v/>
      </c>
      <c r="E148" s="14">
        <f>IF(A148="","",INDEX(Акты!$D$5:$D$16,B148)-SUMIFS(Оплаты!$B$6:$B$505,Оплаты!$D$6:$D$505,A148,Оплаты!$A$6:$A$505,"&lt;="&amp;Оплаты!$A$140))</f>
        <v/>
      </c>
      <c r="F148" s="14">
        <f>IF(G148="","",SUMPRODUCT(ROUND(E148*'По дням'!$L$6:$L$155/100*((((D148+'По дням'!$K$6:$K$155-ABS(D148-'По дням'!$K$6:$K$155))-(C148+'По дням'!$J$6:$J$155+ABS(C148-'По дням'!$J$6:$J$155)))/2+1)&gt;0)*(((D148+'По дням'!$K$6:$K$155-ABS(D148-'По дням'!$K$6:$K$155))-(C148+'По дням'!$J$6:$J$155+ABS(C148-'По дням'!$J$6:$J$155)))/2+1)/'По дням'!$M$6:$M$155,2)*(1-'По дням'!$N$6:$N$155)))</f>
        <v/>
      </c>
      <c r="G148">
        <f>IF(A148="","",IF(C148&gt;D148,"",B148*1000000+C148))</f>
        <v/>
      </c>
      <c r="H148" s="14">
        <f>IF(G148="","",SUMIFS(Оплаты!$B$6:$B$505,Оплаты!$D$6:$D$505,A148,Оплаты!$A$6:$A$505,D148))</f>
        <v/>
      </c>
      <c r="I148">
        <f>IF(G148="","",SUMPRODUCT((((((D148+'По дням'!$K$6:$K$155-ABS(D148-'По дням'!$K$6:$K$155))-(C148+'По дням'!$J$6:$J$155+ABS(C148-'По дням'!$J$6:$J$155)))/2+1)&gt;0)*(((D148+'По дням'!$K$6:$K$155-ABS(D148-'По дням'!$K$6:$K$155))-(C148+'По дням'!$J$6:$J$155+ABS(C148-'По дням'!$J$6:$J$155)))/2+1)&gt;0)*1))</f>
        <v/>
      </c>
    </row>
    <row r="149">
      <c r="A149">
        <f>IF(AND(Оплаты!$E$141="ок",COUNTIFS(Акты!$B$5:$B$16,Оплаты!$D$141,Акты!$H$5:$H$16,"ок")&gt;0,COUNTIFS(Оплаты!$D$6:$D$140,Оплаты!$D$141,Оплаты!$A$6:$A$140,Оплаты!$A$141)=0),Оплаты!$D$141,"")</f>
        <v/>
      </c>
      <c r="B149">
        <f>IF(A149="","",MATCH(A149,Акты!$B$5:$B$16,0))</f>
        <v/>
      </c>
      <c r="C149" s="20">
        <f>IF(A149="","",Оплаты!$A$141+1)</f>
        <v/>
      </c>
      <c r="D149" s="20">
        <f>IF(A149="","",MIN(Ввод!$B$4,Ввод!$B$4+1-SUMPRODUCT(MAX((Оплаты!$D$6:$D$505=A149)*(Оплаты!$A$6:$A$505&gt;Оплаты!$A$141)*(Ввод!$B$4+1-Оплаты!$A$6:$A$505)))))</f>
        <v/>
      </c>
      <c r="E149" s="14">
        <f>IF(A149="","",INDEX(Акты!$D$5:$D$16,B149)-SUMIFS(Оплаты!$B$6:$B$505,Оплаты!$D$6:$D$505,A149,Оплаты!$A$6:$A$505,"&lt;="&amp;Оплаты!$A$141))</f>
        <v/>
      </c>
      <c r="F149" s="14">
        <f>IF(G149="","",SUMPRODUCT(ROUND(E149*'По дням'!$L$6:$L$155/100*((((D149+'По дням'!$K$6:$K$155-ABS(D149-'По дням'!$K$6:$K$155))-(C149+'По дням'!$J$6:$J$155+ABS(C149-'По дням'!$J$6:$J$155)))/2+1)&gt;0)*(((D149+'По дням'!$K$6:$K$155-ABS(D149-'По дням'!$K$6:$K$155))-(C149+'По дням'!$J$6:$J$155+ABS(C149-'По дням'!$J$6:$J$155)))/2+1)/'По дням'!$M$6:$M$155,2)*(1-'По дням'!$N$6:$N$155)))</f>
        <v/>
      </c>
      <c r="G149">
        <f>IF(A149="","",IF(C149&gt;D149,"",B149*1000000+C149))</f>
        <v/>
      </c>
      <c r="H149" s="14">
        <f>IF(G149="","",SUMIFS(Оплаты!$B$6:$B$505,Оплаты!$D$6:$D$505,A149,Оплаты!$A$6:$A$505,D149))</f>
        <v/>
      </c>
      <c r="I149">
        <f>IF(G149="","",SUMPRODUCT((((((D149+'По дням'!$K$6:$K$155-ABS(D149-'По дням'!$K$6:$K$155))-(C149+'По дням'!$J$6:$J$155+ABS(C149-'По дням'!$J$6:$J$155)))/2+1)&gt;0)*(((D149+'По дням'!$K$6:$K$155-ABS(D149-'По дням'!$K$6:$K$155))-(C149+'По дням'!$J$6:$J$155+ABS(C149-'По дням'!$J$6:$J$155)))/2+1)&gt;0)*1))</f>
        <v/>
      </c>
    </row>
    <row r="150">
      <c r="A150">
        <f>IF(AND(Оплаты!$E$142="ок",COUNTIFS(Акты!$B$5:$B$16,Оплаты!$D$142,Акты!$H$5:$H$16,"ок")&gt;0,COUNTIFS(Оплаты!$D$6:$D$141,Оплаты!$D$142,Оплаты!$A$6:$A$141,Оплаты!$A$142)=0),Оплаты!$D$142,"")</f>
        <v/>
      </c>
      <c r="B150">
        <f>IF(A150="","",MATCH(A150,Акты!$B$5:$B$16,0))</f>
        <v/>
      </c>
      <c r="C150" s="20">
        <f>IF(A150="","",Оплаты!$A$142+1)</f>
        <v/>
      </c>
      <c r="D150" s="20">
        <f>IF(A150="","",MIN(Ввод!$B$4,Ввод!$B$4+1-SUMPRODUCT(MAX((Оплаты!$D$6:$D$505=A150)*(Оплаты!$A$6:$A$505&gt;Оплаты!$A$142)*(Ввод!$B$4+1-Оплаты!$A$6:$A$505)))))</f>
        <v/>
      </c>
      <c r="E150" s="14">
        <f>IF(A150="","",INDEX(Акты!$D$5:$D$16,B150)-SUMIFS(Оплаты!$B$6:$B$505,Оплаты!$D$6:$D$505,A150,Оплаты!$A$6:$A$505,"&lt;="&amp;Оплаты!$A$142))</f>
        <v/>
      </c>
      <c r="F150" s="14">
        <f>IF(G150="","",SUMPRODUCT(ROUND(E150*'По дням'!$L$6:$L$155/100*((((D150+'По дням'!$K$6:$K$155-ABS(D150-'По дням'!$K$6:$K$155))-(C150+'По дням'!$J$6:$J$155+ABS(C150-'По дням'!$J$6:$J$155)))/2+1)&gt;0)*(((D150+'По дням'!$K$6:$K$155-ABS(D150-'По дням'!$K$6:$K$155))-(C150+'По дням'!$J$6:$J$155+ABS(C150-'По дням'!$J$6:$J$155)))/2+1)/'По дням'!$M$6:$M$155,2)*(1-'По дням'!$N$6:$N$155)))</f>
        <v/>
      </c>
      <c r="G150">
        <f>IF(A150="","",IF(C150&gt;D150,"",B150*1000000+C150))</f>
        <v/>
      </c>
      <c r="H150" s="14">
        <f>IF(G150="","",SUMIFS(Оплаты!$B$6:$B$505,Оплаты!$D$6:$D$505,A150,Оплаты!$A$6:$A$505,D150))</f>
        <v/>
      </c>
      <c r="I150">
        <f>IF(G150="","",SUMPRODUCT((((((D150+'По дням'!$K$6:$K$155-ABS(D150-'По дням'!$K$6:$K$155))-(C150+'По дням'!$J$6:$J$155+ABS(C150-'По дням'!$J$6:$J$155)))/2+1)&gt;0)*(((D150+'По дням'!$K$6:$K$155-ABS(D150-'По дням'!$K$6:$K$155))-(C150+'По дням'!$J$6:$J$155+ABS(C150-'По дням'!$J$6:$J$155)))/2+1)&gt;0)*1))</f>
        <v/>
      </c>
    </row>
    <row r="151">
      <c r="A151">
        <f>IF(AND(Оплаты!$E$143="ок",COUNTIFS(Акты!$B$5:$B$16,Оплаты!$D$143,Акты!$H$5:$H$16,"ок")&gt;0,COUNTIFS(Оплаты!$D$6:$D$142,Оплаты!$D$143,Оплаты!$A$6:$A$142,Оплаты!$A$143)=0),Оплаты!$D$143,"")</f>
        <v/>
      </c>
      <c r="B151">
        <f>IF(A151="","",MATCH(A151,Акты!$B$5:$B$16,0))</f>
        <v/>
      </c>
      <c r="C151" s="20">
        <f>IF(A151="","",Оплаты!$A$143+1)</f>
        <v/>
      </c>
      <c r="D151" s="20">
        <f>IF(A151="","",MIN(Ввод!$B$4,Ввод!$B$4+1-SUMPRODUCT(MAX((Оплаты!$D$6:$D$505=A151)*(Оплаты!$A$6:$A$505&gt;Оплаты!$A$143)*(Ввод!$B$4+1-Оплаты!$A$6:$A$505)))))</f>
        <v/>
      </c>
      <c r="E151" s="14">
        <f>IF(A151="","",INDEX(Акты!$D$5:$D$16,B151)-SUMIFS(Оплаты!$B$6:$B$505,Оплаты!$D$6:$D$505,A151,Оплаты!$A$6:$A$505,"&lt;="&amp;Оплаты!$A$143))</f>
        <v/>
      </c>
      <c r="F151" s="14">
        <f>IF(G151="","",SUMPRODUCT(ROUND(E151*'По дням'!$L$6:$L$155/100*((((D151+'По дням'!$K$6:$K$155-ABS(D151-'По дням'!$K$6:$K$155))-(C151+'По дням'!$J$6:$J$155+ABS(C151-'По дням'!$J$6:$J$155)))/2+1)&gt;0)*(((D151+'По дням'!$K$6:$K$155-ABS(D151-'По дням'!$K$6:$K$155))-(C151+'По дням'!$J$6:$J$155+ABS(C151-'По дням'!$J$6:$J$155)))/2+1)/'По дням'!$M$6:$M$155,2)*(1-'По дням'!$N$6:$N$155)))</f>
        <v/>
      </c>
      <c r="G151">
        <f>IF(A151="","",IF(C151&gt;D151,"",B151*1000000+C151))</f>
        <v/>
      </c>
      <c r="H151" s="14">
        <f>IF(G151="","",SUMIFS(Оплаты!$B$6:$B$505,Оплаты!$D$6:$D$505,A151,Оплаты!$A$6:$A$505,D151))</f>
        <v/>
      </c>
      <c r="I151">
        <f>IF(G151="","",SUMPRODUCT((((((D151+'По дням'!$K$6:$K$155-ABS(D151-'По дням'!$K$6:$K$155))-(C151+'По дням'!$J$6:$J$155+ABS(C151-'По дням'!$J$6:$J$155)))/2+1)&gt;0)*(((D151+'По дням'!$K$6:$K$155-ABS(D151-'По дням'!$K$6:$K$155))-(C151+'По дням'!$J$6:$J$155+ABS(C151-'По дням'!$J$6:$J$155)))/2+1)&gt;0)*1))</f>
        <v/>
      </c>
    </row>
    <row r="152">
      <c r="A152">
        <f>IF(AND(Оплаты!$E$144="ок",COUNTIFS(Акты!$B$5:$B$16,Оплаты!$D$144,Акты!$H$5:$H$16,"ок")&gt;0,COUNTIFS(Оплаты!$D$6:$D$143,Оплаты!$D$144,Оплаты!$A$6:$A$143,Оплаты!$A$144)=0),Оплаты!$D$144,"")</f>
        <v/>
      </c>
      <c r="B152">
        <f>IF(A152="","",MATCH(A152,Акты!$B$5:$B$16,0))</f>
        <v/>
      </c>
      <c r="C152" s="20">
        <f>IF(A152="","",Оплаты!$A$144+1)</f>
        <v/>
      </c>
      <c r="D152" s="20">
        <f>IF(A152="","",MIN(Ввод!$B$4,Ввод!$B$4+1-SUMPRODUCT(MAX((Оплаты!$D$6:$D$505=A152)*(Оплаты!$A$6:$A$505&gt;Оплаты!$A$144)*(Ввод!$B$4+1-Оплаты!$A$6:$A$505)))))</f>
        <v/>
      </c>
      <c r="E152" s="14">
        <f>IF(A152="","",INDEX(Акты!$D$5:$D$16,B152)-SUMIFS(Оплаты!$B$6:$B$505,Оплаты!$D$6:$D$505,A152,Оплаты!$A$6:$A$505,"&lt;="&amp;Оплаты!$A$144))</f>
        <v/>
      </c>
      <c r="F152" s="14">
        <f>IF(G152="","",SUMPRODUCT(ROUND(E152*'По дням'!$L$6:$L$155/100*((((D152+'По дням'!$K$6:$K$155-ABS(D152-'По дням'!$K$6:$K$155))-(C152+'По дням'!$J$6:$J$155+ABS(C152-'По дням'!$J$6:$J$155)))/2+1)&gt;0)*(((D152+'По дням'!$K$6:$K$155-ABS(D152-'По дням'!$K$6:$K$155))-(C152+'По дням'!$J$6:$J$155+ABS(C152-'По дням'!$J$6:$J$155)))/2+1)/'По дням'!$M$6:$M$155,2)*(1-'По дням'!$N$6:$N$155)))</f>
        <v/>
      </c>
      <c r="G152">
        <f>IF(A152="","",IF(C152&gt;D152,"",B152*1000000+C152))</f>
        <v/>
      </c>
      <c r="H152" s="14">
        <f>IF(G152="","",SUMIFS(Оплаты!$B$6:$B$505,Оплаты!$D$6:$D$505,A152,Оплаты!$A$6:$A$505,D152))</f>
        <v/>
      </c>
      <c r="I152">
        <f>IF(G152="","",SUMPRODUCT((((((D152+'По дням'!$K$6:$K$155-ABS(D152-'По дням'!$K$6:$K$155))-(C152+'По дням'!$J$6:$J$155+ABS(C152-'По дням'!$J$6:$J$155)))/2+1)&gt;0)*(((D152+'По дням'!$K$6:$K$155-ABS(D152-'По дням'!$K$6:$K$155))-(C152+'По дням'!$J$6:$J$155+ABS(C152-'По дням'!$J$6:$J$155)))/2+1)&gt;0)*1))</f>
        <v/>
      </c>
    </row>
    <row r="153">
      <c r="A153">
        <f>IF(AND(Оплаты!$E$145="ок",COUNTIFS(Акты!$B$5:$B$16,Оплаты!$D$145,Акты!$H$5:$H$16,"ок")&gt;0,COUNTIFS(Оплаты!$D$6:$D$144,Оплаты!$D$145,Оплаты!$A$6:$A$144,Оплаты!$A$145)=0),Оплаты!$D$145,"")</f>
        <v/>
      </c>
      <c r="B153">
        <f>IF(A153="","",MATCH(A153,Акты!$B$5:$B$16,0))</f>
        <v/>
      </c>
      <c r="C153" s="20">
        <f>IF(A153="","",Оплаты!$A$145+1)</f>
        <v/>
      </c>
      <c r="D153" s="20">
        <f>IF(A153="","",MIN(Ввод!$B$4,Ввод!$B$4+1-SUMPRODUCT(MAX((Оплаты!$D$6:$D$505=A153)*(Оплаты!$A$6:$A$505&gt;Оплаты!$A$145)*(Ввод!$B$4+1-Оплаты!$A$6:$A$505)))))</f>
        <v/>
      </c>
      <c r="E153" s="14">
        <f>IF(A153="","",INDEX(Акты!$D$5:$D$16,B153)-SUMIFS(Оплаты!$B$6:$B$505,Оплаты!$D$6:$D$505,A153,Оплаты!$A$6:$A$505,"&lt;="&amp;Оплаты!$A$145))</f>
        <v/>
      </c>
      <c r="F153" s="14">
        <f>IF(G153="","",SUMPRODUCT(ROUND(E153*'По дням'!$L$6:$L$155/100*((((D153+'По дням'!$K$6:$K$155-ABS(D153-'По дням'!$K$6:$K$155))-(C153+'По дням'!$J$6:$J$155+ABS(C153-'По дням'!$J$6:$J$155)))/2+1)&gt;0)*(((D153+'По дням'!$K$6:$K$155-ABS(D153-'По дням'!$K$6:$K$155))-(C153+'По дням'!$J$6:$J$155+ABS(C153-'По дням'!$J$6:$J$155)))/2+1)/'По дням'!$M$6:$M$155,2)*(1-'По дням'!$N$6:$N$155)))</f>
        <v/>
      </c>
      <c r="G153">
        <f>IF(A153="","",IF(C153&gt;D153,"",B153*1000000+C153))</f>
        <v/>
      </c>
      <c r="H153" s="14">
        <f>IF(G153="","",SUMIFS(Оплаты!$B$6:$B$505,Оплаты!$D$6:$D$505,A153,Оплаты!$A$6:$A$505,D153))</f>
        <v/>
      </c>
      <c r="I153">
        <f>IF(G153="","",SUMPRODUCT((((((D153+'По дням'!$K$6:$K$155-ABS(D153-'По дням'!$K$6:$K$155))-(C153+'По дням'!$J$6:$J$155+ABS(C153-'По дням'!$J$6:$J$155)))/2+1)&gt;0)*(((D153+'По дням'!$K$6:$K$155-ABS(D153-'По дням'!$K$6:$K$155))-(C153+'По дням'!$J$6:$J$155+ABS(C153-'По дням'!$J$6:$J$155)))/2+1)&gt;0)*1))</f>
        <v/>
      </c>
    </row>
    <row r="154">
      <c r="A154">
        <f>IF(AND(Оплаты!$E$146="ок",COUNTIFS(Акты!$B$5:$B$16,Оплаты!$D$146,Акты!$H$5:$H$16,"ок")&gt;0,COUNTIFS(Оплаты!$D$6:$D$145,Оплаты!$D$146,Оплаты!$A$6:$A$145,Оплаты!$A$146)=0),Оплаты!$D$146,"")</f>
        <v/>
      </c>
      <c r="B154">
        <f>IF(A154="","",MATCH(A154,Акты!$B$5:$B$16,0))</f>
        <v/>
      </c>
      <c r="C154" s="20">
        <f>IF(A154="","",Оплаты!$A$146+1)</f>
        <v/>
      </c>
      <c r="D154" s="20">
        <f>IF(A154="","",MIN(Ввод!$B$4,Ввод!$B$4+1-SUMPRODUCT(MAX((Оплаты!$D$6:$D$505=A154)*(Оплаты!$A$6:$A$505&gt;Оплаты!$A$146)*(Ввод!$B$4+1-Оплаты!$A$6:$A$505)))))</f>
        <v/>
      </c>
      <c r="E154" s="14">
        <f>IF(A154="","",INDEX(Акты!$D$5:$D$16,B154)-SUMIFS(Оплаты!$B$6:$B$505,Оплаты!$D$6:$D$505,A154,Оплаты!$A$6:$A$505,"&lt;="&amp;Оплаты!$A$146))</f>
        <v/>
      </c>
      <c r="F154" s="14">
        <f>IF(G154="","",SUMPRODUCT(ROUND(E154*'По дням'!$L$6:$L$155/100*((((D154+'По дням'!$K$6:$K$155-ABS(D154-'По дням'!$K$6:$K$155))-(C154+'По дням'!$J$6:$J$155+ABS(C154-'По дням'!$J$6:$J$155)))/2+1)&gt;0)*(((D154+'По дням'!$K$6:$K$155-ABS(D154-'По дням'!$K$6:$K$155))-(C154+'По дням'!$J$6:$J$155+ABS(C154-'По дням'!$J$6:$J$155)))/2+1)/'По дням'!$M$6:$M$155,2)*(1-'По дням'!$N$6:$N$155)))</f>
        <v/>
      </c>
      <c r="G154">
        <f>IF(A154="","",IF(C154&gt;D154,"",B154*1000000+C154))</f>
        <v/>
      </c>
      <c r="H154" s="14">
        <f>IF(G154="","",SUMIFS(Оплаты!$B$6:$B$505,Оплаты!$D$6:$D$505,A154,Оплаты!$A$6:$A$505,D154))</f>
        <v/>
      </c>
      <c r="I154">
        <f>IF(G154="","",SUMPRODUCT((((((D154+'По дням'!$K$6:$K$155-ABS(D154-'По дням'!$K$6:$K$155))-(C154+'По дням'!$J$6:$J$155+ABS(C154-'По дням'!$J$6:$J$155)))/2+1)&gt;0)*(((D154+'По дням'!$K$6:$K$155-ABS(D154-'По дням'!$K$6:$K$155))-(C154+'По дням'!$J$6:$J$155+ABS(C154-'По дням'!$J$6:$J$155)))/2+1)&gt;0)*1))</f>
        <v/>
      </c>
    </row>
    <row r="155">
      <c r="A155">
        <f>IF(AND(Оплаты!$E$147="ок",COUNTIFS(Акты!$B$5:$B$16,Оплаты!$D$147,Акты!$H$5:$H$16,"ок")&gt;0,COUNTIFS(Оплаты!$D$6:$D$146,Оплаты!$D$147,Оплаты!$A$6:$A$146,Оплаты!$A$147)=0),Оплаты!$D$147,"")</f>
        <v/>
      </c>
      <c r="B155">
        <f>IF(A155="","",MATCH(A155,Акты!$B$5:$B$16,0))</f>
        <v/>
      </c>
      <c r="C155" s="20">
        <f>IF(A155="","",Оплаты!$A$147+1)</f>
        <v/>
      </c>
      <c r="D155" s="20">
        <f>IF(A155="","",MIN(Ввод!$B$4,Ввод!$B$4+1-SUMPRODUCT(MAX((Оплаты!$D$6:$D$505=A155)*(Оплаты!$A$6:$A$505&gt;Оплаты!$A$147)*(Ввод!$B$4+1-Оплаты!$A$6:$A$505)))))</f>
        <v/>
      </c>
      <c r="E155" s="14">
        <f>IF(A155="","",INDEX(Акты!$D$5:$D$16,B155)-SUMIFS(Оплаты!$B$6:$B$505,Оплаты!$D$6:$D$505,A155,Оплаты!$A$6:$A$505,"&lt;="&amp;Оплаты!$A$147))</f>
        <v/>
      </c>
      <c r="F155" s="14">
        <f>IF(G155="","",SUMPRODUCT(ROUND(E155*'По дням'!$L$6:$L$155/100*((((D155+'По дням'!$K$6:$K$155-ABS(D155-'По дням'!$K$6:$K$155))-(C155+'По дням'!$J$6:$J$155+ABS(C155-'По дням'!$J$6:$J$155)))/2+1)&gt;0)*(((D155+'По дням'!$K$6:$K$155-ABS(D155-'По дням'!$K$6:$K$155))-(C155+'По дням'!$J$6:$J$155+ABS(C155-'По дням'!$J$6:$J$155)))/2+1)/'По дням'!$M$6:$M$155,2)*(1-'По дням'!$N$6:$N$155)))</f>
        <v/>
      </c>
      <c r="G155">
        <f>IF(A155="","",IF(C155&gt;D155,"",B155*1000000+C155))</f>
        <v/>
      </c>
      <c r="H155" s="14">
        <f>IF(G155="","",SUMIFS(Оплаты!$B$6:$B$505,Оплаты!$D$6:$D$505,A155,Оплаты!$A$6:$A$505,D155))</f>
        <v/>
      </c>
      <c r="I155">
        <f>IF(G155="","",SUMPRODUCT((((((D155+'По дням'!$K$6:$K$155-ABS(D155-'По дням'!$K$6:$K$155))-(C155+'По дням'!$J$6:$J$155+ABS(C155-'По дням'!$J$6:$J$155)))/2+1)&gt;0)*(((D155+'По дням'!$K$6:$K$155-ABS(D155-'По дням'!$K$6:$K$155))-(C155+'По дням'!$J$6:$J$155+ABS(C155-'По дням'!$J$6:$J$155)))/2+1)&gt;0)*1))</f>
        <v/>
      </c>
    </row>
    <row r="156">
      <c r="A156">
        <f>IF(AND(Оплаты!$E$148="ок",COUNTIFS(Акты!$B$5:$B$16,Оплаты!$D$148,Акты!$H$5:$H$16,"ок")&gt;0,COUNTIFS(Оплаты!$D$6:$D$147,Оплаты!$D$148,Оплаты!$A$6:$A$147,Оплаты!$A$148)=0),Оплаты!$D$148,"")</f>
        <v/>
      </c>
      <c r="B156">
        <f>IF(A156="","",MATCH(A156,Акты!$B$5:$B$16,0))</f>
        <v/>
      </c>
      <c r="C156" s="20">
        <f>IF(A156="","",Оплаты!$A$148+1)</f>
        <v/>
      </c>
      <c r="D156" s="20">
        <f>IF(A156="","",MIN(Ввод!$B$4,Ввод!$B$4+1-SUMPRODUCT(MAX((Оплаты!$D$6:$D$505=A156)*(Оплаты!$A$6:$A$505&gt;Оплаты!$A$148)*(Ввод!$B$4+1-Оплаты!$A$6:$A$505)))))</f>
        <v/>
      </c>
      <c r="E156" s="14">
        <f>IF(A156="","",INDEX(Акты!$D$5:$D$16,B156)-SUMIFS(Оплаты!$B$6:$B$505,Оплаты!$D$6:$D$505,A156,Оплаты!$A$6:$A$505,"&lt;="&amp;Оплаты!$A$148))</f>
        <v/>
      </c>
      <c r="F156" s="14">
        <f>IF(G156="","",SUMPRODUCT(ROUND(E156*'По дням'!$L$6:$L$155/100*((((D156+'По дням'!$K$6:$K$155-ABS(D156-'По дням'!$K$6:$K$155))-(C156+'По дням'!$J$6:$J$155+ABS(C156-'По дням'!$J$6:$J$155)))/2+1)&gt;0)*(((D156+'По дням'!$K$6:$K$155-ABS(D156-'По дням'!$K$6:$K$155))-(C156+'По дням'!$J$6:$J$155+ABS(C156-'По дням'!$J$6:$J$155)))/2+1)/'По дням'!$M$6:$M$155,2)*(1-'По дням'!$N$6:$N$155)))</f>
        <v/>
      </c>
      <c r="G156">
        <f>IF(A156="","",IF(C156&gt;D156,"",B156*1000000+C156))</f>
        <v/>
      </c>
      <c r="H156" s="14">
        <f>IF(G156="","",SUMIFS(Оплаты!$B$6:$B$505,Оплаты!$D$6:$D$505,A156,Оплаты!$A$6:$A$505,D156))</f>
        <v/>
      </c>
      <c r="I156">
        <f>IF(G156="","",SUMPRODUCT((((((D156+'По дням'!$K$6:$K$155-ABS(D156-'По дням'!$K$6:$K$155))-(C156+'По дням'!$J$6:$J$155+ABS(C156-'По дням'!$J$6:$J$155)))/2+1)&gt;0)*(((D156+'По дням'!$K$6:$K$155-ABS(D156-'По дням'!$K$6:$K$155))-(C156+'По дням'!$J$6:$J$155+ABS(C156-'По дням'!$J$6:$J$155)))/2+1)&gt;0)*1))</f>
        <v/>
      </c>
    </row>
    <row r="157">
      <c r="A157">
        <f>IF(AND(Оплаты!$E$149="ок",COUNTIFS(Акты!$B$5:$B$16,Оплаты!$D$149,Акты!$H$5:$H$16,"ок")&gt;0,COUNTIFS(Оплаты!$D$6:$D$148,Оплаты!$D$149,Оплаты!$A$6:$A$148,Оплаты!$A$149)=0),Оплаты!$D$149,"")</f>
        <v/>
      </c>
      <c r="B157">
        <f>IF(A157="","",MATCH(A157,Акты!$B$5:$B$16,0))</f>
        <v/>
      </c>
      <c r="C157" s="20">
        <f>IF(A157="","",Оплаты!$A$149+1)</f>
        <v/>
      </c>
      <c r="D157" s="20">
        <f>IF(A157="","",MIN(Ввод!$B$4,Ввод!$B$4+1-SUMPRODUCT(MAX((Оплаты!$D$6:$D$505=A157)*(Оплаты!$A$6:$A$505&gt;Оплаты!$A$149)*(Ввод!$B$4+1-Оплаты!$A$6:$A$505)))))</f>
        <v/>
      </c>
      <c r="E157" s="14">
        <f>IF(A157="","",INDEX(Акты!$D$5:$D$16,B157)-SUMIFS(Оплаты!$B$6:$B$505,Оплаты!$D$6:$D$505,A157,Оплаты!$A$6:$A$505,"&lt;="&amp;Оплаты!$A$149))</f>
        <v/>
      </c>
      <c r="F157" s="14">
        <f>IF(G157="","",SUMPRODUCT(ROUND(E157*'По дням'!$L$6:$L$155/100*((((D157+'По дням'!$K$6:$K$155-ABS(D157-'По дням'!$K$6:$K$155))-(C157+'По дням'!$J$6:$J$155+ABS(C157-'По дням'!$J$6:$J$155)))/2+1)&gt;0)*(((D157+'По дням'!$K$6:$K$155-ABS(D157-'По дням'!$K$6:$K$155))-(C157+'По дням'!$J$6:$J$155+ABS(C157-'По дням'!$J$6:$J$155)))/2+1)/'По дням'!$M$6:$M$155,2)*(1-'По дням'!$N$6:$N$155)))</f>
        <v/>
      </c>
      <c r="G157">
        <f>IF(A157="","",IF(C157&gt;D157,"",B157*1000000+C157))</f>
        <v/>
      </c>
      <c r="H157" s="14">
        <f>IF(G157="","",SUMIFS(Оплаты!$B$6:$B$505,Оплаты!$D$6:$D$505,A157,Оплаты!$A$6:$A$505,D157))</f>
        <v/>
      </c>
      <c r="I157">
        <f>IF(G157="","",SUMPRODUCT((((((D157+'По дням'!$K$6:$K$155-ABS(D157-'По дням'!$K$6:$K$155))-(C157+'По дням'!$J$6:$J$155+ABS(C157-'По дням'!$J$6:$J$155)))/2+1)&gt;0)*(((D157+'По дням'!$K$6:$K$155-ABS(D157-'По дням'!$K$6:$K$155))-(C157+'По дням'!$J$6:$J$155+ABS(C157-'По дням'!$J$6:$J$155)))/2+1)&gt;0)*1))</f>
        <v/>
      </c>
    </row>
    <row r="158">
      <c r="A158">
        <f>IF(AND(Оплаты!$E$150="ок",COUNTIFS(Акты!$B$5:$B$16,Оплаты!$D$150,Акты!$H$5:$H$16,"ок")&gt;0,COUNTIFS(Оплаты!$D$6:$D$149,Оплаты!$D$150,Оплаты!$A$6:$A$149,Оплаты!$A$150)=0),Оплаты!$D$150,"")</f>
        <v/>
      </c>
      <c r="B158">
        <f>IF(A158="","",MATCH(A158,Акты!$B$5:$B$16,0))</f>
        <v/>
      </c>
      <c r="C158" s="20">
        <f>IF(A158="","",Оплаты!$A$150+1)</f>
        <v/>
      </c>
      <c r="D158" s="20">
        <f>IF(A158="","",MIN(Ввод!$B$4,Ввод!$B$4+1-SUMPRODUCT(MAX((Оплаты!$D$6:$D$505=A158)*(Оплаты!$A$6:$A$505&gt;Оплаты!$A$150)*(Ввод!$B$4+1-Оплаты!$A$6:$A$505)))))</f>
        <v/>
      </c>
      <c r="E158" s="14">
        <f>IF(A158="","",INDEX(Акты!$D$5:$D$16,B158)-SUMIFS(Оплаты!$B$6:$B$505,Оплаты!$D$6:$D$505,A158,Оплаты!$A$6:$A$505,"&lt;="&amp;Оплаты!$A$150))</f>
        <v/>
      </c>
      <c r="F158" s="14">
        <f>IF(G158="","",SUMPRODUCT(ROUND(E158*'По дням'!$L$6:$L$155/100*((((D158+'По дням'!$K$6:$K$155-ABS(D158-'По дням'!$K$6:$K$155))-(C158+'По дням'!$J$6:$J$155+ABS(C158-'По дням'!$J$6:$J$155)))/2+1)&gt;0)*(((D158+'По дням'!$K$6:$K$155-ABS(D158-'По дням'!$K$6:$K$155))-(C158+'По дням'!$J$6:$J$155+ABS(C158-'По дням'!$J$6:$J$155)))/2+1)/'По дням'!$M$6:$M$155,2)*(1-'По дням'!$N$6:$N$155)))</f>
        <v/>
      </c>
      <c r="G158">
        <f>IF(A158="","",IF(C158&gt;D158,"",B158*1000000+C158))</f>
        <v/>
      </c>
      <c r="H158" s="14">
        <f>IF(G158="","",SUMIFS(Оплаты!$B$6:$B$505,Оплаты!$D$6:$D$505,A158,Оплаты!$A$6:$A$505,D158))</f>
        <v/>
      </c>
      <c r="I158">
        <f>IF(G158="","",SUMPRODUCT((((((D158+'По дням'!$K$6:$K$155-ABS(D158-'По дням'!$K$6:$K$155))-(C158+'По дням'!$J$6:$J$155+ABS(C158-'По дням'!$J$6:$J$155)))/2+1)&gt;0)*(((D158+'По дням'!$K$6:$K$155-ABS(D158-'По дням'!$K$6:$K$155))-(C158+'По дням'!$J$6:$J$155+ABS(C158-'По дням'!$J$6:$J$155)))/2+1)&gt;0)*1))</f>
        <v/>
      </c>
    </row>
    <row r="159">
      <c r="A159">
        <f>IF(AND(Оплаты!$E$151="ок",COUNTIFS(Акты!$B$5:$B$16,Оплаты!$D$151,Акты!$H$5:$H$16,"ок")&gt;0,COUNTIFS(Оплаты!$D$6:$D$150,Оплаты!$D$151,Оплаты!$A$6:$A$150,Оплаты!$A$151)=0),Оплаты!$D$151,"")</f>
        <v/>
      </c>
      <c r="B159">
        <f>IF(A159="","",MATCH(A159,Акты!$B$5:$B$16,0))</f>
        <v/>
      </c>
      <c r="C159" s="20">
        <f>IF(A159="","",Оплаты!$A$151+1)</f>
        <v/>
      </c>
      <c r="D159" s="20">
        <f>IF(A159="","",MIN(Ввод!$B$4,Ввод!$B$4+1-SUMPRODUCT(MAX((Оплаты!$D$6:$D$505=A159)*(Оплаты!$A$6:$A$505&gt;Оплаты!$A$151)*(Ввод!$B$4+1-Оплаты!$A$6:$A$505)))))</f>
        <v/>
      </c>
      <c r="E159" s="14">
        <f>IF(A159="","",INDEX(Акты!$D$5:$D$16,B159)-SUMIFS(Оплаты!$B$6:$B$505,Оплаты!$D$6:$D$505,A159,Оплаты!$A$6:$A$505,"&lt;="&amp;Оплаты!$A$151))</f>
        <v/>
      </c>
      <c r="F159" s="14">
        <f>IF(G159="","",SUMPRODUCT(ROUND(E159*'По дням'!$L$6:$L$155/100*((((D159+'По дням'!$K$6:$K$155-ABS(D159-'По дням'!$K$6:$K$155))-(C159+'По дням'!$J$6:$J$155+ABS(C159-'По дням'!$J$6:$J$155)))/2+1)&gt;0)*(((D159+'По дням'!$K$6:$K$155-ABS(D159-'По дням'!$K$6:$K$155))-(C159+'По дням'!$J$6:$J$155+ABS(C159-'По дням'!$J$6:$J$155)))/2+1)/'По дням'!$M$6:$M$155,2)*(1-'По дням'!$N$6:$N$155)))</f>
        <v/>
      </c>
      <c r="G159">
        <f>IF(A159="","",IF(C159&gt;D159,"",B159*1000000+C159))</f>
        <v/>
      </c>
      <c r="H159" s="14">
        <f>IF(G159="","",SUMIFS(Оплаты!$B$6:$B$505,Оплаты!$D$6:$D$505,A159,Оплаты!$A$6:$A$505,D159))</f>
        <v/>
      </c>
      <c r="I159">
        <f>IF(G159="","",SUMPRODUCT((((((D159+'По дням'!$K$6:$K$155-ABS(D159-'По дням'!$K$6:$K$155))-(C159+'По дням'!$J$6:$J$155+ABS(C159-'По дням'!$J$6:$J$155)))/2+1)&gt;0)*(((D159+'По дням'!$K$6:$K$155-ABS(D159-'По дням'!$K$6:$K$155))-(C159+'По дням'!$J$6:$J$155+ABS(C159-'По дням'!$J$6:$J$155)))/2+1)&gt;0)*1))</f>
        <v/>
      </c>
    </row>
    <row r="160">
      <c r="A160">
        <f>IF(AND(Оплаты!$E$152="ок",COUNTIFS(Акты!$B$5:$B$16,Оплаты!$D$152,Акты!$H$5:$H$16,"ок")&gt;0,COUNTIFS(Оплаты!$D$6:$D$151,Оплаты!$D$152,Оплаты!$A$6:$A$151,Оплаты!$A$152)=0),Оплаты!$D$152,"")</f>
        <v/>
      </c>
      <c r="B160">
        <f>IF(A160="","",MATCH(A160,Акты!$B$5:$B$16,0))</f>
        <v/>
      </c>
      <c r="C160" s="20">
        <f>IF(A160="","",Оплаты!$A$152+1)</f>
        <v/>
      </c>
      <c r="D160" s="20">
        <f>IF(A160="","",MIN(Ввод!$B$4,Ввод!$B$4+1-SUMPRODUCT(MAX((Оплаты!$D$6:$D$505=A160)*(Оплаты!$A$6:$A$505&gt;Оплаты!$A$152)*(Ввод!$B$4+1-Оплаты!$A$6:$A$505)))))</f>
        <v/>
      </c>
      <c r="E160" s="14">
        <f>IF(A160="","",INDEX(Акты!$D$5:$D$16,B160)-SUMIFS(Оплаты!$B$6:$B$505,Оплаты!$D$6:$D$505,A160,Оплаты!$A$6:$A$505,"&lt;="&amp;Оплаты!$A$152))</f>
        <v/>
      </c>
      <c r="F160" s="14">
        <f>IF(G160="","",SUMPRODUCT(ROUND(E160*'По дням'!$L$6:$L$155/100*((((D160+'По дням'!$K$6:$K$155-ABS(D160-'По дням'!$K$6:$K$155))-(C160+'По дням'!$J$6:$J$155+ABS(C160-'По дням'!$J$6:$J$155)))/2+1)&gt;0)*(((D160+'По дням'!$K$6:$K$155-ABS(D160-'По дням'!$K$6:$K$155))-(C160+'По дням'!$J$6:$J$155+ABS(C160-'По дням'!$J$6:$J$155)))/2+1)/'По дням'!$M$6:$M$155,2)*(1-'По дням'!$N$6:$N$155)))</f>
        <v/>
      </c>
      <c r="G160">
        <f>IF(A160="","",IF(C160&gt;D160,"",B160*1000000+C160))</f>
        <v/>
      </c>
      <c r="H160" s="14">
        <f>IF(G160="","",SUMIFS(Оплаты!$B$6:$B$505,Оплаты!$D$6:$D$505,A160,Оплаты!$A$6:$A$505,D160))</f>
        <v/>
      </c>
      <c r="I160">
        <f>IF(G160="","",SUMPRODUCT((((((D160+'По дням'!$K$6:$K$155-ABS(D160-'По дням'!$K$6:$K$155))-(C160+'По дням'!$J$6:$J$155+ABS(C160-'По дням'!$J$6:$J$155)))/2+1)&gt;0)*(((D160+'По дням'!$K$6:$K$155-ABS(D160-'По дням'!$K$6:$K$155))-(C160+'По дням'!$J$6:$J$155+ABS(C160-'По дням'!$J$6:$J$155)))/2+1)&gt;0)*1))</f>
        <v/>
      </c>
    </row>
    <row r="161">
      <c r="A161">
        <f>IF(AND(Оплаты!$E$153="ок",COUNTIFS(Акты!$B$5:$B$16,Оплаты!$D$153,Акты!$H$5:$H$16,"ок")&gt;0,COUNTIFS(Оплаты!$D$6:$D$152,Оплаты!$D$153,Оплаты!$A$6:$A$152,Оплаты!$A$153)=0),Оплаты!$D$153,"")</f>
        <v/>
      </c>
      <c r="B161">
        <f>IF(A161="","",MATCH(A161,Акты!$B$5:$B$16,0))</f>
        <v/>
      </c>
      <c r="C161" s="20">
        <f>IF(A161="","",Оплаты!$A$153+1)</f>
        <v/>
      </c>
      <c r="D161" s="20">
        <f>IF(A161="","",MIN(Ввод!$B$4,Ввод!$B$4+1-SUMPRODUCT(MAX((Оплаты!$D$6:$D$505=A161)*(Оплаты!$A$6:$A$505&gt;Оплаты!$A$153)*(Ввод!$B$4+1-Оплаты!$A$6:$A$505)))))</f>
        <v/>
      </c>
      <c r="E161" s="14">
        <f>IF(A161="","",INDEX(Акты!$D$5:$D$16,B161)-SUMIFS(Оплаты!$B$6:$B$505,Оплаты!$D$6:$D$505,A161,Оплаты!$A$6:$A$505,"&lt;="&amp;Оплаты!$A$153))</f>
        <v/>
      </c>
      <c r="F161" s="14">
        <f>IF(G161="","",SUMPRODUCT(ROUND(E161*'По дням'!$L$6:$L$155/100*((((D161+'По дням'!$K$6:$K$155-ABS(D161-'По дням'!$K$6:$K$155))-(C161+'По дням'!$J$6:$J$155+ABS(C161-'По дням'!$J$6:$J$155)))/2+1)&gt;0)*(((D161+'По дням'!$K$6:$K$155-ABS(D161-'По дням'!$K$6:$K$155))-(C161+'По дням'!$J$6:$J$155+ABS(C161-'По дням'!$J$6:$J$155)))/2+1)/'По дням'!$M$6:$M$155,2)*(1-'По дням'!$N$6:$N$155)))</f>
        <v/>
      </c>
      <c r="G161">
        <f>IF(A161="","",IF(C161&gt;D161,"",B161*1000000+C161))</f>
        <v/>
      </c>
      <c r="H161" s="14">
        <f>IF(G161="","",SUMIFS(Оплаты!$B$6:$B$505,Оплаты!$D$6:$D$505,A161,Оплаты!$A$6:$A$505,D161))</f>
        <v/>
      </c>
      <c r="I161">
        <f>IF(G161="","",SUMPRODUCT((((((D161+'По дням'!$K$6:$K$155-ABS(D161-'По дням'!$K$6:$K$155))-(C161+'По дням'!$J$6:$J$155+ABS(C161-'По дням'!$J$6:$J$155)))/2+1)&gt;0)*(((D161+'По дням'!$K$6:$K$155-ABS(D161-'По дням'!$K$6:$K$155))-(C161+'По дням'!$J$6:$J$155+ABS(C161-'По дням'!$J$6:$J$155)))/2+1)&gt;0)*1))</f>
        <v/>
      </c>
    </row>
    <row r="162">
      <c r="A162">
        <f>IF(AND(Оплаты!$E$154="ок",COUNTIFS(Акты!$B$5:$B$16,Оплаты!$D$154,Акты!$H$5:$H$16,"ок")&gt;0,COUNTIFS(Оплаты!$D$6:$D$153,Оплаты!$D$154,Оплаты!$A$6:$A$153,Оплаты!$A$154)=0),Оплаты!$D$154,"")</f>
        <v/>
      </c>
      <c r="B162">
        <f>IF(A162="","",MATCH(A162,Акты!$B$5:$B$16,0))</f>
        <v/>
      </c>
      <c r="C162" s="20">
        <f>IF(A162="","",Оплаты!$A$154+1)</f>
        <v/>
      </c>
      <c r="D162" s="20">
        <f>IF(A162="","",MIN(Ввод!$B$4,Ввод!$B$4+1-SUMPRODUCT(MAX((Оплаты!$D$6:$D$505=A162)*(Оплаты!$A$6:$A$505&gt;Оплаты!$A$154)*(Ввод!$B$4+1-Оплаты!$A$6:$A$505)))))</f>
        <v/>
      </c>
      <c r="E162" s="14">
        <f>IF(A162="","",INDEX(Акты!$D$5:$D$16,B162)-SUMIFS(Оплаты!$B$6:$B$505,Оплаты!$D$6:$D$505,A162,Оплаты!$A$6:$A$505,"&lt;="&amp;Оплаты!$A$154))</f>
        <v/>
      </c>
      <c r="F162" s="14">
        <f>IF(G162="","",SUMPRODUCT(ROUND(E162*'По дням'!$L$6:$L$155/100*((((D162+'По дням'!$K$6:$K$155-ABS(D162-'По дням'!$K$6:$K$155))-(C162+'По дням'!$J$6:$J$155+ABS(C162-'По дням'!$J$6:$J$155)))/2+1)&gt;0)*(((D162+'По дням'!$K$6:$K$155-ABS(D162-'По дням'!$K$6:$K$155))-(C162+'По дням'!$J$6:$J$155+ABS(C162-'По дням'!$J$6:$J$155)))/2+1)/'По дням'!$M$6:$M$155,2)*(1-'По дням'!$N$6:$N$155)))</f>
        <v/>
      </c>
      <c r="G162">
        <f>IF(A162="","",IF(C162&gt;D162,"",B162*1000000+C162))</f>
        <v/>
      </c>
      <c r="H162" s="14">
        <f>IF(G162="","",SUMIFS(Оплаты!$B$6:$B$505,Оплаты!$D$6:$D$505,A162,Оплаты!$A$6:$A$505,D162))</f>
        <v/>
      </c>
      <c r="I162">
        <f>IF(G162="","",SUMPRODUCT((((((D162+'По дням'!$K$6:$K$155-ABS(D162-'По дням'!$K$6:$K$155))-(C162+'По дням'!$J$6:$J$155+ABS(C162-'По дням'!$J$6:$J$155)))/2+1)&gt;0)*(((D162+'По дням'!$K$6:$K$155-ABS(D162-'По дням'!$K$6:$K$155))-(C162+'По дням'!$J$6:$J$155+ABS(C162-'По дням'!$J$6:$J$155)))/2+1)&gt;0)*1))</f>
        <v/>
      </c>
    </row>
    <row r="163">
      <c r="A163">
        <f>IF(AND(Оплаты!$E$155="ок",COUNTIFS(Акты!$B$5:$B$16,Оплаты!$D$155,Акты!$H$5:$H$16,"ок")&gt;0,COUNTIFS(Оплаты!$D$6:$D$154,Оплаты!$D$155,Оплаты!$A$6:$A$154,Оплаты!$A$155)=0),Оплаты!$D$155,"")</f>
        <v/>
      </c>
      <c r="B163">
        <f>IF(A163="","",MATCH(A163,Акты!$B$5:$B$16,0))</f>
        <v/>
      </c>
      <c r="C163" s="20">
        <f>IF(A163="","",Оплаты!$A$155+1)</f>
        <v/>
      </c>
      <c r="D163" s="20">
        <f>IF(A163="","",MIN(Ввод!$B$4,Ввод!$B$4+1-SUMPRODUCT(MAX((Оплаты!$D$6:$D$505=A163)*(Оплаты!$A$6:$A$505&gt;Оплаты!$A$155)*(Ввод!$B$4+1-Оплаты!$A$6:$A$505)))))</f>
        <v/>
      </c>
      <c r="E163" s="14">
        <f>IF(A163="","",INDEX(Акты!$D$5:$D$16,B163)-SUMIFS(Оплаты!$B$6:$B$505,Оплаты!$D$6:$D$505,A163,Оплаты!$A$6:$A$505,"&lt;="&amp;Оплаты!$A$155))</f>
        <v/>
      </c>
      <c r="F163" s="14">
        <f>IF(G163="","",SUMPRODUCT(ROUND(E163*'По дням'!$L$6:$L$155/100*((((D163+'По дням'!$K$6:$K$155-ABS(D163-'По дням'!$K$6:$K$155))-(C163+'По дням'!$J$6:$J$155+ABS(C163-'По дням'!$J$6:$J$155)))/2+1)&gt;0)*(((D163+'По дням'!$K$6:$K$155-ABS(D163-'По дням'!$K$6:$K$155))-(C163+'По дням'!$J$6:$J$155+ABS(C163-'По дням'!$J$6:$J$155)))/2+1)/'По дням'!$M$6:$M$155,2)*(1-'По дням'!$N$6:$N$155)))</f>
        <v/>
      </c>
      <c r="G163">
        <f>IF(A163="","",IF(C163&gt;D163,"",B163*1000000+C163))</f>
        <v/>
      </c>
      <c r="H163" s="14">
        <f>IF(G163="","",SUMIFS(Оплаты!$B$6:$B$505,Оплаты!$D$6:$D$505,A163,Оплаты!$A$6:$A$505,D163))</f>
        <v/>
      </c>
      <c r="I163">
        <f>IF(G163="","",SUMPRODUCT((((((D163+'По дням'!$K$6:$K$155-ABS(D163-'По дням'!$K$6:$K$155))-(C163+'По дням'!$J$6:$J$155+ABS(C163-'По дням'!$J$6:$J$155)))/2+1)&gt;0)*(((D163+'По дням'!$K$6:$K$155-ABS(D163-'По дням'!$K$6:$K$155))-(C163+'По дням'!$J$6:$J$155+ABS(C163-'По дням'!$J$6:$J$155)))/2+1)&gt;0)*1))</f>
        <v/>
      </c>
    </row>
    <row r="164">
      <c r="A164">
        <f>IF(AND(Оплаты!$E$156="ок",COUNTIFS(Акты!$B$5:$B$16,Оплаты!$D$156,Акты!$H$5:$H$16,"ок")&gt;0,COUNTIFS(Оплаты!$D$6:$D$155,Оплаты!$D$156,Оплаты!$A$6:$A$155,Оплаты!$A$156)=0),Оплаты!$D$156,"")</f>
        <v/>
      </c>
      <c r="B164">
        <f>IF(A164="","",MATCH(A164,Акты!$B$5:$B$16,0))</f>
        <v/>
      </c>
      <c r="C164" s="20">
        <f>IF(A164="","",Оплаты!$A$156+1)</f>
        <v/>
      </c>
      <c r="D164" s="20">
        <f>IF(A164="","",MIN(Ввод!$B$4,Ввод!$B$4+1-SUMPRODUCT(MAX((Оплаты!$D$6:$D$505=A164)*(Оплаты!$A$6:$A$505&gt;Оплаты!$A$156)*(Ввод!$B$4+1-Оплаты!$A$6:$A$505)))))</f>
        <v/>
      </c>
      <c r="E164" s="14">
        <f>IF(A164="","",INDEX(Акты!$D$5:$D$16,B164)-SUMIFS(Оплаты!$B$6:$B$505,Оплаты!$D$6:$D$505,A164,Оплаты!$A$6:$A$505,"&lt;="&amp;Оплаты!$A$156))</f>
        <v/>
      </c>
      <c r="F164" s="14">
        <f>IF(G164="","",SUMPRODUCT(ROUND(E164*'По дням'!$L$6:$L$155/100*((((D164+'По дням'!$K$6:$K$155-ABS(D164-'По дням'!$K$6:$K$155))-(C164+'По дням'!$J$6:$J$155+ABS(C164-'По дням'!$J$6:$J$155)))/2+1)&gt;0)*(((D164+'По дням'!$K$6:$K$155-ABS(D164-'По дням'!$K$6:$K$155))-(C164+'По дням'!$J$6:$J$155+ABS(C164-'По дням'!$J$6:$J$155)))/2+1)/'По дням'!$M$6:$M$155,2)*(1-'По дням'!$N$6:$N$155)))</f>
        <v/>
      </c>
      <c r="G164">
        <f>IF(A164="","",IF(C164&gt;D164,"",B164*1000000+C164))</f>
        <v/>
      </c>
      <c r="H164" s="14">
        <f>IF(G164="","",SUMIFS(Оплаты!$B$6:$B$505,Оплаты!$D$6:$D$505,A164,Оплаты!$A$6:$A$505,D164))</f>
        <v/>
      </c>
      <c r="I164">
        <f>IF(G164="","",SUMPRODUCT((((((D164+'По дням'!$K$6:$K$155-ABS(D164-'По дням'!$K$6:$K$155))-(C164+'По дням'!$J$6:$J$155+ABS(C164-'По дням'!$J$6:$J$155)))/2+1)&gt;0)*(((D164+'По дням'!$K$6:$K$155-ABS(D164-'По дням'!$K$6:$K$155))-(C164+'По дням'!$J$6:$J$155+ABS(C164-'По дням'!$J$6:$J$155)))/2+1)&gt;0)*1))</f>
        <v/>
      </c>
    </row>
    <row r="165">
      <c r="A165">
        <f>IF(AND(Оплаты!$E$157="ок",COUNTIFS(Акты!$B$5:$B$16,Оплаты!$D$157,Акты!$H$5:$H$16,"ок")&gt;0,COUNTIFS(Оплаты!$D$6:$D$156,Оплаты!$D$157,Оплаты!$A$6:$A$156,Оплаты!$A$157)=0),Оплаты!$D$157,"")</f>
        <v/>
      </c>
      <c r="B165">
        <f>IF(A165="","",MATCH(A165,Акты!$B$5:$B$16,0))</f>
        <v/>
      </c>
      <c r="C165" s="20">
        <f>IF(A165="","",Оплаты!$A$157+1)</f>
        <v/>
      </c>
      <c r="D165" s="20">
        <f>IF(A165="","",MIN(Ввод!$B$4,Ввод!$B$4+1-SUMPRODUCT(MAX((Оплаты!$D$6:$D$505=A165)*(Оплаты!$A$6:$A$505&gt;Оплаты!$A$157)*(Ввод!$B$4+1-Оплаты!$A$6:$A$505)))))</f>
        <v/>
      </c>
      <c r="E165" s="14">
        <f>IF(A165="","",INDEX(Акты!$D$5:$D$16,B165)-SUMIFS(Оплаты!$B$6:$B$505,Оплаты!$D$6:$D$505,A165,Оплаты!$A$6:$A$505,"&lt;="&amp;Оплаты!$A$157))</f>
        <v/>
      </c>
      <c r="F165" s="14">
        <f>IF(G165="","",SUMPRODUCT(ROUND(E165*'По дням'!$L$6:$L$155/100*((((D165+'По дням'!$K$6:$K$155-ABS(D165-'По дням'!$K$6:$K$155))-(C165+'По дням'!$J$6:$J$155+ABS(C165-'По дням'!$J$6:$J$155)))/2+1)&gt;0)*(((D165+'По дням'!$K$6:$K$155-ABS(D165-'По дням'!$K$6:$K$155))-(C165+'По дням'!$J$6:$J$155+ABS(C165-'По дням'!$J$6:$J$155)))/2+1)/'По дням'!$M$6:$M$155,2)*(1-'По дням'!$N$6:$N$155)))</f>
        <v/>
      </c>
      <c r="G165">
        <f>IF(A165="","",IF(C165&gt;D165,"",B165*1000000+C165))</f>
        <v/>
      </c>
      <c r="H165" s="14">
        <f>IF(G165="","",SUMIFS(Оплаты!$B$6:$B$505,Оплаты!$D$6:$D$505,A165,Оплаты!$A$6:$A$505,D165))</f>
        <v/>
      </c>
      <c r="I165">
        <f>IF(G165="","",SUMPRODUCT((((((D165+'По дням'!$K$6:$K$155-ABS(D165-'По дням'!$K$6:$K$155))-(C165+'По дням'!$J$6:$J$155+ABS(C165-'По дням'!$J$6:$J$155)))/2+1)&gt;0)*(((D165+'По дням'!$K$6:$K$155-ABS(D165-'По дням'!$K$6:$K$155))-(C165+'По дням'!$J$6:$J$155+ABS(C165-'По дням'!$J$6:$J$155)))/2+1)&gt;0)*1))</f>
        <v/>
      </c>
    </row>
    <row r="166">
      <c r="A166">
        <f>IF(AND(Оплаты!$E$158="ок",COUNTIFS(Акты!$B$5:$B$16,Оплаты!$D$158,Акты!$H$5:$H$16,"ок")&gt;0,COUNTIFS(Оплаты!$D$6:$D$157,Оплаты!$D$158,Оплаты!$A$6:$A$157,Оплаты!$A$158)=0),Оплаты!$D$158,"")</f>
        <v/>
      </c>
      <c r="B166">
        <f>IF(A166="","",MATCH(A166,Акты!$B$5:$B$16,0))</f>
        <v/>
      </c>
      <c r="C166" s="20">
        <f>IF(A166="","",Оплаты!$A$158+1)</f>
        <v/>
      </c>
      <c r="D166" s="20">
        <f>IF(A166="","",MIN(Ввод!$B$4,Ввод!$B$4+1-SUMPRODUCT(MAX((Оплаты!$D$6:$D$505=A166)*(Оплаты!$A$6:$A$505&gt;Оплаты!$A$158)*(Ввод!$B$4+1-Оплаты!$A$6:$A$505)))))</f>
        <v/>
      </c>
      <c r="E166" s="14">
        <f>IF(A166="","",INDEX(Акты!$D$5:$D$16,B166)-SUMIFS(Оплаты!$B$6:$B$505,Оплаты!$D$6:$D$505,A166,Оплаты!$A$6:$A$505,"&lt;="&amp;Оплаты!$A$158))</f>
        <v/>
      </c>
      <c r="F166" s="14">
        <f>IF(G166="","",SUMPRODUCT(ROUND(E166*'По дням'!$L$6:$L$155/100*((((D166+'По дням'!$K$6:$K$155-ABS(D166-'По дням'!$K$6:$K$155))-(C166+'По дням'!$J$6:$J$155+ABS(C166-'По дням'!$J$6:$J$155)))/2+1)&gt;0)*(((D166+'По дням'!$K$6:$K$155-ABS(D166-'По дням'!$K$6:$K$155))-(C166+'По дням'!$J$6:$J$155+ABS(C166-'По дням'!$J$6:$J$155)))/2+1)/'По дням'!$M$6:$M$155,2)*(1-'По дням'!$N$6:$N$155)))</f>
        <v/>
      </c>
      <c r="G166">
        <f>IF(A166="","",IF(C166&gt;D166,"",B166*1000000+C166))</f>
        <v/>
      </c>
      <c r="H166" s="14">
        <f>IF(G166="","",SUMIFS(Оплаты!$B$6:$B$505,Оплаты!$D$6:$D$505,A166,Оплаты!$A$6:$A$505,D166))</f>
        <v/>
      </c>
      <c r="I166">
        <f>IF(G166="","",SUMPRODUCT((((((D166+'По дням'!$K$6:$K$155-ABS(D166-'По дням'!$K$6:$K$155))-(C166+'По дням'!$J$6:$J$155+ABS(C166-'По дням'!$J$6:$J$155)))/2+1)&gt;0)*(((D166+'По дням'!$K$6:$K$155-ABS(D166-'По дням'!$K$6:$K$155))-(C166+'По дням'!$J$6:$J$155+ABS(C166-'По дням'!$J$6:$J$155)))/2+1)&gt;0)*1))</f>
        <v/>
      </c>
    </row>
    <row r="167">
      <c r="A167">
        <f>IF(AND(Оплаты!$E$159="ок",COUNTIFS(Акты!$B$5:$B$16,Оплаты!$D$159,Акты!$H$5:$H$16,"ок")&gt;0,COUNTIFS(Оплаты!$D$6:$D$158,Оплаты!$D$159,Оплаты!$A$6:$A$158,Оплаты!$A$159)=0),Оплаты!$D$159,"")</f>
        <v/>
      </c>
      <c r="B167">
        <f>IF(A167="","",MATCH(A167,Акты!$B$5:$B$16,0))</f>
        <v/>
      </c>
      <c r="C167" s="20">
        <f>IF(A167="","",Оплаты!$A$159+1)</f>
        <v/>
      </c>
      <c r="D167" s="20">
        <f>IF(A167="","",MIN(Ввод!$B$4,Ввод!$B$4+1-SUMPRODUCT(MAX((Оплаты!$D$6:$D$505=A167)*(Оплаты!$A$6:$A$505&gt;Оплаты!$A$159)*(Ввод!$B$4+1-Оплаты!$A$6:$A$505)))))</f>
        <v/>
      </c>
      <c r="E167" s="14">
        <f>IF(A167="","",INDEX(Акты!$D$5:$D$16,B167)-SUMIFS(Оплаты!$B$6:$B$505,Оплаты!$D$6:$D$505,A167,Оплаты!$A$6:$A$505,"&lt;="&amp;Оплаты!$A$159))</f>
        <v/>
      </c>
      <c r="F167" s="14">
        <f>IF(G167="","",SUMPRODUCT(ROUND(E167*'По дням'!$L$6:$L$155/100*((((D167+'По дням'!$K$6:$K$155-ABS(D167-'По дням'!$K$6:$K$155))-(C167+'По дням'!$J$6:$J$155+ABS(C167-'По дням'!$J$6:$J$155)))/2+1)&gt;0)*(((D167+'По дням'!$K$6:$K$155-ABS(D167-'По дням'!$K$6:$K$155))-(C167+'По дням'!$J$6:$J$155+ABS(C167-'По дням'!$J$6:$J$155)))/2+1)/'По дням'!$M$6:$M$155,2)*(1-'По дням'!$N$6:$N$155)))</f>
        <v/>
      </c>
      <c r="G167">
        <f>IF(A167="","",IF(C167&gt;D167,"",B167*1000000+C167))</f>
        <v/>
      </c>
      <c r="H167" s="14">
        <f>IF(G167="","",SUMIFS(Оплаты!$B$6:$B$505,Оплаты!$D$6:$D$505,A167,Оплаты!$A$6:$A$505,D167))</f>
        <v/>
      </c>
      <c r="I167">
        <f>IF(G167="","",SUMPRODUCT((((((D167+'По дням'!$K$6:$K$155-ABS(D167-'По дням'!$K$6:$K$155))-(C167+'По дням'!$J$6:$J$155+ABS(C167-'По дням'!$J$6:$J$155)))/2+1)&gt;0)*(((D167+'По дням'!$K$6:$K$155-ABS(D167-'По дням'!$K$6:$K$155))-(C167+'По дням'!$J$6:$J$155+ABS(C167-'По дням'!$J$6:$J$155)))/2+1)&gt;0)*1))</f>
        <v/>
      </c>
    </row>
    <row r="168">
      <c r="A168">
        <f>IF(AND(Оплаты!$E$160="ок",COUNTIFS(Акты!$B$5:$B$16,Оплаты!$D$160,Акты!$H$5:$H$16,"ок")&gt;0,COUNTIFS(Оплаты!$D$6:$D$159,Оплаты!$D$160,Оплаты!$A$6:$A$159,Оплаты!$A$160)=0),Оплаты!$D$160,"")</f>
        <v/>
      </c>
      <c r="B168">
        <f>IF(A168="","",MATCH(A168,Акты!$B$5:$B$16,0))</f>
        <v/>
      </c>
      <c r="C168" s="20">
        <f>IF(A168="","",Оплаты!$A$160+1)</f>
        <v/>
      </c>
      <c r="D168" s="20">
        <f>IF(A168="","",MIN(Ввод!$B$4,Ввод!$B$4+1-SUMPRODUCT(MAX((Оплаты!$D$6:$D$505=A168)*(Оплаты!$A$6:$A$505&gt;Оплаты!$A$160)*(Ввод!$B$4+1-Оплаты!$A$6:$A$505)))))</f>
        <v/>
      </c>
      <c r="E168" s="14">
        <f>IF(A168="","",INDEX(Акты!$D$5:$D$16,B168)-SUMIFS(Оплаты!$B$6:$B$505,Оплаты!$D$6:$D$505,A168,Оплаты!$A$6:$A$505,"&lt;="&amp;Оплаты!$A$160))</f>
        <v/>
      </c>
      <c r="F168" s="14">
        <f>IF(G168="","",SUMPRODUCT(ROUND(E168*'По дням'!$L$6:$L$155/100*((((D168+'По дням'!$K$6:$K$155-ABS(D168-'По дням'!$K$6:$K$155))-(C168+'По дням'!$J$6:$J$155+ABS(C168-'По дням'!$J$6:$J$155)))/2+1)&gt;0)*(((D168+'По дням'!$K$6:$K$155-ABS(D168-'По дням'!$K$6:$K$155))-(C168+'По дням'!$J$6:$J$155+ABS(C168-'По дням'!$J$6:$J$155)))/2+1)/'По дням'!$M$6:$M$155,2)*(1-'По дням'!$N$6:$N$155)))</f>
        <v/>
      </c>
      <c r="G168">
        <f>IF(A168="","",IF(C168&gt;D168,"",B168*1000000+C168))</f>
        <v/>
      </c>
      <c r="H168" s="14">
        <f>IF(G168="","",SUMIFS(Оплаты!$B$6:$B$505,Оплаты!$D$6:$D$505,A168,Оплаты!$A$6:$A$505,D168))</f>
        <v/>
      </c>
      <c r="I168">
        <f>IF(G168="","",SUMPRODUCT((((((D168+'По дням'!$K$6:$K$155-ABS(D168-'По дням'!$K$6:$K$155))-(C168+'По дням'!$J$6:$J$155+ABS(C168-'По дням'!$J$6:$J$155)))/2+1)&gt;0)*(((D168+'По дням'!$K$6:$K$155-ABS(D168-'По дням'!$K$6:$K$155))-(C168+'По дням'!$J$6:$J$155+ABS(C168-'По дням'!$J$6:$J$155)))/2+1)&gt;0)*1))</f>
        <v/>
      </c>
    </row>
    <row r="169">
      <c r="A169">
        <f>IF(AND(Оплаты!$E$161="ок",COUNTIFS(Акты!$B$5:$B$16,Оплаты!$D$161,Акты!$H$5:$H$16,"ок")&gt;0,COUNTIFS(Оплаты!$D$6:$D$160,Оплаты!$D$161,Оплаты!$A$6:$A$160,Оплаты!$A$161)=0),Оплаты!$D$161,"")</f>
        <v/>
      </c>
      <c r="B169">
        <f>IF(A169="","",MATCH(A169,Акты!$B$5:$B$16,0))</f>
        <v/>
      </c>
      <c r="C169" s="20">
        <f>IF(A169="","",Оплаты!$A$161+1)</f>
        <v/>
      </c>
      <c r="D169" s="20">
        <f>IF(A169="","",MIN(Ввод!$B$4,Ввод!$B$4+1-SUMPRODUCT(MAX((Оплаты!$D$6:$D$505=A169)*(Оплаты!$A$6:$A$505&gt;Оплаты!$A$161)*(Ввод!$B$4+1-Оплаты!$A$6:$A$505)))))</f>
        <v/>
      </c>
      <c r="E169" s="14">
        <f>IF(A169="","",INDEX(Акты!$D$5:$D$16,B169)-SUMIFS(Оплаты!$B$6:$B$505,Оплаты!$D$6:$D$505,A169,Оплаты!$A$6:$A$505,"&lt;="&amp;Оплаты!$A$161))</f>
        <v/>
      </c>
      <c r="F169" s="14">
        <f>IF(G169="","",SUMPRODUCT(ROUND(E169*'По дням'!$L$6:$L$155/100*((((D169+'По дням'!$K$6:$K$155-ABS(D169-'По дням'!$K$6:$K$155))-(C169+'По дням'!$J$6:$J$155+ABS(C169-'По дням'!$J$6:$J$155)))/2+1)&gt;0)*(((D169+'По дням'!$K$6:$K$155-ABS(D169-'По дням'!$K$6:$K$155))-(C169+'По дням'!$J$6:$J$155+ABS(C169-'По дням'!$J$6:$J$155)))/2+1)/'По дням'!$M$6:$M$155,2)*(1-'По дням'!$N$6:$N$155)))</f>
        <v/>
      </c>
      <c r="G169">
        <f>IF(A169="","",IF(C169&gt;D169,"",B169*1000000+C169))</f>
        <v/>
      </c>
      <c r="H169" s="14">
        <f>IF(G169="","",SUMIFS(Оплаты!$B$6:$B$505,Оплаты!$D$6:$D$505,A169,Оплаты!$A$6:$A$505,D169))</f>
        <v/>
      </c>
      <c r="I169">
        <f>IF(G169="","",SUMPRODUCT((((((D169+'По дням'!$K$6:$K$155-ABS(D169-'По дням'!$K$6:$K$155))-(C169+'По дням'!$J$6:$J$155+ABS(C169-'По дням'!$J$6:$J$155)))/2+1)&gt;0)*(((D169+'По дням'!$K$6:$K$155-ABS(D169-'По дням'!$K$6:$K$155))-(C169+'По дням'!$J$6:$J$155+ABS(C169-'По дням'!$J$6:$J$155)))/2+1)&gt;0)*1))</f>
        <v/>
      </c>
    </row>
    <row r="170">
      <c r="A170">
        <f>IF(AND(Оплаты!$E$162="ок",COUNTIFS(Акты!$B$5:$B$16,Оплаты!$D$162,Акты!$H$5:$H$16,"ок")&gt;0,COUNTIFS(Оплаты!$D$6:$D$161,Оплаты!$D$162,Оплаты!$A$6:$A$161,Оплаты!$A$162)=0),Оплаты!$D$162,"")</f>
        <v/>
      </c>
      <c r="B170">
        <f>IF(A170="","",MATCH(A170,Акты!$B$5:$B$16,0))</f>
        <v/>
      </c>
      <c r="C170" s="20">
        <f>IF(A170="","",Оплаты!$A$162+1)</f>
        <v/>
      </c>
      <c r="D170" s="20">
        <f>IF(A170="","",MIN(Ввод!$B$4,Ввод!$B$4+1-SUMPRODUCT(MAX((Оплаты!$D$6:$D$505=A170)*(Оплаты!$A$6:$A$505&gt;Оплаты!$A$162)*(Ввод!$B$4+1-Оплаты!$A$6:$A$505)))))</f>
        <v/>
      </c>
      <c r="E170" s="14">
        <f>IF(A170="","",INDEX(Акты!$D$5:$D$16,B170)-SUMIFS(Оплаты!$B$6:$B$505,Оплаты!$D$6:$D$505,A170,Оплаты!$A$6:$A$505,"&lt;="&amp;Оплаты!$A$162))</f>
        <v/>
      </c>
      <c r="F170" s="14">
        <f>IF(G170="","",SUMPRODUCT(ROUND(E170*'По дням'!$L$6:$L$155/100*((((D170+'По дням'!$K$6:$K$155-ABS(D170-'По дням'!$K$6:$K$155))-(C170+'По дням'!$J$6:$J$155+ABS(C170-'По дням'!$J$6:$J$155)))/2+1)&gt;0)*(((D170+'По дням'!$K$6:$K$155-ABS(D170-'По дням'!$K$6:$K$155))-(C170+'По дням'!$J$6:$J$155+ABS(C170-'По дням'!$J$6:$J$155)))/2+1)/'По дням'!$M$6:$M$155,2)*(1-'По дням'!$N$6:$N$155)))</f>
        <v/>
      </c>
      <c r="G170">
        <f>IF(A170="","",IF(C170&gt;D170,"",B170*1000000+C170))</f>
        <v/>
      </c>
      <c r="H170" s="14">
        <f>IF(G170="","",SUMIFS(Оплаты!$B$6:$B$505,Оплаты!$D$6:$D$505,A170,Оплаты!$A$6:$A$505,D170))</f>
        <v/>
      </c>
      <c r="I170">
        <f>IF(G170="","",SUMPRODUCT((((((D170+'По дням'!$K$6:$K$155-ABS(D170-'По дням'!$K$6:$K$155))-(C170+'По дням'!$J$6:$J$155+ABS(C170-'По дням'!$J$6:$J$155)))/2+1)&gt;0)*(((D170+'По дням'!$K$6:$K$155-ABS(D170-'По дням'!$K$6:$K$155))-(C170+'По дням'!$J$6:$J$155+ABS(C170-'По дням'!$J$6:$J$155)))/2+1)&gt;0)*1))</f>
        <v/>
      </c>
    </row>
    <row r="171">
      <c r="A171">
        <f>IF(AND(Оплаты!$E$163="ок",COUNTIFS(Акты!$B$5:$B$16,Оплаты!$D$163,Акты!$H$5:$H$16,"ок")&gt;0,COUNTIFS(Оплаты!$D$6:$D$162,Оплаты!$D$163,Оплаты!$A$6:$A$162,Оплаты!$A$163)=0),Оплаты!$D$163,"")</f>
        <v/>
      </c>
      <c r="B171">
        <f>IF(A171="","",MATCH(A171,Акты!$B$5:$B$16,0))</f>
        <v/>
      </c>
      <c r="C171" s="20">
        <f>IF(A171="","",Оплаты!$A$163+1)</f>
        <v/>
      </c>
      <c r="D171" s="20">
        <f>IF(A171="","",MIN(Ввод!$B$4,Ввод!$B$4+1-SUMPRODUCT(MAX((Оплаты!$D$6:$D$505=A171)*(Оплаты!$A$6:$A$505&gt;Оплаты!$A$163)*(Ввод!$B$4+1-Оплаты!$A$6:$A$505)))))</f>
        <v/>
      </c>
      <c r="E171" s="14">
        <f>IF(A171="","",INDEX(Акты!$D$5:$D$16,B171)-SUMIFS(Оплаты!$B$6:$B$505,Оплаты!$D$6:$D$505,A171,Оплаты!$A$6:$A$505,"&lt;="&amp;Оплаты!$A$163))</f>
        <v/>
      </c>
      <c r="F171" s="14">
        <f>IF(G171="","",SUMPRODUCT(ROUND(E171*'По дням'!$L$6:$L$155/100*((((D171+'По дням'!$K$6:$K$155-ABS(D171-'По дням'!$K$6:$K$155))-(C171+'По дням'!$J$6:$J$155+ABS(C171-'По дням'!$J$6:$J$155)))/2+1)&gt;0)*(((D171+'По дням'!$K$6:$K$155-ABS(D171-'По дням'!$K$6:$K$155))-(C171+'По дням'!$J$6:$J$155+ABS(C171-'По дням'!$J$6:$J$155)))/2+1)/'По дням'!$M$6:$M$155,2)*(1-'По дням'!$N$6:$N$155)))</f>
        <v/>
      </c>
      <c r="G171">
        <f>IF(A171="","",IF(C171&gt;D171,"",B171*1000000+C171))</f>
        <v/>
      </c>
      <c r="H171" s="14">
        <f>IF(G171="","",SUMIFS(Оплаты!$B$6:$B$505,Оплаты!$D$6:$D$505,A171,Оплаты!$A$6:$A$505,D171))</f>
        <v/>
      </c>
      <c r="I171">
        <f>IF(G171="","",SUMPRODUCT((((((D171+'По дням'!$K$6:$K$155-ABS(D171-'По дням'!$K$6:$K$155))-(C171+'По дням'!$J$6:$J$155+ABS(C171-'По дням'!$J$6:$J$155)))/2+1)&gt;0)*(((D171+'По дням'!$K$6:$K$155-ABS(D171-'По дням'!$K$6:$K$155))-(C171+'По дням'!$J$6:$J$155+ABS(C171-'По дням'!$J$6:$J$155)))/2+1)&gt;0)*1))</f>
        <v/>
      </c>
    </row>
    <row r="172">
      <c r="A172">
        <f>IF(AND(Оплаты!$E$164="ок",COUNTIFS(Акты!$B$5:$B$16,Оплаты!$D$164,Акты!$H$5:$H$16,"ок")&gt;0,COUNTIFS(Оплаты!$D$6:$D$163,Оплаты!$D$164,Оплаты!$A$6:$A$163,Оплаты!$A$164)=0),Оплаты!$D$164,"")</f>
        <v/>
      </c>
      <c r="B172">
        <f>IF(A172="","",MATCH(A172,Акты!$B$5:$B$16,0))</f>
        <v/>
      </c>
      <c r="C172" s="20">
        <f>IF(A172="","",Оплаты!$A$164+1)</f>
        <v/>
      </c>
      <c r="D172" s="20">
        <f>IF(A172="","",MIN(Ввод!$B$4,Ввод!$B$4+1-SUMPRODUCT(MAX((Оплаты!$D$6:$D$505=A172)*(Оплаты!$A$6:$A$505&gt;Оплаты!$A$164)*(Ввод!$B$4+1-Оплаты!$A$6:$A$505)))))</f>
        <v/>
      </c>
      <c r="E172" s="14">
        <f>IF(A172="","",INDEX(Акты!$D$5:$D$16,B172)-SUMIFS(Оплаты!$B$6:$B$505,Оплаты!$D$6:$D$505,A172,Оплаты!$A$6:$A$505,"&lt;="&amp;Оплаты!$A$164))</f>
        <v/>
      </c>
      <c r="F172" s="14">
        <f>IF(G172="","",SUMPRODUCT(ROUND(E172*'По дням'!$L$6:$L$155/100*((((D172+'По дням'!$K$6:$K$155-ABS(D172-'По дням'!$K$6:$K$155))-(C172+'По дням'!$J$6:$J$155+ABS(C172-'По дням'!$J$6:$J$155)))/2+1)&gt;0)*(((D172+'По дням'!$K$6:$K$155-ABS(D172-'По дням'!$K$6:$K$155))-(C172+'По дням'!$J$6:$J$155+ABS(C172-'По дням'!$J$6:$J$155)))/2+1)/'По дням'!$M$6:$M$155,2)*(1-'По дням'!$N$6:$N$155)))</f>
        <v/>
      </c>
      <c r="G172">
        <f>IF(A172="","",IF(C172&gt;D172,"",B172*1000000+C172))</f>
        <v/>
      </c>
      <c r="H172" s="14">
        <f>IF(G172="","",SUMIFS(Оплаты!$B$6:$B$505,Оплаты!$D$6:$D$505,A172,Оплаты!$A$6:$A$505,D172))</f>
        <v/>
      </c>
      <c r="I172">
        <f>IF(G172="","",SUMPRODUCT((((((D172+'По дням'!$K$6:$K$155-ABS(D172-'По дням'!$K$6:$K$155))-(C172+'По дням'!$J$6:$J$155+ABS(C172-'По дням'!$J$6:$J$155)))/2+1)&gt;0)*(((D172+'По дням'!$K$6:$K$155-ABS(D172-'По дням'!$K$6:$K$155))-(C172+'По дням'!$J$6:$J$155+ABS(C172-'По дням'!$J$6:$J$155)))/2+1)&gt;0)*1))</f>
        <v/>
      </c>
    </row>
    <row r="173">
      <c r="A173">
        <f>IF(AND(Оплаты!$E$165="ок",COUNTIFS(Акты!$B$5:$B$16,Оплаты!$D$165,Акты!$H$5:$H$16,"ок")&gt;0,COUNTIFS(Оплаты!$D$6:$D$164,Оплаты!$D$165,Оплаты!$A$6:$A$164,Оплаты!$A$165)=0),Оплаты!$D$165,"")</f>
        <v/>
      </c>
      <c r="B173">
        <f>IF(A173="","",MATCH(A173,Акты!$B$5:$B$16,0))</f>
        <v/>
      </c>
      <c r="C173" s="20">
        <f>IF(A173="","",Оплаты!$A$165+1)</f>
        <v/>
      </c>
      <c r="D173" s="20">
        <f>IF(A173="","",MIN(Ввод!$B$4,Ввод!$B$4+1-SUMPRODUCT(MAX((Оплаты!$D$6:$D$505=A173)*(Оплаты!$A$6:$A$505&gt;Оплаты!$A$165)*(Ввод!$B$4+1-Оплаты!$A$6:$A$505)))))</f>
        <v/>
      </c>
      <c r="E173" s="14">
        <f>IF(A173="","",INDEX(Акты!$D$5:$D$16,B173)-SUMIFS(Оплаты!$B$6:$B$505,Оплаты!$D$6:$D$505,A173,Оплаты!$A$6:$A$505,"&lt;="&amp;Оплаты!$A$165))</f>
        <v/>
      </c>
      <c r="F173" s="14">
        <f>IF(G173="","",SUMPRODUCT(ROUND(E173*'По дням'!$L$6:$L$155/100*((((D173+'По дням'!$K$6:$K$155-ABS(D173-'По дням'!$K$6:$K$155))-(C173+'По дням'!$J$6:$J$155+ABS(C173-'По дням'!$J$6:$J$155)))/2+1)&gt;0)*(((D173+'По дням'!$K$6:$K$155-ABS(D173-'По дням'!$K$6:$K$155))-(C173+'По дням'!$J$6:$J$155+ABS(C173-'По дням'!$J$6:$J$155)))/2+1)/'По дням'!$M$6:$M$155,2)*(1-'По дням'!$N$6:$N$155)))</f>
        <v/>
      </c>
      <c r="G173">
        <f>IF(A173="","",IF(C173&gt;D173,"",B173*1000000+C173))</f>
        <v/>
      </c>
      <c r="H173" s="14">
        <f>IF(G173="","",SUMIFS(Оплаты!$B$6:$B$505,Оплаты!$D$6:$D$505,A173,Оплаты!$A$6:$A$505,D173))</f>
        <v/>
      </c>
      <c r="I173">
        <f>IF(G173="","",SUMPRODUCT((((((D173+'По дням'!$K$6:$K$155-ABS(D173-'По дням'!$K$6:$K$155))-(C173+'По дням'!$J$6:$J$155+ABS(C173-'По дням'!$J$6:$J$155)))/2+1)&gt;0)*(((D173+'По дням'!$K$6:$K$155-ABS(D173-'По дням'!$K$6:$K$155))-(C173+'По дням'!$J$6:$J$155+ABS(C173-'По дням'!$J$6:$J$155)))/2+1)&gt;0)*1))</f>
        <v/>
      </c>
    </row>
    <row r="174">
      <c r="A174">
        <f>IF(AND(Оплаты!$E$166="ок",COUNTIFS(Акты!$B$5:$B$16,Оплаты!$D$166,Акты!$H$5:$H$16,"ок")&gt;0,COUNTIFS(Оплаты!$D$6:$D$165,Оплаты!$D$166,Оплаты!$A$6:$A$165,Оплаты!$A$166)=0),Оплаты!$D$166,"")</f>
        <v/>
      </c>
      <c r="B174">
        <f>IF(A174="","",MATCH(A174,Акты!$B$5:$B$16,0))</f>
        <v/>
      </c>
      <c r="C174" s="20">
        <f>IF(A174="","",Оплаты!$A$166+1)</f>
        <v/>
      </c>
      <c r="D174" s="20">
        <f>IF(A174="","",MIN(Ввод!$B$4,Ввод!$B$4+1-SUMPRODUCT(MAX((Оплаты!$D$6:$D$505=A174)*(Оплаты!$A$6:$A$505&gt;Оплаты!$A$166)*(Ввод!$B$4+1-Оплаты!$A$6:$A$505)))))</f>
        <v/>
      </c>
      <c r="E174" s="14">
        <f>IF(A174="","",INDEX(Акты!$D$5:$D$16,B174)-SUMIFS(Оплаты!$B$6:$B$505,Оплаты!$D$6:$D$505,A174,Оплаты!$A$6:$A$505,"&lt;="&amp;Оплаты!$A$166))</f>
        <v/>
      </c>
      <c r="F174" s="14">
        <f>IF(G174="","",SUMPRODUCT(ROUND(E174*'По дням'!$L$6:$L$155/100*((((D174+'По дням'!$K$6:$K$155-ABS(D174-'По дням'!$K$6:$K$155))-(C174+'По дням'!$J$6:$J$155+ABS(C174-'По дням'!$J$6:$J$155)))/2+1)&gt;0)*(((D174+'По дням'!$K$6:$K$155-ABS(D174-'По дням'!$K$6:$K$155))-(C174+'По дням'!$J$6:$J$155+ABS(C174-'По дням'!$J$6:$J$155)))/2+1)/'По дням'!$M$6:$M$155,2)*(1-'По дням'!$N$6:$N$155)))</f>
        <v/>
      </c>
      <c r="G174">
        <f>IF(A174="","",IF(C174&gt;D174,"",B174*1000000+C174))</f>
        <v/>
      </c>
      <c r="H174" s="14">
        <f>IF(G174="","",SUMIFS(Оплаты!$B$6:$B$505,Оплаты!$D$6:$D$505,A174,Оплаты!$A$6:$A$505,D174))</f>
        <v/>
      </c>
      <c r="I174">
        <f>IF(G174="","",SUMPRODUCT((((((D174+'По дням'!$K$6:$K$155-ABS(D174-'По дням'!$K$6:$K$155))-(C174+'По дням'!$J$6:$J$155+ABS(C174-'По дням'!$J$6:$J$155)))/2+1)&gt;0)*(((D174+'По дням'!$K$6:$K$155-ABS(D174-'По дням'!$K$6:$K$155))-(C174+'По дням'!$J$6:$J$155+ABS(C174-'По дням'!$J$6:$J$155)))/2+1)&gt;0)*1))</f>
        <v/>
      </c>
    </row>
    <row r="175">
      <c r="A175">
        <f>IF(AND(Оплаты!$E$167="ок",COUNTIFS(Акты!$B$5:$B$16,Оплаты!$D$167,Акты!$H$5:$H$16,"ок")&gt;0,COUNTIFS(Оплаты!$D$6:$D$166,Оплаты!$D$167,Оплаты!$A$6:$A$166,Оплаты!$A$167)=0),Оплаты!$D$167,"")</f>
        <v/>
      </c>
      <c r="B175">
        <f>IF(A175="","",MATCH(A175,Акты!$B$5:$B$16,0))</f>
        <v/>
      </c>
      <c r="C175" s="20">
        <f>IF(A175="","",Оплаты!$A$167+1)</f>
        <v/>
      </c>
      <c r="D175" s="20">
        <f>IF(A175="","",MIN(Ввод!$B$4,Ввод!$B$4+1-SUMPRODUCT(MAX((Оплаты!$D$6:$D$505=A175)*(Оплаты!$A$6:$A$505&gt;Оплаты!$A$167)*(Ввод!$B$4+1-Оплаты!$A$6:$A$505)))))</f>
        <v/>
      </c>
      <c r="E175" s="14">
        <f>IF(A175="","",INDEX(Акты!$D$5:$D$16,B175)-SUMIFS(Оплаты!$B$6:$B$505,Оплаты!$D$6:$D$505,A175,Оплаты!$A$6:$A$505,"&lt;="&amp;Оплаты!$A$167))</f>
        <v/>
      </c>
      <c r="F175" s="14">
        <f>IF(G175="","",SUMPRODUCT(ROUND(E175*'По дням'!$L$6:$L$155/100*((((D175+'По дням'!$K$6:$K$155-ABS(D175-'По дням'!$K$6:$K$155))-(C175+'По дням'!$J$6:$J$155+ABS(C175-'По дням'!$J$6:$J$155)))/2+1)&gt;0)*(((D175+'По дням'!$K$6:$K$155-ABS(D175-'По дням'!$K$6:$K$155))-(C175+'По дням'!$J$6:$J$155+ABS(C175-'По дням'!$J$6:$J$155)))/2+1)/'По дням'!$M$6:$M$155,2)*(1-'По дням'!$N$6:$N$155)))</f>
        <v/>
      </c>
      <c r="G175">
        <f>IF(A175="","",IF(C175&gt;D175,"",B175*1000000+C175))</f>
        <v/>
      </c>
      <c r="H175" s="14">
        <f>IF(G175="","",SUMIFS(Оплаты!$B$6:$B$505,Оплаты!$D$6:$D$505,A175,Оплаты!$A$6:$A$505,D175))</f>
        <v/>
      </c>
      <c r="I175">
        <f>IF(G175="","",SUMPRODUCT((((((D175+'По дням'!$K$6:$K$155-ABS(D175-'По дням'!$K$6:$K$155))-(C175+'По дням'!$J$6:$J$155+ABS(C175-'По дням'!$J$6:$J$155)))/2+1)&gt;0)*(((D175+'По дням'!$K$6:$K$155-ABS(D175-'По дням'!$K$6:$K$155))-(C175+'По дням'!$J$6:$J$155+ABS(C175-'По дням'!$J$6:$J$155)))/2+1)&gt;0)*1))</f>
        <v/>
      </c>
    </row>
    <row r="176">
      <c r="A176">
        <f>IF(AND(Оплаты!$E$168="ок",COUNTIFS(Акты!$B$5:$B$16,Оплаты!$D$168,Акты!$H$5:$H$16,"ок")&gt;0,COUNTIFS(Оплаты!$D$6:$D$167,Оплаты!$D$168,Оплаты!$A$6:$A$167,Оплаты!$A$168)=0),Оплаты!$D$168,"")</f>
        <v/>
      </c>
      <c r="B176">
        <f>IF(A176="","",MATCH(A176,Акты!$B$5:$B$16,0))</f>
        <v/>
      </c>
      <c r="C176" s="20">
        <f>IF(A176="","",Оплаты!$A$168+1)</f>
        <v/>
      </c>
      <c r="D176" s="20">
        <f>IF(A176="","",MIN(Ввод!$B$4,Ввод!$B$4+1-SUMPRODUCT(MAX((Оплаты!$D$6:$D$505=A176)*(Оплаты!$A$6:$A$505&gt;Оплаты!$A$168)*(Ввод!$B$4+1-Оплаты!$A$6:$A$505)))))</f>
        <v/>
      </c>
      <c r="E176" s="14">
        <f>IF(A176="","",INDEX(Акты!$D$5:$D$16,B176)-SUMIFS(Оплаты!$B$6:$B$505,Оплаты!$D$6:$D$505,A176,Оплаты!$A$6:$A$505,"&lt;="&amp;Оплаты!$A$168))</f>
        <v/>
      </c>
      <c r="F176" s="14">
        <f>IF(G176="","",SUMPRODUCT(ROUND(E176*'По дням'!$L$6:$L$155/100*((((D176+'По дням'!$K$6:$K$155-ABS(D176-'По дням'!$K$6:$K$155))-(C176+'По дням'!$J$6:$J$155+ABS(C176-'По дням'!$J$6:$J$155)))/2+1)&gt;0)*(((D176+'По дням'!$K$6:$K$155-ABS(D176-'По дням'!$K$6:$K$155))-(C176+'По дням'!$J$6:$J$155+ABS(C176-'По дням'!$J$6:$J$155)))/2+1)/'По дням'!$M$6:$M$155,2)*(1-'По дням'!$N$6:$N$155)))</f>
        <v/>
      </c>
      <c r="G176">
        <f>IF(A176="","",IF(C176&gt;D176,"",B176*1000000+C176))</f>
        <v/>
      </c>
      <c r="H176" s="14">
        <f>IF(G176="","",SUMIFS(Оплаты!$B$6:$B$505,Оплаты!$D$6:$D$505,A176,Оплаты!$A$6:$A$505,D176))</f>
        <v/>
      </c>
      <c r="I176">
        <f>IF(G176="","",SUMPRODUCT((((((D176+'По дням'!$K$6:$K$155-ABS(D176-'По дням'!$K$6:$K$155))-(C176+'По дням'!$J$6:$J$155+ABS(C176-'По дням'!$J$6:$J$155)))/2+1)&gt;0)*(((D176+'По дням'!$K$6:$K$155-ABS(D176-'По дням'!$K$6:$K$155))-(C176+'По дням'!$J$6:$J$155+ABS(C176-'По дням'!$J$6:$J$155)))/2+1)&gt;0)*1))</f>
        <v/>
      </c>
    </row>
    <row r="177">
      <c r="A177">
        <f>IF(AND(Оплаты!$E$169="ок",COUNTIFS(Акты!$B$5:$B$16,Оплаты!$D$169,Акты!$H$5:$H$16,"ок")&gt;0,COUNTIFS(Оплаты!$D$6:$D$168,Оплаты!$D$169,Оплаты!$A$6:$A$168,Оплаты!$A$169)=0),Оплаты!$D$169,"")</f>
        <v/>
      </c>
      <c r="B177">
        <f>IF(A177="","",MATCH(A177,Акты!$B$5:$B$16,0))</f>
        <v/>
      </c>
      <c r="C177" s="20">
        <f>IF(A177="","",Оплаты!$A$169+1)</f>
        <v/>
      </c>
      <c r="D177" s="20">
        <f>IF(A177="","",MIN(Ввод!$B$4,Ввод!$B$4+1-SUMPRODUCT(MAX((Оплаты!$D$6:$D$505=A177)*(Оплаты!$A$6:$A$505&gt;Оплаты!$A$169)*(Ввод!$B$4+1-Оплаты!$A$6:$A$505)))))</f>
        <v/>
      </c>
      <c r="E177" s="14">
        <f>IF(A177="","",INDEX(Акты!$D$5:$D$16,B177)-SUMIFS(Оплаты!$B$6:$B$505,Оплаты!$D$6:$D$505,A177,Оплаты!$A$6:$A$505,"&lt;="&amp;Оплаты!$A$169))</f>
        <v/>
      </c>
      <c r="F177" s="14">
        <f>IF(G177="","",SUMPRODUCT(ROUND(E177*'По дням'!$L$6:$L$155/100*((((D177+'По дням'!$K$6:$K$155-ABS(D177-'По дням'!$K$6:$K$155))-(C177+'По дням'!$J$6:$J$155+ABS(C177-'По дням'!$J$6:$J$155)))/2+1)&gt;0)*(((D177+'По дням'!$K$6:$K$155-ABS(D177-'По дням'!$K$6:$K$155))-(C177+'По дням'!$J$6:$J$155+ABS(C177-'По дням'!$J$6:$J$155)))/2+1)/'По дням'!$M$6:$M$155,2)*(1-'По дням'!$N$6:$N$155)))</f>
        <v/>
      </c>
      <c r="G177">
        <f>IF(A177="","",IF(C177&gt;D177,"",B177*1000000+C177))</f>
        <v/>
      </c>
      <c r="H177" s="14">
        <f>IF(G177="","",SUMIFS(Оплаты!$B$6:$B$505,Оплаты!$D$6:$D$505,A177,Оплаты!$A$6:$A$505,D177))</f>
        <v/>
      </c>
      <c r="I177">
        <f>IF(G177="","",SUMPRODUCT((((((D177+'По дням'!$K$6:$K$155-ABS(D177-'По дням'!$K$6:$K$155))-(C177+'По дням'!$J$6:$J$155+ABS(C177-'По дням'!$J$6:$J$155)))/2+1)&gt;0)*(((D177+'По дням'!$K$6:$K$155-ABS(D177-'По дням'!$K$6:$K$155))-(C177+'По дням'!$J$6:$J$155+ABS(C177-'По дням'!$J$6:$J$155)))/2+1)&gt;0)*1))</f>
        <v/>
      </c>
    </row>
    <row r="178">
      <c r="A178">
        <f>IF(AND(Оплаты!$E$170="ок",COUNTIFS(Акты!$B$5:$B$16,Оплаты!$D$170,Акты!$H$5:$H$16,"ок")&gt;0,COUNTIFS(Оплаты!$D$6:$D$169,Оплаты!$D$170,Оплаты!$A$6:$A$169,Оплаты!$A$170)=0),Оплаты!$D$170,"")</f>
        <v/>
      </c>
      <c r="B178">
        <f>IF(A178="","",MATCH(A178,Акты!$B$5:$B$16,0))</f>
        <v/>
      </c>
      <c r="C178" s="20">
        <f>IF(A178="","",Оплаты!$A$170+1)</f>
        <v/>
      </c>
      <c r="D178" s="20">
        <f>IF(A178="","",MIN(Ввод!$B$4,Ввод!$B$4+1-SUMPRODUCT(MAX((Оплаты!$D$6:$D$505=A178)*(Оплаты!$A$6:$A$505&gt;Оплаты!$A$170)*(Ввод!$B$4+1-Оплаты!$A$6:$A$505)))))</f>
        <v/>
      </c>
      <c r="E178" s="14">
        <f>IF(A178="","",INDEX(Акты!$D$5:$D$16,B178)-SUMIFS(Оплаты!$B$6:$B$505,Оплаты!$D$6:$D$505,A178,Оплаты!$A$6:$A$505,"&lt;="&amp;Оплаты!$A$170))</f>
        <v/>
      </c>
      <c r="F178" s="14">
        <f>IF(G178="","",SUMPRODUCT(ROUND(E178*'По дням'!$L$6:$L$155/100*((((D178+'По дням'!$K$6:$K$155-ABS(D178-'По дням'!$K$6:$K$155))-(C178+'По дням'!$J$6:$J$155+ABS(C178-'По дням'!$J$6:$J$155)))/2+1)&gt;0)*(((D178+'По дням'!$K$6:$K$155-ABS(D178-'По дням'!$K$6:$K$155))-(C178+'По дням'!$J$6:$J$155+ABS(C178-'По дням'!$J$6:$J$155)))/2+1)/'По дням'!$M$6:$M$155,2)*(1-'По дням'!$N$6:$N$155)))</f>
        <v/>
      </c>
      <c r="G178">
        <f>IF(A178="","",IF(C178&gt;D178,"",B178*1000000+C178))</f>
        <v/>
      </c>
      <c r="H178" s="14">
        <f>IF(G178="","",SUMIFS(Оплаты!$B$6:$B$505,Оплаты!$D$6:$D$505,A178,Оплаты!$A$6:$A$505,D178))</f>
        <v/>
      </c>
      <c r="I178">
        <f>IF(G178="","",SUMPRODUCT((((((D178+'По дням'!$K$6:$K$155-ABS(D178-'По дням'!$K$6:$K$155))-(C178+'По дням'!$J$6:$J$155+ABS(C178-'По дням'!$J$6:$J$155)))/2+1)&gt;0)*(((D178+'По дням'!$K$6:$K$155-ABS(D178-'По дням'!$K$6:$K$155))-(C178+'По дням'!$J$6:$J$155+ABS(C178-'По дням'!$J$6:$J$155)))/2+1)&gt;0)*1))</f>
        <v/>
      </c>
    </row>
    <row r="179">
      <c r="A179">
        <f>IF(AND(Оплаты!$E$171="ок",COUNTIFS(Акты!$B$5:$B$16,Оплаты!$D$171,Акты!$H$5:$H$16,"ок")&gt;0,COUNTIFS(Оплаты!$D$6:$D$170,Оплаты!$D$171,Оплаты!$A$6:$A$170,Оплаты!$A$171)=0),Оплаты!$D$171,"")</f>
        <v/>
      </c>
      <c r="B179">
        <f>IF(A179="","",MATCH(A179,Акты!$B$5:$B$16,0))</f>
        <v/>
      </c>
      <c r="C179" s="20">
        <f>IF(A179="","",Оплаты!$A$171+1)</f>
        <v/>
      </c>
      <c r="D179" s="20">
        <f>IF(A179="","",MIN(Ввод!$B$4,Ввод!$B$4+1-SUMPRODUCT(MAX((Оплаты!$D$6:$D$505=A179)*(Оплаты!$A$6:$A$505&gt;Оплаты!$A$171)*(Ввод!$B$4+1-Оплаты!$A$6:$A$505)))))</f>
        <v/>
      </c>
      <c r="E179" s="14">
        <f>IF(A179="","",INDEX(Акты!$D$5:$D$16,B179)-SUMIFS(Оплаты!$B$6:$B$505,Оплаты!$D$6:$D$505,A179,Оплаты!$A$6:$A$505,"&lt;="&amp;Оплаты!$A$171))</f>
        <v/>
      </c>
      <c r="F179" s="14">
        <f>IF(G179="","",SUMPRODUCT(ROUND(E179*'По дням'!$L$6:$L$155/100*((((D179+'По дням'!$K$6:$K$155-ABS(D179-'По дням'!$K$6:$K$155))-(C179+'По дням'!$J$6:$J$155+ABS(C179-'По дням'!$J$6:$J$155)))/2+1)&gt;0)*(((D179+'По дням'!$K$6:$K$155-ABS(D179-'По дням'!$K$6:$K$155))-(C179+'По дням'!$J$6:$J$155+ABS(C179-'По дням'!$J$6:$J$155)))/2+1)/'По дням'!$M$6:$M$155,2)*(1-'По дням'!$N$6:$N$155)))</f>
        <v/>
      </c>
      <c r="G179">
        <f>IF(A179="","",IF(C179&gt;D179,"",B179*1000000+C179))</f>
        <v/>
      </c>
      <c r="H179" s="14">
        <f>IF(G179="","",SUMIFS(Оплаты!$B$6:$B$505,Оплаты!$D$6:$D$505,A179,Оплаты!$A$6:$A$505,D179))</f>
        <v/>
      </c>
      <c r="I179">
        <f>IF(G179="","",SUMPRODUCT((((((D179+'По дням'!$K$6:$K$155-ABS(D179-'По дням'!$K$6:$K$155))-(C179+'По дням'!$J$6:$J$155+ABS(C179-'По дням'!$J$6:$J$155)))/2+1)&gt;0)*(((D179+'По дням'!$K$6:$K$155-ABS(D179-'По дням'!$K$6:$K$155))-(C179+'По дням'!$J$6:$J$155+ABS(C179-'По дням'!$J$6:$J$155)))/2+1)&gt;0)*1))</f>
        <v/>
      </c>
    </row>
    <row r="180">
      <c r="A180">
        <f>IF(AND(Оплаты!$E$172="ок",COUNTIFS(Акты!$B$5:$B$16,Оплаты!$D$172,Акты!$H$5:$H$16,"ок")&gt;0,COUNTIFS(Оплаты!$D$6:$D$171,Оплаты!$D$172,Оплаты!$A$6:$A$171,Оплаты!$A$172)=0),Оплаты!$D$172,"")</f>
        <v/>
      </c>
      <c r="B180">
        <f>IF(A180="","",MATCH(A180,Акты!$B$5:$B$16,0))</f>
        <v/>
      </c>
      <c r="C180" s="20">
        <f>IF(A180="","",Оплаты!$A$172+1)</f>
        <v/>
      </c>
      <c r="D180" s="20">
        <f>IF(A180="","",MIN(Ввод!$B$4,Ввод!$B$4+1-SUMPRODUCT(MAX((Оплаты!$D$6:$D$505=A180)*(Оплаты!$A$6:$A$505&gt;Оплаты!$A$172)*(Ввод!$B$4+1-Оплаты!$A$6:$A$505)))))</f>
        <v/>
      </c>
      <c r="E180" s="14">
        <f>IF(A180="","",INDEX(Акты!$D$5:$D$16,B180)-SUMIFS(Оплаты!$B$6:$B$505,Оплаты!$D$6:$D$505,A180,Оплаты!$A$6:$A$505,"&lt;="&amp;Оплаты!$A$172))</f>
        <v/>
      </c>
      <c r="F180" s="14">
        <f>IF(G180="","",SUMPRODUCT(ROUND(E180*'По дням'!$L$6:$L$155/100*((((D180+'По дням'!$K$6:$K$155-ABS(D180-'По дням'!$K$6:$K$155))-(C180+'По дням'!$J$6:$J$155+ABS(C180-'По дням'!$J$6:$J$155)))/2+1)&gt;0)*(((D180+'По дням'!$K$6:$K$155-ABS(D180-'По дням'!$K$6:$K$155))-(C180+'По дням'!$J$6:$J$155+ABS(C180-'По дням'!$J$6:$J$155)))/2+1)/'По дням'!$M$6:$M$155,2)*(1-'По дням'!$N$6:$N$155)))</f>
        <v/>
      </c>
      <c r="G180">
        <f>IF(A180="","",IF(C180&gt;D180,"",B180*1000000+C180))</f>
        <v/>
      </c>
      <c r="H180" s="14">
        <f>IF(G180="","",SUMIFS(Оплаты!$B$6:$B$505,Оплаты!$D$6:$D$505,A180,Оплаты!$A$6:$A$505,D180))</f>
        <v/>
      </c>
      <c r="I180">
        <f>IF(G180="","",SUMPRODUCT((((((D180+'По дням'!$K$6:$K$155-ABS(D180-'По дням'!$K$6:$K$155))-(C180+'По дням'!$J$6:$J$155+ABS(C180-'По дням'!$J$6:$J$155)))/2+1)&gt;0)*(((D180+'По дням'!$K$6:$K$155-ABS(D180-'По дням'!$K$6:$K$155))-(C180+'По дням'!$J$6:$J$155+ABS(C180-'По дням'!$J$6:$J$155)))/2+1)&gt;0)*1))</f>
        <v/>
      </c>
    </row>
    <row r="181">
      <c r="A181">
        <f>IF(AND(Оплаты!$E$173="ок",COUNTIFS(Акты!$B$5:$B$16,Оплаты!$D$173,Акты!$H$5:$H$16,"ок")&gt;0,COUNTIFS(Оплаты!$D$6:$D$172,Оплаты!$D$173,Оплаты!$A$6:$A$172,Оплаты!$A$173)=0),Оплаты!$D$173,"")</f>
        <v/>
      </c>
      <c r="B181">
        <f>IF(A181="","",MATCH(A181,Акты!$B$5:$B$16,0))</f>
        <v/>
      </c>
      <c r="C181" s="20">
        <f>IF(A181="","",Оплаты!$A$173+1)</f>
        <v/>
      </c>
      <c r="D181" s="20">
        <f>IF(A181="","",MIN(Ввод!$B$4,Ввод!$B$4+1-SUMPRODUCT(MAX((Оплаты!$D$6:$D$505=A181)*(Оплаты!$A$6:$A$505&gt;Оплаты!$A$173)*(Ввод!$B$4+1-Оплаты!$A$6:$A$505)))))</f>
        <v/>
      </c>
      <c r="E181" s="14">
        <f>IF(A181="","",INDEX(Акты!$D$5:$D$16,B181)-SUMIFS(Оплаты!$B$6:$B$505,Оплаты!$D$6:$D$505,A181,Оплаты!$A$6:$A$505,"&lt;="&amp;Оплаты!$A$173))</f>
        <v/>
      </c>
      <c r="F181" s="14">
        <f>IF(G181="","",SUMPRODUCT(ROUND(E181*'По дням'!$L$6:$L$155/100*((((D181+'По дням'!$K$6:$K$155-ABS(D181-'По дням'!$K$6:$K$155))-(C181+'По дням'!$J$6:$J$155+ABS(C181-'По дням'!$J$6:$J$155)))/2+1)&gt;0)*(((D181+'По дням'!$K$6:$K$155-ABS(D181-'По дням'!$K$6:$K$155))-(C181+'По дням'!$J$6:$J$155+ABS(C181-'По дням'!$J$6:$J$155)))/2+1)/'По дням'!$M$6:$M$155,2)*(1-'По дням'!$N$6:$N$155)))</f>
        <v/>
      </c>
      <c r="G181">
        <f>IF(A181="","",IF(C181&gt;D181,"",B181*1000000+C181))</f>
        <v/>
      </c>
      <c r="H181" s="14">
        <f>IF(G181="","",SUMIFS(Оплаты!$B$6:$B$505,Оплаты!$D$6:$D$505,A181,Оплаты!$A$6:$A$505,D181))</f>
        <v/>
      </c>
      <c r="I181">
        <f>IF(G181="","",SUMPRODUCT((((((D181+'По дням'!$K$6:$K$155-ABS(D181-'По дням'!$K$6:$K$155))-(C181+'По дням'!$J$6:$J$155+ABS(C181-'По дням'!$J$6:$J$155)))/2+1)&gt;0)*(((D181+'По дням'!$K$6:$K$155-ABS(D181-'По дням'!$K$6:$K$155))-(C181+'По дням'!$J$6:$J$155+ABS(C181-'По дням'!$J$6:$J$155)))/2+1)&gt;0)*1))</f>
        <v/>
      </c>
    </row>
    <row r="182">
      <c r="A182">
        <f>IF(AND(Оплаты!$E$174="ок",COUNTIFS(Акты!$B$5:$B$16,Оплаты!$D$174,Акты!$H$5:$H$16,"ок")&gt;0,COUNTIFS(Оплаты!$D$6:$D$173,Оплаты!$D$174,Оплаты!$A$6:$A$173,Оплаты!$A$174)=0),Оплаты!$D$174,"")</f>
        <v/>
      </c>
      <c r="B182">
        <f>IF(A182="","",MATCH(A182,Акты!$B$5:$B$16,0))</f>
        <v/>
      </c>
      <c r="C182" s="20">
        <f>IF(A182="","",Оплаты!$A$174+1)</f>
        <v/>
      </c>
      <c r="D182" s="20">
        <f>IF(A182="","",MIN(Ввод!$B$4,Ввод!$B$4+1-SUMPRODUCT(MAX((Оплаты!$D$6:$D$505=A182)*(Оплаты!$A$6:$A$505&gt;Оплаты!$A$174)*(Ввод!$B$4+1-Оплаты!$A$6:$A$505)))))</f>
        <v/>
      </c>
      <c r="E182" s="14">
        <f>IF(A182="","",INDEX(Акты!$D$5:$D$16,B182)-SUMIFS(Оплаты!$B$6:$B$505,Оплаты!$D$6:$D$505,A182,Оплаты!$A$6:$A$505,"&lt;="&amp;Оплаты!$A$174))</f>
        <v/>
      </c>
      <c r="F182" s="14">
        <f>IF(G182="","",SUMPRODUCT(ROUND(E182*'По дням'!$L$6:$L$155/100*((((D182+'По дням'!$K$6:$K$155-ABS(D182-'По дням'!$K$6:$K$155))-(C182+'По дням'!$J$6:$J$155+ABS(C182-'По дням'!$J$6:$J$155)))/2+1)&gt;0)*(((D182+'По дням'!$K$6:$K$155-ABS(D182-'По дням'!$K$6:$K$155))-(C182+'По дням'!$J$6:$J$155+ABS(C182-'По дням'!$J$6:$J$155)))/2+1)/'По дням'!$M$6:$M$155,2)*(1-'По дням'!$N$6:$N$155)))</f>
        <v/>
      </c>
      <c r="G182">
        <f>IF(A182="","",IF(C182&gt;D182,"",B182*1000000+C182))</f>
        <v/>
      </c>
      <c r="H182" s="14">
        <f>IF(G182="","",SUMIFS(Оплаты!$B$6:$B$505,Оплаты!$D$6:$D$505,A182,Оплаты!$A$6:$A$505,D182))</f>
        <v/>
      </c>
      <c r="I182">
        <f>IF(G182="","",SUMPRODUCT((((((D182+'По дням'!$K$6:$K$155-ABS(D182-'По дням'!$K$6:$K$155))-(C182+'По дням'!$J$6:$J$155+ABS(C182-'По дням'!$J$6:$J$155)))/2+1)&gt;0)*(((D182+'По дням'!$K$6:$K$155-ABS(D182-'По дням'!$K$6:$K$155))-(C182+'По дням'!$J$6:$J$155+ABS(C182-'По дням'!$J$6:$J$155)))/2+1)&gt;0)*1))</f>
        <v/>
      </c>
    </row>
    <row r="183">
      <c r="A183">
        <f>IF(AND(Оплаты!$E$175="ок",COUNTIFS(Акты!$B$5:$B$16,Оплаты!$D$175,Акты!$H$5:$H$16,"ок")&gt;0,COUNTIFS(Оплаты!$D$6:$D$174,Оплаты!$D$175,Оплаты!$A$6:$A$174,Оплаты!$A$175)=0),Оплаты!$D$175,"")</f>
        <v/>
      </c>
      <c r="B183">
        <f>IF(A183="","",MATCH(A183,Акты!$B$5:$B$16,0))</f>
        <v/>
      </c>
      <c r="C183" s="20">
        <f>IF(A183="","",Оплаты!$A$175+1)</f>
        <v/>
      </c>
      <c r="D183" s="20">
        <f>IF(A183="","",MIN(Ввод!$B$4,Ввод!$B$4+1-SUMPRODUCT(MAX((Оплаты!$D$6:$D$505=A183)*(Оплаты!$A$6:$A$505&gt;Оплаты!$A$175)*(Ввод!$B$4+1-Оплаты!$A$6:$A$505)))))</f>
        <v/>
      </c>
      <c r="E183" s="14">
        <f>IF(A183="","",INDEX(Акты!$D$5:$D$16,B183)-SUMIFS(Оплаты!$B$6:$B$505,Оплаты!$D$6:$D$505,A183,Оплаты!$A$6:$A$505,"&lt;="&amp;Оплаты!$A$175))</f>
        <v/>
      </c>
      <c r="F183" s="14">
        <f>IF(G183="","",SUMPRODUCT(ROUND(E183*'По дням'!$L$6:$L$155/100*((((D183+'По дням'!$K$6:$K$155-ABS(D183-'По дням'!$K$6:$K$155))-(C183+'По дням'!$J$6:$J$155+ABS(C183-'По дням'!$J$6:$J$155)))/2+1)&gt;0)*(((D183+'По дням'!$K$6:$K$155-ABS(D183-'По дням'!$K$6:$K$155))-(C183+'По дням'!$J$6:$J$155+ABS(C183-'По дням'!$J$6:$J$155)))/2+1)/'По дням'!$M$6:$M$155,2)*(1-'По дням'!$N$6:$N$155)))</f>
        <v/>
      </c>
      <c r="G183">
        <f>IF(A183="","",IF(C183&gt;D183,"",B183*1000000+C183))</f>
        <v/>
      </c>
      <c r="H183" s="14">
        <f>IF(G183="","",SUMIFS(Оплаты!$B$6:$B$505,Оплаты!$D$6:$D$505,A183,Оплаты!$A$6:$A$505,D183))</f>
        <v/>
      </c>
      <c r="I183">
        <f>IF(G183="","",SUMPRODUCT((((((D183+'По дням'!$K$6:$K$155-ABS(D183-'По дням'!$K$6:$K$155))-(C183+'По дням'!$J$6:$J$155+ABS(C183-'По дням'!$J$6:$J$155)))/2+1)&gt;0)*(((D183+'По дням'!$K$6:$K$155-ABS(D183-'По дням'!$K$6:$K$155))-(C183+'По дням'!$J$6:$J$155+ABS(C183-'По дням'!$J$6:$J$155)))/2+1)&gt;0)*1))</f>
        <v/>
      </c>
    </row>
    <row r="184">
      <c r="A184">
        <f>IF(AND(Оплаты!$E$176="ок",COUNTIFS(Акты!$B$5:$B$16,Оплаты!$D$176,Акты!$H$5:$H$16,"ок")&gt;0,COUNTIFS(Оплаты!$D$6:$D$175,Оплаты!$D$176,Оплаты!$A$6:$A$175,Оплаты!$A$176)=0),Оплаты!$D$176,"")</f>
        <v/>
      </c>
      <c r="B184">
        <f>IF(A184="","",MATCH(A184,Акты!$B$5:$B$16,0))</f>
        <v/>
      </c>
      <c r="C184" s="20">
        <f>IF(A184="","",Оплаты!$A$176+1)</f>
        <v/>
      </c>
      <c r="D184" s="20">
        <f>IF(A184="","",MIN(Ввод!$B$4,Ввод!$B$4+1-SUMPRODUCT(MAX((Оплаты!$D$6:$D$505=A184)*(Оплаты!$A$6:$A$505&gt;Оплаты!$A$176)*(Ввод!$B$4+1-Оплаты!$A$6:$A$505)))))</f>
        <v/>
      </c>
      <c r="E184" s="14">
        <f>IF(A184="","",INDEX(Акты!$D$5:$D$16,B184)-SUMIFS(Оплаты!$B$6:$B$505,Оплаты!$D$6:$D$505,A184,Оплаты!$A$6:$A$505,"&lt;="&amp;Оплаты!$A$176))</f>
        <v/>
      </c>
      <c r="F184" s="14">
        <f>IF(G184="","",SUMPRODUCT(ROUND(E184*'По дням'!$L$6:$L$155/100*((((D184+'По дням'!$K$6:$K$155-ABS(D184-'По дням'!$K$6:$K$155))-(C184+'По дням'!$J$6:$J$155+ABS(C184-'По дням'!$J$6:$J$155)))/2+1)&gt;0)*(((D184+'По дням'!$K$6:$K$155-ABS(D184-'По дням'!$K$6:$K$155))-(C184+'По дням'!$J$6:$J$155+ABS(C184-'По дням'!$J$6:$J$155)))/2+1)/'По дням'!$M$6:$M$155,2)*(1-'По дням'!$N$6:$N$155)))</f>
        <v/>
      </c>
      <c r="G184">
        <f>IF(A184="","",IF(C184&gt;D184,"",B184*1000000+C184))</f>
        <v/>
      </c>
      <c r="H184" s="14">
        <f>IF(G184="","",SUMIFS(Оплаты!$B$6:$B$505,Оплаты!$D$6:$D$505,A184,Оплаты!$A$6:$A$505,D184))</f>
        <v/>
      </c>
      <c r="I184">
        <f>IF(G184="","",SUMPRODUCT((((((D184+'По дням'!$K$6:$K$155-ABS(D184-'По дням'!$K$6:$K$155))-(C184+'По дням'!$J$6:$J$155+ABS(C184-'По дням'!$J$6:$J$155)))/2+1)&gt;0)*(((D184+'По дням'!$K$6:$K$155-ABS(D184-'По дням'!$K$6:$K$155))-(C184+'По дням'!$J$6:$J$155+ABS(C184-'По дням'!$J$6:$J$155)))/2+1)&gt;0)*1))</f>
        <v/>
      </c>
    </row>
    <row r="185">
      <c r="A185">
        <f>IF(AND(Оплаты!$E$177="ок",COUNTIFS(Акты!$B$5:$B$16,Оплаты!$D$177,Акты!$H$5:$H$16,"ок")&gt;0,COUNTIFS(Оплаты!$D$6:$D$176,Оплаты!$D$177,Оплаты!$A$6:$A$176,Оплаты!$A$177)=0),Оплаты!$D$177,"")</f>
        <v/>
      </c>
      <c r="B185">
        <f>IF(A185="","",MATCH(A185,Акты!$B$5:$B$16,0))</f>
        <v/>
      </c>
      <c r="C185" s="20">
        <f>IF(A185="","",Оплаты!$A$177+1)</f>
        <v/>
      </c>
      <c r="D185" s="20">
        <f>IF(A185="","",MIN(Ввод!$B$4,Ввод!$B$4+1-SUMPRODUCT(MAX((Оплаты!$D$6:$D$505=A185)*(Оплаты!$A$6:$A$505&gt;Оплаты!$A$177)*(Ввод!$B$4+1-Оплаты!$A$6:$A$505)))))</f>
        <v/>
      </c>
      <c r="E185" s="14">
        <f>IF(A185="","",INDEX(Акты!$D$5:$D$16,B185)-SUMIFS(Оплаты!$B$6:$B$505,Оплаты!$D$6:$D$505,A185,Оплаты!$A$6:$A$505,"&lt;="&amp;Оплаты!$A$177))</f>
        <v/>
      </c>
      <c r="F185" s="14">
        <f>IF(G185="","",SUMPRODUCT(ROUND(E185*'По дням'!$L$6:$L$155/100*((((D185+'По дням'!$K$6:$K$155-ABS(D185-'По дням'!$K$6:$K$155))-(C185+'По дням'!$J$6:$J$155+ABS(C185-'По дням'!$J$6:$J$155)))/2+1)&gt;0)*(((D185+'По дням'!$K$6:$K$155-ABS(D185-'По дням'!$K$6:$K$155))-(C185+'По дням'!$J$6:$J$155+ABS(C185-'По дням'!$J$6:$J$155)))/2+1)/'По дням'!$M$6:$M$155,2)*(1-'По дням'!$N$6:$N$155)))</f>
        <v/>
      </c>
      <c r="G185">
        <f>IF(A185="","",IF(C185&gt;D185,"",B185*1000000+C185))</f>
        <v/>
      </c>
      <c r="H185" s="14">
        <f>IF(G185="","",SUMIFS(Оплаты!$B$6:$B$505,Оплаты!$D$6:$D$505,A185,Оплаты!$A$6:$A$505,D185))</f>
        <v/>
      </c>
      <c r="I185">
        <f>IF(G185="","",SUMPRODUCT((((((D185+'По дням'!$K$6:$K$155-ABS(D185-'По дням'!$K$6:$K$155))-(C185+'По дням'!$J$6:$J$155+ABS(C185-'По дням'!$J$6:$J$155)))/2+1)&gt;0)*(((D185+'По дням'!$K$6:$K$155-ABS(D185-'По дням'!$K$6:$K$155))-(C185+'По дням'!$J$6:$J$155+ABS(C185-'По дням'!$J$6:$J$155)))/2+1)&gt;0)*1))</f>
        <v/>
      </c>
    </row>
    <row r="186">
      <c r="A186">
        <f>IF(AND(Оплаты!$E$178="ок",COUNTIFS(Акты!$B$5:$B$16,Оплаты!$D$178,Акты!$H$5:$H$16,"ок")&gt;0,COUNTIFS(Оплаты!$D$6:$D$177,Оплаты!$D$178,Оплаты!$A$6:$A$177,Оплаты!$A$178)=0),Оплаты!$D$178,"")</f>
        <v/>
      </c>
      <c r="B186">
        <f>IF(A186="","",MATCH(A186,Акты!$B$5:$B$16,0))</f>
        <v/>
      </c>
      <c r="C186" s="20">
        <f>IF(A186="","",Оплаты!$A$178+1)</f>
        <v/>
      </c>
      <c r="D186" s="20">
        <f>IF(A186="","",MIN(Ввод!$B$4,Ввод!$B$4+1-SUMPRODUCT(MAX((Оплаты!$D$6:$D$505=A186)*(Оплаты!$A$6:$A$505&gt;Оплаты!$A$178)*(Ввод!$B$4+1-Оплаты!$A$6:$A$505)))))</f>
        <v/>
      </c>
      <c r="E186" s="14">
        <f>IF(A186="","",INDEX(Акты!$D$5:$D$16,B186)-SUMIFS(Оплаты!$B$6:$B$505,Оплаты!$D$6:$D$505,A186,Оплаты!$A$6:$A$505,"&lt;="&amp;Оплаты!$A$178))</f>
        <v/>
      </c>
      <c r="F186" s="14">
        <f>IF(G186="","",SUMPRODUCT(ROUND(E186*'По дням'!$L$6:$L$155/100*((((D186+'По дням'!$K$6:$K$155-ABS(D186-'По дням'!$K$6:$K$155))-(C186+'По дням'!$J$6:$J$155+ABS(C186-'По дням'!$J$6:$J$155)))/2+1)&gt;0)*(((D186+'По дням'!$K$6:$K$155-ABS(D186-'По дням'!$K$6:$K$155))-(C186+'По дням'!$J$6:$J$155+ABS(C186-'По дням'!$J$6:$J$155)))/2+1)/'По дням'!$M$6:$M$155,2)*(1-'По дням'!$N$6:$N$155)))</f>
        <v/>
      </c>
      <c r="G186">
        <f>IF(A186="","",IF(C186&gt;D186,"",B186*1000000+C186))</f>
        <v/>
      </c>
      <c r="H186" s="14">
        <f>IF(G186="","",SUMIFS(Оплаты!$B$6:$B$505,Оплаты!$D$6:$D$505,A186,Оплаты!$A$6:$A$505,D186))</f>
        <v/>
      </c>
      <c r="I186">
        <f>IF(G186="","",SUMPRODUCT((((((D186+'По дням'!$K$6:$K$155-ABS(D186-'По дням'!$K$6:$K$155))-(C186+'По дням'!$J$6:$J$155+ABS(C186-'По дням'!$J$6:$J$155)))/2+1)&gt;0)*(((D186+'По дням'!$K$6:$K$155-ABS(D186-'По дням'!$K$6:$K$155))-(C186+'По дням'!$J$6:$J$155+ABS(C186-'По дням'!$J$6:$J$155)))/2+1)&gt;0)*1))</f>
        <v/>
      </c>
    </row>
    <row r="187">
      <c r="A187">
        <f>IF(AND(Оплаты!$E$179="ок",COUNTIFS(Акты!$B$5:$B$16,Оплаты!$D$179,Акты!$H$5:$H$16,"ок")&gt;0,COUNTIFS(Оплаты!$D$6:$D$178,Оплаты!$D$179,Оплаты!$A$6:$A$178,Оплаты!$A$179)=0),Оплаты!$D$179,"")</f>
        <v/>
      </c>
      <c r="B187">
        <f>IF(A187="","",MATCH(A187,Акты!$B$5:$B$16,0))</f>
        <v/>
      </c>
      <c r="C187" s="20">
        <f>IF(A187="","",Оплаты!$A$179+1)</f>
        <v/>
      </c>
      <c r="D187" s="20">
        <f>IF(A187="","",MIN(Ввод!$B$4,Ввод!$B$4+1-SUMPRODUCT(MAX((Оплаты!$D$6:$D$505=A187)*(Оплаты!$A$6:$A$505&gt;Оплаты!$A$179)*(Ввод!$B$4+1-Оплаты!$A$6:$A$505)))))</f>
        <v/>
      </c>
      <c r="E187" s="14">
        <f>IF(A187="","",INDEX(Акты!$D$5:$D$16,B187)-SUMIFS(Оплаты!$B$6:$B$505,Оплаты!$D$6:$D$505,A187,Оплаты!$A$6:$A$505,"&lt;="&amp;Оплаты!$A$179))</f>
        <v/>
      </c>
      <c r="F187" s="14">
        <f>IF(G187="","",SUMPRODUCT(ROUND(E187*'По дням'!$L$6:$L$155/100*((((D187+'По дням'!$K$6:$K$155-ABS(D187-'По дням'!$K$6:$K$155))-(C187+'По дням'!$J$6:$J$155+ABS(C187-'По дням'!$J$6:$J$155)))/2+1)&gt;0)*(((D187+'По дням'!$K$6:$K$155-ABS(D187-'По дням'!$K$6:$K$155))-(C187+'По дням'!$J$6:$J$155+ABS(C187-'По дням'!$J$6:$J$155)))/2+1)/'По дням'!$M$6:$M$155,2)*(1-'По дням'!$N$6:$N$155)))</f>
        <v/>
      </c>
      <c r="G187">
        <f>IF(A187="","",IF(C187&gt;D187,"",B187*1000000+C187))</f>
        <v/>
      </c>
      <c r="H187" s="14">
        <f>IF(G187="","",SUMIFS(Оплаты!$B$6:$B$505,Оплаты!$D$6:$D$505,A187,Оплаты!$A$6:$A$505,D187))</f>
        <v/>
      </c>
      <c r="I187">
        <f>IF(G187="","",SUMPRODUCT((((((D187+'По дням'!$K$6:$K$155-ABS(D187-'По дням'!$K$6:$K$155))-(C187+'По дням'!$J$6:$J$155+ABS(C187-'По дням'!$J$6:$J$155)))/2+1)&gt;0)*(((D187+'По дням'!$K$6:$K$155-ABS(D187-'По дням'!$K$6:$K$155))-(C187+'По дням'!$J$6:$J$155+ABS(C187-'По дням'!$J$6:$J$155)))/2+1)&gt;0)*1))</f>
        <v/>
      </c>
    </row>
    <row r="188">
      <c r="A188">
        <f>IF(AND(Оплаты!$E$180="ок",COUNTIFS(Акты!$B$5:$B$16,Оплаты!$D$180,Акты!$H$5:$H$16,"ок")&gt;0,COUNTIFS(Оплаты!$D$6:$D$179,Оплаты!$D$180,Оплаты!$A$6:$A$179,Оплаты!$A$180)=0),Оплаты!$D$180,"")</f>
        <v/>
      </c>
      <c r="B188">
        <f>IF(A188="","",MATCH(A188,Акты!$B$5:$B$16,0))</f>
        <v/>
      </c>
      <c r="C188" s="20">
        <f>IF(A188="","",Оплаты!$A$180+1)</f>
        <v/>
      </c>
      <c r="D188" s="20">
        <f>IF(A188="","",MIN(Ввод!$B$4,Ввод!$B$4+1-SUMPRODUCT(MAX((Оплаты!$D$6:$D$505=A188)*(Оплаты!$A$6:$A$505&gt;Оплаты!$A$180)*(Ввод!$B$4+1-Оплаты!$A$6:$A$505)))))</f>
        <v/>
      </c>
      <c r="E188" s="14">
        <f>IF(A188="","",INDEX(Акты!$D$5:$D$16,B188)-SUMIFS(Оплаты!$B$6:$B$505,Оплаты!$D$6:$D$505,A188,Оплаты!$A$6:$A$505,"&lt;="&amp;Оплаты!$A$180))</f>
        <v/>
      </c>
      <c r="F188" s="14">
        <f>IF(G188="","",SUMPRODUCT(ROUND(E188*'По дням'!$L$6:$L$155/100*((((D188+'По дням'!$K$6:$K$155-ABS(D188-'По дням'!$K$6:$K$155))-(C188+'По дням'!$J$6:$J$155+ABS(C188-'По дням'!$J$6:$J$155)))/2+1)&gt;0)*(((D188+'По дням'!$K$6:$K$155-ABS(D188-'По дням'!$K$6:$K$155))-(C188+'По дням'!$J$6:$J$155+ABS(C188-'По дням'!$J$6:$J$155)))/2+1)/'По дням'!$M$6:$M$155,2)*(1-'По дням'!$N$6:$N$155)))</f>
        <v/>
      </c>
      <c r="G188">
        <f>IF(A188="","",IF(C188&gt;D188,"",B188*1000000+C188))</f>
        <v/>
      </c>
      <c r="H188" s="14">
        <f>IF(G188="","",SUMIFS(Оплаты!$B$6:$B$505,Оплаты!$D$6:$D$505,A188,Оплаты!$A$6:$A$505,D188))</f>
        <v/>
      </c>
      <c r="I188">
        <f>IF(G188="","",SUMPRODUCT((((((D188+'По дням'!$K$6:$K$155-ABS(D188-'По дням'!$K$6:$K$155))-(C188+'По дням'!$J$6:$J$155+ABS(C188-'По дням'!$J$6:$J$155)))/2+1)&gt;0)*(((D188+'По дням'!$K$6:$K$155-ABS(D188-'По дням'!$K$6:$K$155))-(C188+'По дням'!$J$6:$J$155+ABS(C188-'По дням'!$J$6:$J$155)))/2+1)&gt;0)*1))</f>
        <v/>
      </c>
    </row>
    <row r="189">
      <c r="A189">
        <f>IF(AND(Оплаты!$E$181="ок",COUNTIFS(Акты!$B$5:$B$16,Оплаты!$D$181,Акты!$H$5:$H$16,"ок")&gt;0,COUNTIFS(Оплаты!$D$6:$D$180,Оплаты!$D$181,Оплаты!$A$6:$A$180,Оплаты!$A$181)=0),Оплаты!$D$181,"")</f>
        <v/>
      </c>
      <c r="B189">
        <f>IF(A189="","",MATCH(A189,Акты!$B$5:$B$16,0))</f>
        <v/>
      </c>
      <c r="C189" s="20">
        <f>IF(A189="","",Оплаты!$A$181+1)</f>
        <v/>
      </c>
      <c r="D189" s="20">
        <f>IF(A189="","",MIN(Ввод!$B$4,Ввод!$B$4+1-SUMPRODUCT(MAX((Оплаты!$D$6:$D$505=A189)*(Оплаты!$A$6:$A$505&gt;Оплаты!$A$181)*(Ввод!$B$4+1-Оплаты!$A$6:$A$505)))))</f>
        <v/>
      </c>
      <c r="E189" s="14">
        <f>IF(A189="","",INDEX(Акты!$D$5:$D$16,B189)-SUMIFS(Оплаты!$B$6:$B$505,Оплаты!$D$6:$D$505,A189,Оплаты!$A$6:$A$505,"&lt;="&amp;Оплаты!$A$181))</f>
        <v/>
      </c>
      <c r="F189" s="14">
        <f>IF(G189="","",SUMPRODUCT(ROUND(E189*'По дням'!$L$6:$L$155/100*((((D189+'По дням'!$K$6:$K$155-ABS(D189-'По дням'!$K$6:$K$155))-(C189+'По дням'!$J$6:$J$155+ABS(C189-'По дням'!$J$6:$J$155)))/2+1)&gt;0)*(((D189+'По дням'!$K$6:$K$155-ABS(D189-'По дням'!$K$6:$K$155))-(C189+'По дням'!$J$6:$J$155+ABS(C189-'По дням'!$J$6:$J$155)))/2+1)/'По дням'!$M$6:$M$155,2)*(1-'По дням'!$N$6:$N$155)))</f>
        <v/>
      </c>
      <c r="G189">
        <f>IF(A189="","",IF(C189&gt;D189,"",B189*1000000+C189))</f>
        <v/>
      </c>
      <c r="H189" s="14">
        <f>IF(G189="","",SUMIFS(Оплаты!$B$6:$B$505,Оплаты!$D$6:$D$505,A189,Оплаты!$A$6:$A$505,D189))</f>
        <v/>
      </c>
      <c r="I189">
        <f>IF(G189="","",SUMPRODUCT((((((D189+'По дням'!$K$6:$K$155-ABS(D189-'По дням'!$K$6:$K$155))-(C189+'По дням'!$J$6:$J$155+ABS(C189-'По дням'!$J$6:$J$155)))/2+1)&gt;0)*(((D189+'По дням'!$K$6:$K$155-ABS(D189-'По дням'!$K$6:$K$155))-(C189+'По дням'!$J$6:$J$155+ABS(C189-'По дням'!$J$6:$J$155)))/2+1)&gt;0)*1))</f>
        <v/>
      </c>
    </row>
    <row r="190">
      <c r="A190">
        <f>IF(AND(Оплаты!$E$182="ок",COUNTIFS(Акты!$B$5:$B$16,Оплаты!$D$182,Акты!$H$5:$H$16,"ок")&gt;0,COUNTIFS(Оплаты!$D$6:$D$181,Оплаты!$D$182,Оплаты!$A$6:$A$181,Оплаты!$A$182)=0),Оплаты!$D$182,"")</f>
        <v/>
      </c>
      <c r="B190">
        <f>IF(A190="","",MATCH(A190,Акты!$B$5:$B$16,0))</f>
        <v/>
      </c>
      <c r="C190" s="20">
        <f>IF(A190="","",Оплаты!$A$182+1)</f>
        <v/>
      </c>
      <c r="D190" s="20">
        <f>IF(A190="","",MIN(Ввод!$B$4,Ввод!$B$4+1-SUMPRODUCT(MAX((Оплаты!$D$6:$D$505=A190)*(Оплаты!$A$6:$A$505&gt;Оплаты!$A$182)*(Ввод!$B$4+1-Оплаты!$A$6:$A$505)))))</f>
        <v/>
      </c>
      <c r="E190" s="14">
        <f>IF(A190="","",INDEX(Акты!$D$5:$D$16,B190)-SUMIFS(Оплаты!$B$6:$B$505,Оплаты!$D$6:$D$505,A190,Оплаты!$A$6:$A$505,"&lt;="&amp;Оплаты!$A$182))</f>
        <v/>
      </c>
      <c r="F190" s="14">
        <f>IF(G190="","",SUMPRODUCT(ROUND(E190*'По дням'!$L$6:$L$155/100*((((D190+'По дням'!$K$6:$K$155-ABS(D190-'По дням'!$K$6:$K$155))-(C190+'По дням'!$J$6:$J$155+ABS(C190-'По дням'!$J$6:$J$155)))/2+1)&gt;0)*(((D190+'По дням'!$K$6:$K$155-ABS(D190-'По дням'!$K$6:$K$155))-(C190+'По дням'!$J$6:$J$155+ABS(C190-'По дням'!$J$6:$J$155)))/2+1)/'По дням'!$M$6:$M$155,2)*(1-'По дням'!$N$6:$N$155)))</f>
        <v/>
      </c>
      <c r="G190">
        <f>IF(A190="","",IF(C190&gt;D190,"",B190*1000000+C190))</f>
        <v/>
      </c>
      <c r="H190" s="14">
        <f>IF(G190="","",SUMIFS(Оплаты!$B$6:$B$505,Оплаты!$D$6:$D$505,A190,Оплаты!$A$6:$A$505,D190))</f>
        <v/>
      </c>
      <c r="I190">
        <f>IF(G190="","",SUMPRODUCT((((((D190+'По дням'!$K$6:$K$155-ABS(D190-'По дням'!$K$6:$K$155))-(C190+'По дням'!$J$6:$J$155+ABS(C190-'По дням'!$J$6:$J$155)))/2+1)&gt;0)*(((D190+'По дням'!$K$6:$K$155-ABS(D190-'По дням'!$K$6:$K$155))-(C190+'По дням'!$J$6:$J$155+ABS(C190-'По дням'!$J$6:$J$155)))/2+1)&gt;0)*1))</f>
        <v/>
      </c>
    </row>
    <row r="191">
      <c r="A191">
        <f>IF(AND(Оплаты!$E$183="ок",COUNTIFS(Акты!$B$5:$B$16,Оплаты!$D$183,Акты!$H$5:$H$16,"ок")&gt;0,COUNTIFS(Оплаты!$D$6:$D$182,Оплаты!$D$183,Оплаты!$A$6:$A$182,Оплаты!$A$183)=0),Оплаты!$D$183,"")</f>
        <v/>
      </c>
      <c r="B191">
        <f>IF(A191="","",MATCH(A191,Акты!$B$5:$B$16,0))</f>
        <v/>
      </c>
      <c r="C191" s="20">
        <f>IF(A191="","",Оплаты!$A$183+1)</f>
        <v/>
      </c>
      <c r="D191" s="20">
        <f>IF(A191="","",MIN(Ввод!$B$4,Ввод!$B$4+1-SUMPRODUCT(MAX((Оплаты!$D$6:$D$505=A191)*(Оплаты!$A$6:$A$505&gt;Оплаты!$A$183)*(Ввод!$B$4+1-Оплаты!$A$6:$A$505)))))</f>
        <v/>
      </c>
      <c r="E191" s="14">
        <f>IF(A191="","",INDEX(Акты!$D$5:$D$16,B191)-SUMIFS(Оплаты!$B$6:$B$505,Оплаты!$D$6:$D$505,A191,Оплаты!$A$6:$A$505,"&lt;="&amp;Оплаты!$A$183))</f>
        <v/>
      </c>
      <c r="F191" s="14">
        <f>IF(G191="","",SUMPRODUCT(ROUND(E191*'По дням'!$L$6:$L$155/100*((((D191+'По дням'!$K$6:$K$155-ABS(D191-'По дням'!$K$6:$K$155))-(C191+'По дням'!$J$6:$J$155+ABS(C191-'По дням'!$J$6:$J$155)))/2+1)&gt;0)*(((D191+'По дням'!$K$6:$K$155-ABS(D191-'По дням'!$K$6:$K$155))-(C191+'По дням'!$J$6:$J$155+ABS(C191-'По дням'!$J$6:$J$155)))/2+1)/'По дням'!$M$6:$M$155,2)*(1-'По дням'!$N$6:$N$155)))</f>
        <v/>
      </c>
      <c r="G191">
        <f>IF(A191="","",IF(C191&gt;D191,"",B191*1000000+C191))</f>
        <v/>
      </c>
      <c r="H191" s="14">
        <f>IF(G191="","",SUMIFS(Оплаты!$B$6:$B$505,Оплаты!$D$6:$D$505,A191,Оплаты!$A$6:$A$505,D191))</f>
        <v/>
      </c>
      <c r="I191">
        <f>IF(G191="","",SUMPRODUCT((((((D191+'По дням'!$K$6:$K$155-ABS(D191-'По дням'!$K$6:$K$155))-(C191+'По дням'!$J$6:$J$155+ABS(C191-'По дням'!$J$6:$J$155)))/2+1)&gt;0)*(((D191+'По дням'!$K$6:$K$155-ABS(D191-'По дням'!$K$6:$K$155))-(C191+'По дням'!$J$6:$J$155+ABS(C191-'По дням'!$J$6:$J$155)))/2+1)&gt;0)*1))</f>
        <v/>
      </c>
    </row>
    <row r="192">
      <c r="A192">
        <f>IF(AND(Оплаты!$E$184="ок",COUNTIFS(Акты!$B$5:$B$16,Оплаты!$D$184,Акты!$H$5:$H$16,"ок")&gt;0,COUNTIFS(Оплаты!$D$6:$D$183,Оплаты!$D$184,Оплаты!$A$6:$A$183,Оплаты!$A$184)=0),Оплаты!$D$184,"")</f>
        <v/>
      </c>
      <c r="B192">
        <f>IF(A192="","",MATCH(A192,Акты!$B$5:$B$16,0))</f>
        <v/>
      </c>
      <c r="C192" s="20">
        <f>IF(A192="","",Оплаты!$A$184+1)</f>
        <v/>
      </c>
      <c r="D192" s="20">
        <f>IF(A192="","",MIN(Ввод!$B$4,Ввод!$B$4+1-SUMPRODUCT(MAX((Оплаты!$D$6:$D$505=A192)*(Оплаты!$A$6:$A$505&gt;Оплаты!$A$184)*(Ввод!$B$4+1-Оплаты!$A$6:$A$505)))))</f>
        <v/>
      </c>
      <c r="E192" s="14">
        <f>IF(A192="","",INDEX(Акты!$D$5:$D$16,B192)-SUMIFS(Оплаты!$B$6:$B$505,Оплаты!$D$6:$D$505,A192,Оплаты!$A$6:$A$505,"&lt;="&amp;Оплаты!$A$184))</f>
        <v/>
      </c>
      <c r="F192" s="14">
        <f>IF(G192="","",SUMPRODUCT(ROUND(E192*'По дням'!$L$6:$L$155/100*((((D192+'По дням'!$K$6:$K$155-ABS(D192-'По дням'!$K$6:$K$155))-(C192+'По дням'!$J$6:$J$155+ABS(C192-'По дням'!$J$6:$J$155)))/2+1)&gt;0)*(((D192+'По дням'!$K$6:$K$155-ABS(D192-'По дням'!$K$6:$K$155))-(C192+'По дням'!$J$6:$J$155+ABS(C192-'По дням'!$J$6:$J$155)))/2+1)/'По дням'!$M$6:$M$155,2)*(1-'По дням'!$N$6:$N$155)))</f>
        <v/>
      </c>
      <c r="G192">
        <f>IF(A192="","",IF(C192&gt;D192,"",B192*1000000+C192))</f>
        <v/>
      </c>
      <c r="H192" s="14">
        <f>IF(G192="","",SUMIFS(Оплаты!$B$6:$B$505,Оплаты!$D$6:$D$505,A192,Оплаты!$A$6:$A$505,D192))</f>
        <v/>
      </c>
      <c r="I192">
        <f>IF(G192="","",SUMPRODUCT((((((D192+'По дням'!$K$6:$K$155-ABS(D192-'По дням'!$K$6:$K$155))-(C192+'По дням'!$J$6:$J$155+ABS(C192-'По дням'!$J$6:$J$155)))/2+1)&gt;0)*(((D192+'По дням'!$K$6:$K$155-ABS(D192-'По дням'!$K$6:$K$155))-(C192+'По дням'!$J$6:$J$155+ABS(C192-'По дням'!$J$6:$J$155)))/2+1)&gt;0)*1))</f>
        <v/>
      </c>
    </row>
    <row r="193">
      <c r="A193">
        <f>IF(AND(Оплаты!$E$185="ок",COUNTIFS(Акты!$B$5:$B$16,Оплаты!$D$185,Акты!$H$5:$H$16,"ок")&gt;0,COUNTIFS(Оплаты!$D$6:$D$184,Оплаты!$D$185,Оплаты!$A$6:$A$184,Оплаты!$A$185)=0),Оплаты!$D$185,"")</f>
        <v/>
      </c>
      <c r="B193">
        <f>IF(A193="","",MATCH(A193,Акты!$B$5:$B$16,0))</f>
        <v/>
      </c>
      <c r="C193" s="20">
        <f>IF(A193="","",Оплаты!$A$185+1)</f>
        <v/>
      </c>
      <c r="D193" s="20">
        <f>IF(A193="","",MIN(Ввод!$B$4,Ввод!$B$4+1-SUMPRODUCT(MAX((Оплаты!$D$6:$D$505=A193)*(Оплаты!$A$6:$A$505&gt;Оплаты!$A$185)*(Ввод!$B$4+1-Оплаты!$A$6:$A$505)))))</f>
        <v/>
      </c>
      <c r="E193" s="14">
        <f>IF(A193="","",INDEX(Акты!$D$5:$D$16,B193)-SUMIFS(Оплаты!$B$6:$B$505,Оплаты!$D$6:$D$505,A193,Оплаты!$A$6:$A$505,"&lt;="&amp;Оплаты!$A$185))</f>
        <v/>
      </c>
      <c r="F193" s="14">
        <f>IF(G193="","",SUMPRODUCT(ROUND(E193*'По дням'!$L$6:$L$155/100*((((D193+'По дням'!$K$6:$K$155-ABS(D193-'По дням'!$K$6:$K$155))-(C193+'По дням'!$J$6:$J$155+ABS(C193-'По дням'!$J$6:$J$155)))/2+1)&gt;0)*(((D193+'По дням'!$K$6:$K$155-ABS(D193-'По дням'!$K$6:$K$155))-(C193+'По дням'!$J$6:$J$155+ABS(C193-'По дням'!$J$6:$J$155)))/2+1)/'По дням'!$M$6:$M$155,2)*(1-'По дням'!$N$6:$N$155)))</f>
        <v/>
      </c>
      <c r="G193">
        <f>IF(A193="","",IF(C193&gt;D193,"",B193*1000000+C193))</f>
        <v/>
      </c>
      <c r="H193" s="14">
        <f>IF(G193="","",SUMIFS(Оплаты!$B$6:$B$505,Оплаты!$D$6:$D$505,A193,Оплаты!$A$6:$A$505,D193))</f>
        <v/>
      </c>
      <c r="I193">
        <f>IF(G193="","",SUMPRODUCT((((((D193+'По дням'!$K$6:$K$155-ABS(D193-'По дням'!$K$6:$K$155))-(C193+'По дням'!$J$6:$J$155+ABS(C193-'По дням'!$J$6:$J$155)))/2+1)&gt;0)*(((D193+'По дням'!$K$6:$K$155-ABS(D193-'По дням'!$K$6:$K$155))-(C193+'По дням'!$J$6:$J$155+ABS(C193-'По дням'!$J$6:$J$155)))/2+1)&gt;0)*1))</f>
        <v/>
      </c>
    </row>
    <row r="194">
      <c r="A194">
        <f>IF(AND(Оплаты!$E$186="ок",COUNTIFS(Акты!$B$5:$B$16,Оплаты!$D$186,Акты!$H$5:$H$16,"ок")&gt;0,COUNTIFS(Оплаты!$D$6:$D$185,Оплаты!$D$186,Оплаты!$A$6:$A$185,Оплаты!$A$186)=0),Оплаты!$D$186,"")</f>
        <v/>
      </c>
      <c r="B194">
        <f>IF(A194="","",MATCH(A194,Акты!$B$5:$B$16,0))</f>
        <v/>
      </c>
      <c r="C194" s="20">
        <f>IF(A194="","",Оплаты!$A$186+1)</f>
        <v/>
      </c>
      <c r="D194" s="20">
        <f>IF(A194="","",MIN(Ввод!$B$4,Ввод!$B$4+1-SUMPRODUCT(MAX((Оплаты!$D$6:$D$505=A194)*(Оплаты!$A$6:$A$505&gt;Оплаты!$A$186)*(Ввод!$B$4+1-Оплаты!$A$6:$A$505)))))</f>
        <v/>
      </c>
      <c r="E194" s="14">
        <f>IF(A194="","",INDEX(Акты!$D$5:$D$16,B194)-SUMIFS(Оплаты!$B$6:$B$505,Оплаты!$D$6:$D$505,A194,Оплаты!$A$6:$A$505,"&lt;="&amp;Оплаты!$A$186))</f>
        <v/>
      </c>
      <c r="F194" s="14">
        <f>IF(G194="","",SUMPRODUCT(ROUND(E194*'По дням'!$L$6:$L$155/100*((((D194+'По дням'!$K$6:$K$155-ABS(D194-'По дням'!$K$6:$K$155))-(C194+'По дням'!$J$6:$J$155+ABS(C194-'По дням'!$J$6:$J$155)))/2+1)&gt;0)*(((D194+'По дням'!$K$6:$K$155-ABS(D194-'По дням'!$K$6:$K$155))-(C194+'По дням'!$J$6:$J$155+ABS(C194-'По дням'!$J$6:$J$155)))/2+1)/'По дням'!$M$6:$M$155,2)*(1-'По дням'!$N$6:$N$155)))</f>
        <v/>
      </c>
      <c r="G194">
        <f>IF(A194="","",IF(C194&gt;D194,"",B194*1000000+C194))</f>
        <v/>
      </c>
      <c r="H194" s="14">
        <f>IF(G194="","",SUMIFS(Оплаты!$B$6:$B$505,Оплаты!$D$6:$D$505,A194,Оплаты!$A$6:$A$505,D194))</f>
        <v/>
      </c>
      <c r="I194">
        <f>IF(G194="","",SUMPRODUCT((((((D194+'По дням'!$K$6:$K$155-ABS(D194-'По дням'!$K$6:$K$155))-(C194+'По дням'!$J$6:$J$155+ABS(C194-'По дням'!$J$6:$J$155)))/2+1)&gt;0)*(((D194+'По дням'!$K$6:$K$155-ABS(D194-'По дням'!$K$6:$K$155))-(C194+'По дням'!$J$6:$J$155+ABS(C194-'По дням'!$J$6:$J$155)))/2+1)&gt;0)*1))</f>
        <v/>
      </c>
    </row>
    <row r="195">
      <c r="A195">
        <f>IF(AND(Оплаты!$E$187="ок",COUNTIFS(Акты!$B$5:$B$16,Оплаты!$D$187,Акты!$H$5:$H$16,"ок")&gt;0,COUNTIFS(Оплаты!$D$6:$D$186,Оплаты!$D$187,Оплаты!$A$6:$A$186,Оплаты!$A$187)=0),Оплаты!$D$187,"")</f>
        <v/>
      </c>
      <c r="B195">
        <f>IF(A195="","",MATCH(A195,Акты!$B$5:$B$16,0))</f>
        <v/>
      </c>
      <c r="C195" s="20">
        <f>IF(A195="","",Оплаты!$A$187+1)</f>
        <v/>
      </c>
      <c r="D195" s="20">
        <f>IF(A195="","",MIN(Ввод!$B$4,Ввод!$B$4+1-SUMPRODUCT(MAX((Оплаты!$D$6:$D$505=A195)*(Оплаты!$A$6:$A$505&gt;Оплаты!$A$187)*(Ввод!$B$4+1-Оплаты!$A$6:$A$505)))))</f>
        <v/>
      </c>
      <c r="E195" s="14">
        <f>IF(A195="","",INDEX(Акты!$D$5:$D$16,B195)-SUMIFS(Оплаты!$B$6:$B$505,Оплаты!$D$6:$D$505,A195,Оплаты!$A$6:$A$505,"&lt;="&amp;Оплаты!$A$187))</f>
        <v/>
      </c>
      <c r="F195" s="14">
        <f>IF(G195="","",SUMPRODUCT(ROUND(E195*'По дням'!$L$6:$L$155/100*((((D195+'По дням'!$K$6:$K$155-ABS(D195-'По дням'!$K$6:$K$155))-(C195+'По дням'!$J$6:$J$155+ABS(C195-'По дням'!$J$6:$J$155)))/2+1)&gt;0)*(((D195+'По дням'!$K$6:$K$155-ABS(D195-'По дням'!$K$6:$K$155))-(C195+'По дням'!$J$6:$J$155+ABS(C195-'По дням'!$J$6:$J$155)))/2+1)/'По дням'!$M$6:$M$155,2)*(1-'По дням'!$N$6:$N$155)))</f>
        <v/>
      </c>
      <c r="G195">
        <f>IF(A195="","",IF(C195&gt;D195,"",B195*1000000+C195))</f>
        <v/>
      </c>
      <c r="H195" s="14">
        <f>IF(G195="","",SUMIFS(Оплаты!$B$6:$B$505,Оплаты!$D$6:$D$505,A195,Оплаты!$A$6:$A$505,D195))</f>
        <v/>
      </c>
      <c r="I195">
        <f>IF(G195="","",SUMPRODUCT((((((D195+'По дням'!$K$6:$K$155-ABS(D195-'По дням'!$K$6:$K$155))-(C195+'По дням'!$J$6:$J$155+ABS(C195-'По дням'!$J$6:$J$155)))/2+1)&gt;0)*(((D195+'По дням'!$K$6:$K$155-ABS(D195-'По дням'!$K$6:$K$155))-(C195+'По дням'!$J$6:$J$155+ABS(C195-'По дням'!$J$6:$J$155)))/2+1)&gt;0)*1))</f>
        <v/>
      </c>
    </row>
    <row r="196">
      <c r="A196">
        <f>IF(AND(Оплаты!$E$188="ок",COUNTIFS(Акты!$B$5:$B$16,Оплаты!$D$188,Акты!$H$5:$H$16,"ок")&gt;0,COUNTIFS(Оплаты!$D$6:$D$187,Оплаты!$D$188,Оплаты!$A$6:$A$187,Оплаты!$A$188)=0),Оплаты!$D$188,"")</f>
        <v/>
      </c>
      <c r="B196">
        <f>IF(A196="","",MATCH(A196,Акты!$B$5:$B$16,0))</f>
        <v/>
      </c>
      <c r="C196" s="20">
        <f>IF(A196="","",Оплаты!$A$188+1)</f>
        <v/>
      </c>
      <c r="D196" s="20">
        <f>IF(A196="","",MIN(Ввод!$B$4,Ввод!$B$4+1-SUMPRODUCT(MAX((Оплаты!$D$6:$D$505=A196)*(Оплаты!$A$6:$A$505&gt;Оплаты!$A$188)*(Ввод!$B$4+1-Оплаты!$A$6:$A$505)))))</f>
        <v/>
      </c>
      <c r="E196" s="14">
        <f>IF(A196="","",INDEX(Акты!$D$5:$D$16,B196)-SUMIFS(Оплаты!$B$6:$B$505,Оплаты!$D$6:$D$505,A196,Оплаты!$A$6:$A$505,"&lt;="&amp;Оплаты!$A$188))</f>
        <v/>
      </c>
      <c r="F196" s="14">
        <f>IF(G196="","",SUMPRODUCT(ROUND(E196*'По дням'!$L$6:$L$155/100*((((D196+'По дням'!$K$6:$K$155-ABS(D196-'По дням'!$K$6:$K$155))-(C196+'По дням'!$J$6:$J$155+ABS(C196-'По дням'!$J$6:$J$155)))/2+1)&gt;0)*(((D196+'По дням'!$K$6:$K$155-ABS(D196-'По дням'!$K$6:$K$155))-(C196+'По дням'!$J$6:$J$155+ABS(C196-'По дням'!$J$6:$J$155)))/2+1)/'По дням'!$M$6:$M$155,2)*(1-'По дням'!$N$6:$N$155)))</f>
        <v/>
      </c>
      <c r="G196">
        <f>IF(A196="","",IF(C196&gt;D196,"",B196*1000000+C196))</f>
        <v/>
      </c>
      <c r="H196" s="14">
        <f>IF(G196="","",SUMIFS(Оплаты!$B$6:$B$505,Оплаты!$D$6:$D$505,A196,Оплаты!$A$6:$A$505,D196))</f>
        <v/>
      </c>
      <c r="I196">
        <f>IF(G196="","",SUMPRODUCT((((((D196+'По дням'!$K$6:$K$155-ABS(D196-'По дням'!$K$6:$K$155))-(C196+'По дням'!$J$6:$J$155+ABS(C196-'По дням'!$J$6:$J$155)))/2+1)&gt;0)*(((D196+'По дням'!$K$6:$K$155-ABS(D196-'По дням'!$K$6:$K$155))-(C196+'По дням'!$J$6:$J$155+ABS(C196-'По дням'!$J$6:$J$155)))/2+1)&gt;0)*1))</f>
        <v/>
      </c>
    </row>
    <row r="197">
      <c r="A197">
        <f>IF(AND(Оплаты!$E$189="ок",COUNTIFS(Акты!$B$5:$B$16,Оплаты!$D$189,Акты!$H$5:$H$16,"ок")&gt;0,COUNTIFS(Оплаты!$D$6:$D$188,Оплаты!$D$189,Оплаты!$A$6:$A$188,Оплаты!$A$189)=0),Оплаты!$D$189,"")</f>
        <v/>
      </c>
      <c r="B197">
        <f>IF(A197="","",MATCH(A197,Акты!$B$5:$B$16,0))</f>
        <v/>
      </c>
      <c r="C197" s="20">
        <f>IF(A197="","",Оплаты!$A$189+1)</f>
        <v/>
      </c>
      <c r="D197" s="20">
        <f>IF(A197="","",MIN(Ввод!$B$4,Ввод!$B$4+1-SUMPRODUCT(MAX((Оплаты!$D$6:$D$505=A197)*(Оплаты!$A$6:$A$505&gt;Оплаты!$A$189)*(Ввод!$B$4+1-Оплаты!$A$6:$A$505)))))</f>
        <v/>
      </c>
      <c r="E197" s="14">
        <f>IF(A197="","",INDEX(Акты!$D$5:$D$16,B197)-SUMIFS(Оплаты!$B$6:$B$505,Оплаты!$D$6:$D$505,A197,Оплаты!$A$6:$A$505,"&lt;="&amp;Оплаты!$A$189))</f>
        <v/>
      </c>
      <c r="F197" s="14">
        <f>IF(G197="","",SUMPRODUCT(ROUND(E197*'По дням'!$L$6:$L$155/100*((((D197+'По дням'!$K$6:$K$155-ABS(D197-'По дням'!$K$6:$K$155))-(C197+'По дням'!$J$6:$J$155+ABS(C197-'По дням'!$J$6:$J$155)))/2+1)&gt;0)*(((D197+'По дням'!$K$6:$K$155-ABS(D197-'По дням'!$K$6:$K$155))-(C197+'По дням'!$J$6:$J$155+ABS(C197-'По дням'!$J$6:$J$155)))/2+1)/'По дням'!$M$6:$M$155,2)*(1-'По дням'!$N$6:$N$155)))</f>
        <v/>
      </c>
      <c r="G197">
        <f>IF(A197="","",IF(C197&gt;D197,"",B197*1000000+C197))</f>
        <v/>
      </c>
      <c r="H197" s="14">
        <f>IF(G197="","",SUMIFS(Оплаты!$B$6:$B$505,Оплаты!$D$6:$D$505,A197,Оплаты!$A$6:$A$505,D197))</f>
        <v/>
      </c>
      <c r="I197">
        <f>IF(G197="","",SUMPRODUCT((((((D197+'По дням'!$K$6:$K$155-ABS(D197-'По дням'!$K$6:$K$155))-(C197+'По дням'!$J$6:$J$155+ABS(C197-'По дням'!$J$6:$J$155)))/2+1)&gt;0)*(((D197+'По дням'!$K$6:$K$155-ABS(D197-'По дням'!$K$6:$K$155))-(C197+'По дням'!$J$6:$J$155+ABS(C197-'По дням'!$J$6:$J$155)))/2+1)&gt;0)*1))</f>
        <v/>
      </c>
    </row>
    <row r="198">
      <c r="A198">
        <f>IF(AND(Оплаты!$E$190="ок",COUNTIFS(Акты!$B$5:$B$16,Оплаты!$D$190,Акты!$H$5:$H$16,"ок")&gt;0,COUNTIFS(Оплаты!$D$6:$D$189,Оплаты!$D$190,Оплаты!$A$6:$A$189,Оплаты!$A$190)=0),Оплаты!$D$190,"")</f>
        <v/>
      </c>
      <c r="B198">
        <f>IF(A198="","",MATCH(A198,Акты!$B$5:$B$16,0))</f>
        <v/>
      </c>
      <c r="C198" s="20">
        <f>IF(A198="","",Оплаты!$A$190+1)</f>
        <v/>
      </c>
      <c r="D198" s="20">
        <f>IF(A198="","",MIN(Ввод!$B$4,Ввод!$B$4+1-SUMPRODUCT(MAX((Оплаты!$D$6:$D$505=A198)*(Оплаты!$A$6:$A$505&gt;Оплаты!$A$190)*(Ввод!$B$4+1-Оплаты!$A$6:$A$505)))))</f>
        <v/>
      </c>
      <c r="E198" s="14">
        <f>IF(A198="","",INDEX(Акты!$D$5:$D$16,B198)-SUMIFS(Оплаты!$B$6:$B$505,Оплаты!$D$6:$D$505,A198,Оплаты!$A$6:$A$505,"&lt;="&amp;Оплаты!$A$190))</f>
        <v/>
      </c>
      <c r="F198" s="14">
        <f>IF(G198="","",SUMPRODUCT(ROUND(E198*'По дням'!$L$6:$L$155/100*((((D198+'По дням'!$K$6:$K$155-ABS(D198-'По дням'!$K$6:$K$155))-(C198+'По дням'!$J$6:$J$155+ABS(C198-'По дням'!$J$6:$J$155)))/2+1)&gt;0)*(((D198+'По дням'!$K$6:$K$155-ABS(D198-'По дням'!$K$6:$K$155))-(C198+'По дням'!$J$6:$J$155+ABS(C198-'По дням'!$J$6:$J$155)))/2+1)/'По дням'!$M$6:$M$155,2)*(1-'По дням'!$N$6:$N$155)))</f>
        <v/>
      </c>
      <c r="G198">
        <f>IF(A198="","",IF(C198&gt;D198,"",B198*1000000+C198))</f>
        <v/>
      </c>
      <c r="H198" s="14">
        <f>IF(G198="","",SUMIFS(Оплаты!$B$6:$B$505,Оплаты!$D$6:$D$505,A198,Оплаты!$A$6:$A$505,D198))</f>
        <v/>
      </c>
      <c r="I198">
        <f>IF(G198="","",SUMPRODUCT((((((D198+'По дням'!$K$6:$K$155-ABS(D198-'По дням'!$K$6:$K$155))-(C198+'По дням'!$J$6:$J$155+ABS(C198-'По дням'!$J$6:$J$155)))/2+1)&gt;0)*(((D198+'По дням'!$K$6:$K$155-ABS(D198-'По дням'!$K$6:$K$155))-(C198+'По дням'!$J$6:$J$155+ABS(C198-'По дням'!$J$6:$J$155)))/2+1)&gt;0)*1))</f>
        <v/>
      </c>
    </row>
    <row r="199">
      <c r="A199">
        <f>IF(AND(Оплаты!$E$191="ок",COUNTIFS(Акты!$B$5:$B$16,Оплаты!$D$191,Акты!$H$5:$H$16,"ок")&gt;0,COUNTIFS(Оплаты!$D$6:$D$190,Оплаты!$D$191,Оплаты!$A$6:$A$190,Оплаты!$A$191)=0),Оплаты!$D$191,"")</f>
        <v/>
      </c>
      <c r="B199">
        <f>IF(A199="","",MATCH(A199,Акты!$B$5:$B$16,0))</f>
        <v/>
      </c>
      <c r="C199" s="20">
        <f>IF(A199="","",Оплаты!$A$191+1)</f>
        <v/>
      </c>
      <c r="D199" s="20">
        <f>IF(A199="","",MIN(Ввод!$B$4,Ввод!$B$4+1-SUMPRODUCT(MAX((Оплаты!$D$6:$D$505=A199)*(Оплаты!$A$6:$A$505&gt;Оплаты!$A$191)*(Ввод!$B$4+1-Оплаты!$A$6:$A$505)))))</f>
        <v/>
      </c>
      <c r="E199" s="14">
        <f>IF(A199="","",INDEX(Акты!$D$5:$D$16,B199)-SUMIFS(Оплаты!$B$6:$B$505,Оплаты!$D$6:$D$505,A199,Оплаты!$A$6:$A$505,"&lt;="&amp;Оплаты!$A$191))</f>
        <v/>
      </c>
      <c r="F199" s="14">
        <f>IF(G199="","",SUMPRODUCT(ROUND(E199*'По дням'!$L$6:$L$155/100*((((D199+'По дням'!$K$6:$K$155-ABS(D199-'По дням'!$K$6:$K$155))-(C199+'По дням'!$J$6:$J$155+ABS(C199-'По дням'!$J$6:$J$155)))/2+1)&gt;0)*(((D199+'По дням'!$K$6:$K$155-ABS(D199-'По дням'!$K$6:$K$155))-(C199+'По дням'!$J$6:$J$155+ABS(C199-'По дням'!$J$6:$J$155)))/2+1)/'По дням'!$M$6:$M$155,2)*(1-'По дням'!$N$6:$N$155)))</f>
        <v/>
      </c>
      <c r="G199">
        <f>IF(A199="","",IF(C199&gt;D199,"",B199*1000000+C199))</f>
        <v/>
      </c>
      <c r="H199" s="14">
        <f>IF(G199="","",SUMIFS(Оплаты!$B$6:$B$505,Оплаты!$D$6:$D$505,A199,Оплаты!$A$6:$A$505,D199))</f>
        <v/>
      </c>
      <c r="I199">
        <f>IF(G199="","",SUMPRODUCT((((((D199+'По дням'!$K$6:$K$155-ABS(D199-'По дням'!$K$6:$K$155))-(C199+'По дням'!$J$6:$J$155+ABS(C199-'По дням'!$J$6:$J$155)))/2+1)&gt;0)*(((D199+'По дням'!$K$6:$K$155-ABS(D199-'По дням'!$K$6:$K$155))-(C199+'По дням'!$J$6:$J$155+ABS(C199-'По дням'!$J$6:$J$155)))/2+1)&gt;0)*1))</f>
        <v/>
      </c>
    </row>
    <row r="200">
      <c r="A200">
        <f>IF(AND(Оплаты!$E$192="ок",COUNTIFS(Акты!$B$5:$B$16,Оплаты!$D$192,Акты!$H$5:$H$16,"ок")&gt;0,COUNTIFS(Оплаты!$D$6:$D$191,Оплаты!$D$192,Оплаты!$A$6:$A$191,Оплаты!$A$192)=0),Оплаты!$D$192,"")</f>
        <v/>
      </c>
      <c r="B200">
        <f>IF(A200="","",MATCH(A200,Акты!$B$5:$B$16,0))</f>
        <v/>
      </c>
      <c r="C200" s="20">
        <f>IF(A200="","",Оплаты!$A$192+1)</f>
        <v/>
      </c>
      <c r="D200" s="20">
        <f>IF(A200="","",MIN(Ввод!$B$4,Ввод!$B$4+1-SUMPRODUCT(MAX((Оплаты!$D$6:$D$505=A200)*(Оплаты!$A$6:$A$505&gt;Оплаты!$A$192)*(Ввод!$B$4+1-Оплаты!$A$6:$A$505)))))</f>
        <v/>
      </c>
      <c r="E200" s="14">
        <f>IF(A200="","",INDEX(Акты!$D$5:$D$16,B200)-SUMIFS(Оплаты!$B$6:$B$505,Оплаты!$D$6:$D$505,A200,Оплаты!$A$6:$A$505,"&lt;="&amp;Оплаты!$A$192))</f>
        <v/>
      </c>
      <c r="F200" s="14">
        <f>IF(G200="","",SUMPRODUCT(ROUND(E200*'По дням'!$L$6:$L$155/100*((((D200+'По дням'!$K$6:$K$155-ABS(D200-'По дням'!$K$6:$K$155))-(C200+'По дням'!$J$6:$J$155+ABS(C200-'По дням'!$J$6:$J$155)))/2+1)&gt;0)*(((D200+'По дням'!$K$6:$K$155-ABS(D200-'По дням'!$K$6:$K$155))-(C200+'По дням'!$J$6:$J$155+ABS(C200-'По дням'!$J$6:$J$155)))/2+1)/'По дням'!$M$6:$M$155,2)*(1-'По дням'!$N$6:$N$155)))</f>
        <v/>
      </c>
      <c r="G200">
        <f>IF(A200="","",IF(C200&gt;D200,"",B200*1000000+C200))</f>
        <v/>
      </c>
      <c r="H200" s="14">
        <f>IF(G200="","",SUMIFS(Оплаты!$B$6:$B$505,Оплаты!$D$6:$D$505,A200,Оплаты!$A$6:$A$505,D200))</f>
        <v/>
      </c>
      <c r="I200">
        <f>IF(G200="","",SUMPRODUCT((((((D200+'По дням'!$K$6:$K$155-ABS(D200-'По дням'!$K$6:$K$155))-(C200+'По дням'!$J$6:$J$155+ABS(C200-'По дням'!$J$6:$J$155)))/2+1)&gt;0)*(((D200+'По дням'!$K$6:$K$155-ABS(D200-'По дням'!$K$6:$K$155))-(C200+'По дням'!$J$6:$J$155+ABS(C200-'По дням'!$J$6:$J$155)))/2+1)&gt;0)*1))</f>
        <v/>
      </c>
    </row>
    <row r="201">
      <c r="A201">
        <f>IF(AND(Оплаты!$E$193="ок",COUNTIFS(Акты!$B$5:$B$16,Оплаты!$D$193,Акты!$H$5:$H$16,"ок")&gt;0,COUNTIFS(Оплаты!$D$6:$D$192,Оплаты!$D$193,Оплаты!$A$6:$A$192,Оплаты!$A$193)=0),Оплаты!$D$193,"")</f>
        <v/>
      </c>
      <c r="B201">
        <f>IF(A201="","",MATCH(A201,Акты!$B$5:$B$16,0))</f>
        <v/>
      </c>
      <c r="C201" s="20">
        <f>IF(A201="","",Оплаты!$A$193+1)</f>
        <v/>
      </c>
      <c r="D201" s="20">
        <f>IF(A201="","",MIN(Ввод!$B$4,Ввод!$B$4+1-SUMPRODUCT(MAX((Оплаты!$D$6:$D$505=A201)*(Оплаты!$A$6:$A$505&gt;Оплаты!$A$193)*(Ввод!$B$4+1-Оплаты!$A$6:$A$505)))))</f>
        <v/>
      </c>
      <c r="E201" s="14">
        <f>IF(A201="","",INDEX(Акты!$D$5:$D$16,B201)-SUMIFS(Оплаты!$B$6:$B$505,Оплаты!$D$6:$D$505,A201,Оплаты!$A$6:$A$505,"&lt;="&amp;Оплаты!$A$193))</f>
        <v/>
      </c>
      <c r="F201" s="14">
        <f>IF(G201="","",SUMPRODUCT(ROUND(E201*'По дням'!$L$6:$L$155/100*((((D201+'По дням'!$K$6:$K$155-ABS(D201-'По дням'!$K$6:$K$155))-(C201+'По дням'!$J$6:$J$155+ABS(C201-'По дням'!$J$6:$J$155)))/2+1)&gt;0)*(((D201+'По дням'!$K$6:$K$155-ABS(D201-'По дням'!$K$6:$K$155))-(C201+'По дням'!$J$6:$J$155+ABS(C201-'По дням'!$J$6:$J$155)))/2+1)/'По дням'!$M$6:$M$155,2)*(1-'По дням'!$N$6:$N$155)))</f>
        <v/>
      </c>
      <c r="G201">
        <f>IF(A201="","",IF(C201&gt;D201,"",B201*1000000+C201))</f>
        <v/>
      </c>
      <c r="H201" s="14">
        <f>IF(G201="","",SUMIFS(Оплаты!$B$6:$B$505,Оплаты!$D$6:$D$505,A201,Оплаты!$A$6:$A$505,D201))</f>
        <v/>
      </c>
      <c r="I201">
        <f>IF(G201="","",SUMPRODUCT((((((D201+'По дням'!$K$6:$K$155-ABS(D201-'По дням'!$K$6:$K$155))-(C201+'По дням'!$J$6:$J$155+ABS(C201-'По дням'!$J$6:$J$155)))/2+1)&gt;0)*(((D201+'По дням'!$K$6:$K$155-ABS(D201-'По дням'!$K$6:$K$155))-(C201+'По дням'!$J$6:$J$155+ABS(C201-'По дням'!$J$6:$J$155)))/2+1)&gt;0)*1))</f>
        <v/>
      </c>
    </row>
    <row r="202">
      <c r="A202">
        <f>IF(AND(Оплаты!$E$194="ок",COUNTIFS(Акты!$B$5:$B$16,Оплаты!$D$194,Акты!$H$5:$H$16,"ок")&gt;0,COUNTIFS(Оплаты!$D$6:$D$193,Оплаты!$D$194,Оплаты!$A$6:$A$193,Оплаты!$A$194)=0),Оплаты!$D$194,"")</f>
        <v/>
      </c>
      <c r="B202">
        <f>IF(A202="","",MATCH(A202,Акты!$B$5:$B$16,0))</f>
        <v/>
      </c>
      <c r="C202" s="20">
        <f>IF(A202="","",Оплаты!$A$194+1)</f>
        <v/>
      </c>
      <c r="D202" s="20">
        <f>IF(A202="","",MIN(Ввод!$B$4,Ввод!$B$4+1-SUMPRODUCT(MAX((Оплаты!$D$6:$D$505=A202)*(Оплаты!$A$6:$A$505&gt;Оплаты!$A$194)*(Ввод!$B$4+1-Оплаты!$A$6:$A$505)))))</f>
        <v/>
      </c>
      <c r="E202" s="14">
        <f>IF(A202="","",INDEX(Акты!$D$5:$D$16,B202)-SUMIFS(Оплаты!$B$6:$B$505,Оплаты!$D$6:$D$505,A202,Оплаты!$A$6:$A$505,"&lt;="&amp;Оплаты!$A$194))</f>
        <v/>
      </c>
      <c r="F202" s="14">
        <f>IF(G202="","",SUMPRODUCT(ROUND(E202*'По дням'!$L$6:$L$155/100*((((D202+'По дням'!$K$6:$K$155-ABS(D202-'По дням'!$K$6:$K$155))-(C202+'По дням'!$J$6:$J$155+ABS(C202-'По дням'!$J$6:$J$155)))/2+1)&gt;0)*(((D202+'По дням'!$K$6:$K$155-ABS(D202-'По дням'!$K$6:$K$155))-(C202+'По дням'!$J$6:$J$155+ABS(C202-'По дням'!$J$6:$J$155)))/2+1)/'По дням'!$M$6:$M$155,2)*(1-'По дням'!$N$6:$N$155)))</f>
        <v/>
      </c>
      <c r="G202">
        <f>IF(A202="","",IF(C202&gt;D202,"",B202*1000000+C202))</f>
        <v/>
      </c>
      <c r="H202" s="14">
        <f>IF(G202="","",SUMIFS(Оплаты!$B$6:$B$505,Оплаты!$D$6:$D$505,A202,Оплаты!$A$6:$A$505,D202))</f>
        <v/>
      </c>
      <c r="I202">
        <f>IF(G202="","",SUMPRODUCT((((((D202+'По дням'!$K$6:$K$155-ABS(D202-'По дням'!$K$6:$K$155))-(C202+'По дням'!$J$6:$J$155+ABS(C202-'По дням'!$J$6:$J$155)))/2+1)&gt;0)*(((D202+'По дням'!$K$6:$K$155-ABS(D202-'По дням'!$K$6:$K$155))-(C202+'По дням'!$J$6:$J$155+ABS(C202-'По дням'!$J$6:$J$155)))/2+1)&gt;0)*1))</f>
        <v/>
      </c>
    </row>
    <row r="203">
      <c r="A203">
        <f>IF(AND(Оплаты!$E$195="ок",COUNTIFS(Акты!$B$5:$B$16,Оплаты!$D$195,Акты!$H$5:$H$16,"ок")&gt;0,COUNTIFS(Оплаты!$D$6:$D$194,Оплаты!$D$195,Оплаты!$A$6:$A$194,Оплаты!$A$195)=0),Оплаты!$D$195,"")</f>
        <v/>
      </c>
      <c r="B203">
        <f>IF(A203="","",MATCH(A203,Акты!$B$5:$B$16,0))</f>
        <v/>
      </c>
      <c r="C203" s="20">
        <f>IF(A203="","",Оплаты!$A$195+1)</f>
        <v/>
      </c>
      <c r="D203" s="20">
        <f>IF(A203="","",MIN(Ввод!$B$4,Ввод!$B$4+1-SUMPRODUCT(MAX((Оплаты!$D$6:$D$505=A203)*(Оплаты!$A$6:$A$505&gt;Оплаты!$A$195)*(Ввод!$B$4+1-Оплаты!$A$6:$A$505)))))</f>
        <v/>
      </c>
      <c r="E203" s="14">
        <f>IF(A203="","",INDEX(Акты!$D$5:$D$16,B203)-SUMIFS(Оплаты!$B$6:$B$505,Оплаты!$D$6:$D$505,A203,Оплаты!$A$6:$A$505,"&lt;="&amp;Оплаты!$A$195))</f>
        <v/>
      </c>
      <c r="F203" s="14">
        <f>IF(G203="","",SUMPRODUCT(ROUND(E203*'По дням'!$L$6:$L$155/100*((((D203+'По дням'!$K$6:$K$155-ABS(D203-'По дням'!$K$6:$K$155))-(C203+'По дням'!$J$6:$J$155+ABS(C203-'По дням'!$J$6:$J$155)))/2+1)&gt;0)*(((D203+'По дням'!$K$6:$K$155-ABS(D203-'По дням'!$K$6:$K$155))-(C203+'По дням'!$J$6:$J$155+ABS(C203-'По дням'!$J$6:$J$155)))/2+1)/'По дням'!$M$6:$M$155,2)*(1-'По дням'!$N$6:$N$155)))</f>
        <v/>
      </c>
      <c r="G203">
        <f>IF(A203="","",IF(C203&gt;D203,"",B203*1000000+C203))</f>
        <v/>
      </c>
      <c r="H203" s="14">
        <f>IF(G203="","",SUMIFS(Оплаты!$B$6:$B$505,Оплаты!$D$6:$D$505,A203,Оплаты!$A$6:$A$505,D203))</f>
        <v/>
      </c>
      <c r="I203">
        <f>IF(G203="","",SUMPRODUCT((((((D203+'По дням'!$K$6:$K$155-ABS(D203-'По дням'!$K$6:$K$155))-(C203+'По дням'!$J$6:$J$155+ABS(C203-'По дням'!$J$6:$J$155)))/2+1)&gt;0)*(((D203+'По дням'!$K$6:$K$155-ABS(D203-'По дням'!$K$6:$K$155))-(C203+'По дням'!$J$6:$J$155+ABS(C203-'По дням'!$J$6:$J$155)))/2+1)&gt;0)*1))</f>
        <v/>
      </c>
    </row>
    <row r="204">
      <c r="A204">
        <f>IF(AND(Оплаты!$E$196="ок",COUNTIFS(Акты!$B$5:$B$16,Оплаты!$D$196,Акты!$H$5:$H$16,"ок")&gt;0,COUNTIFS(Оплаты!$D$6:$D$195,Оплаты!$D$196,Оплаты!$A$6:$A$195,Оплаты!$A$196)=0),Оплаты!$D$196,"")</f>
        <v/>
      </c>
      <c r="B204">
        <f>IF(A204="","",MATCH(A204,Акты!$B$5:$B$16,0))</f>
        <v/>
      </c>
      <c r="C204" s="20">
        <f>IF(A204="","",Оплаты!$A$196+1)</f>
        <v/>
      </c>
      <c r="D204" s="20">
        <f>IF(A204="","",MIN(Ввод!$B$4,Ввод!$B$4+1-SUMPRODUCT(MAX((Оплаты!$D$6:$D$505=A204)*(Оплаты!$A$6:$A$505&gt;Оплаты!$A$196)*(Ввод!$B$4+1-Оплаты!$A$6:$A$505)))))</f>
        <v/>
      </c>
      <c r="E204" s="14">
        <f>IF(A204="","",INDEX(Акты!$D$5:$D$16,B204)-SUMIFS(Оплаты!$B$6:$B$505,Оплаты!$D$6:$D$505,A204,Оплаты!$A$6:$A$505,"&lt;="&amp;Оплаты!$A$196))</f>
        <v/>
      </c>
      <c r="F204" s="14">
        <f>IF(G204="","",SUMPRODUCT(ROUND(E204*'По дням'!$L$6:$L$155/100*((((D204+'По дням'!$K$6:$K$155-ABS(D204-'По дням'!$K$6:$K$155))-(C204+'По дням'!$J$6:$J$155+ABS(C204-'По дням'!$J$6:$J$155)))/2+1)&gt;0)*(((D204+'По дням'!$K$6:$K$155-ABS(D204-'По дням'!$K$6:$K$155))-(C204+'По дням'!$J$6:$J$155+ABS(C204-'По дням'!$J$6:$J$155)))/2+1)/'По дням'!$M$6:$M$155,2)*(1-'По дням'!$N$6:$N$155)))</f>
        <v/>
      </c>
      <c r="G204">
        <f>IF(A204="","",IF(C204&gt;D204,"",B204*1000000+C204))</f>
        <v/>
      </c>
      <c r="H204" s="14">
        <f>IF(G204="","",SUMIFS(Оплаты!$B$6:$B$505,Оплаты!$D$6:$D$505,A204,Оплаты!$A$6:$A$505,D204))</f>
        <v/>
      </c>
      <c r="I204">
        <f>IF(G204="","",SUMPRODUCT((((((D204+'По дням'!$K$6:$K$155-ABS(D204-'По дням'!$K$6:$K$155))-(C204+'По дням'!$J$6:$J$155+ABS(C204-'По дням'!$J$6:$J$155)))/2+1)&gt;0)*(((D204+'По дням'!$K$6:$K$155-ABS(D204-'По дням'!$K$6:$K$155))-(C204+'По дням'!$J$6:$J$155+ABS(C204-'По дням'!$J$6:$J$155)))/2+1)&gt;0)*1))</f>
        <v/>
      </c>
    </row>
    <row r="205">
      <c r="A205">
        <f>IF(AND(Оплаты!$E$197="ок",COUNTIFS(Акты!$B$5:$B$16,Оплаты!$D$197,Акты!$H$5:$H$16,"ок")&gt;0,COUNTIFS(Оплаты!$D$6:$D$196,Оплаты!$D$197,Оплаты!$A$6:$A$196,Оплаты!$A$197)=0),Оплаты!$D$197,"")</f>
        <v/>
      </c>
      <c r="B205">
        <f>IF(A205="","",MATCH(A205,Акты!$B$5:$B$16,0))</f>
        <v/>
      </c>
      <c r="C205" s="20">
        <f>IF(A205="","",Оплаты!$A$197+1)</f>
        <v/>
      </c>
      <c r="D205" s="20">
        <f>IF(A205="","",MIN(Ввод!$B$4,Ввод!$B$4+1-SUMPRODUCT(MAX((Оплаты!$D$6:$D$505=A205)*(Оплаты!$A$6:$A$505&gt;Оплаты!$A$197)*(Ввод!$B$4+1-Оплаты!$A$6:$A$505)))))</f>
        <v/>
      </c>
      <c r="E205" s="14">
        <f>IF(A205="","",INDEX(Акты!$D$5:$D$16,B205)-SUMIFS(Оплаты!$B$6:$B$505,Оплаты!$D$6:$D$505,A205,Оплаты!$A$6:$A$505,"&lt;="&amp;Оплаты!$A$197))</f>
        <v/>
      </c>
      <c r="F205" s="14">
        <f>IF(G205="","",SUMPRODUCT(ROUND(E205*'По дням'!$L$6:$L$155/100*((((D205+'По дням'!$K$6:$K$155-ABS(D205-'По дням'!$K$6:$K$155))-(C205+'По дням'!$J$6:$J$155+ABS(C205-'По дням'!$J$6:$J$155)))/2+1)&gt;0)*(((D205+'По дням'!$K$6:$K$155-ABS(D205-'По дням'!$K$6:$K$155))-(C205+'По дням'!$J$6:$J$155+ABS(C205-'По дням'!$J$6:$J$155)))/2+1)/'По дням'!$M$6:$M$155,2)*(1-'По дням'!$N$6:$N$155)))</f>
        <v/>
      </c>
      <c r="G205">
        <f>IF(A205="","",IF(C205&gt;D205,"",B205*1000000+C205))</f>
        <v/>
      </c>
      <c r="H205" s="14">
        <f>IF(G205="","",SUMIFS(Оплаты!$B$6:$B$505,Оплаты!$D$6:$D$505,A205,Оплаты!$A$6:$A$505,D205))</f>
        <v/>
      </c>
      <c r="I205">
        <f>IF(G205="","",SUMPRODUCT((((((D205+'По дням'!$K$6:$K$155-ABS(D205-'По дням'!$K$6:$K$155))-(C205+'По дням'!$J$6:$J$155+ABS(C205-'По дням'!$J$6:$J$155)))/2+1)&gt;0)*(((D205+'По дням'!$K$6:$K$155-ABS(D205-'По дням'!$K$6:$K$155))-(C205+'По дням'!$J$6:$J$155+ABS(C205-'По дням'!$J$6:$J$155)))/2+1)&gt;0)*1))</f>
        <v/>
      </c>
    </row>
    <row r="206">
      <c r="A206">
        <f>IF(AND(Оплаты!$E$198="ок",COUNTIFS(Акты!$B$5:$B$16,Оплаты!$D$198,Акты!$H$5:$H$16,"ок")&gt;0,COUNTIFS(Оплаты!$D$6:$D$197,Оплаты!$D$198,Оплаты!$A$6:$A$197,Оплаты!$A$198)=0),Оплаты!$D$198,"")</f>
        <v/>
      </c>
      <c r="B206">
        <f>IF(A206="","",MATCH(A206,Акты!$B$5:$B$16,0))</f>
        <v/>
      </c>
      <c r="C206" s="20">
        <f>IF(A206="","",Оплаты!$A$198+1)</f>
        <v/>
      </c>
      <c r="D206" s="20">
        <f>IF(A206="","",MIN(Ввод!$B$4,Ввод!$B$4+1-SUMPRODUCT(MAX((Оплаты!$D$6:$D$505=A206)*(Оплаты!$A$6:$A$505&gt;Оплаты!$A$198)*(Ввод!$B$4+1-Оплаты!$A$6:$A$505)))))</f>
        <v/>
      </c>
      <c r="E206" s="14">
        <f>IF(A206="","",INDEX(Акты!$D$5:$D$16,B206)-SUMIFS(Оплаты!$B$6:$B$505,Оплаты!$D$6:$D$505,A206,Оплаты!$A$6:$A$505,"&lt;="&amp;Оплаты!$A$198))</f>
        <v/>
      </c>
      <c r="F206" s="14">
        <f>IF(G206="","",SUMPRODUCT(ROUND(E206*'По дням'!$L$6:$L$155/100*((((D206+'По дням'!$K$6:$K$155-ABS(D206-'По дням'!$K$6:$K$155))-(C206+'По дням'!$J$6:$J$155+ABS(C206-'По дням'!$J$6:$J$155)))/2+1)&gt;0)*(((D206+'По дням'!$K$6:$K$155-ABS(D206-'По дням'!$K$6:$K$155))-(C206+'По дням'!$J$6:$J$155+ABS(C206-'По дням'!$J$6:$J$155)))/2+1)/'По дням'!$M$6:$M$155,2)*(1-'По дням'!$N$6:$N$155)))</f>
        <v/>
      </c>
      <c r="G206">
        <f>IF(A206="","",IF(C206&gt;D206,"",B206*1000000+C206))</f>
        <v/>
      </c>
      <c r="H206" s="14">
        <f>IF(G206="","",SUMIFS(Оплаты!$B$6:$B$505,Оплаты!$D$6:$D$505,A206,Оплаты!$A$6:$A$505,D206))</f>
        <v/>
      </c>
      <c r="I206">
        <f>IF(G206="","",SUMPRODUCT((((((D206+'По дням'!$K$6:$K$155-ABS(D206-'По дням'!$K$6:$K$155))-(C206+'По дням'!$J$6:$J$155+ABS(C206-'По дням'!$J$6:$J$155)))/2+1)&gt;0)*(((D206+'По дням'!$K$6:$K$155-ABS(D206-'По дням'!$K$6:$K$155))-(C206+'По дням'!$J$6:$J$155+ABS(C206-'По дням'!$J$6:$J$155)))/2+1)&gt;0)*1))</f>
        <v/>
      </c>
    </row>
    <row r="207">
      <c r="A207">
        <f>IF(AND(Оплаты!$E$199="ок",COUNTIFS(Акты!$B$5:$B$16,Оплаты!$D$199,Акты!$H$5:$H$16,"ок")&gt;0,COUNTIFS(Оплаты!$D$6:$D$198,Оплаты!$D$199,Оплаты!$A$6:$A$198,Оплаты!$A$199)=0),Оплаты!$D$199,"")</f>
        <v/>
      </c>
      <c r="B207">
        <f>IF(A207="","",MATCH(A207,Акты!$B$5:$B$16,0))</f>
        <v/>
      </c>
      <c r="C207" s="20">
        <f>IF(A207="","",Оплаты!$A$199+1)</f>
        <v/>
      </c>
      <c r="D207" s="20">
        <f>IF(A207="","",MIN(Ввод!$B$4,Ввод!$B$4+1-SUMPRODUCT(MAX((Оплаты!$D$6:$D$505=A207)*(Оплаты!$A$6:$A$505&gt;Оплаты!$A$199)*(Ввод!$B$4+1-Оплаты!$A$6:$A$505)))))</f>
        <v/>
      </c>
      <c r="E207" s="14">
        <f>IF(A207="","",INDEX(Акты!$D$5:$D$16,B207)-SUMIFS(Оплаты!$B$6:$B$505,Оплаты!$D$6:$D$505,A207,Оплаты!$A$6:$A$505,"&lt;="&amp;Оплаты!$A$199))</f>
        <v/>
      </c>
      <c r="F207" s="14">
        <f>IF(G207="","",SUMPRODUCT(ROUND(E207*'По дням'!$L$6:$L$155/100*((((D207+'По дням'!$K$6:$K$155-ABS(D207-'По дням'!$K$6:$K$155))-(C207+'По дням'!$J$6:$J$155+ABS(C207-'По дням'!$J$6:$J$155)))/2+1)&gt;0)*(((D207+'По дням'!$K$6:$K$155-ABS(D207-'По дням'!$K$6:$K$155))-(C207+'По дням'!$J$6:$J$155+ABS(C207-'По дням'!$J$6:$J$155)))/2+1)/'По дням'!$M$6:$M$155,2)*(1-'По дням'!$N$6:$N$155)))</f>
        <v/>
      </c>
      <c r="G207">
        <f>IF(A207="","",IF(C207&gt;D207,"",B207*1000000+C207))</f>
        <v/>
      </c>
      <c r="H207" s="14">
        <f>IF(G207="","",SUMIFS(Оплаты!$B$6:$B$505,Оплаты!$D$6:$D$505,A207,Оплаты!$A$6:$A$505,D207))</f>
        <v/>
      </c>
      <c r="I207">
        <f>IF(G207="","",SUMPRODUCT((((((D207+'По дням'!$K$6:$K$155-ABS(D207-'По дням'!$K$6:$K$155))-(C207+'По дням'!$J$6:$J$155+ABS(C207-'По дням'!$J$6:$J$155)))/2+1)&gt;0)*(((D207+'По дням'!$K$6:$K$155-ABS(D207-'По дням'!$K$6:$K$155))-(C207+'По дням'!$J$6:$J$155+ABS(C207-'По дням'!$J$6:$J$155)))/2+1)&gt;0)*1))</f>
        <v/>
      </c>
    </row>
    <row r="208">
      <c r="A208">
        <f>IF(AND(Оплаты!$E$200="ок",COUNTIFS(Акты!$B$5:$B$16,Оплаты!$D$200,Акты!$H$5:$H$16,"ок")&gt;0,COUNTIFS(Оплаты!$D$6:$D$199,Оплаты!$D$200,Оплаты!$A$6:$A$199,Оплаты!$A$200)=0),Оплаты!$D$200,"")</f>
        <v/>
      </c>
      <c r="B208">
        <f>IF(A208="","",MATCH(A208,Акты!$B$5:$B$16,0))</f>
        <v/>
      </c>
      <c r="C208" s="20">
        <f>IF(A208="","",Оплаты!$A$200+1)</f>
        <v/>
      </c>
      <c r="D208" s="20">
        <f>IF(A208="","",MIN(Ввод!$B$4,Ввод!$B$4+1-SUMPRODUCT(MAX((Оплаты!$D$6:$D$505=A208)*(Оплаты!$A$6:$A$505&gt;Оплаты!$A$200)*(Ввод!$B$4+1-Оплаты!$A$6:$A$505)))))</f>
        <v/>
      </c>
      <c r="E208" s="14">
        <f>IF(A208="","",INDEX(Акты!$D$5:$D$16,B208)-SUMIFS(Оплаты!$B$6:$B$505,Оплаты!$D$6:$D$505,A208,Оплаты!$A$6:$A$505,"&lt;="&amp;Оплаты!$A$200))</f>
        <v/>
      </c>
      <c r="F208" s="14">
        <f>IF(G208="","",SUMPRODUCT(ROUND(E208*'По дням'!$L$6:$L$155/100*((((D208+'По дням'!$K$6:$K$155-ABS(D208-'По дням'!$K$6:$K$155))-(C208+'По дням'!$J$6:$J$155+ABS(C208-'По дням'!$J$6:$J$155)))/2+1)&gt;0)*(((D208+'По дням'!$K$6:$K$155-ABS(D208-'По дням'!$K$6:$K$155))-(C208+'По дням'!$J$6:$J$155+ABS(C208-'По дням'!$J$6:$J$155)))/2+1)/'По дням'!$M$6:$M$155,2)*(1-'По дням'!$N$6:$N$155)))</f>
        <v/>
      </c>
      <c r="G208">
        <f>IF(A208="","",IF(C208&gt;D208,"",B208*1000000+C208))</f>
        <v/>
      </c>
      <c r="H208" s="14">
        <f>IF(G208="","",SUMIFS(Оплаты!$B$6:$B$505,Оплаты!$D$6:$D$505,A208,Оплаты!$A$6:$A$505,D208))</f>
        <v/>
      </c>
      <c r="I208">
        <f>IF(G208="","",SUMPRODUCT((((((D208+'По дням'!$K$6:$K$155-ABS(D208-'По дням'!$K$6:$K$155))-(C208+'По дням'!$J$6:$J$155+ABS(C208-'По дням'!$J$6:$J$155)))/2+1)&gt;0)*(((D208+'По дням'!$K$6:$K$155-ABS(D208-'По дням'!$K$6:$K$155))-(C208+'По дням'!$J$6:$J$155+ABS(C208-'По дням'!$J$6:$J$155)))/2+1)&gt;0)*1))</f>
        <v/>
      </c>
    </row>
    <row r="209">
      <c r="A209">
        <f>IF(AND(Оплаты!$E$201="ок",COUNTIFS(Акты!$B$5:$B$16,Оплаты!$D$201,Акты!$H$5:$H$16,"ок")&gt;0,COUNTIFS(Оплаты!$D$6:$D$200,Оплаты!$D$201,Оплаты!$A$6:$A$200,Оплаты!$A$201)=0),Оплаты!$D$201,"")</f>
        <v/>
      </c>
      <c r="B209">
        <f>IF(A209="","",MATCH(A209,Акты!$B$5:$B$16,0))</f>
        <v/>
      </c>
      <c r="C209" s="20">
        <f>IF(A209="","",Оплаты!$A$201+1)</f>
        <v/>
      </c>
      <c r="D209" s="20">
        <f>IF(A209="","",MIN(Ввод!$B$4,Ввод!$B$4+1-SUMPRODUCT(MAX((Оплаты!$D$6:$D$505=A209)*(Оплаты!$A$6:$A$505&gt;Оплаты!$A$201)*(Ввод!$B$4+1-Оплаты!$A$6:$A$505)))))</f>
        <v/>
      </c>
      <c r="E209" s="14">
        <f>IF(A209="","",INDEX(Акты!$D$5:$D$16,B209)-SUMIFS(Оплаты!$B$6:$B$505,Оплаты!$D$6:$D$505,A209,Оплаты!$A$6:$A$505,"&lt;="&amp;Оплаты!$A$201))</f>
        <v/>
      </c>
      <c r="F209" s="14">
        <f>IF(G209="","",SUMPRODUCT(ROUND(E209*'По дням'!$L$6:$L$155/100*((((D209+'По дням'!$K$6:$K$155-ABS(D209-'По дням'!$K$6:$K$155))-(C209+'По дням'!$J$6:$J$155+ABS(C209-'По дням'!$J$6:$J$155)))/2+1)&gt;0)*(((D209+'По дням'!$K$6:$K$155-ABS(D209-'По дням'!$K$6:$K$155))-(C209+'По дням'!$J$6:$J$155+ABS(C209-'По дням'!$J$6:$J$155)))/2+1)/'По дням'!$M$6:$M$155,2)*(1-'По дням'!$N$6:$N$155)))</f>
        <v/>
      </c>
      <c r="G209">
        <f>IF(A209="","",IF(C209&gt;D209,"",B209*1000000+C209))</f>
        <v/>
      </c>
      <c r="H209" s="14">
        <f>IF(G209="","",SUMIFS(Оплаты!$B$6:$B$505,Оплаты!$D$6:$D$505,A209,Оплаты!$A$6:$A$505,D209))</f>
        <v/>
      </c>
      <c r="I209">
        <f>IF(G209="","",SUMPRODUCT((((((D209+'По дням'!$K$6:$K$155-ABS(D209-'По дням'!$K$6:$K$155))-(C209+'По дням'!$J$6:$J$155+ABS(C209-'По дням'!$J$6:$J$155)))/2+1)&gt;0)*(((D209+'По дням'!$K$6:$K$155-ABS(D209-'По дням'!$K$6:$K$155))-(C209+'По дням'!$J$6:$J$155+ABS(C209-'По дням'!$J$6:$J$155)))/2+1)&gt;0)*1))</f>
        <v/>
      </c>
    </row>
    <row r="210">
      <c r="A210">
        <f>IF(AND(Оплаты!$E$202="ок",COUNTIFS(Акты!$B$5:$B$16,Оплаты!$D$202,Акты!$H$5:$H$16,"ок")&gt;0,COUNTIFS(Оплаты!$D$6:$D$201,Оплаты!$D$202,Оплаты!$A$6:$A$201,Оплаты!$A$202)=0),Оплаты!$D$202,"")</f>
        <v/>
      </c>
      <c r="B210">
        <f>IF(A210="","",MATCH(A210,Акты!$B$5:$B$16,0))</f>
        <v/>
      </c>
      <c r="C210" s="20">
        <f>IF(A210="","",Оплаты!$A$202+1)</f>
        <v/>
      </c>
      <c r="D210" s="20">
        <f>IF(A210="","",MIN(Ввод!$B$4,Ввод!$B$4+1-SUMPRODUCT(MAX((Оплаты!$D$6:$D$505=A210)*(Оплаты!$A$6:$A$505&gt;Оплаты!$A$202)*(Ввод!$B$4+1-Оплаты!$A$6:$A$505)))))</f>
        <v/>
      </c>
      <c r="E210" s="14">
        <f>IF(A210="","",INDEX(Акты!$D$5:$D$16,B210)-SUMIFS(Оплаты!$B$6:$B$505,Оплаты!$D$6:$D$505,A210,Оплаты!$A$6:$A$505,"&lt;="&amp;Оплаты!$A$202))</f>
        <v/>
      </c>
      <c r="F210" s="14">
        <f>IF(G210="","",SUMPRODUCT(ROUND(E210*'По дням'!$L$6:$L$155/100*((((D210+'По дням'!$K$6:$K$155-ABS(D210-'По дням'!$K$6:$K$155))-(C210+'По дням'!$J$6:$J$155+ABS(C210-'По дням'!$J$6:$J$155)))/2+1)&gt;0)*(((D210+'По дням'!$K$6:$K$155-ABS(D210-'По дням'!$K$6:$K$155))-(C210+'По дням'!$J$6:$J$155+ABS(C210-'По дням'!$J$6:$J$155)))/2+1)/'По дням'!$M$6:$M$155,2)*(1-'По дням'!$N$6:$N$155)))</f>
        <v/>
      </c>
      <c r="G210">
        <f>IF(A210="","",IF(C210&gt;D210,"",B210*1000000+C210))</f>
        <v/>
      </c>
      <c r="H210" s="14">
        <f>IF(G210="","",SUMIFS(Оплаты!$B$6:$B$505,Оплаты!$D$6:$D$505,A210,Оплаты!$A$6:$A$505,D210))</f>
        <v/>
      </c>
      <c r="I210">
        <f>IF(G210="","",SUMPRODUCT((((((D210+'По дням'!$K$6:$K$155-ABS(D210-'По дням'!$K$6:$K$155))-(C210+'По дням'!$J$6:$J$155+ABS(C210-'По дням'!$J$6:$J$155)))/2+1)&gt;0)*(((D210+'По дням'!$K$6:$K$155-ABS(D210-'По дням'!$K$6:$K$155))-(C210+'По дням'!$J$6:$J$155+ABS(C210-'По дням'!$J$6:$J$155)))/2+1)&gt;0)*1))</f>
        <v/>
      </c>
    </row>
    <row r="211">
      <c r="A211">
        <f>IF(AND(Оплаты!$E$203="ок",COUNTIFS(Акты!$B$5:$B$16,Оплаты!$D$203,Акты!$H$5:$H$16,"ок")&gt;0,COUNTIFS(Оплаты!$D$6:$D$202,Оплаты!$D$203,Оплаты!$A$6:$A$202,Оплаты!$A$203)=0),Оплаты!$D$203,"")</f>
        <v/>
      </c>
      <c r="B211">
        <f>IF(A211="","",MATCH(A211,Акты!$B$5:$B$16,0))</f>
        <v/>
      </c>
      <c r="C211" s="20">
        <f>IF(A211="","",Оплаты!$A$203+1)</f>
        <v/>
      </c>
      <c r="D211" s="20">
        <f>IF(A211="","",MIN(Ввод!$B$4,Ввод!$B$4+1-SUMPRODUCT(MAX((Оплаты!$D$6:$D$505=A211)*(Оплаты!$A$6:$A$505&gt;Оплаты!$A$203)*(Ввод!$B$4+1-Оплаты!$A$6:$A$505)))))</f>
        <v/>
      </c>
      <c r="E211" s="14">
        <f>IF(A211="","",INDEX(Акты!$D$5:$D$16,B211)-SUMIFS(Оплаты!$B$6:$B$505,Оплаты!$D$6:$D$505,A211,Оплаты!$A$6:$A$505,"&lt;="&amp;Оплаты!$A$203))</f>
        <v/>
      </c>
      <c r="F211" s="14">
        <f>IF(G211="","",SUMPRODUCT(ROUND(E211*'По дням'!$L$6:$L$155/100*((((D211+'По дням'!$K$6:$K$155-ABS(D211-'По дням'!$K$6:$K$155))-(C211+'По дням'!$J$6:$J$155+ABS(C211-'По дням'!$J$6:$J$155)))/2+1)&gt;0)*(((D211+'По дням'!$K$6:$K$155-ABS(D211-'По дням'!$K$6:$K$155))-(C211+'По дням'!$J$6:$J$155+ABS(C211-'По дням'!$J$6:$J$155)))/2+1)/'По дням'!$M$6:$M$155,2)*(1-'По дням'!$N$6:$N$155)))</f>
        <v/>
      </c>
      <c r="G211">
        <f>IF(A211="","",IF(C211&gt;D211,"",B211*1000000+C211))</f>
        <v/>
      </c>
      <c r="H211" s="14">
        <f>IF(G211="","",SUMIFS(Оплаты!$B$6:$B$505,Оплаты!$D$6:$D$505,A211,Оплаты!$A$6:$A$505,D211))</f>
        <v/>
      </c>
      <c r="I211">
        <f>IF(G211="","",SUMPRODUCT((((((D211+'По дням'!$K$6:$K$155-ABS(D211-'По дням'!$K$6:$K$155))-(C211+'По дням'!$J$6:$J$155+ABS(C211-'По дням'!$J$6:$J$155)))/2+1)&gt;0)*(((D211+'По дням'!$K$6:$K$155-ABS(D211-'По дням'!$K$6:$K$155))-(C211+'По дням'!$J$6:$J$155+ABS(C211-'По дням'!$J$6:$J$155)))/2+1)&gt;0)*1))</f>
        <v/>
      </c>
    </row>
    <row r="212">
      <c r="A212">
        <f>IF(AND(Оплаты!$E$204="ок",COUNTIFS(Акты!$B$5:$B$16,Оплаты!$D$204,Акты!$H$5:$H$16,"ок")&gt;0,COUNTIFS(Оплаты!$D$6:$D$203,Оплаты!$D$204,Оплаты!$A$6:$A$203,Оплаты!$A$204)=0),Оплаты!$D$204,"")</f>
        <v/>
      </c>
      <c r="B212">
        <f>IF(A212="","",MATCH(A212,Акты!$B$5:$B$16,0))</f>
        <v/>
      </c>
      <c r="C212" s="20">
        <f>IF(A212="","",Оплаты!$A$204+1)</f>
        <v/>
      </c>
      <c r="D212" s="20">
        <f>IF(A212="","",MIN(Ввод!$B$4,Ввод!$B$4+1-SUMPRODUCT(MAX((Оплаты!$D$6:$D$505=A212)*(Оплаты!$A$6:$A$505&gt;Оплаты!$A$204)*(Ввод!$B$4+1-Оплаты!$A$6:$A$505)))))</f>
        <v/>
      </c>
      <c r="E212" s="14">
        <f>IF(A212="","",INDEX(Акты!$D$5:$D$16,B212)-SUMIFS(Оплаты!$B$6:$B$505,Оплаты!$D$6:$D$505,A212,Оплаты!$A$6:$A$505,"&lt;="&amp;Оплаты!$A$204))</f>
        <v/>
      </c>
      <c r="F212" s="14">
        <f>IF(G212="","",SUMPRODUCT(ROUND(E212*'По дням'!$L$6:$L$155/100*((((D212+'По дням'!$K$6:$K$155-ABS(D212-'По дням'!$K$6:$K$155))-(C212+'По дням'!$J$6:$J$155+ABS(C212-'По дням'!$J$6:$J$155)))/2+1)&gt;0)*(((D212+'По дням'!$K$6:$K$155-ABS(D212-'По дням'!$K$6:$K$155))-(C212+'По дням'!$J$6:$J$155+ABS(C212-'По дням'!$J$6:$J$155)))/2+1)/'По дням'!$M$6:$M$155,2)*(1-'По дням'!$N$6:$N$155)))</f>
        <v/>
      </c>
      <c r="G212">
        <f>IF(A212="","",IF(C212&gt;D212,"",B212*1000000+C212))</f>
        <v/>
      </c>
      <c r="H212" s="14">
        <f>IF(G212="","",SUMIFS(Оплаты!$B$6:$B$505,Оплаты!$D$6:$D$505,A212,Оплаты!$A$6:$A$505,D212))</f>
        <v/>
      </c>
      <c r="I212">
        <f>IF(G212="","",SUMPRODUCT((((((D212+'По дням'!$K$6:$K$155-ABS(D212-'По дням'!$K$6:$K$155))-(C212+'По дням'!$J$6:$J$155+ABS(C212-'По дням'!$J$6:$J$155)))/2+1)&gt;0)*(((D212+'По дням'!$K$6:$K$155-ABS(D212-'По дням'!$K$6:$K$155))-(C212+'По дням'!$J$6:$J$155+ABS(C212-'По дням'!$J$6:$J$155)))/2+1)&gt;0)*1))</f>
        <v/>
      </c>
    </row>
    <row r="213">
      <c r="A213">
        <f>IF(AND(Оплаты!$E$205="ок",COUNTIFS(Акты!$B$5:$B$16,Оплаты!$D$205,Акты!$H$5:$H$16,"ок")&gt;0,COUNTIFS(Оплаты!$D$6:$D$204,Оплаты!$D$205,Оплаты!$A$6:$A$204,Оплаты!$A$205)=0),Оплаты!$D$205,"")</f>
        <v/>
      </c>
      <c r="B213">
        <f>IF(A213="","",MATCH(A213,Акты!$B$5:$B$16,0))</f>
        <v/>
      </c>
      <c r="C213" s="20">
        <f>IF(A213="","",Оплаты!$A$205+1)</f>
        <v/>
      </c>
      <c r="D213" s="20">
        <f>IF(A213="","",MIN(Ввод!$B$4,Ввод!$B$4+1-SUMPRODUCT(MAX((Оплаты!$D$6:$D$505=A213)*(Оплаты!$A$6:$A$505&gt;Оплаты!$A$205)*(Ввод!$B$4+1-Оплаты!$A$6:$A$505)))))</f>
        <v/>
      </c>
      <c r="E213" s="14">
        <f>IF(A213="","",INDEX(Акты!$D$5:$D$16,B213)-SUMIFS(Оплаты!$B$6:$B$505,Оплаты!$D$6:$D$505,A213,Оплаты!$A$6:$A$505,"&lt;="&amp;Оплаты!$A$205))</f>
        <v/>
      </c>
      <c r="F213" s="14">
        <f>IF(G213="","",SUMPRODUCT(ROUND(E213*'По дням'!$L$6:$L$155/100*((((D213+'По дням'!$K$6:$K$155-ABS(D213-'По дням'!$K$6:$K$155))-(C213+'По дням'!$J$6:$J$155+ABS(C213-'По дням'!$J$6:$J$155)))/2+1)&gt;0)*(((D213+'По дням'!$K$6:$K$155-ABS(D213-'По дням'!$K$6:$K$155))-(C213+'По дням'!$J$6:$J$155+ABS(C213-'По дням'!$J$6:$J$155)))/2+1)/'По дням'!$M$6:$M$155,2)*(1-'По дням'!$N$6:$N$155)))</f>
        <v/>
      </c>
      <c r="G213">
        <f>IF(A213="","",IF(C213&gt;D213,"",B213*1000000+C213))</f>
        <v/>
      </c>
      <c r="H213" s="14">
        <f>IF(G213="","",SUMIFS(Оплаты!$B$6:$B$505,Оплаты!$D$6:$D$505,A213,Оплаты!$A$6:$A$505,D213))</f>
        <v/>
      </c>
      <c r="I213">
        <f>IF(G213="","",SUMPRODUCT((((((D213+'По дням'!$K$6:$K$155-ABS(D213-'По дням'!$K$6:$K$155))-(C213+'По дням'!$J$6:$J$155+ABS(C213-'По дням'!$J$6:$J$155)))/2+1)&gt;0)*(((D213+'По дням'!$K$6:$K$155-ABS(D213-'По дням'!$K$6:$K$155))-(C213+'По дням'!$J$6:$J$155+ABS(C213-'По дням'!$J$6:$J$155)))/2+1)&gt;0)*1))</f>
        <v/>
      </c>
    </row>
    <row r="214">
      <c r="A214">
        <f>IF(AND(Оплаты!$E$206="ок",COUNTIFS(Акты!$B$5:$B$16,Оплаты!$D$206,Акты!$H$5:$H$16,"ок")&gt;0,COUNTIFS(Оплаты!$D$6:$D$205,Оплаты!$D$206,Оплаты!$A$6:$A$205,Оплаты!$A$206)=0),Оплаты!$D$206,"")</f>
        <v/>
      </c>
      <c r="B214">
        <f>IF(A214="","",MATCH(A214,Акты!$B$5:$B$16,0))</f>
        <v/>
      </c>
      <c r="C214" s="20">
        <f>IF(A214="","",Оплаты!$A$206+1)</f>
        <v/>
      </c>
      <c r="D214" s="20">
        <f>IF(A214="","",MIN(Ввод!$B$4,Ввод!$B$4+1-SUMPRODUCT(MAX((Оплаты!$D$6:$D$505=A214)*(Оплаты!$A$6:$A$505&gt;Оплаты!$A$206)*(Ввод!$B$4+1-Оплаты!$A$6:$A$505)))))</f>
        <v/>
      </c>
      <c r="E214" s="14">
        <f>IF(A214="","",INDEX(Акты!$D$5:$D$16,B214)-SUMIFS(Оплаты!$B$6:$B$505,Оплаты!$D$6:$D$505,A214,Оплаты!$A$6:$A$505,"&lt;="&amp;Оплаты!$A$206))</f>
        <v/>
      </c>
      <c r="F214" s="14">
        <f>IF(G214="","",SUMPRODUCT(ROUND(E214*'По дням'!$L$6:$L$155/100*((((D214+'По дням'!$K$6:$K$155-ABS(D214-'По дням'!$K$6:$K$155))-(C214+'По дням'!$J$6:$J$155+ABS(C214-'По дням'!$J$6:$J$155)))/2+1)&gt;0)*(((D214+'По дням'!$K$6:$K$155-ABS(D214-'По дням'!$K$6:$K$155))-(C214+'По дням'!$J$6:$J$155+ABS(C214-'По дням'!$J$6:$J$155)))/2+1)/'По дням'!$M$6:$M$155,2)*(1-'По дням'!$N$6:$N$155)))</f>
        <v/>
      </c>
      <c r="G214">
        <f>IF(A214="","",IF(C214&gt;D214,"",B214*1000000+C214))</f>
        <v/>
      </c>
      <c r="H214" s="14">
        <f>IF(G214="","",SUMIFS(Оплаты!$B$6:$B$505,Оплаты!$D$6:$D$505,A214,Оплаты!$A$6:$A$505,D214))</f>
        <v/>
      </c>
      <c r="I214">
        <f>IF(G214="","",SUMPRODUCT((((((D214+'По дням'!$K$6:$K$155-ABS(D214-'По дням'!$K$6:$K$155))-(C214+'По дням'!$J$6:$J$155+ABS(C214-'По дням'!$J$6:$J$155)))/2+1)&gt;0)*(((D214+'По дням'!$K$6:$K$155-ABS(D214-'По дням'!$K$6:$K$155))-(C214+'По дням'!$J$6:$J$155+ABS(C214-'По дням'!$J$6:$J$155)))/2+1)&gt;0)*1))</f>
        <v/>
      </c>
    </row>
    <row r="215">
      <c r="A215">
        <f>IF(AND(Оплаты!$E$207="ок",COUNTIFS(Акты!$B$5:$B$16,Оплаты!$D$207,Акты!$H$5:$H$16,"ок")&gt;0,COUNTIFS(Оплаты!$D$6:$D$206,Оплаты!$D$207,Оплаты!$A$6:$A$206,Оплаты!$A$207)=0),Оплаты!$D$207,"")</f>
        <v/>
      </c>
      <c r="B215">
        <f>IF(A215="","",MATCH(A215,Акты!$B$5:$B$16,0))</f>
        <v/>
      </c>
      <c r="C215" s="20">
        <f>IF(A215="","",Оплаты!$A$207+1)</f>
        <v/>
      </c>
      <c r="D215" s="20">
        <f>IF(A215="","",MIN(Ввод!$B$4,Ввод!$B$4+1-SUMPRODUCT(MAX((Оплаты!$D$6:$D$505=A215)*(Оплаты!$A$6:$A$505&gt;Оплаты!$A$207)*(Ввод!$B$4+1-Оплаты!$A$6:$A$505)))))</f>
        <v/>
      </c>
      <c r="E215" s="14">
        <f>IF(A215="","",INDEX(Акты!$D$5:$D$16,B215)-SUMIFS(Оплаты!$B$6:$B$505,Оплаты!$D$6:$D$505,A215,Оплаты!$A$6:$A$505,"&lt;="&amp;Оплаты!$A$207))</f>
        <v/>
      </c>
      <c r="F215" s="14">
        <f>IF(G215="","",SUMPRODUCT(ROUND(E215*'По дням'!$L$6:$L$155/100*((((D215+'По дням'!$K$6:$K$155-ABS(D215-'По дням'!$K$6:$K$155))-(C215+'По дням'!$J$6:$J$155+ABS(C215-'По дням'!$J$6:$J$155)))/2+1)&gt;0)*(((D215+'По дням'!$K$6:$K$155-ABS(D215-'По дням'!$K$6:$K$155))-(C215+'По дням'!$J$6:$J$155+ABS(C215-'По дням'!$J$6:$J$155)))/2+1)/'По дням'!$M$6:$M$155,2)*(1-'По дням'!$N$6:$N$155)))</f>
        <v/>
      </c>
      <c r="G215">
        <f>IF(A215="","",IF(C215&gt;D215,"",B215*1000000+C215))</f>
        <v/>
      </c>
      <c r="H215" s="14">
        <f>IF(G215="","",SUMIFS(Оплаты!$B$6:$B$505,Оплаты!$D$6:$D$505,A215,Оплаты!$A$6:$A$505,D215))</f>
        <v/>
      </c>
      <c r="I215">
        <f>IF(G215="","",SUMPRODUCT((((((D215+'По дням'!$K$6:$K$155-ABS(D215-'По дням'!$K$6:$K$155))-(C215+'По дням'!$J$6:$J$155+ABS(C215-'По дням'!$J$6:$J$155)))/2+1)&gt;0)*(((D215+'По дням'!$K$6:$K$155-ABS(D215-'По дням'!$K$6:$K$155))-(C215+'По дням'!$J$6:$J$155+ABS(C215-'По дням'!$J$6:$J$155)))/2+1)&gt;0)*1))</f>
        <v/>
      </c>
    </row>
    <row r="216">
      <c r="A216">
        <f>IF(AND(Оплаты!$E$208="ок",COUNTIFS(Акты!$B$5:$B$16,Оплаты!$D$208,Акты!$H$5:$H$16,"ок")&gt;0,COUNTIFS(Оплаты!$D$6:$D$207,Оплаты!$D$208,Оплаты!$A$6:$A$207,Оплаты!$A$208)=0),Оплаты!$D$208,"")</f>
        <v/>
      </c>
      <c r="B216">
        <f>IF(A216="","",MATCH(A216,Акты!$B$5:$B$16,0))</f>
        <v/>
      </c>
      <c r="C216" s="20">
        <f>IF(A216="","",Оплаты!$A$208+1)</f>
        <v/>
      </c>
      <c r="D216" s="20">
        <f>IF(A216="","",MIN(Ввод!$B$4,Ввод!$B$4+1-SUMPRODUCT(MAX((Оплаты!$D$6:$D$505=A216)*(Оплаты!$A$6:$A$505&gt;Оплаты!$A$208)*(Ввод!$B$4+1-Оплаты!$A$6:$A$505)))))</f>
        <v/>
      </c>
      <c r="E216" s="14">
        <f>IF(A216="","",INDEX(Акты!$D$5:$D$16,B216)-SUMIFS(Оплаты!$B$6:$B$505,Оплаты!$D$6:$D$505,A216,Оплаты!$A$6:$A$505,"&lt;="&amp;Оплаты!$A$208))</f>
        <v/>
      </c>
      <c r="F216" s="14">
        <f>IF(G216="","",SUMPRODUCT(ROUND(E216*'По дням'!$L$6:$L$155/100*((((D216+'По дням'!$K$6:$K$155-ABS(D216-'По дням'!$K$6:$K$155))-(C216+'По дням'!$J$6:$J$155+ABS(C216-'По дням'!$J$6:$J$155)))/2+1)&gt;0)*(((D216+'По дням'!$K$6:$K$155-ABS(D216-'По дням'!$K$6:$K$155))-(C216+'По дням'!$J$6:$J$155+ABS(C216-'По дням'!$J$6:$J$155)))/2+1)/'По дням'!$M$6:$M$155,2)*(1-'По дням'!$N$6:$N$155)))</f>
        <v/>
      </c>
      <c r="G216">
        <f>IF(A216="","",IF(C216&gt;D216,"",B216*1000000+C216))</f>
        <v/>
      </c>
      <c r="H216" s="14">
        <f>IF(G216="","",SUMIFS(Оплаты!$B$6:$B$505,Оплаты!$D$6:$D$505,A216,Оплаты!$A$6:$A$505,D216))</f>
        <v/>
      </c>
      <c r="I216">
        <f>IF(G216="","",SUMPRODUCT((((((D216+'По дням'!$K$6:$K$155-ABS(D216-'По дням'!$K$6:$K$155))-(C216+'По дням'!$J$6:$J$155+ABS(C216-'По дням'!$J$6:$J$155)))/2+1)&gt;0)*(((D216+'По дням'!$K$6:$K$155-ABS(D216-'По дням'!$K$6:$K$155))-(C216+'По дням'!$J$6:$J$155+ABS(C216-'По дням'!$J$6:$J$155)))/2+1)&gt;0)*1))</f>
        <v/>
      </c>
    </row>
    <row r="217">
      <c r="A217">
        <f>IF(AND(Оплаты!$E$209="ок",COUNTIFS(Акты!$B$5:$B$16,Оплаты!$D$209,Акты!$H$5:$H$16,"ок")&gt;0,COUNTIFS(Оплаты!$D$6:$D$208,Оплаты!$D$209,Оплаты!$A$6:$A$208,Оплаты!$A$209)=0),Оплаты!$D$209,"")</f>
        <v/>
      </c>
      <c r="B217">
        <f>IF(A217="","",MATCH(A217,Акты!$B$5:$B$16,0))</f>
        <v/>
      </c>
      <c r="C217" s="20">
        <f>IF(A217="","",Оплаты!$A$209+1)</f>
        <v/>
      </c>
      <c r="D217" s="20">
        <f>IF(A217="","",MIN(Ввод!$B$4,Ввод!$B$4+1-SUMPRODUCT(MAX((Оплаты!$D$6:$D$505=A217)*(Оплаты!$A$6:$A$505&gt;Оплаты!$A$209)*(Ввод!$B$4+1-Оплаты!$A$6:$A$505)))))</f>
        <v/>
      </c>
      <c r="E217" s="14">
        <f>IF(A217="","",INDEX(Акты!$D$5:$D$16,B217)-SUMIFS(Оплаты!$B$6:$B$505,Оплаты!$D$6:$D$505,A217,Оплаты!$A$6:$A$505,"&lt;="&amp;Оплаты!$A$209))</f>
        <v/>
      </c>
      <c r="F217" s="14">
        <f>IF(G217="","",SUMPRODUCT(ROUND(E217*'По дням'!$L$6:$L$155/100*((((D217+'По дням'!$K$6:$K$155-ABS(D217-'По дням'!$K$6:$K$155))-(C217+'По дням'!$J$6:$J$155+ABS(C217-'По дням'!$J$6:$J$155)))/2+1)&gt;0)*(((D217+'По дням'!$K$6:$K$155-ABS(D217-'По дням'!$K$6:$K$155))-(C217+'По дням'!$J$6:$J$155+ABS(C217-'По дням'!$J$6:$J$155)))/2+1)/'По дням'!$M$6:$M$155,2)*(1-'По дням'!$N$6:$N$155)))</f>
        <v/>
      </c>
      <c r="G217">
        <f>IF(A217="","",IF(C217&gt;D217,"",B217*1000000+C217))</f>
        <v/>
      </c>
      <c r="H217" s="14">
        <f>IF(G217="","",SUMIFS(Оплаты!$B$6:$B$505,Оплаты!$D$6:$D$505,A217,Оплаты!$A$6:$A$505,D217))</f>
        <v/>
      </c>
      <c r="I217">
        <f>IF(G217="","",SUMPRODUCT((((((D217+'По дням'!$K$6:$K$155-ABS(D217-'По дням'!$K$6:$K$155))-(C217+'По дням'!$J$6:$J$155+ABS(C217-'По дням'!$J$6:$J$155)))/2+1)&gt;0)*(((D217+'По дням'!$K$6:$K$155-ABS(D217-'По дням'!$K$6:$K$155))-(C217+'По дням'!$J$6:$J$155+ABS(C217-'По дням'!$J$6:$J$155)))/2+1)&gt;0)*1))</f>
        <v/>
      </c>
    </row>
    <row r="218">
      <c r="A218">
        <f>IF(AND(Оплаты!$E$210="ок",COUNTIFS(Акты!$B$5:$B$16,Оплаты!$D$210,Акты!$H$5:$H$16,"ок")&gt;0,COUNTIFS(Оплаты!$D$6:$D$209,Оплаты!$D$210,Оплаты!$A$6:$A$209,Оплаты!$A$210)=0),Оплаты!$D$210,"")</f>
        <v/>
      </c>
      <c r="B218">
        <f>IF(A218="","",MATCH(A218,Акты!$B$5:$B$16,0))</f>
        <v/>
      </c>
      <c r="C218" s="20">
        <f>IF(A218="","",Оплаты!$A$210+1)</f>
        <v/>
      </c>
      <c r="D218" s="20">
        <f>IF(A218="","",MIN(Ввод!$B$4,Ввод!$B$4+1-SUMPRODUCT(MAX((Оплаты!$D$6:$D$505=A218)*(Оплаты!$A$6:$A$505&gt;Оплаты!$A$210)*(Ввод!$B$4+1-Оплаты!$A$6:$A$505)))))</f>
        <v/>
      </c>
      <c r="E218" s="14">
        <f>IF(A218="","",INDEX(Акты!$D$5:$D$16,B218)-SUMIFS(Оплаты!$B$6:$B$505,Оплаты!$D$6:$D$505,A218,Оплаты!$A$6:$A$505,"&lt;="&amp;Оплаты!$A$210))</f>
        <v/>
      </c>
      <c r="F218" s="14">
        <f>IF(G218="","",SUMPRODUCT(ROUND(E218*'По дням'!$L$6:$L$155/100*((((D218+'По дням'!$K$6:$K$155-ABS(D218-'По дням'!$K$6:$K$155))-(C218+'По дням'!$J$6:$J$155+ABS(C218-'По дням'!$J$6:$J$155)))/2+1)&gt;0)*(((D218+'По дням'!$K$6:$K$155-ABS(D218-'По дням'!$K$6:$K$155))-(C218+'По дням'!$J$6:$J$155+ABS(C218-'По дням'!$J$6:$J$155)))/2+1)/'По дням'!$M$6:$M$155,2)*(1-'По дням'!$N$6:$N$155)))</f>
        <v/>
      </c>
      <c r="G218">
        <f>IF(A218="","",IF(C218&gt;D218,"",B218*1000000+C218))</f>
        <v/>
      </c>
      <c r="H218" s="14">
        <f>IF(G218="","",SUMIFS(Оплаты!$B$6:$B$505,Оплаты!$D$6:$D$505,A218,Оплаты!$A$6:$A$505,D218))</f>
        <v/>
      </c>
      <c r="I218">
        <f>IF(G218="","",SUMPRODUCT((((((D218+'По дням'!$K$6:$K$155-ABS(D218-'По дням'!$K$6:$K$155))-(C218+'По дням'!$J$6:$J$155+ABS(C218-'По дням'!$J$6:$J$155)))/2+1)&gt;0)*(((D218+'По дням'!$K$6:$K$155-ABS(D218-'По дням'!$K$6:$K$155))-(C218+'По дням'!$J$6:$J$155+ABS(C218-'По дням'!$J$6:$J$155)))/2+1)&gt;0)*1))</f>
        <v/>
      </c>
    </row>
    <row r="219">
      <c r="A219">
        <f>IF(AND(Оплаты!$E$211="ок",COUNTIFS(Акты!$B$5:$B$16,Оплаты!$D$211,Акты!$H$5:$H$16,"ок")&gt;0,COUNTIFS(Оплаты!$D$6:$D$210,Оплаты!$D$211,Оплаты!$A$6:$A$210,Оплаты!$A$211)=0),Оплаты!$D$211,"")</f>
        <v/>
      </c>
      <c r="B219">
        <f>IF(A219="","",MATCH(A219,Акты!$B$5:$B$16,0))</f>
        <v/>
      </c>
      <c r="C219" s="20">
        <f>IF(A219="","",Оплаты!$A$211+1)</f>
        <v/>
      </c>
      <c r="D219" s="20">
        <f>IF(A219="","",MIN(Ввод!$B$4,Ввод!$B$4+1-SUMPRODUCT(MAX((Оплаты!$D$6:$D$505=A219)*(Оплаты!$A$6:$A$505&gt;Оплаты!$A$211)*(Ввод!$B$4+1-Оплаты!$A$6:$A$505)))))</f>
        <v/>
      </c>
      <c r="E219" s="14">
        <f>IF(A219="","",INDEX(Акты!$D$5:$D$16,B219)-SUMIFS(Оплаты!$B$6:$B$505,Оплаты!$D$6:$D$505,A219,Оплаты!$A$6:$A$505,"&lt;="&amp;Оплаты!$A$211))</f>
        <v/>
      </c>
      <c r="F219" s="14">
        <f>IF(G219="","",SUMPRODUCT(ROUND(E219*'По дням'!$L$6:$L$155/100*((((D219+'По дням'!$K$6:$K$155-ABS(D219-'По дням'!$K$6:$K$155))-(C219+'По дням'!$J$6:$J$155+ABS(C219-'По дням'!$J$6:$J$155)))/2+1)&gt;0)*(((D219+'По дням'!$K$6:$K$155-ABS(D219-'По дням'!$K$6:$K$155))-(C219+'По дням'!$J$6:$J$155+ABS(C219-'По дням'!$J$6:$J$155)))/2+1)/'По дням'!$M$6:$M$155,2)*(1-'По дням'!$N$6:$N$155)))</f>
        <v/>
      </c>
      <c r="G219">
        <f>IF(A219="","",IF(C219&gt;D219,"",B219*1000000+C219))</f>
        <v/>
      </c>
      <c r="H219" s="14">
        <f>IF(G219="","",SUMIFS(Оплаты!$B$6:$B$505,Оплаты!$D$6:$D$505,A219,Оплаты!$A$6:$A$505,D219))</f>
        <v/>
      </c>
      <c r="I219">
        <f>IF(G219="","",SUMPRODUCT((((((D219+'По дням'!$K$6:$K$155-ABS(D219-'По дням'!$K$6:$K$155))-(C219+'По дням'!$J$6:$J$155+ABS(C219-'По дням'!$J$6:$J$155)))/2+1)&gt;0)*(((D219+'По дням'!$K$6:$K$155-ABS(D219-'По дням'!$K$6:$K$155))-(C219+'По дням'!$J$6:$J$155+ABS(C219-'По дням'!$J$6:$J$155)))/2+1)&gt;0)*1))</f>
        <v/>
      </c>
    </row>
    <row r="220">
      <c r="A220">
        <f>IF(AND(Оплаты!$E$212="ок",COUNTIFS(Акты!$B$5:$B$16,Оплаты!$D$212,Акты!$H$5:$H$16,"ок")&gt;0,COUNTIFS(Оплаты!$D$6:$D$211,Оплаты!$D$212,Оплаты!$A$6:$A$211,Оплаты!$A$212)=0),Оплаты!$D$212,"")</f>
        <v/>
      </c>
      <c r="B220">
        <f>IF(A220="","",MATCH(A220,Акты!$B$5:$B$16,0))</f>
        <v/>
      </c>
      <c r="C220" s="20">
        <f>IF(A220="","",Оплаты!$A$212+1)</f>
        <v/>
      </c>
      <c r="D220" s="20">
        <f>IF(A220="","",MIN(Ввод!$B$4,Ввод!$B$4+1-SUMPRODUCT(MAX((Оплаты!$D$6:$D$505=A220)*(Оплаты!$A$6:$A$505&gt;Оплаты!$A$212)*(Ввод!$B$4+1-Оплаты!$A$6:$A$505)))))</f>
        <v/>
      </c>
      <c r="E220" s="14">
        <f>IF(A220="","",INDEX(Акты!$D$5:$D$16,B220)-SUMIFS(Оплаты!$B$6:$B$505,Оплаты!$D$6:$D$505,A220,Оплаты!$A$6:$A$505,"&lt;="&amp;Оплаты!$A$212))</f>
        <v/>
      </c>
      <c r="F220" s="14">
        <f>IF(G220="","",SUMPRODUCT(ROUND(E220*'По дням'!$L$6:$L$155/100*((((D220+'По дням'!$K$6:$K$155-ABS(D220-'По дням'!$K$6:$K$155))-(C220+'По дням'!$J$6:$J$155+ABS(C220-'По дням'!$J$6:$J$155)))/2+1)&gt;0)*(((D220+'По дням'!$K$6:$K$155-ABS(D220-'По дням'!$K$6:$K$155))-(C220+'По дням'!$J$6:$J$155+ABS(C220-'По дням'!$J$6:$J$155)))/2+1)/'По дням'!$M$6:$M$155,2)*(1-'По дням'!$N$6:$N$155)))</f>
        <v/>
      </c>
      <c r="G220">
        <f>IF(A220="","",IF(C220&gt;D220,"",B220*1000000+C220))</f>
        <v/>
      </c>
      <c r="H220" s="14">
        <f>IF(G220="","",SUMIFS(Оплаты!$B$6:$B$505,Оплаты!$D$6:$D$505,A220,Оплаты!$A$6:$A$505,D220))</f>
        <v/>
      </c>
      <c r="I220">
        <f>IF(G220="","",SUMPRODUCT((((((D220+'По дням'!$K$6:$K$155-ABS(D220-'По дням'!$K$6:$K$155))-(C220+'По дням'!$J$6:$J$155+ABS(C220-'По дням'!$J$6:$J$155)))/2+1)&gt;0)*(((D220+'По дням'!$K$6:$K$155-ABS(D220-'По дням'!$K$6:$K$155))-(C220+'По дням'!$J$6:$J$155+ABS(C220-'По дням'!$J$6:$J$155)))/2+1)&gt;0)*1))</f>
        <v/>
      </c>
    </row>
    <row r="221">
      <c r="A221">
        <f>IF(AND(Оплаты!$E$213="ок",COUNTIFS(Акты!$B$5:$B$16,Оплаты!$D$213,Акты!$H$5:$H$16,"ок")&gt;0,COUNTIFS(Оплаты!$D$6:$D$212,Оплаты!$D$213,Оплаты!$A$6:$A$212,Оплаты!$A$213)=0),Оплаты!$D$213,"")</f>
        <v/>
      </c>
      <c r="B221">
        <f>IF(A221="","",MATCH(A221,Акты!$B$5:$B$16,0))</f>
        <v/>
      </c>
      <c r="C221" s="20">
        <f>IF(A221="","",Оплаты!$A$213+1)</f>
        <v/>
      </c>
      <c r="D221" s="20">
        <f>IF(A221="","",MIN(Ввод!$B$4,Ввод!$B$4+1-SUMPRODUCT(MAX((Оплаты!$D$6:$D$505=A221)*(Оплаты!$A$6:$A$505&gt;Оплаты!$A$213)*(Ввод!$B$4+1-Оплаты!$A$6:$A$505)))))</f>
        <v/>
      </c>
      <c r="E221" s="14">
        <f>IF(A221="","",INDEX(Акты!$D$5:$D$16,B221)-SUMIFS(Оплаты!$B$6:$B$505,Оплаты!$D$6:$D$505,A221,Оплаты!$A$6:$A$505,"&lt;="&amp;Оплаты!$A$213))</f>
        <v/>
      </c>
      <c r="F221" s="14">
        <f>IF(G221="","",SUMPRODUCT(ROUND(E221*'По дням'!$L$6:$L$155/100*((((D221+'По дням'!$K$6:$K$155-ABS(D221-'По дням'!$K$6:$K$155))-(C221+'По дням'!$J$6:$J$155+ABS(C221-'По дням'!$J$6:$J$155)))/2+1)&gt;0)*(((D221+'По дням'!$K$6:$K$155-ABS(D221-'По дням'!$K$6:$K$155))-(C221+'По дням'!$J$6:$J$155+ABS(C221-'По дням'!$J$6:$J$155)))/2+1)/'По дням'!$M$6:$M$155,2)*(1-'По дням'!$N$6:$N$155)))</f>
        <v/>
      </c>
      <c r="G221">
        <f>IF(A221="","",IF(C221&gt;D221,"",B221*1000000+C221))</f>
        <v/>
      </c>
      <c r="H221" s="14">
        <f>IF(G221="","",SUMIFS(Оплаты!$B$6:$B$505,Оплаты!$D$6:$D$505,A221,Оплаты!$A$6:$A$505,D221))</f>
        <v/>
      </c>
      <c r="I221">
        <f>IF(G221="","",SUMPRODUCT((((((D221+'По дням'!$K$6:$K$155-ABS(D221-'По дням'!$K$6:$K$155))-(C221+'По дням'!$J$6:$J$155+ABS(C221-'По дням'!$J$6:$J$155)))/2+1)&gt;0)*(((D221+'По дням'!$K$6:$K$155-ABS(D221-'По дням'!$K$6:$K$155))-(C221+'По дням'!$J$6:$J$155+ABS(C221-'По дням'!$J$6:$J$155)))/2+1)&gt;0)*1))</f>
        <v/>
      </c>
    </row>
    <row r="222">
      <c r="A222">
        <f>IF(AND(Оплаты!$E$214="ок",COUNTIFS(Акты!$B$5:$B$16,Оплаты!$D$214,Акты!$H$5:$H$16,"ок")&gt;0,COUNTIFS(Оплаты!$D$6:$D$213,Оплаты!$D$214,Оплаты!$A$6:$A$213,Оплаты!$A$214)=0),Оплаты!$D$214,"")</f>
        <v/>
      </c>
      <c r="B222">
        <f>IF(A222="","",MATCH(A222,Акты!$B$5:$B$16,0))</f>
        <v/>
      </c>
      <c r="C222" s="20">
        <f>IF(A222="","",Оплаты!$A$214+1)</f>
        <v/>
      </c>
      <c r="D222" s="20">
        <f>IF(A222="","",MIN(Ввод!$B$4,Ввод!$B$4+1-SUMPRODUCT(MAX((Оплаты!$D$6:$D$505=A222)*(Оплаты!$A$6:$A$505&gt;Оплаты!$A$214)*(Ввод!$B$4+1-Оплаты!$A$6:$A$505)))))</f>
        <v/>
      </c>
      <c r="E222" s="14">
        <f>IF(A222="","",INDEX(Акты!$D$5:$D$16,B222)-SUMIFS(Оплаты!$B$6:$B$505,Оплаты!$D$6:$D$505,A222,Оплаты!$A$6:$A$505,"&lt;="&amp;Оплаты!$A$214))</f>
        <v/>
      </c>
      <c r="F222" s="14">
        <f>IF(G222="","",SUMPRODUCT(ROUND(E222*'По дням'!$L$6:$L$155/100*((((D222+'По дням'!$K$6:$K$155-ABS(D222-'По дням'!$K$6:$K$155))-(C222+'По дням'!$J$6:$J$155+ABS(C222-'По дням'!$J$6:$J$155)))/2+1)&gt;0)*(((D222+'По дням'!$K$6:$K$155-ABS(D222-'По дням'!$K$6:$K$155))-(C222+'По дням'!$J$6:$J$155+ABS(C222-'По дням'!$J$6:$J$155)))/2+1)/'По дням'!$M$6:$M$155,2)*(1-'По дням'!$N$6:$N$155)))</f>
        <v/>
      </c>
      <c r="G222">
        <f>IF(A222="","",IF(C222&gt;D222,"",B222*1000000+C222))</f>
        <v/>
      </c>
      <c r="H222" s="14">
        <f>IF(G222="","",SUMIFS(Оплаты!$B$6:$B$505,Оплаты!$D$6:$D$505,A222,Оплаты!$A$6:$A$505,D222))</f>
        <v/>
      </c>
      <c r="I222">
        <f>IF(G222="","",SUMPRODUCT((((((D222+'По дням'!$K$6:$K$155-ABS(D222-'По дням'!$K$6:$K$155))-(C222+'По дням'!$J$6:$J$155+ABS(C222-'По дням'!$J$6:$J$155)))/2+1)&gt;0)*(((D222+'По дням'!$K$6:$K$155-ABS(D222-'По дням'!$K$6:$K$155))-(C222+'По дням'!$J$6:$J$155+ABS(C222-'По дням'!$J$6:$J$155)))/2+1)&gt;0)*1))</f>
        <v/>
      </c>
    </row>
    <row r="223">
      <c r="A223">
        <f>IF(AND(Оплаты!$E$215="ок",COUNTIFS(Акты!$B$5:$B$16,Оплаты!$D$215,Акты!$H$5:$H$16,"ок")&gt;0,COUNTIFS(Оплаты!$D$6:$D$214,Оплаты!$D$215,Оплаты!$A$6:$A$214,Оплаты!$A$215)=0),Оплаты!$D$215,"")</f>
        <v/>
      </c>
      <c r="B223">
        <f>IF(A223="","",MATCH(A223,Акты!$B$5:$B$16,0))</f>
        <v/>
      </c>
      <c r="C223" s="20">
        <f>IF(A223="","",Оплаты!$A$215+1)</f>
        <v/>
      </c>
      <c r="D223" s="20">
        <f>IF(A223="","",MIN(Ввод!$B$4,Ввод!$B$4+1-SUMPRODUCT(MAX((Оплаты!$D$6:$D$505=A223)*(Оплаты!$A$6:$A$505&gt;Оплаты!$A$215)*(Ввод!$B$4+1-Оплаты!$A$6:$A$505)))))</f>
        <v/>
      </c>
      <c r="E223" s="14">
        <f>IF(A223="","",INDEX(Акты!$D$5:$D$16,B223)-SUMIFS(Оплаты!$B$6:$B$505,Оплаты!$D$6:$D$505,A223,Оплаты!$A$6:$A$505,"&lt;="&amp;Оплаты!$A$215))</f>
        <v/>
      </c>
      <c r="F223" s="14">
        <f>IF(G223="","",SUMPRODUCT(ROUND(E223*'По дням'!$L$6:$L$155/100*((((D223+'По дням'!$K$6:$K$155-ABS(D223-'По дням'!$K$6:$K$155))-(C223+'По дням'!$J$6:$J$155+ABS(C223-'По дням'!$J$6:$J$155)))/2+1)&gt;0)*(((D223+'По дням'!$K$6:$K$155-ABS(D223-'По дням'!$K$6:$K$155))-(C223+'По дням'!$J$6:$J$155+ABS(C223-'По дням'!$J$6:$J$155)))/2+1)/'По дням'!$M$6:$M$155,2)*(1-'По дням'!$N$6:$N$155)))</f>
        <v/>
      </c>
      <c r="G223">
        <f>IF(A223="","",IF(C223&gt;D223,"",B223*1000000+C223))</f>
        <v/>
      </c>
      <c r="H223" s="14">
        <f>IF(G223="","",SUMIFS(Оплаты!$B$6:$B$505,Оплаты!$D$6:$D$505,A223,Оплаты!$A$6:$A$505,D223))</f>
        <v/>
      </c>
      <c r="I223">
        <f>IF(G223="","",SUMPRODUCT((((((D223+'По дням'!$K$6:$K$155-ABS(D223-'По дням'!$K$6:$K$155))-(C223+'По дням'!$J$6:$J$155+ABS(C223-'По дням'!$J$6:$J$155)))/2+1)&gt;0)*(((D223+'По дням'!$K$6:$K$155-ABS(D223-'По дням'!$K$6:$K$155))-(C223+'По дням'!$J$6:$J$155+ABS(C223-'По дням'!$J$6:$J$155)))/2+1)&gt;0)*1))</f>
        <v/>
      </c>
    </row>
    <row r="224">
      <c r="A224">
        <f>IF(AND(Оплаты!$E$216="ок",COUNTIFS(Акты!$B$5:$B$16,Оплаты!$D$216,Акты!$H$5:$H$16,"ок")&gt;0,COUNTIFS(Оплаты!$D$6:$D$215,Оплаты!$D$216,Оплаты!$A$6:$A$215,Оплаты!$A$216)=0),Оплаты!$D$216,"")</f>
        <v/>
      </c>
      <c r="B224">
        <f>IF(A224="","",MATCH(A224,Акты!$B$5:$B$16,0))</f>
        <v/>
      </c>
      <c r="C224" s="20">
        <f>IF(A224="","",Оплаты!$A$216+1)</f>
        <v/>
      </c>
      <c r="D224" s="20">
        <f>IF(A224="","",MIN(Ввод!$B$4,Ввод!$B$4+1-SUMPRODUCT(MAX((Оплаты!$D$6:$D$505=A224)*(Оплаты!$A$6:$A$505&gt;Оплаты!$A$216)*(Ввод!$B$4+1-Оплаты!$A$6:$A$505)))))</f>
        <v/>
      </c>
      <c r="E224" s="14">
        <f>IF(A224="","",INDEX(Акты!$D$5:$D$16,B224)-SUMIFS(Оплаты!$B$6:$B$505,Оплаты!$D$6:$D$505,A224,Оплаты!$A$6:$A$505,"&lt;="&amp;Оплаты!$A$216))</f>
        <v/>
      </c>
      <c r="F224" s="14">
        <f>IF(G224="","",SUMPRODUCT(ROUND(E224*'По дням'!$L$6:$L$155/100*((((D224+'По дням'!$K$6:$K$155-ABS(D224-'По дням'!$K$6:$K$155))-(C224+'По дням'!$J$6:$J$155+ABS(C224-'По дням'!$J$6:$J$155)))/2+1)&gt;0)*(((D224+'По дням'!$K$6:$K$155-ABS(D224-'По дням'!$K$6:$K$155))-(C224+'По дням'!$J$6:$J$155+ABS(C224-'По дням'!$J$6:$J$155)))/2+1)/'По дням'!$M$6:$M$155,2)*(1-'По дням'!$N$6:$N$155)))</f>
        <v/>
      </c>
      <c r="G224">
        <f>IF(A224="","",IF(C224&gt;D224,"",B224*1000000+C224))</f>
        <v/>
      </c>
      <c r="H224" s="14">
        <f>IF(G224="","",SUMIFS(Оплаты!$B$6:$B$505,Оплаты!$D$6:$D$505,A224,Оплаты!$A$6:$A$505,D224))</f>
        <v/>
      </c>
      <c r="I224">
        <f>IF(G224="","",SUMPRODUCT((((((D224+'По дням'!$K$6:$K$155-ABS(D224-'По дням'!$K$6:$K$155))-(C224+'По дням'!$J$6:$J$155+ABS(C224-'По дням'!$J$6:$J$155)))/2+1)&gt;0)*(((D224+'По дням'!$K$6:$K$155-ABS(D224-'По дням'!$K$6:$K$155))-(C224+'По дням'!$J$6:$J$155+ABS(C224-'По дням'!$J$6:$J$155)))/2+1)&gt;0)*1))</f>
        <v/>
      </c>
    </row>
    <row r="225">
      <c r="A225">
        <f>IF(AND(Оплаты!$E$217="ок",COUNTIFS(Акты!$B$5:$B$16,Оплаты!$D$217,Акты!$H$5:$H$16,"ок")&gt;0,COUNTIFS(Оплаты!$D$6:$D$216,Оплаты!$D$217,Оплаты!$A$6:$A$216,Оплаты!$A$217)=0),Оплаты!$D$217,"")</f>
        <v/>
      </c>
      <c r="B225">
        <f>IF(A225="","",MATCH(A225,Акты!$B$5:$B$16,0))</f>
        <v/>
      </c>
      <c r="C225" s="20">
        <f>IF(A225="","",Оплаты!$A$217+1)</f>
        <v/>
      </c>
      <c r="D225" s="20">
        <f>IF(A225="","",MIN(Ввод!$B$4,Ввод!$B$4+1-SUMPRODUCT(MAX((Оплаты!$D$6:$D$505=A225)*(Оплаты!$A$6:$A$505&gt;Оплаты!$A$217)*(Ввод!$B$4+1-Оплаты!$A$6:$A$505)))))</f>
        <v/>
      </c>
      <c r="E225" s="14">
        <f>IF(A225="","",INDEX(Акты!$D$5:$D$16,B225)-SUMIFS(Оплаты!$B$6:$B$505,Оплаты!$D$6:$D$505,A225,Оплаты!$A$6:$A$505,"&lt;="&amp;Оплаты!$A$217))</f>
        <v/>
      </c>
      <c r="F225" s="14">
        <f>IF(G225="","",SUMPRODUCT(ROUND(E225*'По дням'!$L$6:$L$155/100*((((D225+'По дням'!$K$6:$K$155-ABS(D225-'По дням'!$K$6:$K$155))-(C225+'По дням'!$J$6:$J$155+ABS(C225-'По дням'!$J$6:$J$155)))/2+1)&gt;0)*(((D225+'По дням'!$K$6:$K$155-ABS(D225-'По дням'!$K$6:$K$155))-(C225+'По дням'!$J$6:$J$155+ABS(C225-'По дням'!$J$6:$J$155)))/2+1)/'По дням'!$M$6:$M$155,2)*(1-'По дням'!$N$6:$N$155)))</f>
        <v/>
      </c>
      <c r="G225">
        <f>IF(A225="","",IF(C225&gt;D225,"",B225*1000000+C225))</f>
        <v/>
      </c>
      <c r="H225" s="14">
        <f>IF(G225="","",SUMIFS(Оплаты!$B$6:$B$505,Оплаты!$D$6:$D$505,A225,Оплаты!$A$6:$A$505,D225))</f>
        <v/>
      </c>
      <c r="I225">
        <f>IF(G225="","",SUMPRODUCT((((((D225+'По дням'!$K$6:$K$155-ABS(D225-'По дням'!$K$6:$K$155))-(C225+'По дням'!$J$6:$J$155+ABS(C225-'По дням'!$J$6:$J$155)))/2+1)&gt;0)*(((D225+'По дням'!$K$6:$K$155-ABS(D225-'По дням'!$K$6:$K$155))-(C225+'По дням'!$J$6:$J$155+ABS(C225-'По дням'!$J$6:$J$155)))/2+1)&gt;0)*1))</f>
        <v/>
      </c>
    </row>
    <row r="226">
      <c r="A226">
        <f>IF(AND(Оплаты!$E$218="ок",COUNTIFS(Акты!$B$5:$B$16,Оплаты!$D$218,Акты!$H$5:$H$16,"ок")&gt;0,COUNTIFS(Оплаты!$D$6:$D$217,Оплаты!$D$218,Оплаты!$A$6:$A$217,Оплаты!$A$218)=0),Оплаты!$D$218,"")</f>
        <v/>
      </c>
      <c r="B226">
        <f>IF(A226="","",MATCH(A226,Акты!$B$5:$B$16,0))</f>
        <v/>
      </c>
      <c r="C226" s="20">
        <f>IF(A226="","",Оплаты!$A$218+1)</f>
        <v/>
      </c>
      <c r="D226" s="20">
        <f>IF(A226="","",MIN(Ввод!$B$4,Ввод!$B$4+1-SUMPRODUCT(MAX((Оплаты!$D$6:$D$505=A226)*(Оплаты!$A$6:$A$505&gt;Оплаты!$A$218)*(Ввод!$B$4+1-Оплаты!$A$6:$A$505)))))</f>
        <v/>
      </c>
      <c r="E226" s="14">
        <f>IF(A226="","",INDEX(Акты!$D$5:$D$16,B226)-SUMIFS(Оплаты!$B$6:$B$505,Оплаты!$D$6:$D$505,A226,Оплаты!$A$6:$A$505,"&lt;="&amp;Оплаты!$A$218))</f>
        <v/>
      </c>
      <c r="F226" s="14">
        <f>IF(G226="","",SUMPRODUCT(ROUND(E226*'По дням'!$L$6:$L$155/100*((((D226+'По дням'!$K$6:$K$155-ABS(D226-'По дням'!$K$6:$K$155))-(C226+'По дням'!$J$6:$J$155+ABS(C226-'По дням'!$J$6:$J$155)))/2+1)&gt;0)*(((D226+'По дням'!$K$6:$K$155-ABS(D226-'По дням'!$K$6:$K$155))-(C226+'По дням'!$J$6:$J$155+ABS(C226-'По дням'!$J$6:$J$155)))/2+1)/'По дням'!$M$6:$M$155,2)*(1-'По дням'!$N$6:$N$155)))</f>
        <v/>
      </c>
      <c r="G226">
        <f>IF(A226="","",IF(C226&gt;D226,"",B226*1000000+C226))</f>
        <v/>
      </c>
      <c r="H226" s="14">
        <f>IF(G226="","",SUMIFS(Оплаты!$B$6:$B$505,Оплаты!$D$6:$D$505,A226,Оплаты!$A$6:$A$505,D226))</f>
        <v/>
      </c>
      <c r="I226">
        <f>IF(G226="","",SUMPRODUCT((((((D226+'По дням'!$K$6:$K$155-ABS(D226-'По дням'!$K$6:$K$155))-(C226+'По дням'!$J$6:$J$155+ABS(C226-'По дням'!$J$6:$J$155)))/2+1)&gt;0)*(((D226+'По дням'!$K$6:$K$155-ABS(D226-'По дням'!$K$6:$K$155))-(C226+'По дням'!$J$6:$J$155+ABS(C226-'По дням'!$J$6:$J$155)))/2+1)&gt;0)*1))</f>
        <v/>
      </c>
    </row>
    <row r="227">
      <c r="A227">
        <f>IF(AND(Оплаты!$E$219="ок",COUNTIFS(Акты!$B$5:$B$16,Оплаты!$D$219,Акты!$H$5:$H$16,"ок")&gt;0,COUNTIFS(Оплаты!$D$6:$D$218,Оплаты!$D$219,Оплаты!$A$6:$A$218,Оплаты!$A$219)=0),Оплаты!$D$219,"")</f>
        <v/>
      </c>
      <c r="B227">
        <f>IF(A227="","",MATCH(A227,Акты!$B$5:$B$16,0))</f>
        <v/>
      </c>
      <c r="C227" s="20">
        <f>IF(A227="","",Оплаты!$A$219+1)</f>
        <v/>
      </c>
      <c r="D227" s="20">
        <f>IF(A227="","",MIN(Ввод!$B$4,Ввод!$B$4+1-SUMPRODUCT(MAX((Оплаты!$D$6:$D$505=A227)*(Оплаты!$A$6:$A$505&gt;Оплаты!$A$219)*(Ввод!$B$4+1-Оплаты!$A$6:$A$505)))))</f>
        <v/>
      </c>
      <c r="E227" s="14">
        <f>IF(A227="","",INDEX(Акты!$D$5:$D$16,B227)-SUMIFS(Оплаты!$B$6:$B$505,Оплаты!$D$6:$D$505,A227,Оплаты!$A$6:$A$505,"&lt;="&amp;Оплаты!$A$219))</f>
        <v/>
      </c>
      <c r="F227" s="14">
        <f>IF(G227="","",SUMPRODUCT(ROUND(E227*'По дням'!$L$6:$L$155/100*((((D227+'По дням'!$K$6:$K$155-ABS(D227-'По дням'!$K$6:$K$155))-(C227+'По дням'!$J$6:$J$155+ABS(C227-'По дням'!$J$6:$J$155)))/2+1)&gt;0)*(((D227+'По дням'!$K$6:$K$155-ABS(D227-'По дням'!$K$6:$K$155))-(C227+'По дням'!$J$6:$J$155+ABS(C227-'По дням'!$J$6:$J$155)))/2+1)/'По дням'!$M$6:$M$155,2)*(1-'По дням'!$N$6:$N$155)))</f>
        <v/>
      </c>
      <c r="G227">
        <f>IF(A227="","",IF(C227&gt;D227,"",B227*1000000+C227))</f>
        <v/>
      </c>
      <c r="H227" s="14">
        <f>IF(G227="","",SUMIFS(Оплаты!$B$6:$B$505,Оплаты!$D$6:$D$505,A227,Оплаты!$A$6:$A$505,D227))</f>
        <v/>
      </c>
      <c r="I227">
        <f>IF(G227="","",SUMPRODUCT((((((D227+'По дням'!$K$6:$K$155-ABS(D227-'По дням'!$K$6:$K$155))-(C227+'По дням'!$J$6:$J$155+ABS(C227-'По дням'!$J$6:$J$155)))/2+1)&gt;0)*(((D227+'По дням'!$K$6:$K$155-ABS(D227-'По дням'!$K$6:$K$155))-(C227+'По дням'!$J$6:$J$155+ABS(C227-'По дням'!$J$6:$J$155)))/2+1)&gt;0)*1))</f>
        <v/>
      </c>
    </row>
    <row r="228">
      <c r="A228">
        <f>IF(AND(Оплаты!$E$220="ок",COUNTIFS(Акты!$B$5:$B$16,Оплаты!$D$220,Акты!$H$5:$H$16,"ок")&gt;0,COUNTIFS(Оплаты!$D$6:$D$219,Оплаты!$D$220,Оплаты!$A$6:$A$219,Оплаты!$A$220)=0),Оплаты!$D$220,"")</f>
        <v/>
      </c>
      <c r="B228">
        <f>IF(A228="","",MATCH(A228,Акты!$B$5:$B$16,0))</f>
        <v/>
      </c>
      <c r="C228" s="20">
        <f>IF(A228="","",Оплаты!$A$220+1)</f>
        <v/>
      </c>
      <c r="D228" s="20">
        <f>IF(A228="","",MIN(Ввод!$B$4,Ввод!$B$4+1-SUMPRODUCT(MAX((Оплаты!$D$6:$D$505=A228)*(Оплаты!$A$6:$A$505&gt;Оплаты!$A$220)*(Ввод!$B$4+1-Оплаты!$A$6:$A$505)))))</f>
        <v/>
      </c>
      <c r="E228" s="14">
        <f>IF(A228="","",INDEX(Акты!$D$5:$D$16,B228)-SUMIFS(Оплаты!$B$6:$B$505,Оплаты!$D$6:$D$505,A228,Оплаты!$A$6:$A$505,"&lt;="&amp;Оплаты!$A$220))</f>
        <v/>
      </c>
      <c r="F228" s="14">
        <f>IF(G228="","",SUMPRODUCT(ROUND(E228*'По дням'!$L$6:$L$155/100*((((D228+'По дням'!$K$6:$K$155-ABS(D228-'По дням'!$K$6:$K$155))-(C228+'По дням'!$J$6:$J$155+ABS(C228-'По дням'!$J$6:$J$155)))/2+1)&gt;0)*(((D228+'По дням'!$K$6:$K$155-ABS(D228-'По дням'!$K$6:$K$155))-(C228+'По дням'!$J$6:$J$155+ABS(C228-'По дням'!$J$6:$J$155)))/2+1)/'По дням'!$M$6:$M$155,2)*(1-'По дням'!$N$6:$N$155)))</f>
        <v/>
      </c>
      <c r="G228">
        <f>IF(A228="","",IF(C228&gt;D228,"",B228*1000000+C228))</f>
        <v/>
      </c>
      <c r="H228" s="14">
        <f>IF(G228="","",SUMIFS(Оплаты!$B$6:$B$505,Оплаты!$D$6:$D$505,A228,Оплаты!$A$6:$A$505,D228))</f>
        <v/>
      </c>
      <c r="I228">
        <f>IF(G228="","",SUMPRODUCT((((((D228+'По дням'!$K$6:$K$155-ABS(D228-'По дням'!$K$6:$K$155))-(C228+'По дням'!$J$6:$J$155+ABS(C228-'По дням'!$J$6:$J$155)))/2+1)&gt;0)*(((D228+'По дням'!$K$6:$K$155-ABS(D228-'По дням'!$K$6:$K$155))-(C228+'По дням'!$J$6:$J$155+ABS(C228-'По дням'!$J$6:$J$155)))/2+1)&gt;0)*1))</f>
        <v/>
      </c>
    </row>
    <row r="229">
      <c r="A229">
        <f>IF(AND(Оплаты!$E$221="ок",COUNTIFS(Акты!$B$5:$B$16,Оплаты!$D$221,Акты!$H$5:$H$16,"ок")&gt;0,COUNTIFS(Оплаты!$D$6:$D$220,Оплаты!$D$221,Оплаты!$A$6:$A$220,Оплаты!$A$221)=0),Оплаты!$D$221,"")</f>
        <v/>
      </c>
      <c r="B229">
        <f>IF(A229="","",MATCH(A229,Акты!$B$5:$B$16,0))</f>
        <v/>
      </c>
      <c r="C229" s="20">
        <f>IF(A229="","",Оплаты!$A$221+1)</f>
        <v/>
      </c>
      <c r="D229" s="20">
        <f>IF(A229="","",MIN(Ввод!$B$4,Ввод!$B$4+1-SUMPRODUCT(MAX((Оплаты!$D$6:$D$505=A229)*(Оплаты!$A$6:$A$505&gt;Оплаты!$A$221)*(Ввод!$B$4+1-Оплаты!$A$6:$A$505)))))</f>
        <v/>
      </c>
      <c r="E229" s="14">
        <f>IF(A229="","",INDEX(Акты!$D$5:$D$16,B229)-SUMIFS(Оплаты!$B$6:$B$505,Оплаты!$D$6:$D$505,A229,Оплаты!$A$6:$A$505,"&lt;="&amp;Оплаты!$A$221))</f>
        <v/>
      </c>
      <c r="F229" s="14">
        <f>IF(G229="","",SUMPRODUCT(ROUND(E229*'По дням'!$L$6:$L$155/100*((((D229+'По дням'!$K$6:$K$155-ABS(D229-'По дням'!$K$6:$K$155))-(C229+'По дням'!$J$6:$J$155+ABS(C229-'По дням'!$J$6:$J$155)))/2+1)&gt;0)*(((D229+'По дням'!$K$6:$K$155-ABS(D229-'По дням'!$K$6:$K$155))-(C229+'По дням'!$J$6:$J$155+ABS(C229-'По дням'!$J$6:$J$155)))/2+1)/'По дням'!$M$6:$M$155,2)*(1-'По дням'!$N$6:$N$155)))</f>
        <v/>
      </c>
      <c r="G229">
        <f>IF(A229="","",IF(C229&gt;D229,"",B229*1000000+C229))</f>
        <v/>
      </c>
      <c r="H229" s="14">
        <f>IF(G229="","",SUMIFS(Оплаты!$B$6:$B$505,Оплаты!$D$6:$D$505,A229,Оплаты!$A$6:$A$505,D229))</f>
        <v/>
      </c>
      <c r="I229">
        <f>IF(G229="","",SUMPRODUCT((((((D229+'По дням'!$K$6:$K$155-ABS(D229-'По дням'!$K$6:$K$155))-(C229+'По дням'!$J$6:$J$155+ABS(C229-'По дням'!$J$6:$J$155)))/2+1)&gt;0)*(((D229+'По дням'!$K$6:$K$155-ABS(D229-'По дням'!$K$6:$K$155))-(C229+'По дням'!$J$6:$J$155+ABS(C229-'По дням'!$J$6:$J$155)))/2+1)&gt;0)*1))</f>
        <v/>
      </c>
    </row>
    <row r="230">
      <c r="A230">
        <f>IF(AND(Оплаты!$E$222="ок",COUNTIFS(Акты!$B$5:$B$16,Оплаты!$D$222,Акты!$H$5:$H$16,"ок")&gt;0,COUNTIFS(Оплаты!$D$6:$D$221,Оплаты!$D$222,Оплаты!$A$6:$A$221,Оплаты!$A$222)=0),Оплаты!$D$222,"")</f>
        <v/>
      </c>
      <c r="B230">
        <f>IF(A230="","",MATCH(A230,Акты!$B$5:$B$16,0))</f>
        <v/>
      </c>
      <c r="C230" s="20">
        <f>IF(A230="","",Оплаты!$A$222+1)</f>
        <v/>
      </c>
      <c r="D230" s="20">
        <f>IF(A230="","",MIN(Ввод!$B$4,Ввод!$B$4+1-SUMPRODUCT(MAX((Оплаты!$D$6:$D$505=A230)*(Оплаты!$A$6:$A$505&gt;Оплаты!$A$222)*(Ввод!$B$4+1-Оплаты!$A$6:$A$505)))))</f>
        <v/>
      </c>
      <c r="E230" s="14">
        <f>IF(A230="","",INDEX(Акты!$D$5:$D$16,B230)-SUMIFS(Оплаты!$B$6:$B$505,Оплаты!$D$6:$D$505,A230,Оплаты!$A$6:$A$505,"&lt;="&amp;Оплаты!$A$222))</f>
        <v/>
      </c>
      <c r="F230" s="14">
        <f>IF(G230="","",SUMPRODUCT(ROUND(E230*'По дням'!$L$6:$L$155/100*((((D230+'По дням'!$K$6:$K$155-ABS(D230-'По дням'!$K$6:$K$155))-(C230+'По дням'!$J$6:$J$155+ABS(C230-'По дням'!$J$6:$J$155)))/2+1)&gt;0)*(((D230+'По дням'!$K$6:$K$155-ABS(D230-'По дням'!$K$6:$K$155))-(C230+'По дням'!$J$6:$J$155+ABS(C230-'По дням'!$J$6:$J$155)))/2+1)/'По дням'!$M$6:$M$155,2)*(1-'По дням'!$N$6:$N$155)))</f>
        <v/>
      </c>
      <c r="G230">
        <f>IF(A230="","",IF(C230&gt;D230,"",B230*1000000+C230))</f>
        <v/>
      </c>
      <c r="H230" s="14">
        <f>IF(G230="","",SUMIFS(Оплаты!$B$6:$B$505,Оплаты!$D$6:$D$505,A230,Оплаты!$A$6:$A$505,D230))</f>
        <v/>
      </c>
      <c r="I230">
        <f>IF(G230="","",SUMPRODUCT((((((D230+'По дням'!$K$6:$K$155-ABS(D230-'По дням'!$K$6:$K$155))-(C230+'По дням'!$J$6:$J$155+ABS(C230-'По дням'!$J$6:$J$155)))/2+1)&gt;0)*(((D230+'По дням'!$K$6:$K$155-ABS(D230-'По дням'!$K$6:$K$155))-(C230+'По дням'!$J$6:$J$155+ABS(C230-'По дням'!$J$6:$J$155)))/2+1)&gt;0)*1))</f>
        <v/>
      </c>
    </row>
    <row r="231">
      <c r="A231">
        <f>IF(AND(Оплаты!$E$223="ок",COUNTIFS(Акты!$B$5:$B$16,Оплаты!$D$223,Акты!$H$5:$H$16,"ок")&gt;0,COUNTIFS(Оплаты!$D$6:$D$222,Оплаты!$D$223,Оплаты!$A$6:$A$222,Оплаты!$A$223)=0),Оплаты!$D$223,"")</f>
        <v/>
      </c>
      <c r="B231">
        <f>IF(A231="","",MATCH(A231,Акты!$B$5:$B$16,0))</f>
        <v/>
      </c>
      <c r="C231" s="20">
        <f>IF(A231="","",Оплаты!$A$223+1)</f>
        <v/>
      </c>
      <c r="D231" s="20">
        <f>IF(A231="","",MIN(Ввод!$B$4,Ввод!$B$4+1-SUMPRODUCT(MAX((Оплаты!$D$6:$D$505=A231)*(Оплаты!$A$6:$A$505&gt;Оплаты!$A$223)*(Ввод!$B$4+1-Оплаты!$A$6:$A$505)))))</f>
        <v/>
      </c>
      <c r="E231" s="14">
        <f>IF(A231="","",INDEX(Акты!$D$5:$D$16,B231)-SUMIFS(Оплаты!$B$6:$B$505,Оплаты!$D$6:$D$505,A231,Оплаты!$A$6:$A$505,"&lt;="&amp;Оплаты!$A$223))</f>
        <v/>
      </c>
      <c r="F231" s="14">
        <f>IF(G231="","",SUMPRODUCT(ROUND(E231*'По дням'!$L$6:$L$155/100*((((D231+'По дням'!$K$6:$K$155-ABS(D231-'По дням'!$K$6:$K$155))-(C231+'По дням'!$J$6:$J$155+ABS(C231-'По дням'!$J$6:$J$155)))/2+1)&gt;0)*(((D231+'По дням'!$K$6:$K$155-ABS(D231-'По дням'!$K$6:$K$155))-(C231+'По дням'!$J$6:$J$155+ABS(C231-'По дням'!$J$6:$J$155)))/2+1)/'По дням'!$M$6:$M$155,2)*(1-'По дням'!$N$6:$N$155)))</f>
        <v/>
      </c>
      <c r="G231">
        <f>IF(A231="","",IF(C231&gt;D231,"",B231*1000000+C231))</f>
        <v/>
      </c>
      <c r="H231" s="14">
        <f>IF(G231="","",SUMIFS(Оплаты!$B$6:$B$505,Оплаты!$D$6:$D$505,A231,Оплаты!$A$6:$A$505,D231))</f>
        <v/>
      </c>
      <c r="I231">
        <f>IF(G231="","",SUMPRODUCT((((((D231+'По дням'!$K$6:$K$155-ABS(D231-'По дням'!$K$6:$K$155))-(C231+'По дням'!$J$6:$J$155+ABS(C231-'По дням'!$J$6:$J$155)))/2+1)&gt;0)*(((D231+'По дням'!$K$6:$K$155-ABS(D231-'По дням'!$K$6:$K$155))-(C231+'По дням'!$J$6:$J$155+ABS(C231-'По дням'!$J$6:$J$155)))/2+1)&gt;0)*1))</f>
        <v/>
      </c>
    </row>
    <row r="232">
      <c r="A232">
        <f>IF(AND(Оплаты!$E$224="ок",COUNTIFS(Акты!$B$5:$B$16,Оплаты!$D$224,Акты!$H$5:$H$16,"ок")&gt;0,COUNTIFS(Оплаты!$D$6:$D$223,Оплаты!$D$224,Оплаты!$A$6:$A$223,Оплаты!$A$224)=0),Оплаты!$D$224,"")</f>
        <v/>
      </c>
      <c r="B232">
        <f>IF(A232="","",MATCH(A232,Акты!$B$5:$B$16,0))</f>
        <v/>
      </c>
      <c r="C232" s="20">
        <f>IF(A232="","",Оплаты!$A$224+1)</f>
        <v/>
      </c>
      <c r="D232" s="20">
        <f>IF(A232="","",MIN(Ввод!$B$4,Ввод!$B$4+1-SUMPRODUCT(MAX((Оплаты!$D$6:$D$505=A232)*(Оплаты!$A$6:$A$505&gt;Оплаты!$A$224)*(Ввод!$B$4+1-Оплаты!$A$6:$A$505)))))</f>
        <v/>
      </c>
      <c r="E232" s="14">
        <f>IF(A232="","",INDEX(Акты!$D$5:$D$16,B232)-SUMIFS(Оплаты!$B$6:$B$505,Оплаты!$D$6:$D$505,A232,Оплаты!$A$6:$A$505,"&lt;="&amp;Оплаты!$A$224))</f>
        <v/>
      </c>
      <c r="F232" s="14">
        <f>IF(G232="","",SUMPRODUCT(ROUND(E232*'По дням'!$L$6:$L$155/100*((((D232+'По дням'!$K$6:$K$155-ABS(D232-'По дням'!$K$6:$K$155))-(C232+'По дням'!$J$6:$J$155+ABS(C232-'По дням'!$J$6:$J$155)))/2+1)&gt;0)*(((D232+'По дням'!$K$6:$K$155-ABS(D232-'По дням'!$K$6:$K$155))-(C232+'По дням'!$J$6:$J$155+ABS(C232-'По дням'!$J$6:$J$155)))/2+1)/'По дням'!$M$6:$M$155,2)*(1-'По дням'!$N$6:$N$155)))</f>
        <v/>
      </c>
      <c r="G232">
        <f>IF(A232="","",IF(C232&gt;D232,"",B232*1000000+C232))</f>
        <v/>
      </c>
      <c r="H232" s="14">
        <f>IF(G232="","",SUMIFS(Оплаты!$B$6:$B$505,Оплаты!$D$6:$D$505,A232,Оплаты!$A$6:$A$505,D232))</f>
        <v/>
      </c>
      <c r="I232">
        <f>IF(G232="","",SUMPRODUCT((((((D232+'По дням'!$K$6:$K$155-ABS(D232-'По дням'!$K$6:$K$155))-(C232+'По дням'!$J$6:$J$155+ABS(C232-'По дням'!$J$6:$J$155)))/2+1)&gt;0)*(((D232+'По дням'!$K$6:$K$155-ABS(D232-'По дням'!$K$6:$K$155))-(C232+'По дням'!$J$6:$J$155+ABS(C232-'По дням'!$J$6:$J$155)))/2+1)&gt;0)*1))</f>
        <v/>
      </c>
    </row>
    <row r="233">
      <c r="A233">
        <f>IF(AND(Оплаты!$E$225="ок",COUNTIFS(Акты!$B$5:$B$16,Оплаты!$D$225,Акты!$H$5:$H$16,"ок")&gt;0,COUNTIFS(Оплаты!$D$6:$D$224,Оплаты!$D$225,Оплаты!$A$6:$A$224,Оплаты!$A$225)=0),Оплаты!$D$225,"")</f>
        <v/>
      </c>
      <c r="B233">
        <f>IF(A233="","",MATCH(A233,Акты!$B$5:$B$16,0))</f>
        <v/>
      </c>
      <c r="C233" s="20">
        <f>IF(A233="","",Оплаты!$A$225+1)</f>
        <v/>
      </c>
      <c r="D233" s="20">
        <f>IF(A233="","",MIN(Ввод!$B$4,Ввод!$B$4+1-SUMPRODUCT(MAX((Оплаты!$D$6:$D$505=A233)*(Оплаты!$A$6:$A$505&gt;Оплаты!$A$225)*(Ввод!$B$4+1-Оплаты!$A$6:$A$505)))))</f>
        <v/>
      </c>
      <c r="E233" s="14">
        <f>IF(A233="","",INDEX(Акты!$D$5:$D$16,B233)-SUMIFS(Оплаты!$B$6:$B$505,Оплаты!$D$6:$D$505,A233,Оплаты!$A$6:$A$505,"&lt;="&amp;Оплаты!$A$225))</f>
        <v/>
      </c>
      <c r="F233" s="14">
        <f>IF(G233="","",SUMPRODUCT(ROUND(E233*'По дням'!$L$6:$L$155/100*((((D233+'По дням'!$K$6:$K$155-ABS(D233-'По дням'!$K$6:$K$155))-(C233+'По дням'!$J$6:$J$155+ABS(C233-'По дням'!$J$6:$J$155)))/2+1)&gt;0)*(((D233+'По дням'!$K$6:$K$155-ABS(D233-'По дням'!$K$6:$K$155))-(C233+'По дням'!$J$6:$J$155+ABS(C233-'По дням'!$J$6:$J$155)))/2+1)/'По дням'!$M$6:$M$155,2)*(1-'По дням'!$N$6:$N$155)))</f>
        <v/>
      </c>
      <c r="G233">
        <f>IF(A233="","",IF(C233&gt;D233,"",B233*1000000+C233))</f>
        <v/>
      </c>
      <c r="H233" s="14">
        <f>IF(G233="","",SUMIFS(Оплаты!$B$6:$B$505,Оплаты!$D$6:$D$505,A233,Оплаты!$A$6:$A$505,D233))</f>
        <v/>
      </c>
      <c r="I233">
        <f>IF(G233="","",SUMPRODUCT((((((D233+'По дням'!$K$6:$K$155-ABS(D233-'По дням'!$K$6:$K$155))-(C233+'По дням'!$J$6:$J$155+ABS(C233-'По дням'!$J$6:$J$155)))/2+1)&gt;0)*(((D233+'По дням'!$K$6:$K$155-ABS(D233-'По дням'!$K$6:$K$155))-(C233+'По дням'!$J$6:$J$155+ABS(C233-'По дням'!$J$6:$J$155)))/2+1)&gt;0)*1))</f>
        <v/>
      </c>
    </row>
    <row r="234">
      <c r="A234">
        <f>IF(AND(Оплаты!$E$226="ок",COUNTIFS(Акты!$B$5:$B$16,Оплаты!$D$226,Акты!$H$5:$H$16,"ок")&gt;0,COUNTIFS(Оплаты!$D$6:$D$225,Оплаты!$D$226,Оплаты!$A$6:$A$225,Оплаты!$A$226)=0),Оплаты!$D$226,"")</f>
        <v/>
      </c>
      <c r="B234">
        <f>IF(A234="","",MATCH(A234,Акты!$B$5:$B$16,0))</f>
        <v/>
      </c>
      <c r="C234" s="20">
        <f>IF(A234="","",Оплаты!$A$226+1)</f>
        <v/>
      </c>
      <c r="D234" s="20">
        <f>IF(A234="","",MIN(Ввод!$B$4,Ввод!$B$4+1-SUMPRODUCT(MAX((Оплаты!$D$6:$D$505=A234)*(Оплаты!$A$6:$A$505&gt;Оплаты!$A$226)*(Ввод!$B$4+1-Оплаты!$A$6:$A$505)))))</f>
        <v/>
      </c>
      <c r="E234" s="14">
        <f>IF(A234="","",INDEX(Акты!$D$5:$D$16,B234)-SUMIFS(Оплаты!$B$6:$B$505,Оплаты!$D$6:$D$505,A234,Оплаты!$A$6:$A$505,"&lt;="&amp;Оплаты!$A$226))</f>
        <v/>
      </c>
      <c r="F234" s="14">
        <f>IF(G234="","",SUMPRODUCT(ROUND(E234*'По дням'!$L$6:$L$155/100*((((D234+'По дням'!$K$6:$K$155-ABS(D234-'По дням'!$K$6:$K$155))-(C234+'По дням'!$J$6:$J$155+ABS(C234-'По дням'!$J$6:$J$155)))/2+1)&gt;0)*(((D234+'По дням'!$K$6:$K$155-ABS(D234-'По дням'!$K$6:$K$155))-(C234+'По дням'!$J$6:$J$155+ABS(C234-'По дням'!$J$6:$J$155)))/2+1)/'По дням'!$M$6:$M$155,2)*(1-'По дням'!$N$6:$N$155)))</f>
        <v/>
      </c>
      <c r="G234">
        <f>IF(A234="","",IF(C234&gt;D234,"",B234*1000000+C234))</f>
        <v/>
      </c>
      <c r="H234" s="14">
        <f>IF(G234="","",SUMIFS(Оплаты!$B$6:$B$505,Оплаты!$D$6:$D$505,A234,Оплаты!$A$6:$A$505,D234))</f>
        <v/>
      </c>
      <c r="I234">
        <f>IF(G234="","",SUMPRODUCT((((((D234+'По дням'!$K$6:$K$155-ABS(D234-'По дням'!$K$6:$K$155))-(C234+'По дням'!$J$6:$J$155+ABS(C234-'По дням'!$J$6:$J$155)))/2+1)&gt;0)*(((D234+'По дням'!$K$6:$K$155-ABS(D234-'По дням'!$K$6:$K$155))-(C234+'По дням'!$J$6:$J$155+ABS(C234-'По дням'!$J$6:$J$155)))/2+1)&gt;0)*1))</f>
        <v/>
      </c>
    </row>
    <row r="235">
      <c r="A235">
        <f>IF(AND(Оплаты!$E$227="ок",COUNTIFS(Акты!$B$5:$B$16,Оплаты!$D$227,Акты!$H$5:$H$16,"ок")&gt;0,COUNTIFS(Оплаты!$D$6:$D$226,Оплаты!$D$227,Оплаты!$A$6:$A$226,Оплаты!$A$227)=0),Оплаты!$D$227,"")</f>
        <v/>
      </c>
      <c r="B235">
        <f>IF(A235="","",MATCH(A235,Акты!$B$5:$B$16,0))</f>
        <v/>
      </c>
      <c r="C235" s="20">
        <f>IF(A235="","",Оплаты!$A$227+1)</f>
        <v/>
      </c>
      <c r="D235" s="20">
        <f>IF(A235="","",MIN(Ввод!$B$4,Ввод!$B$4+1-SUMPRODUCT(MAX((Оплаты!$D$6:$D$505=A235)*(Оплаты!$A$6:$A$505&gt;Оплаты!$A$227)*(Ввод!$B$4+1-Оплаты!$A$6:$A$505)))))</f>
        <v/>
      </c>
      <c r="E235" s="14">
        <f>IF(A235="","",INDEX(Акты!$D$5:$D$16,B235)-SUMIFS(Оплаты!$B$6:$B$505,Оплаты!$D$6:$D$505,A235,Оплаты!$A$6:$A$505,"&lt;="&amp;Оплаты!$A$227))</f>
        <v/>
      </c>
      <c r="F235" s="14">
        <f>IF(G235="","",SUMPRODUCT(ROUND(E235*'По дням'!$L$6:$L$155/100*((((D235+'По дням'!$K$6:$K$155-ABS(D235-'По дням'!$K$6:$K$155))-(C235+'По дням'!$J$6:$J$155+ABS(C235-'По дням'!$J$6:$J$155)))/2+1)&gt;0)*(((D235+'По дням'!$K$6:$K$155-ABS(D235-'По дням'!$K$6:$K$155))-(C235+'По дням'!$J$6:$J$155+ABS(C235-'По дням'!$J$6:$J$155)))/2+1)/'По дням'!$M$6:$M$155,2)*(1-'По дням'!$N$6:$N$155)))</f>
        <v/>
      </c>
      <c r="G235">
        <f>IF(A235="","",IF(C235&gt;D235,"",B235*1000000+C235))</f>
        <v/>
      </c>
      <c r="H235" s="14">
        <f>IF(G235="","",SUMIFS(Оплаты!$B$6:$B$505,Оплаты!$D$6:$D$505,A235,Оплаты!$A$6:$A$505,D235))</f>
        <v/>
      </c>
      <c r="I235">
        <f>IF(G235="","",SUMPRODUCT((((((D235+'По дням'!$K$6:$K$155-ABS(D235-'По дням'!$K$6:$K$155))-(C235+'По дням'!$J$6:$J$155+ABS(C235-'По дням'!$J$6:$J$155)))/2+1)&gt;0)*(((D235+'По дням'!$K$6:$K$155-ABS(D235-'По дням'!$K$6:$K$155))-(C235+'По дням'!$J$6:$J$155+ABS(C235-'По дням'!$J$6:$J$155)))/2+1)&gt;0)*1))</f>
        <v/>
      </c>
    </row>
    <row r="236">
      <c r="A236">
        <f>IF(AND(Оплаты!$E$228="ок",COUNTIFS(Акты!$B$5:$B$16,Оплаты!$D$228,Акты!$H$5:$H$16,"ок")&gt;0,COUNTIFS(Оплаты!$D$6:$D$227,Оплаты!$D$228,Оплаты!$A$6:$A$227,Оплаты!$A$228)=0),Оплаты!$D$228,"")</f>
        <v/>
      </c>
      <c r="B236">
        <f>IF(A236="","",MATCH(A236,Акты!$B$5:$B$16,0))</f>
        <v/>
      </c>
      <c r="C236" s="20">
        <f>IF(A236="","",Оплаты!$A$228+1)</f>
        <v/>
      </c>
      <c r="D236" s="20">
        <f>IF(A236="","",MIN(Ввод!$B$4,Ввод!$B$4+1-SUMPRODUCT(MAX((Оплаты!$D$6:$D$505=A236)*(Оплаты!$A$6:$A$505&gt;Оплаты!$A$228)*(Ввод!$B$4+1-Оплаты!$A$6:$A$505)))))</f>
        <v/>
      </c>
      <c r="E236" s="14">
        <f>IF(A236="","",INDEX(Акты!$D$5:$D$16,B236)-SUMIFS(Оплаты!$B$6:$B$505,Оплаты!$D$6:$D$505,A236,Оплаты!$A$6:$A$505,"&lt;="&amp;Оплаты!$A$228))</f>
        <v/>
      </c>
      <c r="F236" s="14">
        <f>IF(G236="","",SUMPRODUCT(ROUND(E236*'По дням'!$L$6:$L$155/100*((((D236+'По дням'!$K$6:$K$155-ABS(D236-'По дням'!$K$6:$K$155))-(C236+'По дням'!$J$6:$J$155+ABS(C236-'По дням'!$J$6:$J$155)))/2+1)&gt;0)*(((D236+'По дням'!$K$6:$K$155-ABS(D236-'По дням'!$K$6:$K$155))-(C236+'По дням'!$J$6:$J$155+ABS(C236-'По дням'!$J$6:$J$155)))/2+1)/'По дням'!$M$6:$M$155,2)*(1-'По дням'!$N$6:$N$155)))</f>
        <v/>
      </c>
      <c r="G236">
        <f>IF(A236="","",IF(C236&gt;D236,"",B236*1000000+C236))</f>
        <v/>
      </c>
      <c r="H236" s="14">
        <f>IF(G236="","",SUMIFS(Оплаты!$B$6:$B$505,Оплаты!$D$6:$D$505,A236,Оплаты!$A$6:$A$505,D236))</f>
        <v/>
      </c>
      <c r="I236">
        <f>IF(G236="","",SUMPRODUCT((((((D236+'По дням'!$K$6:$K$155-ABS(D236-'По дням'!$K$6:$K$155))-(C236+'По дням'!$J$6:$J$155+ABS(C236-'По дням'!$J$6:$J$155)))/2+1)&gt;0)*(((D236+'По дням'!$K$6:$K$155-ABS(D236-'По дням'!$K$6:$K$155))-(C236+'По дням'!$J$6:$J$155+ABS(C236-'По дням'!$J$6:$J$155)))/2+1)&gt;0)*1))</f>
        <v/>
      </c>
    </row>
    <row r="237">
      <c r="A237">
        <f>IF(AND(Оплаты!$E$229="ок",COUNTIFS(Акты!$B$5:$B$16,Оплаты!$D$229,Акты!$H$5:$H$16,"ок")&gt;0,COUNTIFS(Оплаты!$D$6:$D$228,Оплаты!$D$229,Оплаты!$A$6:$A$228,Оплаты!$A$229)=0),Оплаты!$D$229,"")</f>
        <v/>
      </c>
      <c r="B237">
        <f>IF(A237="","",MATCH(A237,Акты!$B$5:$B$16,0))</f>
        <v/>
      </c>
      <c r="C237" s="20">
        <f>IF(A237="","",Оплаты!$A$229+1)</f>
        <v/>
      </c>
      <c r="D237" s="20">
        <f>IF(A237="","",MIN(Ввод!$B$4,Ввод!$B$4+1-SUMPRODUCT(MAX((Оплаты!$D$6:$D$505=A237)*(Оплаты!$A$6:$A$505&gt;Оплаты!$A$229)*(Ввод!$B$4+1-Оплаты!$A$6:$A$505)))))</f>
        <v/>
      </c>
      <c r="E237" s="14">
        <f>IF(A237="","",INDEX(Акты!$D$5:$D$16,B237)-SUMIFS(Оплаты!$B$6:$B$505,Оплаты!$D$6:$D$505,A237,Оплаты!$A$6:$A$505,"&lt;="&amp;Оплаты!$A$229))</f>
        <v/>
      </c>
      <c r="F237" s="14">
        <f>IF(G237="","",SUMPRODUCT(ROUND(E237*'По дням'!$L$6:$L$155/100*((((D237+'По дням'!$K$6:$K$155-ABS(D237-'По дням'!$K$6:$K$155))-(C237+'По дням'!$J$6:$J$155+ABS(C237-'По дням'!$J$6:$J$155)))/2+1)&gt;0)*(((D237+'По дням'!$K$6:$K$155-ABS(D237-'По дням'!$K$6:$K$155))-(C237+'По дням'!$J$6:$J$155+ABS(C237-'По дням'!$J$6:$J$155)))/2+1)/'По дням'!$M$6:$M$155,2)*(1-'По дням'!$N$6:$N$155)))</f>
        <v/>
      </c>
      <c r="G237">
        <f>IF(A237="","",IF(C237&gt;D237,"",B237*1000000+C237))</f>
        <v/>
      </c>
      <c r="H237" s="14">
        <f>IF(G237="","",SUMIFS(Оплаты!$B$6:$B$505,Оплаты!$D$6:$D$505,A237,Оплаты!$A$6:$A$505,D237))</f>
        <v/>
      </c>
      <c r="I237">
        <f>IF(G237="","",SUMPRODUCT((((((D237+'По дням'!$K$6:$K$155-ABS(D237-'По дням'!$K$6:$K$155))-(C237+'По дням'!$J$6:$J$155+ABS(C237-'По дням'!$J$6:$J$155)))/2+1)&gt;0)*(((D237+'По дням'!$K$6:$K$155-ABS(D237-'По дням'!$K$6:$K$155))-(C237+'По дням'!$J$6:$J$155+ABS(C237-'По дням'!$J$6:$J$155)))/2+1)&gt;0)*1))</f>
        <v/>
      </c>
    </row>
    <row r="238">
      <c r="A238">
        <f>IF(AND(Оплаты!$E$230="ок",COUNTIFS(Акты!$B$5:$B$16,Оплаты!$D$230,Акты!$H$5:$H$16,"ок")&gt;0,COUNTIFS(Оплаты!$D$6:$D$229,Оплаты!$D$230,Оплаты!$A$6:$A$229,Оплаты!$A$230)=0),Оплаты!$D$230,"")</f>
        <v/>
      </c>
      <c r="B238">
        <f>IF(A238="","",MATCH(A238,Акты!$B$5:$B$16,0))</f>
        <v/>
      </c>
      <c r="C238" s="20">
        <f>IF(A238="","",Оплаты!$A$230+1)</f>
        <v/>
      </c>
      <c r="D238" s="20">
        <f>IF(A238="","",MIN(Ввод!$B$4,Ввод!$B$4+1-SUMPRODUCT(MAX((Оплаты!$D$6:$D$505=A238)*(Оплаты!$A$6:$A$505&gt;Оплаты!$A$230)*(Ввод!$B$4+1-Оплаты!$A$6:$A$505)))))</f>
        <v/>
      </c>
      <c r="E238" s="14">
        <f>IF(A238="","",INDEX(Акты!$D$5:$D$16,B238)-SUMIFS(Оплаты!$B$6:$B$505,Оплаты!$D$6:$D$505,A238,Оплаты!$A$6:$A$505,"&lt;="&amp;Оплаты!$A$230))</f>
        <v/>
      </c>
      <c r="F238" s="14">
        <f>IF(G238="","",SUMPRODUCT(ROUND(E238*'По дням'!$L$6:$L$155/100*((((D238+'По дням'!$K$6:$K$155-ABS(D238-'По дням'!$K$6:$K$155))-(C238+'По дням'!$J$6:$J$155+ABS(C238-'По дням'!$J$6:$J$155)))/2+1)&gt;0)*(((D238+'По дням'!$K$6:$K$155-ABS(D238-'По дням'!$K$6:$K$155))-(C238+'По дням'!$J$6:$J$155+ABS(C238-'По дням'!$J$6:$J$155)))/2+1)/'По дням'!$M$6:$M$155,2)*(1-'По дням'!$N$6:$N$155)))</f>
        <v/>
      </c>
      <c r="G238">
        <f>IF(A238="","",IF(C238&gt;D238,"",B238*1000000+C238))</f>
        <v/>
      </c>
      <c r="H238" s="14">
        <f>IF(G238="","",SUMIFS(Оплаты!$B$6:$B$505,Оплаты!$D$6:$D$505,A238,Оплаты!$A$6:$A$505,D238))</f>
        <v/>
      </c>
      <c r="I238">
        <f>IF(G238="","",SUMPRODUCT((((((D238+'По дням'!$K$6:$K$155-ABS(D238-'По дням'!$K$6:$K$155))-(C238+'По дням'!$J$6:$J$155+ABS(C238-'По дням'!$J$6:$J$155)))/2+1)&gt;0)*(((D238+'По дням'!$K$6:$K$155-ABS(D238-'По дням'!$K$6:$K$155))-(C238+'По дням'!$J$6:$J$155+ABS(C238-'По дням'!$J$6:$J$155)))/2+1)&gt;0)*1))</f>
        <v/>
      </c>
    </row>
    <row r="239">
      <c r="A239">
        <f>IF(AND(Оплаты!$E$231="ок",COUNTIFS(Акты!$B$5:$B$16,Оплаты!$D$231,Акты!$H$5:$H$16,"ок")&gt;0,COUNTIFS(Оплаты!$D$6:$D$230,Оплаты!$D$231,Оплаты!$A$6:$A$230,Оплаты!$A$231)=0),Оплаты!$D$231,"")</f>
        <v/>
      </c>
      <c r="B239">
        <f>IF(A239="","",MATCH(A239,Акты!$B$5:$B$16,0))</f>
        <v/>
      </c>
      <c r="C239" s="20">
        <f>IF(A239="","",Оплаты!$A$231+1)</f>
        <v/>
      </c>
      <c r="D239" s="20">
        <f>IF(A239="","",MIN(Ввод!$B$4,Ввод!$B$4+1-SUMPRODUCT(MAX((Оплаты!$D$6:$D$505=A239)*(Оплаты!$A$6:$A$505&gt;Оплаты!$A$231)*(Ввод!$B$4+1-Оплаты!$A$6:$A$505)))))</f>
        <v/>
      </c>
      <c r="E239" s="14">
        <f>IF(A239="","",INDEX(Акты!$D$5:$D$16,B239)-SUMIFS(Оплаты!$B$6:$B$505,Оплаты!$D$6:$D$505,A239,Оплаты!$A$6:$A$505,"&lt;="&amp;Оплаты!$A$231))</f>
        <v/>
      </c>
      <c r="F239" s="14">
        <f>IF(G239="","",SUMPRODUCT(ROUND(E239*'По дням'!$L$6:$L$155/100*((((D239+'По дням'!$K$6:$K$155-ABS(D239-'По дням'!$K$6:$K$155))-(C239+'По дням'!$J$6:$J$155+ABS(C239-'По дням'!$J$6:$J$155)))/2+1)&gt;0)*(((D239+'По дням'!$K$6:$K$155-ABS(D239-'По дням'!$K$6:$K$155))-(C239+'По дням'!$J$6:$J$155+ABS(C239-'По дням'!$J$6:$J$155)))/2+1)/'По дням'!$M$6:$M$155,2)*(1-'По дням'!$N$6:$N$155)))</f>
        <v/>
      </c>
      <c r="G239">
        <f>IF(A239="","",IF(C239&gt;D239,"",B239*1000000+C239))</f>
        <v/>
      </c>
      <c r="H239" s="14">
        <f>IF(G239="","",SUMIFS(Оплаты!$B$6:$B$505,Оплаты!$D$6:$D$505,A239,Оплаты!$A$6:$A$505,D239))</f>
        <v/>
      </c>
      <c r="I239">
        <f>IF(G239="","",SUMPRODUCT((((((D239+'По дням'!$K$6:$K$155-ABS(D239-'По дням'!$K$6:$K$155))-(C239+'По дням'!$J$6:$J$155+ABS(C239-'По дням'!$J$6:$J$155)))/2+1)&gt;0)*(((D239+'По дням'!$K$6:$K$155-ABS(D239-'По дням'!$K$6:$K$155))-(C239+'По дням'!$J$6:$J$155+ABS(C239-'По дням'!$J$6:$J$155)))/2+1)&gt;0)*1))</f>
        <v/>
      </c>
    </row>
    <row r="240">
      <c r="A240">
        <f>IF(AND(Оплаты!$E$232="ок",COUNTIFS(Акты!$B$5:$B$16,Оплаты!$D$232,Акты!$H$5:$H$16,"ок")&gt;0,COUNTIFS(Оплаты!$D$6:$D$231,Оплаты!$D$232,Оплаты!$A$6:$A$231,Оплаты!$A$232)=0),Оплаты!$D$232,"")</f>
        <v/>
      </c>
      <c r="B240">
        <f>IF(A240="","",MATCH(A240,Акты!$B$5:$B$16,0))</f>
        <v/>
      </c>
      <c r="C240" s="20">
        <f>IF(A240="","",Оплаты!$A$232+1)</f>
        <v/>
      </c>
      <c r="D240" s="20">
        <f>IF(A240="","",MIN(Ввод!$B$4,Ввод!$B$4+1-SUMPRODUCT(MAX((Оплаты!$D$6:$D$505=A240)*(Оплаты!$A$6:$A$505&gt;Оплаты!$A$232)*(Ввод!$B$4+1-Оплаты!$A$6:$A$505)))))</f>
        <v/>
      </c>
      <c r="E240" s="14">
        <f>IF(A240="","",INDEX(Акты!$D$5:$D$16,B240)-SUMIFS(Оплаты!$B$6:$B$505,Оплаты!$D$6:$D$505,A240,Оплаты!$A$6:$A$505,"&lt;="&amp;Оплаты!$A$232))</f>
        <v/>
      </c>
      <c r="F240" s="14">
        <f>IF(G240="","",SUMPRODUCT(ROUND(E240*'По дням'!$L$6:$L$155/100*((((D240+'По дням'!$K$6:$K$155-ABS(D240-'По дням'!$K$6:$K$155))-(C240+'По дням'!$J$6:$J$155+ABS(C240-'По дням'!$J$6:$J$155)))/2+1)&gt;0)*(((D240+'По дням'!$K$6:$K$155-ABS(D240-'По дням'!$K$6:$K$155))-(C240+'По дням'!$J$6:$J$155+ABS(C240-'По дням'!$J$6:$J$155)))/2+1)/'По дням'!$M$6:$M$155,2)*(1-'По дням'!$N$6:$N$155)))</f>
        <v/>
      </c>
      <c r="G240">
        <f>IF(A240="","",IF(C240&gt;D240,"",B240*1000000+C240))</f>
        <v/>
      </c>
      <c r="H240" s="14">
        <f>IF(G240="","",SUMIFS(Оплаты!$B$6:$B$505,Оплаты!$D$6:$D$505,A240,Оплаты!$A$6:$A$505,D240))</f>
        <v/>
      </c>
      <c r="I240">
        <f>IF(G240="","",SUMPRODUCT((((((D240+'По дням'!$K$6:$K$155-ABS(D240-'По дням'!$K$6:$K$155))-(C240+'По дням'!$J$6:$J$155+ABS(C240-'По дням'!$J$6:$J$155)))/2+1)&gt;0)*(((D240+'По дням'!$K$6:$K$155-ABS(D240-'По дням'!$K$6:$K$155))-(C240+'По дням'!$J$6:$J$155+ABS(C240-'По дням'!$J$6:$J$155)))/2+1)&gt;0)*1))</f>
        <v/>
      </c>
    </row>
    <row r="241">
      <c r="A241">
        <f>IF(AND(Оплаты!$E$233="ок",COUNTIFS(Акты!$B$5:$B$16,Оплаты!$D$233,Акты!$H$5:$H$16,"ок")&gt;0,COUNTIFS(Оплаты!$D$6:$D$232,Оплаты!$D$233,Оплаты!$A$6:$A$232,Оплаты!$A$233)=0),Оплаты!$D$233,"")</f>
        <v/>
      </c>
      <c r="B241">
        <f>IF(A241="","",MATCH(A241,Акты!$B$5:$B$16,0))</f>
        <v/>
      </c>
      <c r="C241" s="20">
        <f>IF(A241="","",Оплаты!$A$233+1)</f>
        <v/>
      </c>
      <c r="D241" s="20">
        <f>IF(A241="","",MIN(Ввод!$B$4,Ввод!$B$4+1-SUMPRODUCT(MAX((Оплаты!$D$6:$D$505=A241)*(Оплаты!$A$6:$A$505&gt;Оплаты!$A$233)*(Ввод!$B$4+1-Оплаты!$A$6:$A$505)))))</f>
        <v/>
      </c>
      <c r="E241" s="14">
        <f>IF(A241="","",INDEX(Акты!$D$5:$D$16,B241)-SUMIFS(Оплаты!$B$6:$B$505,Оплаты!$D$6:$D$505,A241,Оплаты!$A$6:$A$505,"&lt;="&amp;Оплаты!$A$233))</f>
        <v/>
      </c>
      <c r="F241" s="14">
        <f>IF(G241="","",SUMPRODUCT(ROUND(E241*'По дням'!$L$6:$L$155/100*((((D241+'По дням'!$K$6:$K$155-ABS(D241-'По дням'!$K$6:$K$155))-(C241+'По дням'!$J$6:$J$155+ABS(C241-'По дням'!$J$6:$J$155)))/2+1)&gt;0)*(((D241+'По дням'!$K$6:$K$155-ABS(D241-'По дням'!$K$6:$K$155))-(C241+'По дням'!$J$6:$J$155+ABS(C241-'По дням'!$J$6:$J$155)))/2+1)/'По дням'!$M$6:$M$155,2)*(1-'По дням'!$N$6:$N$155)))</f>
        <v/>
      </c>
      <c r="G241">
        <f>IF(A241="","",IF(C241&gt;D241,"",B241*1000000+C241))</f>
        <v/>
      </c>
      <c r="H241" s="14">
        <f>IF(G241="","",SUMIFS(Оплаты!$B$6:$B$505,Оплаты!$D$6:$D$505,A241,Оплаты!$A$6:$A$505,D241))</f>
        <v/>
      </c>
      <c r="I241">
        <f>IF(G241="","",SUMPRODUCT((((((D241+'По дням'!$K$6:$K$155-ABS(D241-'По дням'!$K$6:$K$155))-(C241+'По дням'!$J$6:$J$155+ABS(C241-'По дням'!$J$6:$J$155)))/2+1)&gt;0)*(((D241+'По дням'!$K$6:$K$155-ABS(D241-'По дням'!$K$6:$K$155))-(C241+'По дням'!$J$6:$J$155+ABS(C241-'По дням'!$J$6:$J$155)))/2+1)&gt;0)*1))</f>
        <v/>
      </c>
    </row>
    <row r="242">
      <c r="A242">
        <f>IF(AND(Оплаты!$E$234="ок",COUNTIFS(Акты!$B$5:$B$16,Оплаты!$D$234,Акты!$H$5:$H$16,"ок")&gt;0,COUNTIFS(Оплаты!$D$6:$D$233,Оплаты!$D$234,Оплаты!$A$6:$A$233,Оплаты!$A$234)=0),Оплаты!$D$234,"")</f>
        <v/>
      </c>
      <c r="B242">
        <f>IF(A242="","",MATCH(A242,Акты!$B$5:$B$16,0))</f>
        <v/>
      </c>
      <c r="C242" s="20">
        <f>IF(A242="","",Оплаты!$A$234+1)</f>
        <v/>
      </c>
      <c r="D242" s="20">
        <f>IF(A242="","",MIN(Ввод!$B$4,Ввод!$B$4+1-SUMPRODUCT(MAX((Оплаты!$D$6:$D$505=A242)*(Оплаты!$A$6:$A$505&gt;Оплаты!$A$234)*(Ввод!$B$4+1-Оплаты!$A$6:$A$505)))))</f>
        <v/>
      </c>
      <c r="E242" s="14">
        <f>IF(A242="","",INDEX(Акты!$D$5:$D$16,B242)-SUMIFS(Оплаты!$B$6:$B$505,Оплаты!$D$6:$D$505,A242,Оплаты!$A$6:$A$505,"&lt;="&amp;Оплаты!$A$234))</f>
        <v/>
      </c>
      <c r="F242" s="14">
        <f>IF(G242="","",SUMPRODUCT(ROUND(E242*'По дням'!$L$6:$L$155/100*((((D242+'По дням'!$K$6:$K$155-ABS(D242-'По дням'!$K$6:$K$155))-(C242+'По дням'!$J$6:$J$155+ABS(C242-'По дням'!$J$6:$J$155)))/2+1)&gt;0)*(((D242+'По дням'!$K$6:$K$155-ABS(D242-'По дням'!$K$6:$K$155))-(C242+'По дням'!$J$6:$J$155+ABS(C242-'По дням'!$J$6:$J$155)))/2+1)/'По дням'!$M$6:$M$155,2)*(1-'По дням'!$N$6:$N$155)))</f>
        <v/>
      </c>
      <c r="G242">
        <f>IF(A242="","",IF(C242&gt;D242,"",B242*1000000+C242))</f>
        <v/>
      </c>
      <c r="H242" s="14">
        <f>IF(G242="","",SUMIFS(Оплаты!$B$6:$B$505,Оплаты!$D$6:$D$505,A242,Оплаты!$A$6:$A$505,D242))</f>
        <v/>
      </c>
      <c r="I242">
        <f>IF(G242="","",SUMPRODUCT((((((D242+'По дням'!$K$6:$K$155-ABS(D242-'По дням'!$K$6:$K$155))-(C242+'По дням'!$J$6:$J$155+ABS(C242-'По дням'!$J$6:$J$155)))/2+1)&gt;0)*(((D242+'По дням'!$K$6:$K$155-ABS(D242-'По дням'!$K$6:$K$155))-(C242+'По дням'!$J$6:$J$155+ABS(C242-'По дням'!$J$6:$J$155)))/2+1)&gt;0)*1))</f>
        <v/>
      </c>
    </row>
    <row r="243">
      <c r="A243">
        <f>IF(AND(Оплаты!$E$235="ок",COUNTIFS(Акты!$B$5:$B$16,Оплаты!$D$235,Акты!$H$5:$H$16,"ок")&gt;0,COUNTIFS(Оплаты!$D$6:$D$234,Оплаты!$D$235,Оплаты!$A$6:$A$234,Оплаты!$A$235)=0),Оплаты!$D$235,"")</f>
        <v/>
      </c>
      <c r="B243">
        <f>IF(A243="","",MATCH(A243,Акты!$B$5:$B$16,0))</f>
        <v/>
      </c>
      <c r="C243" s="20">
        <f>IF(A243="","",Оплаты!$A$235+1)</f>
        <v/>
      </c>
      <c r="D243" s="20">
        <f>IF(A243="","",MIN(Ввод!$B$4,Ввод!$B$4+1-SUMPRODUCT(MAX((Оплаты!$D$6:$D$505=A243)*(Оплаты!$A$6:$A$505&gt;Оплаты!$A$235)*(Ввод!$B$4+1-Оплаты!$A$6:$A$505)))))</f>
        <v/>
      </c>
      <c r="E243" s="14">
        <f>IF(A243="","",INDEX(Акты!$D$5:$D$16,B243)-SUMIFS(Оплаты!$B$6:$B$505,Оплаты!$D$6:$D$505,A243,Оплаты!$A$6:$A$505,"&lt;="&amp;Оплаты!$A$235))</f>
        <v/>
      </c>
      <c r="F243" s="14">
        <f>IF(G243="","",SUMPRODUCT(ROUND(E243*'По дням'!$L$6:$L$155/100*((((D243+'По дням'!$K$6:$K$155-ABS(D243-'По дням'!$K$6:$K$155))-(C243+'По дням'!$J$6:$J$155+ABS(C243-'По дням'!$J$6:$J$155)))/2+1)&gt;0)*(((D243+'По дням'!$K$6:$K$155-ABS(D243-'По дням'!$K$6:$K$155))-(C243+'По дням'!$J$6:$J$155+ABS(C243-'По дням'!$J$6:$J$155)))/2+1)/'По дням'!$M$6:$M$155,2)*(1-'По дням'!$N$6:$N$155)))</f>
        <v/>
      </c>
      <c r="G243">
        <f>IF(A243="","",IF(C243&gt;D243,"",B243*1000000+C243))</f>
        <v/>
      </c>
      <c r="H243" s="14">
        <f>IF(G243="","",SUMIFS(Оплаты!$B$6:$B$505,Оплаты!$D$6:$D$505,A243,Оплаты!$A$6:$A$505,D243))</f>
        <v/>
      </c>
      <c r="I243">
        <f>IF(G243="","",SUMPRODUCT((((((D243+'По дням'!$K$6:$K$155-ABS(D243-'По дням'!$K$6:$K$155))-(C243+'По дням'!$J$6:$J$155+ABS(C243-'По дням'!$J$6:$J$155)))/2+1)&gt;0)*(((D243+'По дням'!$K$6:$K$155-ABS(D243-'По дням'!$K$6:$K$155))-(C243+'По дням'!$J$6:$J$155+ABS(C243-'По дням'!$J$6:$J$155)))/2+1)&gt;0)*1))</f>
        <v/>
      </c>
    </row>
    <row r="244">
      <c r="A244">
        <f>IF(AND(Оплаты!$E$236="ок",COUNTIFS(Акты!$B$5:$B$16,Оплаты!$D$236,Акты!$H$5:$H$16,"ок")&gt;0,COUNTIFS(Оплаты!$D$6:$D$235,Оплаты!$D$236,Оплаты!$A$6:$A$235,Оплаты!$A$236)=0),Оплаты!$D$236,"")</f>
        <v/>
      </c>
      <c r="B244">
        <f>IF(A244="","",MATCH(A244,Акты!$B$5:$B$16,0))</f>
        <v/>
      </c>
      <c r="C244" s="20">
        <f>IF(A244="","",Оплаты!$A$236+1)</f>
        <v/>
      </c>
      <c r="D244" s="20">
        <f>IF(A244="","",MIN(Ввод!$B$4,Ввод!$B$4+1-SUMPRODUCT(MAX((Оплаты!$D$6:$D$505=A244)*(Оплаты!$A$6:$A$505&gt;Оплаты!$A$236)*(Ввод!$B$4+1-Оплаты!$A$6:$A$505)))))</f>
        <v/>
      </c>
      <c r="E244" s="14">
        <f>IF(A244="","",INDEX(Акты!$D$5:$D$16,B244)-SUMIFS(Оплаты!$B$6:$B$505,Оплаты!$D$6:$D$505,A244,Оплаты!$A$6:$A$505,"&lt;="&amp;Оплаты!$A$236))</f>
        <v/>
      </c>
      <c r="F244" s="14">
        <f>IF(G244="","",SUMPRODUCT(ROUND(E244*'По дням'!$L$6:$L$155/100*((((D244+'По дням'!$K$6:$K$155-ABS(D244-'По дням'!$K$6:$K$155))-(C244+'По дням'!$J$6:$J$155+ABS(C244-'По дням'!$J$6:$J$155)))/2+1)&gt;0)*(((D244+'По дням'!$K$6:$K$155-ABS(D244-'По дням'!$K$6:$K$155))-(C244+'По дням'!$J$6:$J$155+ABS(C244-'По дням'!$J$6:$J$155)))/2+1)/'По дням'!$M$6:$M$155,2)*(1-'По дням'!$N$6:$N$155)))</f>
        <v/>
      </c>
      <c r="G244">
        <f>IF(A244="","",IF(C244&gt;D244,"",B244*1000000+C244))</f>
        <v/>
      </c>
      <c r="H244" s="14">
        <f>IF(G244="","",SUMIFS(Оплаты!$B$6:$B$505,Оплаты!$D$6:$D$505,A244,Оплаты!$A$6:$A$505,D244))</f>
        <v/>
      </c>
      <c r="I244">
        <f>IF(G244="","",SUMPRODUCT((((((D244+'По дням'!$K$6:$K$155-ABS(D244-'По дням'!$K$6:$K$155))-(C244+'По дням'!$J$6:$J$155+ABS(C244-'По дням'!$J$6:$J$155)))/2+1)&gt;0)*(((D244+'По дням'!$K$6:$K$155-ABS(D244-'По дням'!$K$6:$K$155))-(C244+'По дням'!$J$6:$J$155+ABS(C244-'По дням'!$J$6:$J$155)))/2+1)&gt;0)*1))</f>
        <v/>
      </c>
    </row>
    <row r="245">
      <c r="A245">
        <f>IF(AND(Оплаты!$E$237="ок",COUNTIFS(Акты!$B$5:$B$16,Оплаты!$D$237,Акты!$H$5:$H$16,"ок")&gt;0,COUNTIFS(Оплаты!$D$6:$D$236,Оплаты!$D$237,Оплаты!$A$6:$A$236,Оплаты!$A$237)=0),Оплаты!$D$237,"")</f>
        <v/>
      </c>
      <c r="B245">
        <f>IF(A245="","",MATCH(A245,Акты!$B$5:$B$16,0))</f>
        <v/>
      </c>
      <c r="C245" s="20">
        <f>IF(A245="","",Оплаты!$A$237+1)</f>
        <v/>
      </c>
      <c r="D245" s="20">
        <f>IF(A245="","",MIN(Ввод!$B$4,Ввод!$B$4+1-SUMPRODUCT(MAX((Оплаты!$D$6:$D$505=A245)*(Оплаты!$A$6:$A$505&gt;Оплаты!$A$237)*(Ввод!$B$4+1-Оплаты!$A$6:$A$505)))))</f>
        <v/>
      </c>
      <c r="E245" s="14">
        <f>IF(A245="","",INDEX(Акты!$D$5:$D$16,B245)-SUMIFS(Оплаты!$B$6:$B$505,Оплаты!$D$6:$D$505,A245,Оплаты!$A$6:$A$505,"&lt;="&amp;Оплаты!$A$237))</f>
        <v/>
      </c>
      <c r="F245" s="14">
        <f>IF(G245="","",SUMPRODUCT(ROUND(E245*'По дням'!$L$6:$L$155/100*((((D245+'По дням'!$K$6:$K$155-ABS(D245-'По дням'!$K$6:$K$155))-(C245+'По дням'!$J$6:$J$155+ABS(C245-'По дням'!$J$6:$J$155)))/2+1)&gt;0)*(((D245+'По дням'!$K$6:$K$155-ABS(D245-'По дням'!$K$6:$K$155))-(C245+'По дням'!$J$6:$J$155+ABS(C245-'По дням'!$J$6:$J$155)))/2+1)/'По дням'!$M$6:$M$155,2)*(1-'По дням'!$N$6:$N$155)))</f>
        <v/>
      </c>
      <c r="G245">
        <f>IF(A245="","",IF(C245&gt;D245,"",B245*1000000+C245))</f>
        <v/>
      </c>
      <c r="H245" s="14">
        <f>IF(G245="","",SUMIFS(Оплаты!$B$6:$B$505,Оплаты!$D$6:$D$505,A245,Оплаты!$A$6:$A$505,D245))</f>
        <v/>
      </c>
      <c r="I245">
        <f>IF(G245="","",SUMPRODUCT((((((D245+'По дням'!$K$6:$K$155-ABS(D245-'По дням'!$K$6:$K$155))-(C245+'По дням'!$J$6:$J$155+ABS(C245-'По дням'!$J$6:$J$155)))/2+1)&gt;0)*(((D245+'По дням'!$K$6:$K$155-ABS(D245-'По дням'!$K$6:$K$155))-(C245+'По дням'!$J$6:$J$155+ABS(C245-'По дням'!$J$6:$J$155)))/2+1)&gt;0)*1))</f>
        <v/>
      </c>
    </row>
    <row r="246">
      <c r="A246">
        <f>IF(AND(Оплаты!$E$238="ок",COUNTIFS(Акты!$B$5:$B$16,Оплаты!$D$238,Акты!$H$5:$H$16,"ок")&gt;0,COUNTIFS(Оплаты!$D$6:$D$237,Оплаты!$D$238,Оплаты!$A$6:$A$237,Оплаты!$A$238)=0),Оплаты!$D$238,"")</f>
        <v/>
      </c>
      <c r="B246">
        <f>IF(A246="","",MATCH(A246,Акты!$B$5:$B$16,0))</f>
        <v/>
      </c>
      <c r="C246" s="20">
        <f>IF(A246="","",Оплаты!$A$238+1)</f>
        <v/>
      </c>
      <c r="D246" s="20">
        <f>IF(A246="","",MIN(Ввод!$B$4,Ввод!$B$4+1-SUMPRODUCT(MAX((Оплаты!$D$6:$D$505=A246)*(Оплаты!$A$6:$A$505&gt;Оплаты!$A$238)*(Ввод!$B$4+1-Оплаты!$A$6:$A$505)))))</f>
        <v/>
      </c>
      <c r="E246" s="14">
        <f>IF(A246="","",INDEX(Акты!$D$5:$D$16,B246)-SUMIFS(Оплаты!$B$6:$B$505,Оплаты!$D$6:$D$505,A246,Оплаты!$A$6:$A$505,"&lt;="&amp;Оплаты!$A$238))</f>
        <v/>
      </c>
      <c r="F246" s="14">
        <f>IF(G246="","",SUMPRODUCT(ROUND(E246*'По дням'!$L$6:$L$155/100*((((D246+'По дням'!$K$6:$K$155-ABS(D246-'По дням'!$K$6:$K$155))-(C246+'По дням'!$J$6:$J$155+ABS(C246-'По дням'!$J$6:$J$155)))/2+1)&gt;0)*(((D246+'По дням'!$K$6:$K$155-ABS(D246-'По дням'!$K$6:$K$155))-(C246+'По дням'!$J$6:$J$155+ABS(C246-'По дням'!$J$6:$J$155)))/2+1)/'По дням'!$M$6:$M$155,2)*(1-'По дням'!$N$6:$N$155)))</f>
        <v/>
      </c>
      <c r="G246">
        <f>IF(A246="","",IF(C246&gt;D246,"",B246*1000000+C246))</f>
        <v/>
      </c>
      <c r="H246" s="14">
        <f>IF(G246="","",SUMIFS(Оплаты!$B$6:$B$505,Оплаты!$D$6:$D$505,A246,Оплаты!$A$6:$A$505,D246))</f>
        <v/>
      </c>
      <c r="I246">
        <f>IF(G246="","",SUMPRODUCT((((((D246+'По дням'!$K$6:$K$155-ABS(D246-'По дням'!$K$6:$K$155))-(C246+'По дням'!$J$6:$J$155+ABS(C246-'По дням'!$J$6:$J$155)))/2+1)&gt;0)*(((D246+'По дням'!$K$6:$K$155-ABS(D246-'По дням'!$K$6:$K$155))-(C246+'По дням'!$J$6:$J$155+ABS(C246-'По дням'!$J$6:$J$155)))/2+1)&gt;0)*1))</f>
        <v/>
      </c>
    </row>
    <row r="247">
      <c r="A247">
        <f>IF(AND(Оплаты!$E$239="ок",COUNTIFS(Акты!$B$5:$B$16,Оплаты!$D$239,Акты!$H$5:$H$16,"ок")&gt;0,COUNTIFS(Оплаты!$D$6:$D$238,Оплаты!$D$239,Оплаты!$A$6:$A$238,Оплаты!$A$239)=0),Оплаты!$D$239,"")</f>
        <v/>
      </c>
      <c r="B247">
        <f>IF(A247="","",MATCH(A247,Акты!$B$5:$B$16,0))</f>
        <v/>
      </c>
      <c r="C247" s="20">
        <f>IF(A247="","",Оплаты!$A$239+1)</f>
        <v/>
      </c>
      <c r="D247" s="20">
        <f>IF(A247="","",MIN(Ввод!$B$4,Ввод!$B$4+1-SUMPRODUCT(MAX((Оплаты!$D$6:$D$505=A247)*(Оплаты!$A$6:$A$505&gt;Оплаты!$A$239)*(Ввод!$B$4+1-Оплаты!$A$6:$A$505)))))</f>
        <v/>
      </c>
      <c r="E247" s="14">
        <f>IF(A247="","",INDEX(Акты!$D$5:$D$16,B247)-SUMIFS(Оплаты!$B$6:$B$505,Оплаты!$D$6:$D$505,A247,Оплаты!$A$6:$A$505,"&lt;="&amp;Оплаты!$A$239))</f>
        <v/>
      </c>
      <c r="F247" s="14">
        <f>IF(G247="","",SUMPRODUCT(ROUND(E247*'По дням'!$L$6:$L$155/100*((((D247+'По дням'!$K$6:$K$155-ABS(D247-'По дням'!$K$6:$K$155))-(C247+'По дням'!$J$6:$J$155+ABS(C247-'По дням'!$J$6:$J$155)))/2+1)&gt;0)*(((D247+'По дням'!$K$6:$K$155-ABS(D247-'По дням'!$K$6:$K$155))-(C247+'По дням'!$J$6:$J$155+ABS(C247-'По дням'!$J$6:$J$155)))/2+1)/'По дням'!$M$6:$M$155,2)*(1-'По дням'!$N$6:$N$155)))</f>
        <v/>
      </c>
      <c r="G247">
        <f>IF(A247="","",IF(C247&gt;D247,"",B247*1000000+C247))</f>
        <v/>
      </c>
      <c r="H247" s="14">
        <f>IF(G247="","",SUMIFS(Оплаты!$B$6:$B$505,Оплаты!$D$6:$D$505,A247,Оплаты!$A$6:$A$505,D247))</f>
        <v/>
      </c>
      <c r="I247">
        <f>IF(G247="","",SUMPRODUCT((((((D247+'По дням'!$K$6:$K$155-ABS(D247-'По дням'!$K$6:$K$155))-(C247+'По дням'!$J$6:$J$155+ABS(C247-'По дням'!$J$6:$J$155)))/2+1)&gt;0)*(((D247+'По дням'!$K$6:$K$155-ABS(D247-'По дням'!$K$6:$K$155))-(C247+'По дням'!$J$6:$J$155+ABS(C247-'По дням'!$J$6:$J$155)))/2+1)&gt;0)*1))</f>
        <v/>
      </c>
    </row>
    <row r="248">
      <c r="A248">
        <f>IF(AND(Оплаты!$E$240="ок",COUNTIFS(Акты!$B$5:$B$16,Оплаты!$D$240,Акты!$H$5:$H$16,"ок")&gt;0,COUNTIFS(Оплаты!$D$6:$D$239,Оплаты!$D$240,Оплаты!$A$6:$A$239,Оплаты!$A$240)=0),Оплаты!$D$240,"")</f>
        <v/>
      </c>
      <c r="B248">
        <f>IF(A248="","",MATCH(A248,Акты!$B$5:$B$16,0))</f>
        <v/>
      </c>
      <c r="C248" s="20">
        <f>IF(A248="","",Оплаты!$A$240+1)</f>
        <v/>
      </c>
      <c r="D248" s="20">
        <f>IF(A248="","",MIN(Ввод!$B$4,Ввод!$B$4+1-SUMPRODUCT(MAX((Оплаты!$D$6:$D$505=A248)*(Оплаты!$A$6:$A$505&gt;Оплаты!$A$240)*(Ввод!$B$4+1-Оплаты!$A$6:$A$505)))))</f>
        <v/>
      </c>
      <c r="E248" s="14">
        <f>IF(A248="","",INDEX(Акты!$D$5:$D$16,B248)-SUMIFS(Оплаты!$B$6:$B$505,Оплаты!$D$6:$D$505,A248,Оплаты!$A$6:$A$505,"&lt;="&amp;Оплаты!$A$240))</f>
        <v/>
      </c>
      <c r="F248" s="14">
        <f>IF(G248="","",SUMPRODUCT(ROUND(E248*'По дням'!$L$6:$L$155/100*((((D248+'По дням'!$K$6:$K$155-ABS(D248-'По дням'!$K$6:$K$155))-(C248+'По дням'!$J$6:$J$155+ABS(C248-'По дням'!$J$6:$J$155)))/2+1)&gt;0)*(((D248+'По дням'!$K$6:$K$155-ABS(D248-'По дням'!$K$6:$K$155))-(C248+'По дням'!$J$6:$J$155+ABS(C248-'По дням'!$J$6:$J$155)))/2+1)/'По дням'!$M$6:$M$155,2)*(1-'По дням'!$N$6:$N$155)))</f>
        <v/>
      </c>
      <c r="G248">
        <f>IF(A248="","",IF(C248&gt;D248,"",B248*1000000+C248))</f>
        <v/>
      </c>
      <c r="H248" s="14">
        <f>IF(G248="","",SUMIFS(Оплаты!$B$6:$B$505,Оплаты!$D$6:$D$505,A248,Оплаты!$A$6:$A$505,D248))</f>
        <v/>
      </c>
      <c r="I248">
        <f>IF(G248="","",SUMPRODUCT((((((D248+'По дням'!$K$6:$K$155-ABS(D248-'По дням'!$K$6:$K$155))-(C248+'По дням'!$J$6:$J$155+ABS(C248-'По дням'!$J$6:$J$155)))/2+1)&gt;0)*(((D248+'По дням'!$K$6:$K$155-ABS(D248-'По дням'!$K$6:$K$155))-(C248+'По дням'!$J$6:$J$155+ABS(C248-'По дням'!$J$6:$J$155)))/2+1)&gt;0)*1))</f>
        <v/>
      </c>
    </row>
    <row r="249">
      <c r="A249">
        <f>IF(AND(Оплаты!$E$241="ок",COUNTIFS(Акты!$B$5:$B$16,Оплаты!$D$241,Акты!$H$5:$H$16,"ок")&gt;0,COUNTIFS(Оплаты!$D$6:$D$240,Оплаты!$D$241,Оплаты!$A$6:$A$240,Оплаты!$A$241)=0),Оплаты!$D$241,"")</f>
        <v/>
      </c>
      <c r="B249">
        <f>IF(A249="","",MATCH(A249,Акты!$B$5:$B$16,0))</f>
        <v/>
      </c>
      <c r="C249" s="20">
        <f>IF(A249="","",Оплаты!$A$241+1)</f>
        <v/>
      </c>
      <c r="D249" s="20">
        <f>IF(A249="","",MIN(Ввод!$B$4,Ввод!$B$4+1-SUMPRODUCT(MAX((Оплаты!$D$6:$D$505=A249)*(Оплаты!$A$6:$A$505&gt;Оплаты!$A$241)*(Ввод!$B$4+1-Оплаты!$A$6:$A$505)))))</f>
        <v/>
      </c>
      <c r="E249" s="14">
        <f>IF(A249="","",INDEX(Акты!$D$5:$D$16,B249)-SUMIFS(Оплаты!$B$6:$B$505,Оплаты!$D$6:$D$505,A249,Оплаты!$A$6:$A$505,"&lt;="&amp;Оплаты!$A$241))</f>
        <v/>
      </c>
      <c r="F249" s="14">
        <f>IF(G249="","",SUMPRODUCT(ROUND(E249*'По дням'!$L$6:$L$155/100*((((D249+'По дням'!$K$6:$K$155-ABS(D249-'По дням'!$K$6:$K$155))-(C249+'По дням'!$J$6:$J$155+ABS(C249-'По дням'!$J$6:$J$155)))/2+1)&gt;0)*(((D249+'По дням'!$K$6:$K$155-ABS(D249-'По дням'!$K$6:$K$155))-(C249+'По дням'!$J$6:$J$155+ABS(C249-'По дням'!$J$6:$J$155)))/2+1)/'По дням'!$M$6:$M$155,2)*(1-'По дням'!$N$6:$N$155)))</f>
        <v/>
      </c>
      <c r="G249">
        <f>IF(A249="","",IF(C249&gt;D249,"",B249*1000000+C249))</f>
        <v/>
      </c>
      <c r="H249" s="14">
        <f>IF(G249="","",SUMIFS(Оплаты!$B$6:$B$505,Оплаты!$D$6:$D$505,A249,Оплаты!$A$6:$A$505,D249))</f>
        <v/>
      </c>
      <c r="I249">
        <f>IF(G249="","",SUMPRODUCT((((((D249+'По дням'!$K$6:$K$155-ABS(D249-'По дням'!$K$6:$K$155))-(C249+'По дням'!$J$6:$J$155+ABS(C249-'По дням'!$J$6:$J$155)))/2+1)&gt;0)*(((D249+'По дням'!$K$6:$K$155-ABS(D249-'По дням'!$K$6:$K$155))-(C249+'По дням'!$J$6:$J$155+ABS(C249-'По дням'!$J$6:$J$155)))/2+1)&gt;0)*1))</f>
        <v/>
      </c>
    </row>
    <row r="250">
      <c r="A250">
        <f>IF(AND(Оплаты!$E$242="ок",COUNTIFS(Акты!$B$5:$B$16,Оплаты!$D$242,Акты!$H$5:$H$16,"ок")&gt;0,COUNTIFS(Оплаты!$D$6:$D$241,Оплаты!$D$242,Оплаты!$A$6:$A$241,Оплаты!$A$242)=0),Оплаты!$D$242,"")</f>
        <v/>
      </c>
      <c r="B250">
        <f>IF(A250="","",MATCH(A250,Акты!$B$5:$B$16,0))</f>
        <v/>
      </c>
      <c r="C250" s="20">
        <f>IF(A250="","",Оплаты!$A$242+1)</f>
        <v/>
      </c>
      <c r="D250" s="20">
        <f>IF(A250="","",MIN(Ввод!$B$4,Ввод!$B$4+1-SUMPRODUCT(MAX((Оплаты!$D$6:$D$505=A250)*(Оплаты!$A$6:$A$505&gt;Оплаты!$A$242)*(Ввод!$B$4+1-Оплаты!$A$6:$A$505)))))</f>
        <v/>
      </c>
      <c r="E250" s="14">
        <f>IF(A250="","",INDEX(Акты!$D$5:$D$16,B250)-SUMIFS(Оплаты!$B$6:$B$505,Оплаты!$D$6:$D$505,A250,Оплаты!$A$6:$A$505,"&lt;="&amp;Оплаты!$A$242))</f>
        <v/>
      </c>
      <c r="F250" s="14">
        <f>IF(G250="","",SUMPRODUCT(ROUND(E250*'По дням'!$L$6:$L$155/100*((((D250+'По дням'!$K$6:$K$155-ABS(D250-'По дням'!$K$6:$K$155))-(C250+'По дням'!$J$6:$J$155+ABS(C250-'По дням'!$J$6:$J$155)))/2+1)&gt;0)*(((D250+'По дням'!$K$6:$K$155-ABS(D250-'По дням'!$K$6:$K$155))-(C250+'По дням'!$J$6:$J$155+ABS(C250-'По дням'!$J$6:$J$155)))/2+1)/'По дням'!$M$6:$M$155,2)*(1-'По дням'!$N$6:$N$155)))</f>
        <v/>
      </c>
      <c r="G250">
        <f>IF(A250="","",IF(C250&gt;D250,"",B250*1000000+C250))</f>
        <v/>
      </c>
      <c r="H250" s="14">
        <f>IF(G250="","",SUMIFS(Оплаты!$B$6:$B$505,Оплаты!$D$6:$D$505,A250,Оплаты!$A$6:$A$505,D250))</f>
        <v/>
      </c>
      <c r="I250">
        <f>IF(G250="","",SUMPRODUCT((((((D250+'По дням'!$K$6:$K$155-ABS(D250-'По дням'!$K$6:$K$155))-(C250+'По дням'!$J$6:$J$155+ABS(C250-'По дням'!$J$6:$J$155)))/2+1)&gt;0)*(((D250+'По дням'!$K$6:$K$155-ABS(D250-'По дням'!$K$6:$K$155))-(C250+'По дням'!$J$6:$J$155+ABS(C250-'По дням'!$J$6:$J$155)))/2+1)&gt;0)*1))</f>
        <v/>
      </c>
    </row>
    <row r="251">
      <c r="A251">
        <f>IF(AND(Оплаты!$E$243="ок",COUNTIFS(Акты!$B$5:$B$16,Оплаты!$D$243,Акты!$H$5:$H$16,"ок")&gt;0,COUNTIFS(Оплаты!$D$6:$D$242,Оплаты!$D$243,Оплаты!$A$6:$A$242,Оплаты!$A$243)=0),Оплаты!$D$243,"")</f>
        <v/>
      </c>
      <c r="B251">
        <f>IF(A251="","",MATCH(A251,Акты!$B$5:$B$16,0))</f>
        <v/>
      </c>
      <c r="C251" s="20">
        <f>IF(A251="","",Оплаты!$A$243+1)</f>
        <v/>
      </c>
      <c r="D251" s="20">
        <f>IF(A251="","",MIN(Ввод!$B$4,Ввод!$B$4+1-SUMPRODUCT(MAX((Оплаты!$D$6:$D$505=A251)*(Оплаты!$A$6:$A$505&gt;Оплаты!$A$243)*(Ввод!$B$4+1-Оплаты!$A$6:$A$505)))))</f>
        <v/>
      </c>
      <c r="E251" s="14">
        <f>IF(A251="","",INDEX(Акты!$D$5:$D$16,B251)-SUMIFS(Оплаты!$B$6:$B$505,Оплаты!$D$6:$D$505,A251,Оплаты!$A$6:$A$505,"&lt;="&amp;Оплаты!$A$243))</f>
        <v/>
      </c>
      <c r="F251" s="14">
        <f>IF(G251="","",SUMPRODUCT(ROUND(E251*'По дням'!$L$6:$L$155/100*((((D251+'По дням'!$K$6:$K$155-ABS(D251-'По дням'!$K$6:$K$155))-(C251+'По дням'!$J$6:$J$155+ABS(C251-'По дням'!$J$6:$J$155)))/2+1)&gt;0)*(((D251+'По дням'!$K$6:$K$155-ABS(D251-'По дням'!$K$6:$K$155))-(C251+'По дням'!$J$6:$J$155+ABS(C251-'По дням'!$J$6:$J$155)))/2+1)/'По дням'!$M$6:$M$155,2)*(1-'По дням'!$N$6:$N$155)))</f>
        <v/>
      </c>
      <c r="G251">
        <f>IF(A251="","",IF(C251&gt;D251,"",B251*1000000+C251))</f>
        <v/>
      </c>
      <c r="H251" s="14">
        <f>IF(G251="","",SUMIFS(Оплаты!$B$6:$B$505,Оплаты!$D$6:$D$505,A251,Оплаты!$A$6:$A$505,D251))</f>
        <v/>
      </c>
      <c r="I251">
        <f>IF(G251="","",SUMPRODUCT((((((D251+'По дням'!$K$6:$K$155-ABS(D251-'По дням'!$K$6:$K$155))-(C251+'По дням'!$J$6:$J$155+ABS(C251-'По дням'!$J$6:$J$155)))/2+1)&gt;0)*(((D251+'По дням'!$K$6:$K$155-ABS(D251-'По дням'!$K$6:$K$155))-(C251+'По дням'!$J$6:$J$155+ABS(C251-'По дням'!$J$6:$J$155)))/2+1)&gt;0)*1))</f>
        <v/>
      </c>
    </row>
    <row r="252">
      <c r="A252">
        <f>IF(AND(Оплаты!$E$244="ок",COUNTIFS(Акты!$B$5:$B$16,Оплаты!$D$244,Акты!$H$5:$H$16,"ок")&gt;0,COUNTIFS(Оплаты!$D$6:$D$243,Оплаты!$D$244,Оплаты!$A$6:$A$243,Оплаты!$A$244)=0),Оплаты!$D$244,"")</f>
        <v/>
      </c>
      <c r="B252">
        <f>IF(A252="","",MATCH(A252,Акты!$B$5:$B$16,0))</f>
        <v/>
      </c>
      <c r="C252" s="20">
        <f>IF(A252="","",Оплаты!$A$244+1)</f>
        <v/>
      </c>
      <c r="D252" s="20">
        <f>IF(A252="","",MIN(Ввод!$B$4,Ввод!$B$4+1-SUMPRODUCT(MAX((Оплаты!$D$6:$D$505=A252)*(Оплаты!$A$6:$A$505&gt;Оплаты!$A$244)*(Ввод!$B$4+1-Оплаты!$A$6:$A$505)))))</f>
        <v/>
      </c>
      <c r="E252" s="14">
        <f>IF(A252="","",INDEX(Акты!$D$5:$D$16,B252)-SUMIFS(Оплаты!$B$6:$B$505,Оплаты!$D$6:$D$505,A252,Оплаты!$A$6:$A$505,"&lt;="&amp;Оплаты!$A$244))</f>
        <v/>
      </c>
      <c r="F252" s="14">
        <f>IF(G252="","",SUMPRODUCT(ROUND(E252*'По дням'!$L$6:$L$155/100*((((D252+'По дням'!$K$6:$K$155-ABS(D252-'По дням'!$K$6:$K$155))-(C252+'По дням'!$J$6:$J$155+ABS(C252-'По дням'!$J$6:$J$155)))/2+1)&gt;0)*(((D252+'По дням'!$K$6:$K$155-ABS(D252-'По дням'!$K$6:$K$155))-(C252+'По дням'!$J$6:$J$155+ABS(C252-'По дням'!$J$6:$J$155)))/2+1)/'По дням'!$M$6:$M$155,2)*(1-'По дням'!$N$6:$N$155)))</f>
        <v/>
      </c>
      <c r="G252">
        <f>IF(A252="","",IF(C252&gt;D252,"",B252*1000000+C252))</f>
        <v/>
      </c>
      <c r="H252" s="14">
        <f>IF(G252="","",SUMIFS(Оплаты!$B$6:$B$505,Оплаты!$D$6:$D$505,A252,Оплаты!$A$6:$A$505,D252))</f>
        <v/>
      </c>
      <c r="I252">
        <f>IF(G252="","",SUMPRODUCT((((((D252+'По дням'!$K$6:$K$155-ABS(D252-'По дням'!$K$6:$K$155))-(C252+'По дням'!$J$6:$J$155+ABS(C252-'По дням'!$J$6:$J$155)))/2+1)&gt;0)*(((D252+'По дням'!$K$6:$K$155-ABS(D252-'По дням'!$K$6:$K$155))-(C252+'По дням'!$J$6:$J$155+ABS(C252-'По дням'!$J$6:$J$155)))/2+1)&gt;0)*1))</f>
        <v/>
      </c>
    </row>
    <row r="253">
      <c r="A253">
        <f>IF(AND(Оплаты!$E$245="ок",COUNTIFS(Акты!$B$5:$B$16,Оплаты!$D$245,Акты!$H$5:$H$16,"ок")&gt;0,COUNTIFS(Оплаты!$D$6:$D$244,Оплаты!$D$245,Оплаты!$A$6:$A$244,Оплаты!$A$245)=0),Оплаты!$D$245,"")</f>
        <v/>
      </c>
      <c r="B253">
        <f>IF(A253="","",MATCH(A253,Акты!$B$5:$B$16,0))</f>
        <v/>
      </c>
      <c r="C253" s="20">
        <f>IF(A253="","",Оплаты!$A$245+1)</f>
        <v/>
      </c>
      <c r="D253" s="20">
        <f>IF(A253="","",MIN(Ввод!$B$4,Ввод!$B$4+1-SUMPRODUCT(MAX((Оплаты!$D$6:$D$505=A253)*(Оплаты!$A$6:$A$505&gt;Оплаты!$A$245)*(Ввод!$B$4+1-Оплаты!$A$6:$A$505)))))</f>
        <v/>
      </c>
      <c r="E253" s="14">
        <f>IF(A253="","",INDEX(Акты!$D$5:$D$16,B253)-SUMIFS(Оплаты!$B$6:$B$505,Оплаты!$D$6:$D$505,A253,Оплаты!$A$6:$A$505,"&lt;="&amp;Оплаты!$A$245))</f>
        <v/>
      </c>
      <c r="F253" s="14">
        <f>IF(G253="","",SUMPRODUCT(ROUND(E253*'По дням'!$L$6:$L$155/100*((((D253+'По дням'!$K$6:$K$155-ABS(D253-'По дням'!$K$6:$K$155))-(C253+'По дням'!$J$6:$J$155+ABS(C253-'По дням'!$J$6:$J$155)))/2+1)&gt;0)*(((D253+'По дням'!$K$6:$K$155-ABS(D253-'По дням'!$K$6:$K$155))-(C253+'По дням'!$J$6:$J$155+ABS(C253-'По дням'!$J$6:$J$155)))/2+1)/'По дням'!$M$6:$M$155,2)*(1-'По дням'!$N$6:$N$155)))</f>
        <v/>
      </c>
      <c r="G253">
        <f>IF(A253="","",IF(C253&gt;D253,"",B253*1000000+C253))</f>
        <v/>
      </c>
      <c r="H253" s="14">
        <f>IF(G253="","",SUMIFS(Оплаты!$B$6:$B$505,Оплаты!$D$6:$D$505,A253,Оплаты!$A$6:$A$505,D253))</f>
        <v/>
      </c>
      <c r="I253">
        <f>IF(G253="","",SUMPRODUCT((((((D253+'По дням'!$K$6:$K$155-ABS(D253-'По дням'!$K$6:$K$155))-(C253+'По дням'!$J$6:$J$155+ABS(C253-'По дням'!$J$6:$J$155)))/2+1)&gt;0)*(((D253+'По дням'!$K$6:$K$155-ABS(D253-'По дням'!$K$6:$K$155))-(C253+'По дням'!$J$6:$J$155+ABS(C253-'По дням'!$J$6:$J$155)))/2+1)&gt;0)*1))</f>
        <v/>
      </c>
    </row>
    <row r="254">
      <c r="A254">
        <f>IF(AND(Оплаты!$E$246="ок",COUNTIFS(Акты!$B$5:$B$16,Оплаты!$D$246,Акты!$H$5:$H$16,"ок")&gt;0,COUNTIFS(Оплаты!$D$6:$D$245,Оплаты!$D$246,Оплаты!$A$6:$A$245,Оплаты!$A$246)=0),Оплаты!$D$246,"")</f>
        <v/>
      </c>
      <c r="B254">
        <f>IF(A254="","",MATCH(A254,Акты!$B$5:$B$16,0))</f>
        <v/>
      </c>
      <c r="C254" s="20">
        <f>IF(A254="","",Оплаты!$A$246+1)</f>
        <v/>
      </c>
      <c r="D254" s="20">
        <f>IF(A254="","",MIN(Ввод!$B$4,Ввод!$B$4+1-SUMPRODUCT(MAX((Оплаты!$D$6:$D$505=A254)*(Оплаты!$A$6:$A$505&gt;Оплаты!$A$246)*(Ввод!$B$4+1-Оплаты!$A$6:$A$505)))))</f>
        <v/>
      </c>
      <c r="E254" s="14">
        <f>IF(A254="","",INDEX(Акты!$D$5:$D$16,B254)-SUMIFS(Оплаты!$B$6:$B$505,Оплаты!$D$6:$D$505,A254,Оплаты!$A$6:$A$505,"&lt;="&amp;Оплаты!$A$246))</f>
        <v/>
      </c>
      <c r="F254" s="14">
        <f>IF(G254="","",SUMPRODUCT(ROUND(E254*'По дням'!$L$6:$L$155/100*((((D254+'По дням'!$K$6:$K$155-ABS(D254-'По дням'!$K$6:$K$155))-(C254+'По дням'!$J$6:$J$155+ABS(C254-'По дням'!$J$6:$J$155)))/2+1)&gt;0)*(((D254+'По дням'!$K$6:$K$155-ABS(D254-'По дням'!$K$6:$K$155))-(C254+'По дням'!$J$6:$J$155+ABS(C254-'По дням'!$J$6:$J$155)))/2+1)/'По дням'!$M$6:$M$155,2)*(1-'По дням'!$N$6:$N$155)))</f>
        <v/>
      </c>
      <c r="G254">
        <f>IF(A254="","",IF(C254&gt;D254,"",B254*1000000+C254))</f>
        <v/>
      </c>
      <c r="H254" s="14">
        <f>IF(G254="","",SUMIFS(Оплаты!$B$6:$B$505,Оплаты!$D$6:$D$505,A254,Оплаты!$A$6:$A$505,D254))</f>
        <v/>
      </c>
      <c r="I254">
        <f>IF(G254="","",SUMPRODUCT((((((D254+'По дням'!$K$6:$K$155-ABS(D254-'По дням'!$K$6:$K$155))-(C254+'По дням'!$J$6:$J$155+ABS(C254-'По дням'!$J$6:$J$155)))/2+1)&gt;0)*(((D254+'По дням'!$K$6:$K$155-ABS(D254-'По дням'!$K$6:$K$155))-(C254+'По дням'!$J$6:$J$155+ABS(C254-'По дням'!$J$6:$J$155)))/2+1)&gt;0)*1))</f>
        <v/>
      </c>
    </row>
    <row r="255">
      <c r="A255">
        <f>IF(AND(Оплаты!$E$247="ок",COUNTIFS(Акты!$B$5:$B$16,Оплаты!$D$247,Акты!$H$5:$H$16,"ок")&gt;0,COUNTIFS(Оплаты!$D$6:$D$246,Оплаты!$D$247,Оплаты!$A$6:$A$246,Оплаты!$A$247)=0),Оплаты!$D$247,"")</f>
        <v/>
      </c>
      <c r="B255">
        <f>IF(A255="","",MATCH(A255,Акты!$B$5:$B$16,0))</f>
        <v/>
      </c>
      <c r="C255" s="20">
        <f>IF(A255="","",Оплаты!$A$247+1)</f>
        <v/>
      </c>
      <c r="D255" s="20">
        <f>IF(A255="","",MIN(Ввод!$B$4,Ввод!$B$4+1-SUMPRODUCT(MAX((Оплаты!$D$6:$D$505=A255)*(Оплаты!$A$6:$A$505&gt;Оплаты!$A$247)*(Ввод!$B$4+1-Оплаты!$A$6:$A$505)))))</f>
        <v/>
      </c>
      <c r="E255" s="14">
        <f>IF(A255="","",INDEX(Акты!$D$5:$D$16,B255)-SUMIFS(Оплаты!$B$6:$B$505,Оплаты!$D$6:$D$505,A255,Оплаты!$A$6:$A$505,"&lt;="&amp;Оплаты!$A$247))</f>
        <v/>
      </c>
      <c r="F255" s="14">
        <f>IF(G255="","",SUMPRODUCT(ROUND(E255*'По дням'!$L$6:$L$155/100*((((D255+'По дням'!$K$6:$K$155-ABS(D255-'По дням'!$K$6:$K$155))-(C255+'По дням'!$J$6:$J$155+ABS(C255-'По дням'!$J$6:$J$155)))/2+1)&gt;0)*(((D255+'По дням'!$K$6:$K$155-ABS(D255-'По дням'!$K$6:$K$155))-(C255+'По дням'!$J$6:$J$155+ABS(C255-'По дням'!$J$6:$J$155)))/2+1)/'По дням'!$M$6:$M$155,2)*(1-'По дням'!$N$6:$N$155)))</f>
        <v/>
      </c>
      <c r="G255">
        <f>IF(A255="","",IF(C255&gt;D255,"",B255*1000000+C255))</f>
        <v/>
      </c>
      <c r="H255" s="14">
        <f>IF(G255="","",SUMIFS(Оплаты!$B$6:$B$505,Оплаты!$D$6:$D$505,A255,Оплаты!$A$6:$A$505,D255))</f>
        <v/>
      </c>
      <c r="I255">
        <f>IF(G255="","",SUMPRODUCT((((((D255+'По дням'!$K$6:$K$155-ABS(D255-'По дням'!$K$6:$K$155))-(C255+'По дням'!$J$6:$J$155+ABS(C255-'По дням'!$J$6:$J$155)))/2+1)&gt;0)*(((D255+'По дням'!$K$6:$K$155-ABS(D255-'По дням'!$K$6:$K$155))-(C255+'По дням'!$J$6:$J$155+ABS(C255-'По дням'!$J$6:$J$155)))/2+1)&gt;0)*1))</f>
        <v/>
      </c>
    </row>
    <row r="256">
      <c r="A256">
        <f>IF(AND(Оплаты!$E$248="ок",COUNTIFS(Акты!$B$5:$B$16,Оплаты!$D$248,Акты!$H$5:$H$16,"ок")&gt;0,COUNTIFS(Оплаты!$D$6:$D$247,Оплаты!$D$248,Оплаты!$A$6:$A$247,Оплаты!$A$248)=0),Оплаты!$D$248,"")</f>
        <v/>
      </c>
      <c r="B256">
        <f>IF(A256="","",MATCH(A256,Акты!$B$5:$B$16,0))</f>
        <v/>
      </c>
      <c r="C256" s="20">
        <f>IF(A256="","",Оплаты!$A$248+1)</f>
        <v/>
      </c>
      <c r="D256" s="20">
        <f>IF(A256="","",MIN(Ввод!$B$4,Ввод!$B$4+1-SUMPRODUCT(MAX((Оплаты!$D$6:$D$505=A256)*(Оплаты!$A$6:$A$505&gt;Оплаты!$A$248)*(Ввод!$B$4+1-Оплаты!$A$6:$A$505)))))</f>
        <v/>
      </c>
      <c r="E256" s="14">
        <f>IF(A256="","",INDEX(Акты!$D$5:$D$16,B256)-SUMIFS(Оплаты!$B$6:$B$505,Оплаты!$D$6:$D$505,A256,Оплаты!$A$6:$A$505,"&lt;="&amp;Оплаты!$A$248))</f>
        <v/>
      </c>
      <c r="F256" s="14">
        <f>IF(G256="","",SUMPRODUCT(ROUND(E256*'По дням'!$L$6:$L$155/100*((((D256+'По дням'!$K$6:$K$155-ABS(D256-'По дням'!$K$6:$K$155))-(C256+'По дням'!$J$6:$J$155+ABS(C256-'По дням'!$J$6:$J$155)))/2+1)&gt;0)*(((D256+'По дням'!$K$6:$K$155-ABS(D256-'По дням'!$K$6:$K$155))-(C256+'По дням'!$J$6:$J$155+ABS(C256-'По дням'!$J$6:$J$155)))/2+1)/'По дням'!$M$6:$M$155,2)*(1-'По дням'!$N$6:$N$155)))</f>
        <v/>
      </c>
      <c r="G256">
        <f>IF(A256="","",IF(C256&gt;D256,"",B256*1000000+C256))</f>
        <v/>
      </c>
      <c r="H256" s="14">
        <f>IF(G256="","",SUMIFS(Оплаты!$B$6:$B$505,Оплаты!$D$6:$D$505,A256,Оплаты!$A$6:$A$505,D256))</f>
        <v/>
      </c>
      <c r="I256">
        <f>IF(G256="","",SUMPRODUCT((((((D256+'По дням'!$K$6:$K$155-ABS(D256-'По дням'!$K$6:$K$155))-(C256+'По дням'!$J$6:$J$155+ABS(C256-'По дням'!$J$6:$J$155)))/2+1)&gt;0)*(((D256+'По дням'!$K$6:$K$155-ABS(D256-'По дням'!$K$6:$K$155))-(C256+'По дням'!$J$6:$J$155+ABS(C256-'По дням'!$J$6:$J$155)))/2+1)&gt;0)*1))</f>
        <v/>
      </c>
    </row>
    <row r="257">
      <c r="A257">
        <f>IF(AND(Оплаты!$E$249="ок",COUNTIFS(Акты!$B$5:$B$16,Оплаты!$D$249,Акты!$H$5:$H$16,"ок")&gt;0,COUNTIFS(Оплаты!$D$6:$D$248,Оплаты!$D$249,Оплаты!$A$6:$A$248,Оплаты!$A$249)=0),Оплаты!$D$249,"")</f>
        <v/>
      </c>
      <c r="B257">
        <f>IF(A257="","",MATCH(A257,Акты!$B$5:$B$16,0))</f>
        <v/>
      </c>
      <c r="C257" s="20">
        <f>IF(A257="","",Оплаты!$A$249+1)</f>
        <v/>
      </c>
      <c r="D257" s="20">
        <f>IF(A257="","",MIN(Ввод!$B$4,Ввод!$B$4+1-SUMPRODUCT(MAX((Оплаты!$D$6:$D$505=A257)*(Оплаты!$A$6:$A$505&gt;Оплаты!$A$249)*(Ввод!$B$4+1-Оплаты!$A$6:$A$505)))))</f>
        <v/>
      </c>
      <c r="E257" s="14">
        <f>IF(A257="","",INDEX(Акты!$D$5:$D$16,B257)-SUMIFS(Оплаты!$B$6:$B$505,Оплаты!$D$6:$D$505,A257,Оплаты!$A$6:$A$505,"&lt;="&amp;Оплаты!$A$249))</f>
        <v/>
      </c>
      <c r="F257" s="14">
        <f>IF(G257="","",SUMPRODUCT(ROUND(E257*'По дням'!$L$6:$L$155/100*((((D257+'По дням'!$K$6:$K$155-ABS(D257-'По дням'!$K$6:$K$155))-(C257+'По дням'!$J$6:$J$155+ABS(C257-'По дням'!$J$6:$J$155)))/2+1)&gt;0)*(((D257+'По дням'!$K$6:$K$155-ABS(D257-'По дням'!$K$6:$K$155))-(C257+'По дням'!$J$6:$J$155+ABS(C257-'По дням'!$J$6:$J$155)))/2+1)/'По дням'!$M$6:$M$155,2)*(1-'По дням'!$N$6:$N$155)))</f>
        <v/>
      </c>
      <c r="G257">
        <f>IF(A257="","",IF(C257&gt;D257,"",B257*1000000+C257))</f>
        <v/>
      </c>
      <c r="H257" s="14">
        <f>IF(G257="","",SUMIFS(Оплаты!$B$6:$B$505,Оплаты!$D$6:$D$505,A257,Оплаты!$A$6:$A$505,D257))</f>
        <v/>
      </c>
      <c r="I257">
        <f>IF(G257="","",SUMPRODUCT((((((D257+'По дням'!$K$6:$K$155-ABS(D257-'По дням'!$K$6:$K$155))-(C257+'По дням'!$J$6:$J$155+ABS(C257-'По дням'!$J$6:$J$155)))/2+1)&gt;0)*(((D257+'По дням'!$K$6:$K$155-ABS(D257-'По дням'!$K$6:$K$155))-(C257+'По дням'!$J$6:$J$155+ABS(C257-'По дням'!$J$6:$J$155)))/2+1)&gt;0)*1))</f>
        <v/>
      </c>
    </row>
    <row r="258">
      <c r="A258">
        <f>IF(AND(Оплаты!$E$250="ок",COUNTIFS(Акты!$B$5:$B$16,Оплаты!$D$250,Акты!$H$5:$H$16,"ок")&gt;0,COUNTIFS(Оплаты!$D$6:$D$249,Оплаты!$D$250,Оплаты!$A$6:$A$249,Оплаты!$A$250)=0),Оплаты!$D$250,"")</f>
        <v/>
      </c>
      <c r="B258">
        <f>IF(A258="","",MATCH(A258,Акты!$B$5:$B$16,0))</f>
        <v/>
      </c>
      <c r="C258" s="20">
        <f>IF(A258="","",Оплаты!$A$250+1)</f>
        <v/>
      </c>
      <c r="D258" s="20">
        <f>IF(A258="","",MIN(Ввод!$B$4,Ввод!$B$4+1-SUMPRODUCT(MAX((Оплаты!$D$6:$D$505=A258)*(Оплаты!$A$6:$A$505&gt;Оплаты!$A$250)*(Ввод!$B$4+1-Оплаты!$A$6:$A$505)))))</f>
        <v/>
      </c>
      <c r="E258" s="14">
        <f>IF(A258="","",INDEX(Акты!$D$5:$D$16,B258)-SUMIFS(Оплаты!$B$6:$B$505,Оплаты!$D$6:$D$505,A258,Оплаты!$A$6:$A$505,"&lt;="&amp;Оплаты!$A$250))</f>
        <v/>
      </c>
      <c r="F258" s="14">
        <f>IF(G258="","",SUMPRODUCT(ROUND(E258*'По дням'!$L$6:$L$155/100*((((D258+'По дням'!$K$6:$K$155-ABS(D258-'По дням'!$K$6:$K$155))-(C258+'По дням'!$J$6:$J$155+ABS(C258-'По дням'!$J$6:$J$155)))/2+1)&gt;0)*(((D258+'По дням'!$K$6:$K$155-ABS(D258-'По дням'!$K$6:$K$155))-(C258+'По дням'!$J$6:$J$155+ABS(C258-'По дням'!$J$6:$J$155)))/2+1)/'По дням'!$M$6:$M$155,2)*(1-'По дням'!$N$6:$N$155)))</f>
        <v/>
      </c>
      <c r="G258">
        <f>IF(A258="","",IF(C258&gt;D258,"",B258*1000000+C258))</f>
        <v/>
      </c>
      <c r="H258" s="14">
        <f>IF(G258="","",SUMIFS(Оплаты!$B$6:$B$505,Оплаты!$D$6:$D$505,A258,Оплаты!$A$6:$A$505,D258))</f>
        <v/>
      </c>
      <c r="I258">
        <f>IF(G258="","",SUMPRODUCT((((((D258+'По дням'!$K$6:$K$155-ABS(D258-'По дням'!$K$6:$K$155))-(C258+'По дням'!$J$6:$J$155+ABS(C258-'По дням'!$J$6:$J$155)))/2+1)&gt;0)*(((D258+'По дням'!$K$6:$K$155-ABS(D258-'По дням'!$K$6:$K$155))-(C258+'По дням'!$J$6:$J$155+ABS(C258-'По дням'!$J$6:$J$155)))/2+1)&gt;0)*1))</f>
        <v/>
      </c>
    </row>
    <row r="259">
      <c r="A259">
        <f>IF(AND(Оплаты!$E$251="ок",COUNTIFS(Акты!$B$5:$B$16,Оплаты!$D$251,Акты!$H$5:$H$16,"ок")&gt;0,COUNTIFS(Оплаты!$D$6:$D$250,Оплаты!$D$251,Оплаты!$A$6:$A$250,Оплаты!$A$251)=0),Оплаты!$D$251,"")</f>
        <v/>
      </c>
      <c r="B259">
        <f>IF(A259="","",MATCH(A259,Акты!$B$5:$B$16,0))</f>
        <v/>
      </c>
      <c r="C259" s="20">
        <f>IF(A259="","",Оплаты!$A$251+1)</f>
        <v/>
      </c>
      <c r="D259" s="20">
        <f>IF(A259="","",MIN(Ввод!$B$4,Ввод!$B$4+1-SUMPRODUCT(MAX((Оплаты!$D$6:$D$505=A259)*(Оплаты!$A$6:$A$505&gt;Оплаты!$A$251)*(Ввод!$B$4+1-Оплаты!$A$6:$A$505)))))</f>
        <v/>
      </c>
      <c r="E259" s="14">
        <f>IF(A259="","",INDEX(Акты!$D$5:$D$16,B259)-SUMIFS(Оплаты!$B$6:$B$505,Оплаты!$D$6:$D$505,A259,Оплаты!$A$6:$A$505,"&lt;="&amp;Оплаты!$A$251))</f>
        <v/>
      </c>
      <c r="F259" s="14">
        <f>IF(G259="","",SUMPRODUCT(ROUND(E259*'По дням'!$L$6:$L$155/100*((((D259+'По дням'!$K$6:$K$155-ABS(D259-'По дням'!$K$6:$K$155))-(C259+'По дням'!$J$6:$J$155+ABS(C259-'По дням'!$J$6:$J$155)))/2+1)&gt;0)*(((D259+'По дням'!$K$6:$K$155-ABS(D259-'По дням'!$K$6:$K$155))-(C259+'По дням'!$J$6:$J$155+ABS(C259-'По дням'!$J$6:$J$155)))/2+1)/'По дням'!$M$6:$M$155,2)*(1-'По дням'!$N$6:$N$155)))</f>
        <v/>
      </c>
      <c r="G259">
        <f>IF(A259="","",IF(C259&gt;D259,"",B259*1000000+C259))</f>
        <v/>
      </c>
      <c r="H259" s="14">
        <f>IF(G259="","",SUMIFS(Оплаты!$B$6:$B$505,Оплаты!$D$6:$D$505,A259,Оплаты!$A$6:$A$505,D259))</f>
        <v/>
      </c>
      <c r="I259">
        <f>IF(G259="","",SUMPRODUCT((((((D259+'По дням'!$K$6:$K$155-ABS(D259-'По дням'!$K$6:$K$155))-(C259+'По дням'!$J$6:$J$155+ABS(C259-'По дням'!$J$6:$J$155)))/2+1)&gt;0)*(((D259+'По дням'!$K$6:$K$155-ABS(D259-'По дням'!$K$6:$K$155))-(C259+'По дням'!$J$6:$J$155+ABS(C259-'По дням'!$J$6:$J$155)))/2+1)&gt;0)*1))</f>
        <v/>
      </c>
    </row>
    <row r="260">
      <c r="A260">
        <f>IF(AND(Оплаты!$E$252="ок",COUNTIFS(Акты!$B$5:$B$16,Оплаты!$D$252,Акты!$H$5:$H$16,"ок")&gt;0,COUNTIFS(Оплаты!$D$6:$D$251,Оплаты!$D$252,Оплаты!$A$6:$A$251,Оплаты!$A$252)=0),Оплаты!$D$252,"")</f>
        <v/>
      </c>
      <c r="B260">
        <f>IF(A260="","",MATCH(A260,Акты!$B$5:$B$16,0))</f>
        <v/>
      </c>
      <c r="C260" s="20">
        <f>IF(A260="","",Оплаты!$A$252+1)</f>
        <v/>
      </c>
      <c r="D260" s="20">
        <f>IF(A260="","",MIN(Ввод!$B$4,Ввод!$B$4+1-SUMPRODUCT(MAX((Оплаты!$D$6:$D$505=A260)*(Оплаты!$A$6:$A$505&gt;Оплаты!$A$252)*(Ввод!$B$4+1-Оплаты!$A$6:$A$505)))))</f>
        <v/>
      </c>
      <c r="E260" s="14">
        <f>IF(A260="","",INDEX(Акты!$D$5:$D$16,B260)-SUMIFS(Оплаты!$B$6:$B$505,Оплаты!$D$6:$D$505,A260,Оплаты!$A$6:$A$505,"&lt;="&amp;Оплаты!$A$252))</f>
        <v/>
      </c>
      <c r="F260" s="14">
        <f>IF(G260="","",SUMPRODUCT(ROUND(E260*'По дням'!$L$6:$L$155/100*((((D260+'По дням'!$K$6:$K$155-ABS(D260-'По дням'!$K$6:$K$155))-(C260+'По дням'!$J$6:$J$155+ABS(C260-'По дням'!$J$6:$J$155)))/2+1)&gt;0)*(((D260+'По дням'!$K$6:$K$155-ABS(D260-'По дням'!$K$6:$K$155))-(C260+'По дням'!$J$6:$J$155+ABS(C260-'По дням'!$J$6:$J$155)))/2+1)/'По дням'!$M$6:$M$155,2)*(1-'По дням'!$N$6:$N$155)))</f>
        <v/>
      </c>
      <c r="G260">
        <f>IF(A260="","",IF(C260&gt;D260,"",B260*1000000+C260))</f>
        <v/>
      </c>
      <c r="H260" s="14">
        <f>IF(G260="","",SUMIFS(Оплаты!$B$6:$B$505,Оплаты!$D$6:$D$505,A260,Оплаты!$A$6:$A$505,D260))</f>
        <v/>
      </c>
      <c r="I260">
        <f>IF(G260="","",SUMPRODUCT((((((D260+'По дням'!$K$6:$K$155-ABS(D260-'По дням'!$K$6:$K$155))-(C260+'По дням'!$J$6:$J$155+ABS(C260-'По дням'!$J$6:$J$155)))/2+1)&gt;0)*(((D260+'По дням'!$K$6:$K$155-ABS(D260-'По дням'!$K$6:$K$155))-(C260+'По дням'!$J$6:$J$155+ABS(C260-'По дням'!$J$6:$J$155)))/2+1)&gt;0)*1))</f>
        <v/>
      </c>
    </row>
    <row r="261">
      <c r="A261">
        <f>IF(AND(Оплаты!$E$253="ок",COUNTIFS(Акты!$B$5:$B$16,Оплаты!$D$253,Акты!$H$5:$H$16,"ок")&gt;0,COUNTIFS(Оплаты!$D$6:$D$252,Оплаты!$D$253,Оплаты!$A$6:$A$252,Оплаты!$A$253)=0),Оплаты!$D$253,"")</f>
        <v/>
      </c>
      <c r="B261">
        <f>IF(A261="","",MATCH(A261,Акты!$B$5:$B$16,0))</f>
        <v/>
      </c>
      <c r="C261" s="20">
        <f>IF(A261="","",Оплаты!$A$253+1)</f>
        <v/>
      </c>
      <c r="D261" s="20">
        <f>IF(A261="","",MIN(Ввод!$B$4,Ввод!$B$4+1-SUMPRODUCT(MAX((Оплаты!$D$6:$D$505=A261)*(Оплаты!$A$6:$A$505&gt;Оплаты!$A$253)*(Ввод!$B$4+1-Оплаты!$A$6:$A$505)))))</f>
        <v/>
      </c>
      <c r="E261" s="14">
        <f>IF(A261="","",INDEX(Акты!$D$5:$D$16,B261)-SUMIFS(Оплаты!$B$6:$B$505,Оплаты!$D$6:$D$505,A261,Оплаты!$A$6:$A$505,"&lt;="&amp;Оплаты!$A$253))</f>
        <v/>
      </c>
      <c r="F261" s="14">
        <f>IF(G261="","",SUMPRODUCT(ROUND(E261*'По дням'!$L$6:$L$155/100*((((D261+'По дням'!$K$6:$K$155-ABS(D261-'По дням'!$K$6:$K$155))-(C261+'По дням'!$J$6:$J$155+ABS(C261-'По дням'!$J$6:$J$155)))/2+1)&gt;0)*(((D261+'По дням'!$K$6:$K$155-ABS(D261-'По дням'!$K$6:$K$155))-(C261+'По дням'!$J$6:$J$155+ABS(C261-'По дням'!$J$6:$J$155)))/2+1)/'По дням'!$M$6:$M$155,2)*(1-'По дням'!$N$6:$N$155)))</f>
        <v/>
      </c>
      <c r="G261">
        <f>IF(A261="","",IF(C261&gt;D261,"",B261*1000000+C261))</f>
        <v/>
      </c>
      <c r="H261" s="14">
        <f>IF(G261="","",SUMIFS(Оплаты!$B$6:$B$505,Оплаты!$D$6:$D$505,A261,Оплаты!$A$6:$A$505,D261))</f>
        <v/>
      </c>
      <c r="I261">
        <f>IF(G261="","",SUMPRODUCT((((((D261+'По дням'!$K$6:$K$155-ABS(D261-'По дням'!$K$6:$K$155))-(C261+'По дням'!$J$6:$J$155+ABS(C261-'По дням'!$J$6:$J$155)))/2+1)&gt;0)*(((D261+'По дням'!$K$6:$K$155-ABS(D261-'По дням'!$K$6:$K$155))-(C261+'По дням'!$J$6:$J$155+ABS(C261-'По дням'!$J$6:$J$155)))/2+1)&gt;0)*1))</f>
        <v/>
      </c>
    </row>
    <row r="262">
      <c r="A262">
        <f>IF(AND(Оплаты!$E$254="ок",COUNTIFS(Акты!$B$5:$B$16,Оплаты!$D$254,Акты!$H$5:$H$16,"ок")&gt;0,COUNTIFS(Оплаты!$D$6:$D$253,Оплаты!$D$254,Оплаты!$A$6:$A$253,Оплаты!$A$254)=0),Оплаты!$D$254,"")</f>
        <v/>
      </c>
      <c r="B262">
        <f>IF(A262="","",MATCH(A262,Акты!$B$5:$B$16,0))</f>
        <v/>
      </c>
      <c r="C262" s="20">
        <f>IF(A262="","",Оплаты!$A$254+1)</f>
        <v/>
      </c>
      <c r="D262" s="20">
        <f>IF(A262="","",MIN(Ввод!$B$4,Ввод!$B$4+1-SUMPRODUCT(MAX((Оплаты!$D$6:$D$505=A262)*(Оплаты!$A$6:$A$505&gt;Оплаты!$A$254)*(Ввод!$B$4+1-Оплаты!$A$6:$A$505)))))</f>
        <v/>
      </c>
      <c r="E262" s="14">
        <f>IF(A262="","",INDEX(Акты!$D$5:$D$16,B262)-SUMIFS(Оплаты!$B$6:$B$505,Оплаты!$D$6:$D$505,A262,Оплаты!$A$6:$A$505,"&lt;="&amp;Оплаты!$A$254))</f>
        <v/>
      </c>
      <c r="F262" s="14">
        <f>IF(G262="","",SUMPRODUCT(ROUND(E262*'По дням'!$L$6:$L$155/100*((((D262+'По дням'!$K$6:$K$155-ABS(D262-'По дням'!$K$6:$K$155))-(C262+'По дням'!$J$6:$J$155+ABS(C262-'По дням'!$J$6:$J$155)))/2+1)&gt;0)*(((D262+'По дням'!$K$6:$K$155-ABS(D262-'По дням'!$K$6:$K$155))-(C262+'По дням'!$J$6:$J$155+ABS(C262-'По дням'!$J$6:$J$155)))/2+1)/'По дням'!$M$6:$M$155,2)*(1-'По дням'!$N$6:$N$155)))</f>
        <v/>
      </c>
      <c r="G262">
        <f>IF(A262="","",IF(C262&gt;D262,"",B262*1000000+C262))</f>
        <v/>
      </c>
      <c r="H262" s="14">
        <f>IF(G262="","",SUMIFS(Оплаты!$B$6:$B$505,Оплаты!$D$6:$D$505,A262,Оплаты!$A$6:$A$505,D262))</f>
        <v/>
      </c>
      <c r="I262">
        <f>IF(G262="","",SUMPRODUCT((((((D262+'По дням'!$K$6:$K$155-ABS(D262-'По дням'!$K$6:$K$155))-(C262+'По дням'!$J$6:$J$155+ABS(C262-'По дням'!$J$6:$J$155)))/2+1)&gt;0)*(((D262+'По дням'!$K$6:$K$155-ABS(D262-'По дням'!$K$6:$K$155))-(C262+'По дням'!$J$6:$J$155+ABS(C262-'По дням'!$J$6:$J$155)))/2+1)&gt;0)*1))</f>
        <v/>
      </c>
    </row>
    <row r="263">
      <c r="A263">
        <f>IF(AND(Оплаты!$E$255="ок",COUNTIFS(Акты!$B$5:$B$16,Оплаты!$D$255,Акты!$H$5:$H$16,"ок")&gt;0,COUNTIFS(Оплаты!$D$6:$D$254,Оплаты!$D$255,Оплаты!$A$6:$A$254,Оплаты!$A$255)=0),Оплаты!$D$255,"")</f>
        <v/>
      </c>
      <c r="B263">
        <f>IF(A263="","",MATCH(A263,Акты!$B$5:$B$16,0))</f>
        <v/>
      </c>
      <c r="C263" s="20">
        <f>IF(A263="","",Оплаты!$A$255+1)</f>
        <v/>
      </c>
      <c r="D263" s="20">
        <f>IF(A263="","",MIN(Ввод!$B$4,Ввод!$B$4+1-SUMPRODUCT(MAX((Оплаты!$D$6:$D$505=A263)*(Оплаты!$A$6:$A$505&gt;Оплаты!$A$255)*(Ввод!$B$4+1-Оплаты!$A$6:$A$505)))))</f>
        <v/>
      </c>
      <c r="E263" s="14">
        <f>IF(A263="","",INDEX(Акты!$D$5:$D$16,B263)-SUMIFS(Оплаты!$B$6:$B$505,Оплаты!$D$6:$D$505,A263,Оплаты!$A$6:$A$505,"&lt;="&amp;Оплаты!$A$255))</f>
        <v/>
      </c>
      <c r="F263" s="14">
        <f>IF(G263="","",SUMPRODUCT(ROUND(E263*'По дням'!$L$6:$L$155/100*((((D263+'По дням'!$K$6:$K$155-ABS(D263-'По дням'!$K$6:$K$155))-(C263+'По дням'!$J$6:$J$155+ABS(C263-'По дням'!$J$6:$J$155)))/2+1)&gt;0)*(((D263+'По дням'!$K$6:$K$155-ABS(D263-'По дням'!$K$6:$K$155))-(C263+'По дням'!$J$6:$J$155+ABS(C263-'По дням'!$J$6:$J$155)))/2+1)/'По дням'!$M$6:$M$155,2)*(1-'По дням'!$N$6:$N$155)))</f>
        <v/>
      </c>
      <c r="G263">
        <f>IF(A263="","",IF(C263&gt;D263,"",B263*1000000+C263))</f>
        <v/>
      </c>
      <c r="H263" s="14">
        <f>IF(G263="","",SUMIFS(Оплаты!$B$6:$B$505,Оплаты!$D$6:$D$505,A263,Оплаты!$A$6:$A$505,D263))</f>
        <v/>
      </c>
      <c r="I263">
        <f>IF(G263="","",SUMPRODUCT((((((D263+'По дням'!$K$6:$K$155-ABS(D263-'По дням'!$K$6:$K$155))-(C263+'По дням'!$J$6:$J$155+ABS(C263-'По дням'!$J$6:$J$155)))/2+1)&gt;0)*(((D263+'По дням'!$K$6:$K$155-ABS(D263-'По дням'!$K$6:$K$155))-(C263+'По дням'!$J$6:$J$155+ABS(C263-'По дням'!$J$6:$J$155)))/2+1)&gt;0)*1))</f>
        <v/>
      </c>
    </row>
    <row r="264">
      <c r="A264">
        <f>IF(AND(Оплаты!$E$256="ок",COUNTIFS(Акты!$B$5:$B$16,Оплаты!$D$256,Акты!$H$5:$H$16,"ок")&gt;0,COUNTIFS(Оплаты!$D$6:$D$255,Оплаты!$D$256,Оплаты!$A$6:$A$255,Оплаты!$A$256)=0),Оплаты!$D$256,"")</f>
        <v/>
      </c>
      <c r="B264">
        <f>IF(A264="","",MATCH(A264,Акты!$B$5:$B$16,0))</f>
        <v/>
      </c>
      <c r="C264" s="20">
        <f>IF(A264="","",Оплаты!$A$256+1)</f>
        <v/>
      </c>
      <c r="D264" s="20">
        <f>IF(A264="","",MIN(Ввод!$B$4,Ввод!$B$4+1-SUMPRODUCT(MAX((Оплаты!$D$6:$D$505=A264)*(Оплаты!$A$6:$A$505&gt;Оплаты!$A$256)*(Ввод!$B$4+1-Оплаты!$A$6:$A$505)))))</f>
        <v/>
      </c>
      <c r="E264" s="14">
        <f>IF(A264="","",INDEX(Акты!$D$5:$D$16,B264)-SUMIFS(Оплаты!$B$6:$B$505,Оплаты!$D$6:$D$505,A264,Оплаты!$A$6:$A$505,"&lt;="&amp;Оплаты!$A$256))</f>
        <v/>
      </c>
      <c r="F264" s="14">
        <f>IF(G264="","",SUMPRODUCT(ROUND(E264*'По дням'!$L$6:$L$155/100*((((D264+'По дням'!$K$6:$K$155-ABS(D264-'По дням'!$K$6:$K$155))-(C264+'По дням'!$J$6:$J$155+ABS(C264-'По дням'!$J$6:$J$155)))/2+1)&gt;0)*(((D264+'По дням'!$K$6:$K$155-ABS(D264-'По дням'!$K$6:$K$155))-(C264+'По дням'!$J$6:$J$155+ABS(C264-'По дням'!$J$6:$J$155)))/2+1)/'По дням'!$M$6:$M$155,2)*(1-'По дням'!$N$6:$N$155)))</f>
        <v/>
      </c>
      <c r="G264">
        <f>IF(A264="","",IF(C264&gt;D264,"",B264*1000000+C264))</f>
        <v/>
      </c>
      <c r="H264" s="14">
        <f>IF(G264="","",SUMIFS(Оплаты!$B$6:$B$505,Оплаты!$D$6:$D$505,A264,Оплаты!$A$6:$A$505,D264))</f>
        <v/>
      </c>
      <c r="I264">
        <f>IF(G264="","",SUMPRODUCT((((((D264+'По дням'!$K$6:$K$155-ABS(D264-'По дням'!$K$6:$K$155))-(C264+'По дням'!$J$6:$J$155+ABS(C264-'По дням'!$J$6:$J$155)))/2+1)&gt;0)*(((D264+'По дням'!$K$6:$K$155-ABS(D264-'По дням'!$K$6:$K$155))-(C264+'По дням'!$J$6:$J$155+ABS(C264-'По дням'!$J$6:$J$155)))/2+1)&gt;0)*1))</f>
        <v/>
      </c>
    </row>
    <row r="265">
      <c r="A265">
        <f>IF(AND(Оплаты!$E$257="ок",COUNTIFS(Акты!$B$5:$B$16,Оплаты!$D$257,Акты!$H$5:$H$16,"ок")&gt;0,COUNTIFS(Оплаты!$D$6:$D$256,Оплаты!$D$257,Оплаты!$A$6:$A$256,Оплаты!$A$257)=0),Оплаты!$D$257,"")</f>
        <v/>
      </c>
      <c r="B265">
        <f>IF(A265="","",MATCH(A265,Акты!$B$5:$B$16,0))</f>
        <v/>
      </c>
      <c r="C265" s="20">
        <f>IF(A265="","",Оплаты!$A$257+1)</f>
        <v/>
      </c>
      <c r="D265" s="20">
        <f>IF(A265="","",MIN(Ввод!$B$4,Ввод!$B$4+1-SUMPRODUCT(MAX((Оплаты!$D$6:$D$505=A265)*(Оплаты!$A$6:$A$505&gt;Оплаты!$A$257)*(Ввод!$B$4+1-Оплаты!$A$6:$A$505)))))</f>
        <v/>
      </c>
      <c r="E265" s="14">
        <f>IF(A265="","",INDEX(Акты!$D$5:$D$16,B265)-SUMIFS(Оплаты!$B$6:$B$505,Оплаты!$D$6:$D$505,A265,Оплаты!$A$6:$A$505,"&lt;="&amp;Оплаты!$A$257))</f>
        <v/>
      </c>
      <c r="F265" s="14">
        <f>IF(G265="","",SUMPRODUCT(ROUND(E265*'По дням'!$L$6:$L$155/100*((((D265+'По дням'!$K$6:$K$155-ABS(D265-'По дням'!$K$6:$K$155))-(C265+'По дням'!$J$6:$J$155+ABS(C265-'По дням'!$J$6:$J$155)))/2+1)&gt;0)*(((D265+'По дням'!$K$6:$K$155-ABS(D265-'По дням'!$K$6:$K$155))-(C265+'По дням'!$J$6:$J$155+ABS(C265-'По дням'!$J$6:$J$155)))/2+1)/'По дням'!$M$6:$M$155,2)*(1-'По дням'!$N$6:$N$155)))</f>
        <v/>
      </c>
      <c r="G265">
        <f>IF(A265="","",IF(C265&gt;D265,"",B265*1000000+C265))</f>
        <v/>
      </c>
      <c r="H265" s="14">
        <f>IF(G265="","",SUMIFS(Оплаты!$B$6:$B$505,Оплаты!$D$6:$D$505,A265,Оплаты!$A$6:$A$505,D265))</f>
        <v/>
      </c>
      <c r="I265">
        <f>IF(G265="","",SUMPRODUCT((((((D265+'По дням'!$K$6:$K$155-ABS(D265-'По дням'!$K$6:$K$155))-(C265+'По дням'!$J$6:$J$155+ABS(C265-'По дням'!$J$6:$J$155)))/2+1)&gt;0)*(((D265+'По дням'!$K$6:$K$155-ABS(D265-'По дням'!$K$6:$K$155))-(C265+'По дням'!$J$6:$J$155+ABS(C265-'По дням'!$J$6:$J$155)))/2+1)&gt;0)*1))</f>
        <v/>
      </c>
    </row>
    <row r="266">
      <c r="A266">
        <f>IF(AND(Оплаты!$E$258="ок",COUNTIFS(Акты!$B$5:$B$16,Оплаты!$D$258,Акты!$H$5:$H$16,"ок")&gt;0,COUNTIFS(Оплаты!$D$6:$D$257,Оплаты!$D$258,Оплаты!$A$6:$A$257,Оплаты!$A$258)=0),Оплаты!$D$258,"")</f>
        <v/>
      </c>
      <c r="B266">
        <f>IF(A266="","",MATCH(A266,Акты!$B$5:$B$16,0))</f>
        <v/>
      </c>
      <c r="C266" s="20">
        <f>IF(A266="","",Оплаты!$A$258+1)</f>
        <v/>
      </c>
      <c r="D266" s="20">
        <f>IF(A266="","",MIN(Ввод!$B$4,Ввод!$B$4+1-SUMPRODUCT(MAX((Оплаты!$D$6:$D$505=A266)*(Оплаты!$A$6:$A$505&gt;Оплаты!$A$258)*(Ввод!$B$4+1-Оплаты!$A$6:$A$505)))))</f>
        <v/>
      </c>
      <c r="E266" s="14">
        <f>IF(A266="","",INDEX(Акты!$D$5:$D$16,B266)-SUMIFS(Оплаты!$B$6:$B$505,Оплаты!$D$6:$D$505,A266,Оплаты!$A$6:$A$505,"&lt;="&amp;Оплаты!$A$258))</f>
        <v/>
      </c>
      <c r="F266" s="14">
        <f>IF(G266="","",SUMPRODUCT(ROUND(E266*'По дням'!$L$6:$L$155/100*((((D266+'По дням'!$K$6:$K$155-ABS(D266-'По дням'!$K$6:$K$155))-(C266+'По дням'!$J$6:$J$155+ABS(C266-'По дням'!$J$6:$J$155)))/2+1)&gt;0)*(((D266+'По дням'!$K$6:$K$155-ABS(D266-'По дням'!$K$6:$K$155))-(C266+'По дням'!$J$6:$J$155+ABS(C266-'По дням'!$J$6:$J$155)))/2+1)/'По дням'!$M$6:$M$155,2)*(1-'По дням'!$N$6:$N$155)))</f>
        <v/>
      </c>
      <c r="G266">
        <f>IF(A266="","",IF(C266&gt;D266,"",B266*1000000+C266))</f>
        <v/>
      </c>
      <c r="H266" s="14">
        <f>IF(G266="","",SUMIFS(Оплаты!$B$6:$B$505,Оплаты!$D$6:$D$505,A266,Оплаты!$A$6:$A$505,D266))</f>
        <v/>
      </c>
      <c r="I266">
        <f>IF(G266="","",SUMPRODUCT((((((D266+'По дням'!$K$6:$K$155-ABS(D266-'По дням'!$K$6:$K$155))-(C266+'По дням'!$J$6:$J$155+ABS(C266-'По дням'!$J$6:$J$155)))/2+1)&gt;0)*(((D266+'По дням'!$K$6:$K$155-ABS(D266-'По дням'!$K$6:$K$155))-(C266+'По дням'!$J$6:$J$155+ABS(C266-'По дням'!$J$6:$J$155)))/2+1)&gt;0)*1))</f>
        <v/>
      </c>
    </row>
    <row r="267">
      <c r="A267">
        <f>IF(AND(Оплаты!$E$259="ок",COUNTIFS(Акты!$B$5:$B$16,Оплаты!$D$259,Акты!$H$5:$H$16,"ок")&gt;0,COUNTIFS(Оплаты!$D$6:$D$258,Оплаты!$D$259,Оплаты!$A$6:$A$258,Оплаты!$A$259)=0),Оплаты!$D$259,"")</f>
        <v/>
      </c>
      <c r="B267">
        <f>IF(A267="","",MATCH(A267,Акты!$B$5:$B$16,0))</f>
        <v/>
      </c>
      <c r="C267" s="20">
        <f>IF(A267="","",Оплаты!$A$259+1)</f>
        <v/>
      </c>
      <c r="D267" s="20">
        <f>IF(A267="","",MIN(Ввод!$B$4,Ввод!$B$4+1-SUMPRODUCT(MAX((Оплаты!$D$6:$D$505=A267)*(Оплаты!$A$6:$A$505&gt;Оплаты!$A$259)*(Ввод!$B$4+1-Оплаты!$A$6:$A$505)))))</f>
        <v/>
      </c>
      <c r="E267" s="14">
        <f>IF(A267="","",INDEX(Акты!$D$5:$D$16,B267)-SUMIFS(Оплаты!$B$6:$B$505,Оплаты!$D$6:$D$505,A267,Оплаты!$A$6:$A$505,"&lt;="&amp;Оплаты!$A$259))</f>
        <v/>
      </c>
      <c r="F267" s="14">
        <f>IF(G267="","",SUMPRODUCT(ROUND(E267*'По дням'!$L$6:$L$155/100*((((D267+'По дням'!$K$6:$K$155-ABS(D267-'По дням'!$K$6:$K$155))-(C267+'По дням'!$J$6:$J$155+ABS(C267-'По дням'!$J$6:$J$155)))/2+1)&gt;0)*(((D267+'По дням'!$K$6:$K$155-ABS(D267-'По дням'!$K$6:$K$155))-(C267+'По дням'!$J$6:$J$155+ABS(C267-'По дням'!$J$6:$J$155)))/2+1)/'По дням'!$M$6:$M$155,2)*(1-'По дням'!$N$6:$N$155)))</f>
        <v/>
      </c>
      <c r="G267">
        <f>IF(A267="","",IF(C267&gt;D267,"",B267*1000000+C267))</f>
        <v/>
      </c>
      <c r="H267" s="14">
        <f>IF(G267="","",SUMIFS(Оплаты!$B$6:$B$505,Оплаты!$D$6:$D$505,A267,Оплаты!$A$6:$A$505,D267))</f>
        <v/>
      </c>
      <c r="I267">
        <f>IF(G267="","",SUMPRODUCT((((((D267+'По дням'!$K$6:$K$155-ABS(D267-'По дням'!$K$6:$K$155))-(C267+'По дням'!$J$6:$J$155+ABS(C267-'По дням'!$J$6:$J$155)))/2+1)&gt;0)*(((D267+'По дням'!$K$6:$K$155-ABS(D267-'По дням'!$K$6:$K$155))-(C267+'По дням'!$J$6:$J$155+ABS(C267-'По дням'!$J$6:$J$155)))/2+1)&gt;0)*1))</f>
        <v/>
      </c>
    </row>
    <row r="268">
      <c r="A268">
        <f>IF(AND(Оплаты!$E$260="ок",COUNTIFS(Акты!$B$5:$B$16,Оплаты!$D$260,Акты!$H$5:$H$16,"ок")&gt;0,COUNTIFS(Оплаты!$D$6:$D$259,Оплаты!$D$260,Оплаты!$A$6:$A$259,Оплаты!$A$260)=0),Оплаты!$D$260,"")</f>
        <v/>
      </c>
      <c r="B268">
        <f>IF(A268="","",MATCH(A268,Акты!$B$5:$B$16,0))</f>
        <v/>
      </c>
      <c r="C268" s="20">
        <f>IF(A268="","",Оплаты!$A$260+1)</f>
        <v/>
      </c>
      <c r="D268" s="20">
        <f>IF(A268="","",MIN(Ввод!$B$4,Ввод!$B$4+1-SUMPRODUCT(MAX((Оплаты!$D$6:$D$505=A268)*(Оплаты!$A$6:$A$505&gt;Оплаты!$A$260)*(Ввод!$B$4+1-Оплаты!$A$6:$A$505)))))</f>
        <v/>
      </c>
      <c r="E268" s="14">
        <f>IF(A268="","",INDEX(Акты!$D$5:$D$16,B268)-SUMIFS(Оплаты!$B$6:$B$505,Оплаты!$D$6:$D$505,A268,Оплаты!$A$6:$A$505,"&lt;="&amp;Оплаты!$A$260))</f>
        <v/>
      </c>
      <c r="F268" s="14">
        <f>IF(G268="","",SUMPRODUCT(ROUND(E268*'По дням'!$L$6:$L$155/100*((((D268+'По дням'!$K$6:$K$155-ABS(D268-'По дням'!$K$6:$K$155))-(C268+'По дням'!$J$6:$J$155+ABS(C268-'По дням'!$J$6:$J$155)))/2+1)&gt;0)*(((D268+'По дням'!$K$6:$K$155-ABS(D268-'По дням'!$K$6:$K$155))-(C268+'По дням'!$J$6:$J$155+ABS(C268-'По дням'!$J$6:$J$155)))/2+1)/'По дням'!$M$6:$M$155,2)*(1-'По дням'!$N$6:$N$155)))</f>
        <v/>
      </c>
      <c r="G268">
        <f>IF(A268="","",IF(C268&gt;D268,"",B268*1000000+C268))</f>
        <v/>
      </c>
      <c r="H268" s="14">
        <f>IF(G268="","",SUMIFS(Оплаты!$B$6:$B$505,Оплаты!$D$6:$D$505,A268,Оплаты!$A$6:$A$505,D268))</f>
        <v/>
      </c>
      <c r="I268">
        <f>IF(G268="","",SUMPRODUCT((((((D268+'По дням'!$K$6:$K$155-ABS(D268-'По дням'!$K$6:$K$155))-(C268+'По дням'!$J$6:$J$155+ABS(C268-'По дням'!$J$6:$J$155)))/2+1)&gt;0)*(((D268+'По дням'!$K$6:$K$155-ABS(D268-'По дням'!$K$6:$K$155))-(C268+'По дням'!$J$6:$J$155+ABS(C268-'По дням'!$J$6:$J$155)))/2+1)&gt;0)*1))</f>
        <v/>
      </c>
    </row>
    <row r="269">
      <c r="A269">
        <f>IF(AND(Оплаты!$E$261="ок",COUNTIFS(Акты!$B$5:$B$16,Оплаты!$D$261,Акты!$H$5:$H$16,"ок")&gt;0,COUNTIFS(Оплаты!$D$6:$D$260,Оплаты!$D$261,Оплаты!$A$6:$A$260,Оплаты!$A$261)=0),Оплаты!$D$261,"")</f>
        <v/>
      </c>
      <c r="B269">
        <f>IF(A269="","",MATCH(A269,Акты!$B$5:$B$16,0))</f>
        <v/>
      </c>
      <c r="C269" s="20">
        <f>IF(A269="","",Оплаты!$A$261+1)</f>
        <v/>
      </c>
      <c r="D269" s="20">
        <f>IF(A269="","",MIN(Ввод!$B$4,Ввод!$B$4+1-SUMPRODUCT(MAX((Оплаты!$D$6:$D$505=A269)*(Оплаты!$A$6:$A$505&gt;Оплаты!$A$261)*(Ввод!$B$4+1-Оплаты!$A$6:$A$505)))))</f>
        <v/>
      </c>
      <c r="E269" s="14">
        <f>IF(A269="","",INDEX(Акты!$D$5:$D$16,B269)-SUMIFS(Оплаты!$B$6:$B$505,Оплаты!$D$6:$D$505,A269,Оплаты!$A$6:$A$505,"&lt;="&amp;Оплаты!$A$261))</f>
        <v/>
      </c>
      <c r="F269" s="14">
        <f>IF(G269="","",SUMPRODUCT(ROUND(E269*'По дням'!$L$6:$L$155/100*((((D269+'По дням'!$K$6:$K$155-ABS(D269-'По дням'!$K$6:$K$155))-(C269+'По дням'!$J$6:$J$155+ABS(C269-'По дням'!$J$6:$J$155)))/2+1)&gt;0)*(((D269+'По дням'!$K$6:$K$155-ABS(D269-'По дням'!$K$6:$K$155))-(C269+'По дням'!$J$6:$J$155+ABS(C269-'По дням'!$J$6:$J$155)))/2+1)/'По дням'!$M$6:$M$155,2)*(1-'По дням'!$N$6:$N$155)))</f>
        <v/>
      </c>
      <c r="G269">
        <f>IF(A269="","",IF(C269&gt;D269,"",B269*1000000+C269))</f>
        <v/>
      </c>
      <c r="H269" s="14">
        <f>IF(G269="","",SUMIFS(Оплаты!$B$6:$B$505,Оплаты!$D$6:$D$505,A269,Оплаты!$A$6:$A$505,D269))</f>
        <v/>
      </c>
      <c r="I269">
        <f>IF(G269="","",SUMPRODUCT((((((D269+'По дням'!$K$6:$K$155-ABS(D269-'По дням'!$K$6:$K$155))-(C269+'По дням'!$J$6:$J$155+ABS(C269-'По дням'!$J$6:$J$155)))/2+1)&gt;0)*(((D269+'По дням'!$K$6:$K$155-ABS(D269-'По дням'!$K$6:$K$155))-(C269+'По дням'!$J$6:$J$155+ABS(C269-'По дням'!$J$6:$J$155)))/2+1)&gt;0)*1))</f>
        <v/>
      </c>
    </row>
    <row r="270">
      <c r="A270">
        <f>IF(AND(Оплаты!$E$262="ок",COUNTIFS(Акты!$B$5:$B$16,Оплаты!$D$262,Акты!$H$5:$H$16,"ок")&gt;0,COUNTIFS(Оплаты!$D$6:$D$261,Оплаты!$D$262,Оплаты!$A$6:$A$261,Оплаты!$A$262)=0),Оплаты!$D$262,"")</f>
        <v/>
      </c>
      <c r="B270">
        <f>IF(A270="","",MATCH(A270,Акты!$B$5:$B$16,0))</f>
        <v/>
      </c>
      <c r="C270" s="20">
        <f>IF(A270="","",Оплаты!$A$262+1)</f>
        <v/>
      </c>
      <c r="D270" s="20">
        <f>IF(A270="","",MIN(Ввод!$B$4,Ввод!$B$4+1-SUMPRODUCT(MAX((Оплаты!$D$6:$D$505=A270)*(Оплаты!$A$6:$A$505&gt;Оплаты!$A$262)*(Ввод!$B$4+1-Оплаты!$A$6:$A$505)))))</f>
        <v/>
      </c>
      <c r="E270" s="14">
        <f>IF(A270="","",INDEX(Акты!$D$5:$D$16,B270)-SUMIFS(Оплаты!$B$6:$B$505,Оплаты!$D$6:$D$505,A270,Оплаты!$A$6:$A$505,"&lt;="&amp;Оплаты!$A$262))</f>
        <v/>
      </c>
      <c r="F270" s="14">
        <f>IF(G270="","",SUMPRODUCT(ROUND(E270*'По дням'!$L$6:$L$155/100*((((D270+'По дням'!$K$6:$K$155-ABS(D270-'По дням'!$K$6:$K$155))-(C270+'По дням'!$J$6:$J$155+ABS(C270-'По дням'!$J$6:$J$155)))/2+1)&gt;0)*(((D270+'По дням'!$K$6:$K$155-ABS(D270-'По дням'!$K$6:$K$155))-(C270+'По дням'!$J$6:$J$155+ABS(C270-'По дням'!$J$6:$J$155)))/2+1)/'По дням'!$M$6:$M$155,2)*(1-'По дням'!$N$6:$N$155)))</f>
        <v/>
      </c>
      <c r="G270">
        <f>IF(A270="","",IF(C270&gt;D270,"",B270*1000000+C270))</f>
        <v/>
      </c>
      <c r="H270" s="14">
        <f>IF(G270="","",SUMIFS(Оплаты!$B$6:$B$505,Оплаты!$D$6:$D$505,A270,Оплаты!$A$6:$A$505,D270))</f>
        <v/>
      </c>
      <c r="I270">
        <f>IF(G270="","",SUMPRODUCT((((((D270+'По дням'!$K$6:$K$155-ABS(D270-'По дням'!$K$6:$K$155))-(C270+'По дням'!$J$6:$J$155+ABS(C270-'По дням'!$J$6:$J$155)))/2+1)&gt;0)*(((D270+'По дням'!$K$6:$K$155-ABS(D270-'По дням'!$K$6:$K$155))-(C270+'По дням'!$J$6:$J$155+ABS(C270-'По дням'!$J$6:$J$155)))/2+1)&gt;0)*1))</f>
        <v/>
      </c>
    </row>
    <row r="271">
      <c r="A271">
        <f>IF(AND(Оплаты!$E$263="ок",COUNTIFS(Акты!$B$5:$B$16,Оплаты!$D$263,Акты!$H$5:$H$16,"ок")&gt;0,COUNTIFS(Оплаты!$D$6:$D$262,Оплаты!$D$263,Оплаты!$A$6:$A$262,Оплаты!$A$263)=0),Оплаты!$D$263,"")</f>
        <v/>
      </c>
      <c r="B271">
        <f>IF(A271="","",MATCH(A271,Акты!$B$5:$B$16,0))</f>
        <v/>
      </c>
      <c r="C271" s="20">
        <f>IF(A271="","",Оплаты!$A$263+1)</f>
        <v/>
      </c>
      <c r="D271" s="20">
        <f>IF(A271="","",MIN(Ввод!$B$4,Ввод!$B$4+1-SUMPRODUCT(MAX((Оплаты!$D$6:$D$505=A271)*(Оплаты!$A$6:$A$505&gt;Оплаты!$A$263)*(Ввод!$B$4+1-Оплаты!$A$6:$A$505)))))</f>
        <v/>
      </c>
      <c r="E271" s="14">
        <f>IF(A271="","",INDEX(Акты!$D$5:$D$16,B271)-SUMIFS(Оплаты!$B$6:$B$505,Оплаты!$D$6:$D$505,A271,Оплаты!$A$6:$A$505,"&lt;="&amp;Оплаты!$A$263))</f>
        <v/>
      </c>
      <c r="F271" s="14">
        <f>IF(G271="","",SUMPRODUCT(ROUND(E271*'По дням'!$L$6:$L$155/100*((((D271+'По дням'!$K$6:$K$155-ABS(D271-'По дням'!$K$6:$K$155))-(C271+'По дням'!$J$6:$J$155+ABS(C271-'По дням'!$J$6:$J$155)))/2+1)&gt;0)*(((D271+'По дням'!$K$6:$K$155-ABS(D271-'По дням'!$K$6:$K$155))-(C271+'По дням'!$J$6:$J$155+ABS(C271-'По дням'!$J$6:$J$155)))/2+1)/'По дням'!$M$6:$M$155,2)*(1-'По дням'!$N$6:$N$155)))</f>
        <v/>
      </c>
      <c r="G271">
        <f>IF(A271="","",IF(C271&gt;D271,"",B271*1000000+C271))</f>
        <v/>
      </c>
      <c r="H271" s="14">
        <f>IF(G271="","",SUMIFS(Оплаты!$B$6:$B$505,Оплаты!$D$6:$D$505,A271,Оплаты!$A$6:$A$505,D271))</f>
        <v/>
      </c>
      <c r="I271">
        <f>IF(G271="","",SUMPRODUCT((((((D271+'По дням'!$K$6:$K$155-ABS(D271-'По дням'!$K$6:$K$155))-(C271+'По дням'!$J$6:$J$155+ABS(C271-'По дням'!$J$6:$J$155)))/2+1)&gt;0)*(((D271+'По дням'!$K$6:$K$155-ABS(D271-'По дням'!$K$6:$K$155))-(C271+'По дням'!$J$6:$J$155+ABS(C271-'По дням'!$J$6:$J$155)))/2+1)&gt;0)*1))</f>
        <v/>
      </c>
    </row>
    <row r="272">
      <c r="A272">
        <f>IF(AND(Оплаты!$E$264="ок",COUNTIFS(Акты!$B$5:$B$16,Оплаты!$D$264,Акты!$H$5:$H$16,"ок")&gt;0,COUNTIFS(Оплаты!$D$6:$D$263,Оплаты!$D$264,Оплаты!$A$6:$A$263,Оплаты!$A$264)=0),Оплаты!$D$264,"")</f>
        <v/>
      </c>
      <c r="B272">
        <f>IF(A272="","",MATCH(A272,Акты!$B$5:$B$16,0))</f>
        <v/>
      </c>
      <c r="C272" s="20">
        <f>IF(A272="","",Оплаты!$A$264+1)</f>
        <v/>
      </c>
      <c r="D272" s="20">
        <f>IF(A272="","",MIN(Ввод!$B$4,Ввод!$B$4+1-SUMPRODUCT(MAX((Оплаты!$D$6:$D$505=A272)*(Оплаты!$A$6:$A$505&gt;Оплаты!$A$264)*(Ввод!$B$4+1-Оплаты!$A$6:$A$505)))))</f>
        <v/>
      </c>
      <c r="E272" s="14">
        <f>IF(A272="","",INDEX(Акты!$D$5:$D$16,B272)-SUMIFS(Оплаты!$B$6:$B$505,Оплаты!$D$6:$D$505,A272,Оплаты!$A$6:$A$505,"&lt;="&amp;Оплаты!$A$264))</f>
        <v/>
      </c>
      <c r="F272" s="14">
        <f>IF(G272="","",SUMPRODUCT(ROUND(E272*'По дням'!$L$6:$L$155/100*((((D272+'По дням'!$K$6:$K$155-ABS(D272-'По дням'!$K$6:$K$155))-(C272+'По дням'!$J$6:$J$155+ABS(C272-'По дням'!$J$6:$J$155)))/2+1)&gt;0)*(((D272+'По дням'!$K$6:$K$155-ABS(D272-'По дням'!$K$6:$K$155))-(C272+'По дням'!$J$6:$J$155+ABS(C272-'По дням'!$J$6:$J$155)))/2+1)/'По дням'!$M$6:$M$155,2)*(1-'По дням'!$N$6:$N$155)))</f>
        <v/>
      </c>
      <c r="G272">
        <f>IF(A272="","",IF(C272&gt;D272,"",B272*1000000+C272))</f>
        <v/>
      </c>
      <c r="H272" s="14">
        <f>IF(G272="","",SUMIFS(Оплаты!$B$6:$B$505,Оплаты!$D$6:$D$505,A272,Оплаты!$A$6:$A$505,D272))</f>
        <v/>
      </c>
      <c r="I272">
        <f>IF(G272="","",SUMPRODUCT((((((D272+'По дням'!$K$6:$K$155-ABS(D272-'По дням'!$K$6:$K$155))-(C272+'По дням'!$J$6:$J$155+ABS(C272-'По дням'!$J$6:$J$155)))/2+1)&gt;0)*(((D272+'По дням'!$K$6:$K$155-ABS(D272-'По дням'!$K$6:$K$155))-(C272+'По дням'!$J$6:$J$155+ABS(C272-'По дням'!$J$6:$J$155)))/2+1)&gt;0)*1))</f>
        <v/>
      </c>
    </row>
    <row r="273">
      <c r="A273">
        <f>IF(AND(Оплаты!$E$265="ок",COUNTIFS(Акты!$B$5:$B$16,Оплаты!$D$265,Акты!$H$5:$H$16,"ок")&gt;0,COUNTIFS(Оплаты!$D$6:$D$264,Оплаты!$D$265,Оплаты!$A$6:$A$264,Оплаты!$A$265)=0),Оплаты!$D$265,"")</f>
        <v/>
      </c>
      <c r="B273">
        <f>IF(A273="","",MATCH(A273,Акты!$B$5:$B$16,0))</f>
        <v/>
      </c>
      <c r="C273" s="20">
        <f>IF(A273="","",Оплаты!$A$265+1)</f>
        <v/>
      </c>
      <c r="D273" s="20">
        <f>IF(A273="","",MIN(Ввод!$B$4,Ввод!$B$4+1-SUMPRODUCT(MAX((Оплаты!$D$6:$D$505=A273)*(Оплаты!$A$6:$A$505&gt;Оплаты!$A$265)*(Ввод!$B$4+1-Оплаты!$A$6:$A$505)))))</f>
        <v/>
      </c>
      <c r="E273" s="14">
        <f>IF(A273="","",INDEX(Акты!$D$5:$D$16,B273)-SUMIFS(Оплаты!$B$6:$B$505,Оплаты!$D$6:$D$505,A273,Оплаты!$A$6:$A$505,"&lt;="&amp;Оплаты!$A$265))</f>
        <v/>
      </c>
      <c r="F273" s="14">
        <f>IF(G273="","",SUMPRODUCT(ROUND(E273*'По дням'!$L$6:$L$155/100*((((D273+'По дням'!$K$6:$K$155-ABS(D273-'По дням'!$K$6:$K$155))-(C273+'По дням'!$J$6:$J$155+ABS(C273-'По дням'!$J$6:$J$155)))/2+1)&gt;0)*(((D273+'По дням'!$K$6:$K$155-ABS(D273-'По дням'!$K$6:$K$155))-(C273+'По дням'!$J$6:$J$155+ABS(C273-'По дням'!$J$6:$J$155)))/2+1)/'По дням'!$M$6:$M$155,2)*(1-'По дням'!$N$6:$N$155)))</f>
        <v/>
      </c>
      <c r="G273">
        <f>IF(A273="","",IF(C273&gt;D273,"",B273*1000000+C273))</f>
        <v/>
      </c>
      <c r="H273" s="14">
        <f>IF(G273="","",SUMIFS(Оплаты!$B$6:$B$505,Оплаты!$D$6:$D$505,A273,Оплаты!$A$6:$A$505,D273))</f>
        <v/>
      </c>
      <c r="I273">
        <f>IF(G273="","",SUMPRODUCT((((((D273+'По дням'!$K$6:$K$155-ABS(D273-'По дням'!$K$6:$K$155))-(C273+'По дням'!$J$6:$J$155+ABS(C273-'По дням'!$J$6:$J$155)))/2+1)&gt;0)*(((D273+'По дням'!$K$6:$K$155-ABS(D273-'По дням'!$K$6:$K$155))-(C273+'По дням'!$J$6:$J$155+ABS(C273-'По дням'!$J$6:$J$155)))/2+1)&gt;0)*1))</f>
        <v/>
      </c>
    </row>
    <row r="274">
      <c r="A274">
        <f>IF(AND(Оплаты!$E$266="ок",COUNTIFS(Акты!$B$5:$B$16,Оплаты!$D$266,Акты!$H$5:$H$16,"ок")&gt;0,COUNTIFS(Оплаты!$D$6:$D$265,Оплаты!$D$266,Оплаты!$A$6:$A$265,Оплаты!$A$266)=0),Оплаты!$D$266,"")</f>
        <v/>
      </c>
      <c r="B274">
        <f>IF(A274="","",MATCH(A274,Акты!$B$5:$B$16,0))</f>
        <v/>
      </c>
      <c r="C274" s="20">
        <f>IF(A274="","",Оплаты!$A$266+1)</f>
        <v/>
      </c>
      <c r="D274" s="20">
        <f>IF(A274="","",MIN(Ввод!$B$4,Ввод!$B$4+1-SUMPRODUCT(MAX((Оплаты!$D$6:$D$505=A274)*(Оплаты!$A$6:$A$505&gt;Оплаты!$A$266)*(Ввод!$B$4+1-Оплаты!$A$6:$A$505)))))</f>
        <v/>
      </c>
      <c r="E274" s="14">
        <f>IF(A274="","",INDEX(Акты!$D$5:$D$16,B274)-SUMIFS(Оплаты!$B$6:$B$505,Оплаты!$D$6:$D$505,A274,Оплаты!$A$6:$A$505,"&lt;="&amp;Оплаты!$A$266))</f>
        <v/>
      </c>
      <c r="F274" s="14">
        <f>IF(G274="","",SUMPRODUCT(ROUND(E274*'По дням'!$L$6:$L$155/100*((((D274+'По дням'!$K$6:$K$155-ABS(D274-'По дням'!$K$6:$K$155))-(C274+'По дням'!$J$6:$J$155+ABS(C274-'По дням'!$J$6:$J$155)))/2+1)&gt;0)*(((D274+'По дням'!$K$6:$K$155-ABS(D274-'По дням'!$K$6:$K$155))-(C274+'По дням'!$J$6:$J$155+ABS(C274-'По дням'!$J$6:$J$155)))/2+1)/'По дням'!$M$6:$M$155,2)*(1-'По дням'!$N$6:$N$155)))</f>
        <v/>
      </c>
      <c r="G274">
        <f>IF(A274="","",IF(C274&gt;D274,"",B274*1000000+C274))</f>
        <v/>
      </c>
      <c r="H274" s="14">
        <f>IF(G274="","",SUMIFS(Оплаты!$B$6:$B$505,Оплаты!$D$6:$D$505,A274,Оплаты!$A$6:$A$505,D274))</f>
        <v/>
      </c>
      <c r="I274">
        <f>IF(G274="","",SUMPRODUCT((((((D274+'По дням'!$K$6:$K$155-ABS(D274-'По дням'!$K$6:$K$155))-(C274+'По дням'!$J$6:$J$155+ABS(C274-'По дням'!$J$6:$J$155)))/2+1)&gt;0)*(((D274+'По дням'!$K$6:$K$155-ABS(D274-'По дням'!$K$6:$K$155))-(C274+'По дням'!$J$6:$J$155+ABS(C274-'По дням'!$J$6:$J$155)))/2+1)&gt;0)*1))</f>
        <v/>
      </c>
    </row>
    <row r="275">
      <c r="A275">
        <f>IF(AND(Оплаты!$E$267="ок",COUNTIFS(Акты!$B$5:$B$16,Оплаты!$D$267,Акты!$H$5:$H$16,"ок")&gt;0,COUNTIFS(Оплаты!$D$6:$D$266,Оплаты!$D$267,Оплаты!$A$6:$A$266,Оплаты!$A$267)=0),Оплаты!$D$267,"")</f>
        <v/>
      </c>
      <c r="B275">
        <f>IF(A275="","",MATCH(A275,Акты!$B$5:$B$16,0))</f>
        <v/>
      </c>
      <c r="C275" s="20">
        <f>IF(A275="","",Оплаты!$A$267+1)</f>
        <v/>
      </c>
      <c r="D275" s="20">
        <f>IF(A275="","",MIN(Ввод!$B$4,Ввод!$B$4+1-SUMPRODUCT(MAX((Оплаты!$D$6:$D$505=A275)*(Оплаты!$A$6:$A$505&gt;Оплаты!$A$267)*(Ввод!$B$4+1-Оплаты!$A$6:$A$505)))))</f>
        <v/>
      </c>
      <c r="E275" s="14">
        <f>IF(A275="","",INDEX(Акты!$D$5:$D$16,B275)-SUMIFS(Оплаты!$B$6:$B$505,Оплаты!$D$6:$D$505,A275,Оплаты!$A$6:$A$505,"&lt;="&amp;Оплаты!$A$267))</f>
        <v/>
      </c>
      <c r="F275" s="14">
        <f>IF(G275="","",SUMPRODUCT(ROUND(E275*'По дням'!$L$6:$L$155/100*((((D275+'По дням'!$K$6:$K$155-ABS(D275-'По дням'!$K$6:$K$155))-(C275+'По дням'!$J$6:$J$155+ABS(C275-'По дням'!$J$6:$J$155)))/2+1)&gt;0)*(((D275+'По дням'!$K$6:$K$155-ABS(D275-'По дням'!$K$6:$K$155))-(C275+'По дням'!$J$6:$J$155+ABS(C275-'По дням'!$J$6:$J$155)))/2+1)/'По дням'!$M$6:$M$155,2)*(1-'По дням'!$N$6:$N$155)))</f>
        <v/>
      </c>
      <c r="G275">
        <f>IF(A275="","",IF(C275&gt;D275,"",B275*1000000+C275))</f>
        <v/>
      </c>
      <c r="H275" s="14">
        <f>IF(G275="","",SUMIFS(Оплаты!$B$6:$B$505,Оплаты!$D$6:$D$505,A275,Оплаты!$A$6:$A$505,D275))</f>
        <v/>
      </c>
      <c r="I275">
        <f>IF(G275="","",SUMPRODUCT((((((D275+'По дням'!$K$6:$K$155-ABS(D275-'По дням'!$K$6:$K$155))-(C275+'По дням'!$J$6:$J$155+ABS(C275-'По дням'!$J$6:$J$155)))/2+1)&gt;0)*(((D275+'По дням'!$K$6:$K$155-ABS(D275-'По дням'!$K$6:$K$155))-(C275+'По дням'!$J$6:$J$155+ABS(C275-'По дням'!$J$6:$J$155)))/2+1)&gt;0)*1))</f>
        <v/>
      </c>
    </row>
    <row r="276">
      <c r="A276">
        <f>IF(AND(Оплаты!$E$268="ок",COUNTIFS(Акты!$B$5:$B$16,Оплаты!$D$268,Акты!$H$5:$H$16,"ок")&gt;0,COUNTIFS(Оплаты!$D$6:$D$267,Оплаты!$D$268,Оплаты!$A$6:$A$267,Оплаты!$A$268)=0),Оплаты!$D$268,"")</f>
        <v/>
      </c>
      <c r="B276">
        <f>IF(A276="","",MATCH(A276,Акты!$B$5:$B$16,0))</f>
        <v/>
      </c>
      <c r="C276" s="20">
        <f>IF(A276="","",Оплаты!$A$268+1)</f>
        <v/>
      </c>
      <c r="D276" s="20">
        <f>IF(A276="","",MIN(Ввод!$B$4,Ввод!$B$4+1-SUMPRODUCT(MAX((Оплаты!$D$6:$D$505=A276)*(Оплаты!$A$6:$A$505&gt;Оплаты!$A$268)*(Ввод!$B$4+1-Оплаты!$A$6:$A$505)))))</f>
        <v/>
      </c>
      <c r="E276" s="14">
        <f>IF(A276="","",INDEX(Акты!$D$5:$D$16,B276)-SUMIFS(Оплаты!$B$6:$B$505,Оплаты!$D$6:$D$505,A276,Оплаты!$A$6:$A$505,"&lt;="&amp;Оплаты!$A$268))</f>
        <v/>
      </c>
      <c r="F276" s="14">
        <f>IF(G276="","",SUMPRODUCT(ROUND(E276*'По дням'!$L$6:$L$155/100*((((D276+'По дням'!$K$6:$K$155-ABS(D276-'По дням'!$K$6:$K$155))-(C276+'По дням'!$J$6:$J$155+ABS(C276-'По дням'!$J$6:$J$155)))/2+1)&gt;0)*(((D276+'По дням'!$K$6:$K$155-ABS(D276-'По дням'!$K$6:$K$155))-(C276+'По дням'!$J$6:$J$155+ABS(C276-'По дням'!$J$6:$J$155)))/2+1)/'По дням'!$M$6:$M$155,2)*(1-'По дням'!$N$6:$N$155)))</f>
        <v/>
      </c>
      <c r="G276">
        <f>IF(A276="","",IF(C276&gt;D276,"",B276*1000000+C276))</f>
        <v/>
      </c>
      <c r="H276" s="14">
        <f>IF(G276="","",SUMIFS(Оплаты!$B$6:$B$505,Оплаты!$D$6:$D$505,A276,Оплаты!$A$6:$A$505,D276))</f>
        <v/>
      </c>
      <c r="I276">
        <f>IF(G276="","",SUMPRODUCT((((((D276+'По дням'!$K$6:$K$155-ABS(D276-'По дням'!$K$6:$K$155))-(C276+'По дням'!$J$6:$J$155+ABS(C276-'По дням'!$J$6:$J$155)))/2+1)&gt;0)*(((D276+'По дням'!$K$6:$K$155-ABS(D276-'По дням'!$K$6:$K$155))-(C276+'По дням'!$J$6:$J$155+ABS(C276-'По дням'!$J$6:$J$155)))/2+1)&gt;0)*1))</f>
        <v/>
      </c>
    </row>
    <row r="277">
      <c r="A277">
        <f>IF(AND(Оплаты!$E$269="ок",COUNTIFS(Акты!$B$5:$B$16,Оплаты!$D$269,Акты!$H$5:$H$16,"ок")&gt;0,COUNTIFS(Оплаты!$D$6:$D$268,Оплаты!$D$269,Оплаты!$A$6:$A$268,Оплаты!$A$269)=0),Оплаты!$D$269,"")</f>
        <v/>
      </c>
      <c r="B277">
        <f>IF(A277="","",MATCH(A277,Акты!$B$5:$B$16,0))</f>
        <v/>
      </c>
      <c r="C277" s="20">
        <f>IF(A277="","",Оплаты!$A$269+1)</f>
        <v/>
      </c>
      <c r="D277" s="20">
        <f>IF(A277="","",MIN(Ввод!$B$4,Ввод!$B$4+1-SUMPRODUCT(MAX((Оплаты!$D$6:$D$505=A277)*(Оплаты!$A$6:$A$505&gt;Оплаты!$A$269)*(Ввод!$B$4+1-Оплаты!$A$6:$A$505)))))</f>
        <v/>
      </c>
      <c r="E277" s="14">
        <f>IF(A277="","",INDEX(Акты!$D$5:$D$16,B277)-SUMIFS(Оплаты!$B$6:$B$505,Оплаты!$D$6:$D$505,A277,Оплаты!$A$6:$A$505,"&lt;="&amp;Оплаты!$A$269))</f>
        <v/>
      </c>
      <c r="F277" s="14">
        <f>IF(G277="","",SUMPRODUCT(ROUND(E277*'По дням'!$L$6:$L$155/100*((((D277+'По дням'!$K$6:$K$155-ABS(D277-'По дням'!$K$6:$K$155))-(C277+'По дням'!$J$6:$J$155+ABS(C277-'По дням'!$J$6:$J$155)))/2+1)&gt;0)*(((D277+'По дням'!$K$6:$K$155-ABS(D277-'По дням'!$K$6:$K$155))-(C277+'По дням'!$J$6:$J$155+ABS(C277-'По дням'!$J$6:$J$155)))/2+1)/'По дням'!$M$6:$M$155,2)*(1-'По дням'!$N$6:$N$155)))</f>
        <v/>
      </c>
      <c r="G277">
        <f>IF(A277="","",IF(C277&gt;D277,"",B277*1000000+C277))</f>
        <v/>
      </c>
      <c r="H277" s="14">
        <f>IF(G277="","",SUMIFS(Оплаты!$B$6:$B$505,Оплаты!$D$6:$D$505,A277,Оплаты!$A$6:$A$505,D277))</f>
        <v/>
      </c>
      <c r="I277">
        <f>IF(G277="","",SUMPRODUCT((((((D277+'По дням'!$K$6:$K$155-ABS(D277-'По дням'!$K$6:$K$155))-(C277+'По дням'!$J$6:$J$155+ABS(C277-'По дням'!$J$6:$J$155)))/2+1)&gt;0)*(((D277+'По дням'!$K$6:$K$155-ABS(D277-'По дням'!$K$6:$K$155))-(C277+'По дням'!$J$6:$J$155+ABS(C277-'По дням'!$J$6:$J$155)))/2+1)&gt;0)*1))</f>
        <v/>
      </c>
    </row>
    <row r="278">
      <c r="A278">
        <f>IF(AND(Оплаты!$E$270="ок",COUNTIFS(Акты!$B$5:$B$16,Оплаты!$D$270,Акты!$H$5:$H$16,"ок")&gt;0,COUNTIFS(Оплаты!$D$6:$D$269,Оплаты!$D$270,Оплаты!$A$6:$A$269,Оплаты!$A$270)=0),Оплаты!$D$270,"")</f>
        <v/>
      </c>
      <c r="B278">
        <f>IF(A278="","",MATCH(A278,Акты!$B$5:$B$16,0))</f>
        <v/>
      </c>
      <c r="C278" s="20">
        <f>IF(A278="","",Оплаты!$A$270+1)</f>
        <v/>
      </c>
      <c r="D278" s="20">
        <f>IF(A278="","",MIN(Ввод!$B$4,Ввод!$B$4+1-SUMPRODUCT(MAX((Оплаты!$D$6:$D$505=A278)*(Оплаты!$A$6:$A$505&gt;Оплаты!$A$270)*(Ввод!$B$4+1-Оплаты!$A$6:$A$505)))))</f>
        <v/>
      </c>
      <c r="E278" s="14">
        <f>IF(A278="","",INDEX(Акты!$D$5:$D$16,B278)-SUMIFS(Оплаты!$B$6:$B$505,Оплаты!$D$6:$D$505,A278,Оплаты!$A$6:$A$505,"&lt;="&amp;Оплаты!$A$270))</f>
        <v/>
      </c>
      <c r="F278" s="14">
        <f>IF(G278="","",SUMPRODUCT(ROUND(E278*'По дням'!$L$6:$L$155/100*((((D278+'По дням'!$K$6:$K$155-ABS(D278-'По дням'!$K$6:$K$155))-(C278+'По дням'!$J$6:$J$155+ABS(C278-'По дням'!$J$6:$J$155)))/2+1)&gt;0)*(((D278+'По дням'!$K$6:$K$155-ABS(D278-'По дням'!$K$6:$K$155))-(C278+'По дням'!$J$6:$J$155+ABS(C278-'По дням'!$J$6:$J$155)))/2+1)/'По дням'!$M$6:$M$155,2)*(1-'По дням'!$N$6:$N$155)))</f>
        <v/>
      </c>
      <c r="G278">
        <f>IF(A278="","",IF(C278&gt;D278,"",B278*1000000+C278))</f>
        <v/>
      </c>
      <c r="H278" s="14">
        <f>IF(G278="","",SUMIFS(Оплаты!$B$6:$B$505,Оплаты!$D$6:$D$505,A278,Оплаты!$A$6:$A$505,D278))</f>
        <v/>
      </c>
      <c r="I278">
        <f>IF(G278="","",SUMPRODUCT((((((D278+'По дням'!$K$6:$K$155-ABS(D278-'По дням'!$K$6:$K$155))-(C278+'По дням'!$J$6:$J$155+ABS(C278-'По дням'!$J$6:$J$155)))/2+1)&gt;0)*(((D278+'По дням'!$K$6:$K$155-ABS(D278-'По дням'!$K$6:$K$155))-(C278+'По дням'!$J$6:$J$155+ABS(C278-'По дням'!$J$6:$J$155)))/2+1)&gt;0)*1))</f>
        <v/>
      </c>
    </row>
    <row r="279">
      <c r="A279">
        <f>IF(AND(Оплаты!$E$271="ок",COUNTIFS(Акты!$B$5:$B$16,Оплаты!$D$271,Акты!$H$5:$H$16,"ок")&gt;0,COUNTIFS(Оплаты!$D$6:$D$270,Оплаты!$D$271,Оплаты!$A$6:$A$270,Оплаты!$A$271)=0),Оплаты!$D$271,"")</f>
        <v/>
      </c>
      <c r="B279">
        <f>IF(A279="","",MATCH(A279,Акты!$B$5:$B$16,0))</f>
        <v/>
      </c>
      <c r="C279" s="20">
        <f>IF(A279="","",Оплаты!$A$271+1)</f>
        <v/>
      </c>
      <c r="D279" s="20">
        <f>IF(A279="","",MIN(Ввод!$B$4,Ввод!$B$4+1-SUMPRODUCT(MAX((Оплаты!$D$6:$D$505=A279)*(Оплаты!$A$6:$A$505&gt;Оплаты!$A$271)*(Ввод!$B$4+1-Оплаты!$A$6:$A$505)))))</f>
        <v/>
      </c>
      <c r="E279" s="14">
        <f>IF(A279="","",INDEX(Акты!$D$5:$D$16,B279)-SUMIFS(Оплаты!$B$6:$B$505,Оплаты!$D$6:$D$505,A279,Оплаты!$A$6:$A$505,"&lt;="&amp;Оплаты!$A$271))</f>
        <v/>
      </c>
      <c r="F279" s="14">
        <f>IF(G279="","",SUMPRODUCT(ROUND(E279*'По дням'!$L$6:$L$155/100*((((D279+'По дням'!$K$6:$K$155-ABS(D279-'По дням'!$K$6:$K$155))-(C279+'По дням'!$J$6:$J$155+ABS(C279-'По дням'!$J$6:$J$155)))/2+1)&gt;0)*(((D279+'По дням'!$K$6:$K$155-ABS(D279-'По дням'!$K$6:$K$155))-(C279+'По дням'!$J$6:$J$155+ABS(C279-'По дням'!$J$6:$J$155)))/2+1)/'По дням'!$M$6:$M$155,2)*(1-'По дням'!$N$6:$N$155)))</f>
        <v/>
      </c>
      <c r="G279">
        <f>IF(A279="","",IF(C279&gt;D279,"",B279*1000000+C279))</f>
        <v/>
      </c>
      <c r="H279" s="14">
        <f>IF(G279="","",SUMIFS(Оплаты!$B$6:$B$505,Оплаты!$D$6:$D$505,A279,Оплаты!$A$6:$A$505,D279))</f>
        <v/>
      </c>
      <c r="I279">
        <f>IF(G279="","",SUMPRODUCT((((((D279+'По дням'!$K$6:$K$155-ABS(D279-'По дням'!$K$6:$K$155))-(C279+'По дням'!$J$6:$J$155+ABS(C279-'По дням'!$J$6:$J$155)))/2+1)&gt;0)*(((D279+'По дням'!$K$6:$K$155-ABS(D279-'По дням'!$K$6:$K$155))-(C279+'По дням'!$J$6:$J$155+ABS(C279-'По дням'!$J$6:$J$155)))/2+1)&gt;0)*1))</f>
        <v/>
      </c>
    </row>
    <row r="280">
      <c r="A280">
        <f>IF(AND(Оплаты!$E$272="ок",COUNTIFS(Акты!$B$5:$B$16,Оплаты!$D$272,Акты!$H$5:$H$16,"ок")&gt;0,COUNTIFS(Оплаты!$D$6:$D$271,Оплаты!$D$272,Оплаты!$A$6:$A$271,Оплаты!$A$272)=0),Оплаты!$D$272,"")</f>
        <v/>
      </c>
      <c r="B280">
        <f>IF(A280="","",MATCH(A280,Акты!$B$5:$B$16,0))</f>
        <v/>
      </c>
      <c r="C280" s="20">
        <f>IF(A280="","",Оплаты!$A$272+1)</f>
        <v/>
      </c>
      <c r="D280" s="20">
        <f>IF(A280="","",MIN(Ввод!$B$4,Ввод!$B$4+1-SUMPRODUCT(MAX((Оплаты!$D$6:$D$505=A280)*(Оплаты!$A$6:$A$505&gt;Оплаты!$A$272)*(Ввод!$B$4+1-Оплаты!$A$6:$A$505)))))</f>
        <v/>
      </c>
      <c r="E280" s="14">
        <f>IF(A280="","",INDEX(Акты!$D$5:$D$16,B280)-SUMIFS(Оплаты!$B$6:$B$505,Оплаты!$D$6:$D$505,A280,Оплаты!$A$6:$A$505,"&lt;="&amp;Оплаты!$A$272))</f>
        <v/>
      </c>
      <c r="F280" s="14">
        <f>IF(G280="","",SUMPRODUCT(ROUND(E280*'По дням'!$L$6:$L$155/100*((((D280+'По дням'!$K$6:$K$155-ABS(D280-'По дням'!$K$6:$K$155))-(C280+'По дням'!$J$6:$J$155+ABS(C280-'По дням'!$J$6:$J$155)))/2+1)&gt;0)*(((D280+'По дням'!$K$6:$K$155-ABS(D280-'По дням'!$K$6:$K$155))-(C280+'По дням'!$J$6:$J$155+ABS(C280-'По дням'!$J$6:$J$155)))/2+1)/'По дням'!$M$6:$M$155,2)*(1-'По дням'!$N$6:$N$155)))</f>
        <v/>
      </c>
      <c r="G280">
        <f>IF(A280="","",IF(C280&gt;D280,"",B280*1000000+C280))</f>
        <v/>
      </c>
      <c r="H280" s="14">
        <f>IF(G280="","",SUMIFS(Оплаты!$B$6:$B$505,Оплаты!$D$6:$D$505,A280,Оплаты!$A$6:$A$505,D280))</f>
        <v/>
      </c>
      <c r="I280">
        <f>IF(G280="","",SUMPRODUCT((((((D280+'По дням'!$K$6:$K$155-ABS(D280-'По дням'!$K$6:$K$155))-(C280+'По дням'!$J$6:$J$155+ABS(C280-'По дням'!$J$6:$J$155)))/2+1)&gt;0)*(((D280+'По дням'!$K$6:$K$155-ABS(D280-'По дням'!$K$6:$K$155))-(C280+'По дням'!$J$6:$J$155+ABS(C280-'По дням'!$J$6:$J$155)))/2+1)&gt;0)*1))</f>
        <v/>
      </c>
    </row>
    <row r="281">
      <c r="A281">
        <f>IF(AND(Оплаты!$E$273="ок",COUNTIFS(Акты!$B$5:$B$16,Оплаты!$D$273,Акты!$H$5:$H$16,"ок")&gt;0,COUNTIFS(Оплаты!$D$6:$D$272,Оплаты!$D$273,Оплаты!$A$6:$A$272,Оплаты!$A$273)=0),Оплаты!$D$273,"")</f>
        <v/>
      </c>
      <c r="B281">
        <f>IF(A281="","",MATCH(A281,Акты!$B$5:$B$16,0))</f>
        <v/>
      </c>
      <c r="C281" s="20">
        <f>IF(A281="","",Оплаты!$A$273+1)</f>
        <v/>
      </c>
      <c r="D281" s="20">
        <f>IF(A281="","",MIN(Ввод!$B$4,Ввод!$B$4+1-SUMPRODUCT(MAX((Оплаты!$D$6:$D$505=A281)*(Оплаты!$A$6:$A$505&gt;Оплаты!$A$273)*(Ввод!$B$4+1-Оплаты!$A$6:$A$505)))))</f>
        <v/>
      </c>
      <c r="E281" s="14">
        <f>IF(A281="","",INDEX(Акты!$D$5:$D$16,B281)-SUMIFS(Оплаты!$B$6:$B$505,Оплаты!$D$6:$D$505,A281,Оплаты!$A$6:$A$505,"&lt;="&amp;Оплаты!$A$273))</f>
        <v/>
      </c>
      <c r="F281" s="14">
        <f>IF(G281="","",SUMPRODUCT(ROUND(E281*'По дням'!$L$6:$L$155/100*((((D281+'По дням'!$K$6:$K$155-ABS(D281-'По дням'!$K$6:$K$155))-(C281+'По дням'!$J$6:$J$155+ABS(C281-'По дням'!$J$6:$J$155)))/2+1)&gt;0)*(((D281+'По дням'!$K$6:$K$155-ABS(D281-'По дням'!$K$6:$K$155))-(C281+'По дням'!$J$6:$J$155+ABS(C281-'По дням'!$J$6:$J$155)))/2+1)/'По дням'!$M$6:$M$155,2)*(1-'По дням'!$N$6:$N$155)))</f>
        <v/>
      </c>
      <c r="G281">
        <f>IF(A281="","",IF(C281&gt;D281,"",B281*1000000+C281))</f>
        <v/>
      </c>
      <c r="H281" s="14">
        <f>IF(G281="","",SUMIFS(Оплаты!$B$6:$B$505,Оплаты!$D$6:$D$505,A281,Оплаты!$A$6:$A$505,D281))</f>
        <v/>
      </c>
      <c r="I281">
        <f>IF(G281="","",SUMPRODUCT((((((D281+'По дням'!$K$6:$K$155-ABS(D281-'По дням'!$K$6:$K$155))-(C281+'По дням'!$J$6:$J$155+ABS(C281-'По дням'!$J$6:$J$155)))/2+1)&gt;0)*(((D281+'По дням'!$K$6:$K$155-ABS(D281-'По дням'!$K$6:$K$155))-(C281+'По дням'!$J$6:$J$155+ABS(C281-'По дням'!$J$6:$J$155)))/2+1)&gt;0)*1))</f>
        <v/>
      </c>
    </row>
    <row r="282">
      <c r="A282">
        <f>IF(AND(Оплаты!$E$274="ок",COUNTIFS(Акты!$B$5:$B$16,Оплаты!$D$274,Акты!$H$5:$H$16,"ок")&gt;0,COUNTIFS(Оплаты!$D$6:$D$273,Оплаты!$D$274,Оплаты!$A$6:$A$273,Оплаты!$A$274)=0),Оплаты!$D$274,"")</f>
        <v/>
      </c>
      <c r="B282">
        <f>IF(A282="","",MATCH(A282,Акты!$B$5:$B$16,0))</f>
        <v/>
      </c>
      <c r="C282" s="20">
        <f>IF(A282="","",Оплаты!$A$274+1)</f>
        <v/>
      </c>
      <c r="D282" s="20">
        <f>IF(A282="","",MIN(Ввод!$B$4,Ввод!$B$4+1-SUMPRODUCT(MAX((Оплаты!$D$6:$D$505=A282)*(Оплаты!$A$6:$A$505&gt;Оплаты!$A$274)*(Ввод!$B$4+1-Оплаты!$A$6:$A$505)))))</f>
        <v/>
      </c>
      <c r="E282" s="14">
        <f>IF(A282="","",INDEX(Акты!$D$5:$D$16,B282)-SUMIFS(Оплаты!$B$6:$B$505,Оплаты!$D$6:$D$505,A282,Оплаты!$A$6:$A$505,"&lt;="&amp;Оплаты!$A$274))</f>
        <v/>
      </c>
      <c r="F282" s="14">
        <f>IF(G282="","",SUMPRODUCT(ROUND(E282*'По дням'!$L$6:$L$155/100*((((D282+'По дням'!$K$6:$K$155-ABS(D282-'По дням'!$K$6:$K$155))-(C282+'По дням'!$J$6:$J$155+ABS(C282-'По дням'!$J$6:$J$155)))/2+1)&gt;0)*(((D282+'По дням'!$K$6:$K$155-ABS(D282-'По дням'!$K$6:$K$155))-(C282+'По дням'!$J$6:$J$155+ABS(C282-'По дням'!$J$6:$J$155)))/2+1)/'По дням'!$M$6:$M$155,2)*(1-'По дням'!$N$6:$N$155)))</f>
        <v/>
      </c>
      <c r="G282">
        <f>IF(A282="","",IF(C282&gt;D282,"",B282*1000000+C282))</f>
        <v/>
      </c>
      <c r="H282" s="14">
        <f>IF(G282="","",SUMIFS(Оплаты!$B$6:$B$505,Оплаты!$D$6:$D$505,A282,Оплаты!$A$6:$A$505,D282))</f>
        <v/>
      </c>
      <c r="I282">
        <f>IF(G282="","",SUMPRODUCT((((((D282+'По дням'!$K$6:$K$155-ABS(D282-'По дням'!$K$6:$K$155))-(C282+'По дням'!$J$6:$J$155+ABS(C282-'По дням'!$J$6:$J$155)))/2+1)&gt;0)*(((D282+'По дням'!$K$6:$K$155-ABS(D282-'По дням'!$K$6:$K$155))-(C282+'По дням'!$J$6:$J$155+ABS(C282-'По дням'!$J$6:$J$155)))/2+1)&gt;0)*1))</f>
        <v/>
      </c>
    </row>
    <row r="283">
      <c r="A283">
        <f>IF(AND(Оплаты!$E$275="ок",COUNTIFS(Акты!$B$5:$B$16,Оплаты!$D$275,Акты!$H$5:$H$16,"ок")&gt;0,COUNTIFS(Оплаты!$D$6:$D$274,Оплаты!$D$275,Оплаты!$A$6:$A$274,Оплаты!$A$275)=0),Оплаты!$D$275,"")</f>
        <v/>
      </c>
      <c r="B283">
        <f>IF(A283="","",MATCH(A283,Акты!$B$5:$B$16,0))</f>
        <v/>
      </c>
      <c r="C283" s="20">
        <f>IF(A283="","",Оплаты!$A$275+1)</f>
        <v/>
      </c>
      <c r="D283" s="20">
        <f>IF(A283="","",MIN(Ввод!$B$4,Ввод!$B$4+1-SUMPRODUCT(MAX((Оплаты!$D$6:$D$505=A283)*(Оплаты!$A$6:$A$505&gt;Оплаты!$A$275)*(Ввод!$B$4+1-Оплаты!$A$6:$A$505)))))</f>
        <v/>
      </c>
      <c r="E283" s="14">
        <f>IF(A283="","",INDEX(Акты!$D$5:$D$16,B283)-SUMIFS(Оплаты!$B$6:$B$505,Оплаты!$D$6:$D$505,A283,Оплаты!$A$6:$A$505,"&lt;="&amp;Оплаты!$A$275))</f>
        <v/>
      </c>
      <c r="F283" s="14">
        <f>IF(G283="","",SUMPRODUCT(ROUND(E283*'По дням'!$L$6:$L$155/100*((((D283+'По дням'!$K$6:$K$155-ABS(D283-'По дням'!$K$6:$K$155))-(C283+'По дням'!$J$6:$J$155+ABS(C283-'По дням'!$J$6:$J$155)))/2+1)&gt;0)*(((D283+'По дням'!$K$6:$K$155-ABS(D283-'По дням'!$K$6:$K$155))-(C283+'По дням'!$J$6:$J$155+ABS(C283-'По дням'!$J$6:$J$155)))/2+1)/'По дням'!$M$6:$M$155,2)*(1-'По дням'!$N$6:$N$155)))</f>
        <v/>
      </c>
      <c r="G283">
        <f>IF(A283="","",IF(C283&gt;D283,"",B283*1000000+C283))</f>
        <v/>
      </c>
      <c r="H283" s="14">
        <f>IF(G283="","",SUMIFS(Оплаты!$B$6:$B$505,Оплаты!$D$6:$D$505,A283,Оплаты!$A$6:$A$505,D283))</f>
        <v/>
      </c>
      <c r="I283">
        <f>IF(G283="","",SUMPRODUCT((((((D283+'По дням'!$K$6:$K$155-ABS(D283-'По дням'!$K$6:$K$155))-(C283+'По дням'!$J$6:$J$155+ABS(C283-'По дням'!$J$6:$J$155)))/2+1)&gt;0)*(((D283+'По дням'!$K$6:$K$155-ABS(D283-'По дням'!$K$6:$K$155))-(C283+'По дням'!$J$6:$J$155+ABS(C283-'По дням'!$J$6:$J$155)))/2+1)&gt;0)*1))</f>
        <v/>
      </c>
    </row>
    <row r="284">
      <c r="A284">
        <f>IF(AND(Оплаты!$E$276="ок",COUNTIFS(Акты!$B$5:$B$16,Оплаты!$D$276,Акты!$H$5:$H$16,"ок")&gt;0,COUNTIFS(Оплаты!$D$6:$D$275,Оплаты!$D$276,Оплаты!$A$6:$A$275,Оплаты!$A$276)=0),Оплаты!$D$276,"")</f>
        <v/>
      </c>
      <c r="B284">
        <f>IF(A284="","",MATCH(A284,Акты!$B$5:$B$16,0))</f>
        <v/>
      </c>
      <c r="C284" s="20">
        <f>IF(A284="","",Оплаты!$A$276+1)</f>
        <v/>
      </c>
      <c r="D284" s="20">
        <f>IF(A284="","",MIN(Ввод!$B$4,Ввод!$B$4+1-SUMPRODUCT(MAX((Оплаты!$D$6:$D$505=A284)*(Оплаты!$A$6:$A$505&gt;Оплаты!$A$276)*(Ввод!$B$4+1-Оплаты!$A$6:$A$505)))))</f>
        <v/>
      </c>
      <c r="E284" s="14">
        <f>IF(A284="","",INDEX(Акты!$D$5:$D$16,B284)-SUMIFS(Оплаты!$B$6:$B$505,Оплаты!$D$6:$D$505,A284,Оплаты!$A$6:$A$505,"&lt;="&amp;Оплаты!$A$276))</f>
        <v/>
      </c>
      <c r="F284" s="14">
        <f>IF(G284="","",SUMPRODUCT(ROUND(E284*'По дням'!$L$6:$L$155/100*((((D284+'По дням'!$K$6:$K$155-ABS(D284-'По дням'!$K$6:$K$155))-(C284+'По дням'!$J$6:$J$155+ABS(C284-'По дням'!$J$6:$J$155)))/2+1)&gt;0)*(((D284+'По дням'!$K$6:$K$155-ABS(D284-'По дням'!$K$6:$K$155))-(C284+'По дням'!$J$6:$J$155+ABS(C284-'По дням'!$J$6:$J$155)))/2+1)/'По дням'!$M$6:$M$155,2)*(1-'По дням'!$N$6:$N$155)))</f>
        <v/>
      </c>
      <c r="G284">
        <f>IF(A284="","",IF(C284&gt;D284,"",B284*1000000+C284))</f>
        <v/>
      </c>
      <c r="H284" s="14">
        <f>IF(G284="","",SUMIFS(Оплаты!$B$6:$B$505,Оплаты!$D$6:$D$505,A284,Оплаты!$A$6:$A$505,D284))</f>
        <v/>
      </c>
      <c r="I284">
        <f>IF(G284="","",SUMPRODUCT((((((D284+'По дням'!$K$6:$K$155-ABS(D284-'По дням'!$K$6:$K$155))-(C284+'По дням'!$J$6:$J$155+ABS(C284-'По дням'!$J$6:$J$155)))/2+1)&gt;0)*(((D284+'По дням'!$K$6:$K$155-ABS(D284-'По дням'!$K$6:$K$155))-(C284+'По дням'!$J$6:$J$155+ABS(C284-'По дням'!$J$6:$J$155)))/2+1)&gt;0)*1))</f>
        <v/>
      </c>
    </row>
    <row r="285">
      <c r="A285">
        <f>IF(AND(Оплаты!$E$277="ок",COUNTIFS(Акты!$B$5:$B$16,Оплаты!$D$277,Акты!$H$5:$H$16,"ок")&gt;0,COUNTIFS(Оплаты!$D$6:$D$276,Оплаты!$D$277,Оплаты!$A$6:$A$276,Оплаты!$A$277)=0),Оплаты!$D$277,"")</f>
        <v/>
      </c>
      <c r="B285">
        <f>IF(A285="","",MATCH(A285,Акты!$B$5:$B$16,0))</f>
        <v/>
      </c>
      <c r="C285" s="20">
        <f>IF(A285="","",Оплаты!$A$277+1)</f>
        <v/>
      </c>
      <c r="D285" s="20">
        <f>IF(A285="","",MIN(Ввод!$B$4,Ввод!$B$4+1-SUMPRODUCT(MAX((Оплаты!$D$6:$D$505=A285)*(Оплаты!$A$6:$A$505&gt;Оплаты!$A$277)*(Ввод!$B$4+1-Оплаты!$A$6:$A$505)))))</f>
        <v/>
      </c>
      <c r="E285" s="14">
        <f>IF(A285="","",INDEX(Акты!$D$5:$D$16,B285)-SUMIFS(Оплаты!$B$6:$B$505,Оплаты!$D$6:$D$505,A285,Оплаты!$A$6:$A$505,"&lt;="&amp;Оплаты!$A$277))</f>
        <v/>
      </c>
      <c r="F285" s="14">
        <f>IF(G285="","",SUMPRODUCT(ROUND(E285*'По дням'!$L$6:$L$155/100*((((D285+'По дням'!$K$6:$K$155-ABS(D285-'По дням'!$K$6:$K$155))-(C285+'По дням'!$J$6:$J$155+ABS(C285-'По дням'!$J$6:$J$155)))/2+1)&gt;0)*(((D285+'По дням'!$K$6:$K$155-ABS(D285-'По дням'!$K$6:$K$155))-(C285+'По дням'!$J$6:$J$155+ABS(C285-'По дням'!$J$6:$J$155)))/2+1)/'По дням'!$M$6:$M$155,2)*(1-'По дням'!$N$6:$N$155)))</f>
        <v/>
      </c>
      <c r="G285">
        <f>IF(A285="","",IF(C285&gt;D285,"",B285*1000000+C285))</f>
        <v/>
      </c>
      <c r="H285" s="14">
        <f>IF(G285="","",SUMIFS(Оплаты!$B$6:$B$505,Оплаты!$D$6:$D$505,A285,Оплаты!$A$6:$A$505,D285))</f>
        <v/>
      </c>
      <c r="I285">
        <f>IF(G285="","",SUMPRODUCT((((((D285+'По дням'!$K$6:$K$155-ABS(D285-'По дням'!$K$6:$K$155))-(C285+'По дням'!$J$6:$J$155+ABS(C285-'По дням'!$J$6:$J$155)))/2+1)&gt;0)*(((D285+'По дням'!$K$6:$K$155-ABS(D285-'По дням'!$K$6:$K$155))-(C285+'По дням'!$J$6:$J$155+ABS(C285-'По дням'!$J$6:$J$155)))/2+1)&gt;0)*1))</f>
        <v/>
      </c>
    </row>
    <row r="286">
      <c r="A286">
        <f>IF(AND(Оплаты!$E$278="ок",COUNTIFS(Акты!$B$5:$B$16,Оплаты!$D$278,Акты!$H$5:$H$16,"ок")&gt;0,COUNTIFS(Оплаты!$D$6:$D$277,Оплаты!$D$278,Оплаты!$A$6:$A$277,Оплаты!$A$278)=0),Оплаты!$D$278,"")</f>
        <v/>
      </c>
      <c r="B286">
        <f>IF(A286="","",MATCH(A286,Акты!$B$5:$B$16,0))</f>
        <v/>
      </c>
      <c r="C286" s="20">
        <f>IF(A286="","",Оплаты!$A$278+1)</f>
        <v/>
      </c>
      <c r="D286" s="20">
        <f>IF(A286="","",MIN(Ввод!$B$4,Ввод!$B$4+1-SUMPRODUCT(MAX((Оплаты!$D$6:$D$505=A286)*(Оплаты!$A$6:$A$505&gt;Оплаты!$A$278)*(Ввод!$B$4+1-Оплаты!$A$6:$A$505)))))</f>
        <v/>
      </c>
      <c r="E286" s="14">
        <f>IF(A286="","",INDEX(Акты!$D$5:$D$16,B286)-SUMIFS(Оплаты!$B$6:$B$505,Оплаты!$D$6:$D$505,A286,Оплаты!$A$6:$A$505,"&lt;="&amp;Оплаты!$A$278))</f>
        <v/>
      </c>
      <c r="F286" s="14">
        <f>IF(G286="","",SUMPRODUCT(ROUND(E286*'По дням'!$L$6:$L$155/100*((((D286+'По дням'!$K$6:$K$155-ABS(D286-'По дням'!$K$6:$K$155))-(C286+'По дням'!$J$6:$J$155+ABS(C286-'По дням'!$J$6:$J$155)))/2+1)&gt;0)*(((D286+'По дням'!$K$6:$K$155-ABS(D286-'По дням'!$K$6:$K$155))-(C286+'По дням'!$J$6:$J$155+ABS(C286-'По дням'!$J$6:$J$155)))/2+1)/'По дням'!$M$6:$M$155,2)*(1-'По дням'!$N$6:$N$155)))</f>
        <v/>
      </c>
      <c r="G286">
        <f>IF(A286="","",IF(C286&gt;D286,"",B286*1000000+C286))</f>
        <v/>
      </c>
      <c r="H286" s="14">
        <f>IF(G286="","",SUMIFS(Оплаты!$B$6:$B$505,Оплаты!$D$6:$D$505,A286,Оплаты!$A$6:$A$505,D286))</f>
        <v/>
      </c>
      <c r="I286">
        <f>IF(G286="","",SUMPRODUCT((((((D286+'По дням'!$K$6:$K$155-ABS(D286-'По дням'!$K$6:$K$155))-(C286+'По дням'!$J$6:$J$155+ABS(C286-'По дням'!$J$6:$J$155)))/2+1)&gt;0)*(((D286+'По дням'!$K$6:$K$155-ABS(D286-'По дням'!$K$6:$K$155))-(C286+'По дням'!$J$6:$J$155+ABS(C286-'По дням'!$J$6:$J$155)))/2+1)&gt;0)*1))</f>
        <v/>
      </c>
    </row>
    <row r="287">
      <c r="A287">
        <f>IF(AND(Оплаты!$E$279="ок",COUNTIFS(Акты!$B$5:$B$16,Оплаты!$D$279,Акты!$H$5:$H$16,"ок")&gt;0,COUNTIFS(Оплаты!$D$6:$D$278,Оплаты!$D$279,Оплаты!$A$6:$A$278,Оплаты!$A$279)=0),Оплаты!$D$279,"")</f>
        <v/>
      </c>
      <c r="B287">
        <f>IF(A287="","",MATCH(A287,Акты!$B$5:$B$16,0))</f>
        <v/>
      </c>
      <c r="C287" s="20">
        <f>IF(A287="","",Оплаты!$A$279+1)</f>
        <v/>
      </c>
      <c r="D287" s="20">
        <f>IF(A287="","",MIN(Ввод!$B$4,Ввод!$B$4+1-SUMPRODUCT(MAX((Оплаты!$D$6:$D$505=A287)*(Оплаты!$A$6:$A$505&gt;Оплаты!$A$279)*(Ввод!$B$4+1-Оплаты!$A$6:$A$505)))))</f>
        <v/>
      </c>
      <c r="E287" s="14">
        <f>IF(A287="","",INDEX(Акты!$D$5:$D$16,B287)-SUMIFS(Оплаты!$B$6:$B$505,Оплаты!$D$6:$D$505,A287,Оплаты!$A$6:$A$505,"&lt;="&amp;Оплаты!$A$279))</f>
        <v/>
      </c>
      <c r="F287" s="14">
        <f>IF(G287="","",SUMPRODUCT(ROUND(E287*'По дням'!$L$6:$L$155/100*((((D287+'По дням'!$K$6:$K$155-ABS(D287-'По дням'!$K$6:$K$155))-(C287+'По дням'!$J$6:$J$155+ABS(C287-'По дням'!$J$6:$J$155)))/2+1)&gt;0)*(((D287+'По дням'!$K$6:$K$155-ABS(D287-'По дням'!$K$6:$K$155))-(C287+'По дням'!$J$6:$J$155+ABS(C287-'По дням'!$J$6:$J$155)))/2+1)/'По дням'!$M$6:$M$155,2)*(1-'По дням'!$N$6:$N$155)))</f>
        <v/>
      </c>
      <c r="G287">
        <f>IF(A287="","",IF(C287&gt;D287,"",B287*1000000+C287))</f>
        <v/>
      </c>
      <c r="H287" s="14">
        <f>IF(G287="","",SUMIFS(Оплаты!$B$6:$B$505,Оплаты!$D$6:$D$505,A287,Оплаты!$A$6:$A$505,D287))</f>
        <v/>
      </c>
      <c r="I287">
        <f>IF(G287="","",SUMPRODUCT((((((D287+'По дням'!$K$6:$K$155-ABS(D287-'По дням'!$K$6:$K$155))-(C287+'По дням'!$J$6:$J$155+ABS(C287-'По дням'!$J$6:$J$155)))/2+1)&gt;0)*(((D287+'По дням'!$K$6:$K$155-ABS(D287-'По дням'!$K$6:$K$155))-(C287+'По дням'!$J$6:$J$155+ABS(C287-'По дням'!$J$6:$J$155)))/2+1)&gt;0)*1))</f>
        <v/>
      </c>
    </row>
    <row r="288">
      <c r="A288">
        <f>IF(AND(Оплаты!$E$280="ок",COUNTIFS(Акты!$B$5:$B$16,Оплаты!$D$280,Акты!$H$5:$H$16,"ок")&gt;0,COUNTIFS(Оплаты!$D$6:$D$279,Оплаты!$D$280,Оплаты!$A$6:$A$279,Оплаты!$A$280)=0),Оплаты!$D$280,"")</f>
        <v/>
      </c>
      <c r="B288">
        <f>IF(A288="","",MATCH(A288,Акты!$B$5:$B$16,0))</f>
        <v/>
      </c>
      <c r="C288" s="20">
        <f>IF(A288="","",Оплаты!$A$280+1)</f>
        <v/>
      </c>
      <c r="D288" s="20">
        <f>IF(A288="","",MIN(Ввод!$B$4,Ввод!$B$4+1-SUMPRODUCT(MAX((Оплаты!$D$6:$D$505=A288)*(Оплаты!$A$6:$A$505&gt;Оплаты!$A$280)*(Ввод!$B$4+1-Оплаты!$A$6:$A$505)))))</f>
        <v/>
      </c>
      <c r="E288" s="14">
        <f>IF(A288="","",INDEX(Акты!$D$5:$D$16,B288)-SUMIFS(Оплаты!$B$6:$B$505,Оплаты!$D$6:$D$505,A288,Оплаты!$A$6:$A$505,"&lt;="&amp;Оплаты!$A$280))</f>
        <v/>
      </c>
      <c r="F288" s="14">
        <f>IF(G288="","",SUMPRODUCT(ROUND(E288*'По дням'!$L$6:$L$155/100*((((D288+'По дням'!$K$6:$K$155-ABS(D288-'По дням'!$K$6:$K$155))-(C288+'По дням'!$J$6:$J$155+ABS(C288-'По дням'!$J$6:$J$155)))/2+1)&gt;0)*(((D288+'По дням'!$K$6:$K$155-ABS(D288-'По дням'!$K$6:$K$155))-(C288+'По дням'!$J$6:$J$155+ABS(C288-'По дням'!$J$6:$J$155)))/2+1)/'По дням'!$M$6:$M$155,2)*(1-'По дням'!$N$6:$N$155)))</f>
        <v/>
      </c>
      <c r="G288">
        <f>IF(A288="","",IF(C288&gt;D288,"",B288*1000000+C288))</f>
        <v/>
      </c>
      <c r="H288" s="14">
        <f>IF(G288="","",SUMIFS(Оплаты!$B$6:$B$505,Оплаты!$D$6:$D$505,A288,Оплаты!$A$6:$A$505,D288))</f>
        <v/>
      </c>
      <c r="I288">
        <f>IF(G288="","",SUMPRODUCT((((((D288+'По дням'!$K$6:$K$155-ABS(D288-'По дням'!$K$6:$K$155))-(C288+'По дням'!$J$6:$J$155+ABS(C288-'По дням'!$J$6:$J$155)))/2+1)&gt;0)*(((D288+'По дням'!$K$6:$K$155-ABS(D288-'По дням'!$K$6:$K$155))-(C288+'По дням'!$J$6:$J$155+ABS(C288-'По дням'!$J$6:$J$155)))/2+1)&gt;0)*1))</f>
        <v/>
      </c>
    </row>
    <row r="289">
      <c r="A289">
        <f>IF(AND(Оплаты!$E$281="ок",COUNTIFS(Акты!$B$5:$B$16,Оплаты!$D$281,Акты!$H$5:$H$16,"ок")&gt;0,COUNTIFS(Оплаты!$D$6:$D$280,Оплаты!$D$281,Оплаты!$A$6:$A$280,Оплаты!$A$281)=0),Оплаты!$D$281,"")</f>
        <v/>
      </c>
      <c r="B289">
        <f>IF(A289="","",MATCH(A289,Акты!$B$5:$B$16,0))</f>
        <v/>
      </c>
      <c r="C289" s="20">
        <f>IF(A289="","",Оплаты!$A$281+1)</f>
        <v/>
      </c>
      <c r="D289" s="20">
        <f>IF(A289="","",MIN(Ввод!$B$4,Ввод!$B$4+1-SUMPRODUCT(MAX((Оплаты!$D$6:$D$505=A289)*(Оплаты!$A$6:$A$505&gt;Оплаты!$A$281)*(Ввод!$B$4+1-Оплаты!$A$6:$A$505)))))</f>
        <v/>
      </c>
      <c r="E289" s="14">
        <f>IF(A289="","",INDEX(Акты!$D$5:$D$16,B289)-SUMIFS(Оплаты!$B$6:$B$505,Оплаты!$D$6:$D$505,A289,Оплаты!$A$6:$A$505,"&lt;="&amp;Оплаты!$A$281))</f>
        <v/>
      </c>
      <c r="F289" s="14">
        <f>IF(G289="","",SUMPRODUCT(ROUND(E289*'По дням'!$L$6:$L$155/100*((((D289+'По дням'!$K$6:$K$155-ABS(D289-'По дням'!$K$6:$K$155))-(C289+'По дням'!$J$6:$J$155+ABS(C289-'По дням'!$J$6:$J$155)))/2+1)&gt;0)*(((D289+'По дням'!$K$6:$K$155-ABS(D289-'По дням'!$K$6:$K$155))-(C289+'По дням'!$J$6:$J$155+ABS(C289-'По дням'!$J$6:$J$155)))/2+1)/'По дням'!$M$6:$M$155,2)*(1-'По дням'!$N$6:$N$155)))</f>
        <v/>
      </c>
      <c r="G289">
        <f>IF(A289="","",IF(C289&gt;D289,"",B289*1000000+C289))</f>
        <v/>
      </c>
      <c r="H289" s="14">
        <f>IF(G289="","",SUMIFS(Оплаты!$B$6:$B$505,Оплаты!$D$6:$D$505,A289,Оплаты!$A$6:$A$505,D289))</f>
        <v/>
      </c>
      <c r="I289">
        <f>IF(G289="","",SUMPRODUCT((((((D289+'По дням'!$K$6:$K$155-ABS(D289-'По дням'!$K$6:$K$155))-(C289+'По дням'!$J$6:$J$155+ABS(C289-'По дням'!$J$6:$J$155)))/2+1)&gt;0)*(((D289+'По дням'!$K$6:$K$155-ABS(D289-'По дням'!$K$6:$K$155))-(C289+'По дням'!$J$6:$J$155+ABS(C289-'По дням'!$J$6:$J$155)))/2+1)&gt;0)*1))</f>
        <v/>
      </c>
    </row>
    <row r="290">
      <c r="A290">
        <f>IF(AND(Оплаты!$E$282="ок",COUNTIFS(Акты!$B$5:$B$16,Оплаты!$D$282,Акты!$H$5:$H$16,"ок")&gt;0,COUNTIFS(Оплаты!$D$6:$D$281,Оплаты!$D$282,Оплаты!$A$6:$A$281,Оплаты!$A$282)=0),Оплаты!$D$282,"")</f>
        <v/>
      </c>
      <c r="B290">
        <f>IF(A290="","",MATCH(A290,Акты!$B$5:$B$16,0))</f>
        <v/>
      </c>
      <c r="C290" s="20">
        <f>IF(A290="","",Оплаты!$A$282+1)</f>
        <v/>
      </c>
      <c r="D290" s="20">
        <f>IF(A290="","",MIN(Ввод!$B$4,Ввод!$B$4+1-SUMPRODUCT(MAX((Оплаты!$D$6:$D$505=A290)*(Оплаты!$A$6:$A$505&gt;Оплаты!$A$282)*(Ввод!$B$4+1-Оплаты!$A$6:$A$505)))))</f>
        <v/>
      </c>
      <c r="E290" s="14">
        <f>IF(A290="","",INDEX(Акты!$D$5:$D$16,B290)-SUMIFS(Оплаты!$B$6:$B$505,Оплаты!$D$6:$D$505,A290,Оплаты!$A$6:$A$505,"&lt;="&amp;Оплаты!$A$282))</f>
        <v/>
      </c>
      <c r="F290" s="14">
        <f>IF(G290="","",SUMPRODUCT(ROUND(E290*'По дням'!$L$6:$L$155/100*((((D290+'По дням'!$K$6:$K$155-ABS(D290-'По дням'!$K$6:$K$155))-(C290+'По дням'!$J$6:$J$155+ABS(C290-'По дням'!$J$6:$J$155)))/2+1)&gt;0)*(((D290+'По дням'!$K$6:$K$155-ABS(D290-'По дням'!$K$6:$K$155))-(C290+'По дням'!$J$6:$J$155+ABS(C290-'По дням'!$J$6:$J$155)))/2+1)/'По дням'!$M$6:$M$155,2)*(1-'По дням'!$N$6:$N$155)))</f>
        <v/>
      </c>
      <c r="G290">
        <f>IF(A290="","",IF(C290&gt;D290,"",B290*1000000+C290))</f>
        <v/>
      </c>
      <c r="H290" s="14">
        <f>IF(G290="","",SUMIFS(Оплаты!$B$6:$B$505,Оплаты!$D$6:$D$505,A290,Оплаты!$A$6:$A$505,D290))</f>
        <v/>
      </c>
      <c r="I290">
        <f>IF(G290="","",SUMPRODUCT((((((D290+'По дням'!$K$6:$K$155-ABS(D290-'По дням'!$K$6:$K$155))-(C290+'По дням'!$J$6:$J$155+ABS(C290-'По дням'!$J$6:$J$155)))/2+1)&gt;0)*(((D290+'По дням'!$K$6:$K$155-ABS(D290-'По дням'!$K$6:$K$155))-(C290+'По дням'!$J$6:$J$155+ABS(C290-'По дням'!$J$6:$J$155)))/2+1)&gt;0)*1))</f>
        <v/>
      </c>
    </row>
    <row r="291">
      <c r="A291">
        <f>IF(AND(Оплаты!$E$283="ок",COUNTIFS(Акты!$B$5:$B$16,Оплаты!$D$283,Акты!$H$5:$H$16,"ок")&gt;0,COUNTIFS(Оплаты!$D$6:$D$282,Оплаты!$D$283,Оплаты!$A$6:$A$282,Оплаты!$A$283)=0),Оплаты!$D$283,"")</f>
        <v/>
      </c>
      <c r="B291">
        <f>IF(A291="","",MATCH(A291,Акты!$B$5:$B$16,0))</f>
        <v/>
      </c>
      <c r="C291" s="20">
        <f>IF(A291="","",Оплаты!$A$283+1)</f>
        <v/>
      </c>
      <c r="D291" s="20">
        <f>IF(A291="","",MIN(Ввод!$B$4,Ввод!$B$4+1-SUMPRODUCT(MAX((Оплаты!$D$6:$D$505=A291)*(Оплаты!$A$6:$A$505&gt;Оплаты!$A$283)*(Ввод!$B$4+1-Оплаты!$A$6:$A$505)))))</f>
        <v/>
      </c>
      <c r="E291" s="14">
        <f>IF(A291="","",INDEX(Акты!$D$5:$D$16,B291)-SUMIFS(Оплаты!$B$6:$B$505,Оплаты!$D$6:$D$505,A291,Оплаты!$A$6:$A$505,"&lt;="&amp;Оплаты!$A$283))</f>
        <v/>
      </c>
      <c r="F291" s="14">
        <f>IF(G291="","",SUMPRODUCT(ROUND(E291*'По дням'!$L$6:$L$155/100*((((D291+'По дням'!$K$6:$K$155-ABS(D291-'По дням'!$K$6:$K$155))-(C291+'По дням'!$J$6:$J$155+ABS(C291-'По дням'!$J$6:$J$155)))/2+1)&gt;0)*(((D291+'По дням'!$K$6:$K$155-ABS(D291-'По дням'!$K$6:$K$155))-(C291+'По дням'!$J$6:$J$155+ABS(C291-'По дням'!$J$6:$J$155)))/2+1)/'По дням'!$M$6:$M$155,2)*(1-'По дням'!$N$6:$N$155)))</f>
        <v/>
      </c>
      <c r="G291">
        <f>IF(A291="","",IF(C291&gt;D291,"",B291*1000000+C291))</f>
        <v/>
      </c>
      <c r="H291" s="14">
        <f>IF(G291="","",SUMIFS(Оплаты!$B$6:$B$505,Оплаты!$D$6:$D$505,A291,Оплаты!$A$6:$A$505,D291))</f>
        <v/>
      </c>
      <c r="I291">
        <f>IF(G291="","",SUMPRODUCT((((((D291+'По дням'!$K$6:$K$155-ABS(D291-'По дням'!$K$6:$K$155))-(C291+'По дням'!$J$6:$J$155+ABS(C291-'По дням'!$J$6:$J$155)))/2+1)&gt;0)*(((D291+'По дням'!$K$6:$K$155-ABS(D291-'По дням'!$K$6:$K$155))-(C291+'По дням'!$J$6:$J$155+ABS(C291-'По дням'!$J$6:$J$155)))/2+1)&gt;0)*1))</f>
        <v/>
      </c>
    </row>
    <row r="292">
      <c r="A292">
        <f>IF(AND(Оплаты!$E$284="ок",COUNTIFS(Акты!$B$5:$B$16,Оплаты!$D$284,Акты!$H$5:$H$16,"ок")&gt;0,COUNTIFS(Оплаты!$D$6:$D$283,Оплаты!$D$284,Оплаты!$A$6:$A$283,Оплаты!$A$284)=0),Оплаты!$D$284,"")</f>
        <v/>
      </c>
      <c r="B292">
        <f>IF(A292="","",MATCH(A292,Акты!$B$5:$B$16,0))</f>
        <v/>
      </c>
      <c r="C292" s="20">
        <f>IF(A292="","",Оплаты!$A$284+1)</f>
        <v/>
      </c>
      <c r="D292" s="20">
        <f>IF(A292="","",MIN(Ввод!$B$4,Ввод!$B$4+1-SUMPRODUCT(MAX((Оплаты!$D$6:$D$505=A292)*(Оплаты!$A$6:$A$505&gt;Оплаты!$A$284)*(Ввод!$B$4+1-Оплаты!$A$6:$A$505)))))</f>
        <v/>
      </c>
      <c r="E292" s="14">
        <f>IF(A292="","",INDEX(Акты!$D$5:$D$16,B292)-SUMIFS(Оплаты!$B$6:$B$505,Оплаты!$D$6:$D$505,A292,Оплаты!$A$6:$A$505,"&lt;="&amp;Оплаты!$A$284))</f>
        <v/>
      </c>
      <c r="F292" s="14">
        <f>IF(G292="","",SUMPRODUCT(ROUND(E292*'По дням'!$L$6:$L$155/100*((((D292+'По дням'!$K$6:$K$155-ABS(D292-'По дням'!$K$6:$K$155))-(C292+'По дням'!$J$6:$J$155+ABS(C292-'По дням'!$J$6:$J$155)))/2+1)&gt;0)*(((D292+'По дням'!$K$6:$K$155-ABS(D292-'По дням'!$K$6:$K$155))-(C292+'По дням'!$J$6:$J$155+ABS(C292-'По дням'!$J$6:$J$155)))/2+1)/'По дням'!$M$6:$M$155,2)*(1-'По дням'!$N$6:$N$155)))</f>
        <v/>
      </c>
      <c r="G292">
        <f>IF(A292="","",IF(C292&gt;D292,"",B292*1000000+C292))</f>
        <v/>
      </c>
      <c r="H292" s="14">
        <f>IF(G292="","",SUMIFS(Оплаты!$B$6:$B$505,Оплаты!$D$6:$D$505,A292,Оплаты!$A$6:$A$505,D292))</f>
        <v/>
      </c>
      <c r="I292">
        <f>IF(G292="","",SUMPRODUCT((((((D292+'По дням'!$K$6:$K$155-ABS(D292-'По дням'!$K$6:$K$155))-(C292+'По дням'!$J$6:$J$155+ABS(C292-'По дням'!$J$6:$J$155)))/2+1)&gt;0)*(((D292+'По дням'!$K$6:$K$155-ABS(D292-'По дням'!$K$6:$K$155))-(C292+'По дням'!$J$6:$J$155+ABS(C292-'По дням'!$J$6:$J$155)))/2+1)&gt;0)*1))</f>
        <v/>
      </c>
    </row>
    <row r="293">
      <c r="A293">
        <f>IF(AND(Оплаты!$E$285="ок",COUNTIFS(Акты!$B$5:$B$16,Оплаты!$D$285,Акты!$H$5:$H$16,"ок")&gt;0,COUNTIFS(Оплаты!$D$6:$D$284,Оплаты!$D$285,Оплаты!$A$6:$A$284,Оплаты!$A$285)=0),Оплаты!$D$285,"")</f>
        <v/>
      </c>
      <c r="B293">
        <f>IF(A293="","",MATCH(A293,Акты!$B$5:$B$16,0))</f>
        <v/>
      </c>
      <c r="C293" s="20">
        <f>IF(A293="","",Оплаты!$A$285+1)</f>
        <v/>
      </c>
      <c r="D293" s="20">
        <f>IF(A293="","",MIN(Ввод!$B$4,Ввод!$B$4+1-SUMPRODUCT(MAX((Оплаты!$D$6:$D$505=A293)*(Оплаты!$A$6:$A$505&gt;Оплаты!$A$285)*(Ввод!$B$4+1-Оплаты!$A$6:$A$505)))))</f>
        <v/>
      </c>
      <c r="E293" s="14">
        <f>IF(A293="","",INDEX(Акты!$D$5:$D$16,B293)-SUMIFS(Оплаты!$B$6:$B$505,Оплаты!$D$6:$D$505,A293,Оплаты!$A$6:$A$505,"&lt;="&amp;Оплаты!$A$285))</f>
        <v/>
      </c>
      <c r="F293" s="14">
        <f>IF(G293="","",SUMPRODUCT(ROUND(E293*'По дням'!$L$6:$L$155/100*((((D293+'По дням'!$K$6:$K$155-ABS(D293-'По дням'!$K$6:$K$155))-(C293+'По дням'!$J$6:$J$155+ABS(C293-'По дням'!$J$6:$J$155)))/2+1)&gt;0)*(((D293+'По дням'!$K$6:$K$155-ABS(D293-'По дням'!$K$6:$K$155))-(C293+'По дням'!$J$6:$J$155+ABS(C293-'По дням'!$J$6:$J$155)))/2+1)/'По дням'!$M$6:$M$155,2)*(1-'По дням'!$N$6:$N$155)))</f>
        <v/>
      </c>
      <c r="G293">
        <f>IF(A293="","",IF(C293&gt;D293,"",B293*1000000+C293))</f>
        <v/>
      </c>
      <c r="H293" s="14">
        <f>IF(G293="","",SUMIFS(Оплаты!$B$6:$B$505,Оплаты!$D$6:$D$505,A293,Оплаты!$A$6:$A$505,D293))</f>
        <v/>
      </c>
      <c r="I293">
        <f>IF(G293="","",SUMPRODUCT((((((D293+'По дням'!$K$6:$K$155-ABS(D293-'По дням'!$K$6:$K$155))-(C293+'По дням'!$J$6:$J$155+ABS(C293-'По дням'!$J$6:$J$155)))/2+1)&gt;0)*(((D293+'По дням'!$K$6:$K$155-ABS(D293-'По дням'!$K$6:$K$155))-(C293+'По дням'!$J$6:$J$155+ABS(C293-'По дням'!$J$6:$J$155)))/2+1)&gt;0)*1))</f>
        <v/>
      </c>
    </row>
    <row r="294">
      <c r="A294">
        <f>IF(AND(Оплаты!$E$286="ок",COUNTIFS(Акты!$B$5:$B$16,Оплаты!$D$286,Акты!$H$5:$H$16,"ок")&gt;0,COUNTIFS(Оплаты!$D$6:$D$285,Оплаты!$D$286,Оплаты!$A$6:$A$285,Оплаты!$A$286)=0),Оплаты!$D$286,"")</f>
        <v/>
      </c>
      <c r="B294">
        <f>IF(A294="","",MATCH(A294,Акты!$B$5:$B$16,0))</f>
        <v/>
      </c>
      <c r="C294" s="20">
        <f>IF(A294="","",Оплаты!$A$286+1)</f>
        <v/>
      </c>
      <c r="D294" s="20">
        <f>IF(A294="","",MIN(Ввод!$B$4,Ввод!$B$4+1-SUMPRODUCT(MAX((Оплаты!$D$6:$D$505=A294)*(Оплаты!$A$6:$A$505&gt;Оплаты!$A$286)*(Ввод!$B$4+1-Оплаты!$A$6:$A$505)))))</f>
        <v/>
      </c>
      <c r="E294" s="14">
        <f>IF(A294="","",INDEX(Акты!$D$5:$D$16,B294)-SUMIFS(Оплаты!$B$6:$B$505,Оплаты!$D$6:$D$505,A294,Оплаты!$A$6:$A$505,"&lt;="&amp;Оплаты!$A$286))</f>
        <v/>
      </c>
      <c r="F294" s="14">
        <f>IF(G294="","",SUMPRODUCT(ROUND(E294*'По дням'!$L$6:$L$155/100*((((D294+'По дням'!$K$6:$K$155-ABS(D294-'По дням'!$K$6:$K$155))-(C294+'По дням'!$J$6:$J$155+ABS(C294-'По дням'!$J$6:$J$155)))/2+1)&gt;0)*(((D294+'По дням'!$K$6:$K$155-ABS(D294-'По дням'!$K$6:$K$155))-(C294+'По дням'!$J$6:$J$155+ABS(C294-'По дням'!$J$6:$J$155)))/2+1)/'По дням'!$M$6:$M$155,2)*(1-'По дням'!$N$6:$N$155)))</f>
        <v/>
      </c>
      <c r="G294">
        <f>IF(A294="","",IF(C294&gt;D294,"",B294*1000000+C294))</f>
        <v/>
      </c>
      <c r="H294" s="14">
        <f>IF(G294="","",SUMIFS(Оплаты!$B$6:$B$505,Оплаты!$D$6:$D$505,A294,Оплаты!$A$6:$A$505,D294))</f>
        <v/>
      </c>
      <c r="I294">
        <f>IF(G294="","",SUMPRODUCT((((((D294+'По дням'!$K$6:$K$155-ABS(D294-'По дням'!$K$6:$K$155))-(C294+'По дням'!$J$6:$J$155+ABS(C294-'По дням'!$J$6:$J$155)))/2+1)&gt;0)*(((D294+'По дням'!$K$6:$K$155-ABS(D294-'По дням'!$K$6:$K$155))-(C294+'По дням'!$J$6:$J$155+ABS(C294-'По дням'!$J$6:$J$155)))/2+1)&gt;0)*1))</f>
        <v/>
      </c>
    </row>
    <row r="295">
      <c r="A295">
        <f>IF(AND(Оплаты!$E$287="ок",COUNTIFS(Акты!$B$5:$B$16,Оплаты!$D$287,Акты!$H$5:$H$16,"ок")&gt;0,COUNTIFS(Оплаты!$D$6:$D$286,Оплаты!$D$287,Оплаты!$A$6:$A$286,Оплаты!$A$287)=0),Оплаты!$D$287,"")</f>
        <v/>
      </c>
      <c r="B295">
        <f>IF(A295="","",MATCH(A295,Акты!$B$5:$B$16,0))</f>
        <v/>
      </c>
      <c r="C295" s="20">
        <f>IF(A295="","",Оплаты!$A$287+1)</f>
        <v/>
      </c>
      <c r="D295" s="20">
        <f>IF(A295="","",MIN(Ввод!$B$4,Ввод!$B$4+1-SUMPRODUCT(MAX((Оплаты!$D$6:$D$505=A295)*(Оплаты!$A$6:$A$505&gt;Оплаты!$A$287)*(Ввод!$B$4+1-Оплаты!$A$6:$A$505)))))</f>
        <v/>
      </c>
      <c r="E295" s="14">
        <f>IF(A295="","",INDEX(Акты!$D$5:$D$16,B295)-SUMIFS(Оплаты!$B$6:$B$505,Оплаты!$D$6:$D$505,A295,Оплаты!$A$6:$A$505,"&lt;="&amp;Оплаты!$A$287))</f>
        <v/>
      </c>
      <c r="F295" s="14">
        <f>IF(G295="","",SUMPRODUCT(ROUND(E295*'По дням'!$L$6:$L$155/100*((((D295+'По дням'!$K$6:$K$155-ABS(D295-'По дням'!$K$6:$K$155))-(C295+'По дням'!$J$6:$J$155+ABS(C295-'По дням'!$J$6:$J$155)))/2+1)&gt;0)*(((D295+'По дням'!$K$6:$K$155-ABS(D295-'По дням'!$K$6:$K$155))-(C295+'По дням'!$J$6:$J$155+ABS(C295-'По дням'!$J$6:$J$155)))/2+1)/'По дням'!$M$6:$M$155,2)*(1-'По дням'!$N$6:$N$155)))</f>
        <v/>
      </c>
      <c r="G295">
        <f>IF(A295="","",IF(C295&gt;D295,"",B295*1000000+C295))</f>
        <v/>
      </c>
      <c r="H295" s="14">
        <f>IF(G295="","",SUMIFS(Оплаты!$B$6:$B$505,Оплаты!$D$6:$D$505,A295,Оплаты!$A$6:$A$505,D295))</f>
        <v/>
      </c>
      <c r="I295">
        <f>IF(G295="","",SUMPRODUCT((((((D295+'По дням'!$K$6:$K$155-ABS(D295-'По дням'!$K$6:$K$155))-(C295+'По дням'!$J$6:$J$155+ABS(C295-'По дням'!$J$6:$J$155)))/2+1)&gt;0)*(((D295+'По дням'!$K$6:$K$155-ABS(D295-'По дням'!$K$6:$K$155))-(C295+'По дням'!$J$6:$J$155+ABS(C295-'По дням'!$J$6:$J$155)))/2+1)&gt;0)*1))</f>
        <v/>
      </c>
    </row>
    <row r="296">
      <c r="A296">
        <f>IF(AND(Оплаты!$E$288="ок",COUNTIFS(Акты!$B$5:$B$16,Оплаты!$D$288,Акты!$H$5:$H$16,"ок")&gt;0,COUNTIFS(Оплаты!$D$6:$D$287,Оплаты!$D$288,Оплаты!$A$6:$A$287,Оплаты!$A$288)=0),Оплаты!$D$288,"")</f>
        <v/>
      </c>
      <c r="B296">
        <f>IF(A296="","",MATCH(A296,Акты!$B$5:$B$16,0))</f>
        <v/>
      </c>
      <c r="C296" s="20">
        <f>IF(A296="","",Оплаты!$A$288+1)</f>
        <v/>
      </c>
      <c r="D296" s="20">
        <f>IF(A296="","",MIN(Ввод!$B$4,Ввод!$B$4+1-SUMPRODUCT(MAX((Оплаты!$D$6:$D$505=A296)*(Оплаты!$A$6:$A$505&gt;Оплаты!$A$288)*(Ввод!$B$4+1-Оплаты!$A$6:$A$505)))))</f>
        <v/>
      </c>
      <c r="E296" s="14">
        <f>IF(A296="","",INDEX(Акты!$D$5:$D$16,B296)-SUMIFS(Оплаты!$B$6:$B$505,Оплаты!$D$6:$D$505,A296,Оплаты!$A$6:$A$505,"&lt;="&amp;Оплаты!$A$288))</f>
        <v/>
      </c>
      <c r="F296" s="14">
        <f>IF(G296="","",SUMPRODUCT(ROUND(E296*'По дням'!$L$6:$L$155/100*((((D296+'По дням'!$K$6:$K$155-ABS(D296-'По дням'!$K$6:$K$155))-(C296+'По дням'!$J$6:$J$155+ABS(C296-'По дням'!$J$6:$J$155)))/2+1)&gt;0)*(((D296+'По дням'!$K$6:$K$155-ABS(D296-'По дням'!$K$6:$K$155))-(C296+'По дням'!$J$6:$J$155+ABS(C296-'По дням'!$J$6:$J$155)))/2+1)/'По дням'!$M$6:$M$155,2)*(1-'По дням'!$N$6:$N$155)))</f>
        <v/>
      </c>
      <c r="G296">
        <f>IF(A296="","",IF(C296&gt;D296,"",B296*1000000+C296))</f>
        <v/>
      </c>
      <c r="H296" s="14">
        <f>IF(G296="","",SUMIFS(Оплаты!$B$6:$B$505,Оплаты!$D$6:$D$505,A296,Оплаты!$A$6:$A$505,D296))</f>
        <v/>
      </c>
      <c r="I296">
        <f>IF(G296="","",SUMPRODUCT((((((D296+'По дням'!$K$6:$K$155-ABS(D296-'По дням'!$K$6:$K$155))-(C296+'По дням'!$J$6:$J$155+ABS(C296-'По дням'!$J$6:$J$155)))/2+1)&gt;0)*(((D296+'По дням'!$K$6:$K$155-ABS(D296-'По дням'!$K$6:$K$155))-(C296+'По дням'!$J$6:$J$155+ABS(C296-'По дням'!$J$6:$J$155)))/2+1)&gt;0)*1))</f>
        <v/>
      </c>
    </row>
    <row r="297">
      <c r="A297">
        <f>IF(AND(Оплаты!$E$289="ок",COUNTIFS(Акты!$B$5:$B$16,Оплаты!$D$289,Акты!$H$5:$H$16,"ок")&gt;0,COUNTIFS(Оплаты!$D$6:$D$288,Оплаты!$D$289,Оплаты!$A$6:$A$288,Оплаты!$A$289)=0),Оплаты!$D$289,"")</f>
        <v/>
      </c>
      <c r="B297">
        <f>IF(A297="","",MATCH(A297,Акты!$B$5:$B$16,0))</f>
        <v/>
      </c>
      <c r="C297" s="20">
        <f>IF(A297="","",Оплаты!$A$289+1)</f>
        <v/>
      </c>
      <c r="D297" s="20">
        <f>IF(A297="","",MIN(Ввод!$B$4,Ввод!$B$4+1-SUMPRODUCT(MAX((Оплаты!$D$6:$D$505=A297)*(Оплаты!$A$6:$A$505&gt;Оплаты!$A$289)*(Ввод!$B$4+1-Оплаты!$A$6:$A$505)))))</f>
        <v/>
      </c>
      <c r="E297" s="14">
        <f>IF(A297="","",INDEX(Акты!$D$5:$D$16,B297)-SUMIFS(Оплаты!$B$6:$B$505,Оплаты!$D$6:$D$505,A297,Оплаты!$A$6:$A$505,"&lt;="&amp;Оплаты!$A$289))</f>
        <v/>
      </c>
      <c r="F297" s="14">
        <f>IF(G297="","",SUMPRODUCT(ROUND(E297*'По дням'!$L$6:$L$155/100*((((D297+'По дням'!$K$6:$K$155-ABS(D297-'По дням'!$K$6:$K$155))-(C297+'По дням'!$J$6:$J$155+ABS(C297-'По дням'!$J$6:$J$155)))/2+1)&gt;0)*(((D297+'По дням'!$K$6:$K$155-ABS(D297-'По дням'!$K$6:$K$155))-(C297+'По дням'!$J$6:$J$155+ABS(C297-'По дням'!$J$6:$J$155)))/2+1)/'По дням'!$M$6:$M$155,2)*(1-'По дням'!$N$6:$N$155)))</f>
        <v/>
      </c>
      <c r="G297">
        <f>IF(A297="","",IF(C297&gt;D297,"",B297*1000000+C297))</f>
        <v/>
      </c>
      <c r="H297" s="14">
        <f>IF(G297="","",SUMIFS(Оплаты!$B$6:$B$505,Оплаты!$D$6:$D$505,A297,Оплаты!$A$6:$A$505,D297))</f>
        <v/>
      </c>
      <c r="I297">
        <f>IF(G297="","",SUMPRODUCT((((((D297+'По дням'!$K$6:$K$155-ABS(D297-'По дням'!$K$6:$K$155))-(C297+'По дням'!$J$6:$J$155+ABS(C297-'По дням'!$J$6:$J$155)))/2+1)&gt;0)*(((D297+'По дням'!$K$6:$K$155-ABS(D297-'По дням'!$K$6:$K$155))-(C297+'По дням'!$J$6:$J$155+ABS(C297-'По дням'!$J$6:$J$155)))/2+1)&gt;0)*1))</f>
        <v/>
      </c>
    </row>
    <row r="298">
      <c r="A298">
        <f>IF(AND(Оплаты!$E$290="ок",COUNTIFS(Акты!$B$5:$B$16,Оплаты!$D$290,Акты!$H$5:$H$16,"ок")&gt;0,COUNTIFS(Оплаты!$D$6:$D$289,Оплаты!$D$290,Оплаты!$A$6:$A$289,Оплаты!$A$290)=0),Оплаты!$D$290,"")</f>
        <v/>
      </c>
      <c r="B298">
        <f>IF(A298="","",MATCH(A298,Акты!$B$5:$B$16,0))</f>
        <v/>
      </c>
      <c r="C298" s="20">
        <f>IF(A298="","",Оплаты!$A$290+1)</f>
        <v/>
      </c>
      <c r="D298" s="20">
        <f>IF(A298="","",MIN(Ввод!$B$4,Ввод!$B$4+1-SUMPRODUCT(MAX((Оплаты!$D$6:$D$505=A298)*(Оплаты!$A$6:$A$505&gt;Оплаты!$A$290)*(Ввод!$B$4+1-Оплаты!$A$6:$A$505)))))</f>
        <v/>
      </c>
      <c r="E298" s="14">
        <f>IF(A298="","",INDEX(Акты!$D$5:$D$16,B298)-SUMIFS(Оплаты!$B$6:$B$505,Оплаты!$D$6:$D$505,A298,Оплаты!$A$6:$A$505,"&lt;="&amp;Оплаты!$A$290))</f>
        <v/>
      </c>
      <c r="F298" s="14">
        <f>IF(G298="","",SUMPRODUCT(ROUND(E298*'По дням'!$L$6:$L$155/100*((((D298+'По дням'!$K$6:$K$155-ABS(D298-'По дням'!$K$6:$K$155))-(C298+'По дням'!$J$6:$J$155+ABS(C298-'По дням'!$J$6:$J$155)))/2+1)&gt;0)*(((D298+'По дням'!$K$6:$K$155-ABS(D298-'По дням'!$K$6:$K$155))-(C298+'По дням'!$J$6:$J$155+ABS(C298-'По дням'!$J$6:$J$155)))/2+1)/'По дням'!$M$6:$M$155,2)*(1-'По дням'!$N$6:$N$155)))</f>
        <v/>
      </c>
      <c r="G298">
        <f>IF(A298="","",IF(C298&gt;D298,"",B298*1000000+C298))</f>
        <v/>
      </c>
      <c r="H298" s="14">
        <f>IF(G298="","",SUMIFS(Оплаты!$B$6:$B$505,Оплаты!$D$6:$D$505,A298,Оплаты!$A$6:$A$505,D298))</f>
        <v/>
      </c>
      <c r="I298">
        <f>IF(G298="","",SUMPRODUCT((((((D298+'По дням'!$K$6:$K$155-ABS(D298-'По дням'!$K$6:$K$155))-(C298+'По дням'!$J$6:$J$155+ABS(C298-'По дням'!$J$6:$J$155)))/2+1)&gt;0)*(((D298+'По дням'!$K$6:$K$155-ABS(D298-'По дням'!$K$6:$K$155))-(C298+'По дням'!$J$6:$J$155+ABS(C298-'По дням'!$J$6:$J$155)))/2+1)&gt;0)*1))</f>
        <v/>
      </c>
    </row>
    <row r="299">
      <c r="A299">
        <f>IF(AND(Оплаты!$E$291="ок",COUNTIFS(Акты!$B$5:$B$16,Оплаты!$D$291,Акты!$H$5:$H$16,"ок")&gt;0,COUNTIFS(Оплаты!$D$6:$D$290,Оплаты!$D$291,Оплаты!$A$6:$A$290,Оплаты!$A$291)=0),Оплаты!$D$291,"")</f>
        <v/>
      </c>
      <c r="B299">
        <f>IF(A299="","",MATCH(A299,Акты!$B$5:$B$16,0))</f>
        <v/>
      </c>
      <c r="C299" s="20">
        <f>IF(A299="","",Оплаты!$A$291+1)</f>
        <v/>
      </c>
      <c r="D299" s="20">
        <f>IF(A299="","",MIN(Ввод!$B$4,Ввод!$B$4+1-SUMPRODUCT(MAX((Оплаты!$D$6:$D$505=A299)*(Оплаты!$A$6:$A$505&gt;Оплаты!$A$291)*(Ввод!$B$4+1-Оплаты!$A$6:$A$505)))))</f>
        <v/>
      </c>
      <c r="E299" s="14">
        <f>IF(A299="","",INDEX(Акты!$D$5:$D$16,B299)-SUMIFS(Оплаты!$B$6:$B$505,Оплаты!$D$6:$D$505,A299,Оплаты!$A$6:$A$505,"&lt;="&amp;Оплаты!$A$291))</f>
        <v/>
      </c>
      <c r="F299" s="14">
        <f>IF(G299="","",SUMPRODUCT(ROUND(E299*'По дням'!$L$6:$L$155/100*((((D299+'По дням'!$K$6:$K$155-ABS(D299-'По дням'!$K$6:$K$155))-(C299+'По дням'!$J$6:$J$155+ABS(C299-'По дням'!$J$6:$J$155)))/2+1)&gt;0)*(((D299+'По дням'!$K$6:$K$155-ABS(D299-'По дням'!$K$6:$K$155))-(C299+'По дням'!$J$6:$J$155+ABS(C299-'По дням'!$J$6:$J$155)))/2+1)/'По дням'!$M$6:$M$155,2)*(1-'По дням'!$N$6:$N$155)))</f>
        <v/>
      </c>
      <c r="G299">
        <f>IF(A299="","",IF(C299&gt;D299,"",B299*1000000+C299))</f>
        <v/>
      </c>
      <c r="H299" s="14">
        <f>IF(G299="","",SUMIFS(Оплаты!$B$6:$B$505,Оплаты!$D$6:$D$505,A299,Оплаты!$A$6:$A$505,D299))</f>
        <v/>
      </c>
      <c r="I299">
        <f>IF(G299="","",SUMPRODUCT((((((D299+'По дням'!$K$6:$K$155-ABS(D299-'По дням'!$K$6:$K$155))-(C299+'По дням'!$J$6:$J$155+ABS(C299-'По дням'!$J$6:$J$155)))/2+1)&gt;0)*(((D299+'По дням'!$K$6:$K$155-ABS(D299-'По дням'!$K$6:$K$155))-(C299+'По дням'!$J$6:$J$155+ABS(C299-'По дням'!$J$6:$J$155)))/2+1)&gt;0)*1))</f>
        <v/>
      </c>
    </row>
    <row r="300">
      <c r="A300">
        <f>IF(AND(Оплаты!$E$292="ок",COUNTIFS(Акты!$B$5:$B$16,Оплаты!$D$292,Акты!$H$5:$H$16,"ок")&gt;0,COUNTIFS(Оплаты!$D$6:$D$291,Оплаты!$D$292,Оплаты!$A$6:$A$291,Оплаты!$A$292)=0),Оплаты!$D$292,"")</f>
        <v/>
      </c>
      <c r="B300">
        <f>IF(A300="","",MATCH(A300,Акты!$B$5:$B$16,0))</f>
        <v/>
      </c>
      <c r="C300" s="20">
        <f>IF(A300="","",Оплаты!$A$292+1)</f>
        <v/>
      </c>
      <c r="D300" s="20">
        <f>IF(A300="","",MIN(Ввод!$B$4,Ввод!$B$4+1-SUMPRODUCT(MAX((Оплаты!$D$6:$D$505=A300)*(Оплаты!$A$6:$A$505&gt;Оплаты!$A$292)*(Ввод!$B$4+1-Оплаты!$A$6:$A$505)))))</f>
        <v/>
      </c>
      <c r="E300" s="14">
        <f>IF(A300="","",INDEX(Акты!$D$5:$D$16,B300)-SUMIFS(Оплаты!$B$6:$B$505,Оплаты!$D$6:$D$505,A300,Оплаты!$A$6:$A$505,"&lt;="&amp;Оплаты!$A$292))</f>
        <v/>
      </c>
      <c r="F300" s="14">
        <f>IF(G300="","",SUMPRODUCT(ROUND(E300*'По дням'!$L$6:$L$155/100*((((D300+'По дням'!$K$6:$K$155-ABS(D300-'По дням'!$K$6:$K$155))-(C300+'По дням'!$J$6:$J$155+ABS(C300-'По дням'!$J$6:$J$155)))/2+1)&gt;0)*(((D300+'По дням'!$K$6:$K$155-ABS(D300-'По дням'!$K$6:$K$155))-(C300+'По дням'!$J$6:$J$155+ABS(C300-'По дням'!$J$6:$J$155)))/2+1)/'По дням'!$M$6:$M$155,2)*(1-'По дням'!$N$6:$N$155)))</f>
        <v/>
      </c>
      <c r="G300">
        <f>IF(A300="","",IF(C300&gt;D300,"",B300*1000000+C300))</f>
        <v/>
      </c>
      <c r="H300" s="14">
        <f>IF(G300="","",SUMIFS(Оплаты!$B$6:$B$505,Оплаты!$D$6:$D$505,A300,Оплаты!$A$6:$A$505,D300))</f>
        <v/>
      </c>
      <c r="I300">
        <f>IF(G300="","",SUMPRODUCT((((((D300+'По дням'!$K$6:$K$155-ABS(D300-'По дням'!$K$6:$K$155))-(C300+'По дням'!$J$6:$J$155+ABS(C300-'По дням'!$J$6:$J$155)))/2+1)&gt;0)*(((D300+'По дням'!$K$6:$K$155-ABS(D300-'По дням'!$K$6:$K$155))-(C300+'По дням'!$J$6:$J$155+ABS(C300-'По дням'!$J$6:$J$155)))/2+1)&gt;0)*1))</f>
        <v/>
      </c>
    </row>
    <row r="301">
      <c r="A301">
        <f>IF(AND(Оплаты!$E$293="ок",COUNTIFS(Акты!$B$5:$B$16,Оплаты!$D$293,Акты!$H$5:$H$16,"ок")&gt;0,COUNTIFS(Оплаты!$D$6:$D$292,Оплаты!$D$293,Оплаты!$A$6:$A$292,Оплаты!$A$293)=0),Оплаты!$D$293,"")</f>
        <v/>
      </c>
      <c r="B301">
        <f>IF(A301="","",MATCH(A301,Акты!$B$5:$B$16,0))</f>
        <v/>
      </c>
      <c r="C301" s="20">
        <f>IF(A301="","",Оплаты!$A$293+1)</f>
        <v/>
      </c>
      <c r="D301" s="20">
        <f>IF(A301="","",MIN(Ввод!$B$4,Ввод!$B$4+1-SUMPRODUCT(MAX((Оплаты!$D$6:$D$505=A301)*(Оплаты!$A$6:$A$505&gt;Оплаты!$A$293)*(Ввод!$B$4+1-Оплаты!$A$6:$A$505)))))</f>
        <v/>
      </c>
      <c r="E301" s="14">
        <f>IF(A301="","",INDEX(Акты!$D$5:$D$16,B301)-SUMIFS(Оплаты!$B$6:$B$505,Оплаты!$D$6:$D$505,A301,Оплаты!$A$6:$A$505,"&lt;="&amp;Оплаты!$A$293))</f>
        <v/>
      </c>
      <c r="F301" s="14">
        <f>IF(G301="","",SUMPRODUCT(ROUND(E301*'По дням'!$L$6:$L$155/100*((((D301+'По дням'!$K$6:$K$155-ABS(D301-'По дням'!$K$6:$K$155))-(C301+'По дням'!$J$6:$J$155+ABS(C301-'По дням'!$J$6:$J$155)))/2+1)&gt;0)*(((D301+'По дням'!$K$6:$K$155-ABS(D301-'По дням'!$K$6:$K$155))-(C301+'По дням'!$J$6:$J$155+ABS(C301-'По дням'!$J$6:$J$155)))/2+1)/'По дням'!$M$6:$M$155,2)*(1-'По дням'!$N$6:$N$155)))</f>
        <v/>
      </c>
      <c r="G301">
        <f>IF(A301="","",IF(C301&gt;D301,"",B301*1000000+C301))</f>
        <v/>
      </c>
      <c r="H301" s="14">
        <f>IF(G301="","",SUMIFS(Оплаты!$B$6:$B$505,Оплаты!$D$6:$D$505,A301,Оплаты!$A$6:$A$505,D301))</f>
        <v/>
      </c>
      <c r="I301">
        <f>IF(G301="","",SUMPRODUCT((((((D301+'По дням'!$K$6:$K$155-ABS(D301-'По дням'!$K$6:$K$155))-(C301+'По дням'!$J$6:$J$155+ABS(C301-'По дням'!$J$6:$J$155)))/2+1)&gt;0)*(((D301+'По дням'!$K$6:$K$155-ABS(D301-'По дням'!$K$6:$K$155))-(C301+'По дням'!$J$6:$J$155+ABS(C301-'По дням'!$J$6:$J$155)))/2+1)&gt;0)*1))</f>
        <v/>
      </c>
    </row>
    <row r="302">
      <c r="A302">
        <f>IF(AND(Оплаты!$E$294="ок",COUNTIFS(Акты!$B$5:$B$16,Оплаты!$D$294,Акты!$H$5:$H$16,"ок")&gt;0,COUNTIFS(Оплаты!$D$6:$D$293,Оплаты!$D$294,Оплаты!$A$6:$A$293,Оплаты!$A$294)=0),Оплаты!$D$294,"")</f>
        <v/>
      </c>
      <c r="B302">
        <f>IF(A302="","",MATCH(A302,Акты!$B$5:$B$16,0))</f>
        <v/>
      </c>
      <c r="C302" s="20">
        <f>IF(A302="","",Оплаты!$A$294+1)</f>
        <v/>
      </c>
      <c r="D302" s="20">
        <f>IF(A302="","",MIN(Ввод!$B$4,Ввод!$B$4+1-SUMPRODUCT(MAX((Оплаты!$D$6:$D$505=A302)*(Оплаты!$A$6:$A$505&gt;Оплаты!$A$294)*(Ввод!$B$4+1-Оплаты!$A$6:$A$505)))))</f>
        <v/>
      </c>
      <c r="E302" s="14">
        <f>IF(A302="","",INDEX(Акты!$D$5:$D$16,B302)-SUMIFS(Оплаты!$B$6:$B$505,Оплаты!$D$6:$D$505,A302,Оплаты!$A$6:$A$505,"&lt;="&amp;Оплаты!$A$294))</f>
        <v/>
      </c>
      <c r="F302" s="14">
        <f>IF(G302="","",SUMPRODUCT(ROUND(E302*'По дням'!$L$6:$L$155/100*((((D302+'По дням'!$K$6:$K$155-ABS(D302-'По дням'!$K$6:$K$155))-(C302+'По дням'!$J$6:$J$155+ABS(C302-'По дням'!$J$6:$J$155)))/2+1)&gt;0)*(((D302+'По дням'!$K$6:$K$155-ABS(D302-'По дням'!$K$6:$K$155))-(C302+'По дням'!$J$6:$J$155+ABS(C302-'По дням'!$J$6:$J$155)))/2+1)/'По дням'!$M$6:$M$155,2)*(1-'По дням'!$N$6:$N$155)))</f>
        <v/>
      </c>
      <c r="G302">
        <f>IF(A302="","",IF(C302&gt;D302,"",B302*1000000+C302))</f>
        <v/>
      </c>
      <c r="H302" s="14">
        <f>IF(G302="","",SUMIFS(Оплаты!$B$6:$B$505,Оплаты!$D$6:$D$505,A302,Оплаты!$A$6:$A$505,D302))</f>
        <v/>
      </c>
      <c r="I302">
        <f>IF(G302="","",SUMPRODUCT((((((D302+'По дням'!$K$6:$K$155-ABS(D302-'По дням'!$K$6:$K$155))-(C302+'По дням'!$J$6:$J$155+ABS(C302-'По дням'!$J$6:$J$155)))/2+1)&gt;0)*(((D302+'По дням'!$K$6:$K$155-ABS(D302-'По дням'!$K$6:$K$155))-(C302+'По дням'!$J$6:$J$155+ABS(C302-'По дням'!$J$6:$J$155)))/2+1)&gt;0)*1))</f>
        <v/>
      </c>
    </row>
    <row r="303">
      <c r="A303">
        <f>IF(AND(Оплаты!$E$295="ок",COUNTIFS(Акты!$B$5:$B$16,Оплаты!$D$295,Акты!$H$5:$H$16,"ок")&gt;0,COUNTIFS(Оплаты!$D$6:$D$294,Оплаты!$D$295,Оплаты!$A$6:$A$294,Оплаты!$A$295)=0),Оплаты!$D$295,"")</f>
        <v/>
      </c>
      <c r="B303">
        <f>IF(A303="","",MATCH(A303,Акты!$B$5:$B$16,0))</f>
        <v/>
      </c>
      <c r="C303" s="20">
        <f>IF(A303="","",Оплаты!$A$295+1)</f>
        <v/>
      </c>
      <c r="D303" s="20">
        <f>IF(A303="","",MIN(Ввод!$B$4,Ввод!$B$4+1-SUMPRODUCT(MAX((Оплаты!$D$6:$D$505=A303)*(Оплаты!$A$6:$A$505&gt;Оплаты!$A$295)*(Ввод!$B$4+1-Оплаты!$A$6:$A$505)))))</f>
        <v/>
      </c>
      <c r="E303" s="14">
        <f>IF(A303="","",INDEX(Акты!$D$5:$D$16,B303)-SUMIFS(Оплаты!$B$6:$B$505,Оплаты!$D$6:$D$505,A303,Оплаты!$A$6:$A$505,"&lt;="&amp;Оплаты!$A$295))</f>
        <v/>
      </c>
      <c r="F303" s="14">
        <f>IF(G303="","",SUMPRODUCT(ROUND(E303*'По дням'!$L$6:$L$155/100*((((D303+'По дням'!$K$6:$K$155-ABS(D303-'По дням'!$K$6:$K$155))-(C303+'По дням'!$J$6:$J$155+ABS(C303-'По дням'!$J$6:$J$155)))/2+1)&gt;0)*(((D303+'По дням'!$K$6:$K$155-ABS(D303-'По дням'!$K$6:$K$155))-(C303+'По дням'!$J$6:$J$155+ABS(C303-'По дням'!$J$6:$J$155)))/2+1)/'По дням'!$M$6:$M$155,2)*(1-'По дням'!$N$6:$N$155)))</f>
        <v/>
      </c>
      <c r="G303">
        <f>IF(A303="","",IF(C303&gt;D303,"",B303*1000000+C303))</f>
        <v/>
      </c>
      <c r="H303" s="14">
        <f>IF(G303="","",SUMIFS(Оплаты!$B$6:$B$505,Оплаты!$D$6:$D$505,A303,Оплаты!$A$6:$A$505,D303))</f>
        <v/>
      </c>
      <c r="I303">
        <f>IF(G303="","",SUMPRODUCT((((((D303+'По дням'!$K$6:$K$155-ABS(D303-'По дням'!$K$6:$K$155))-(C303+'По дням'!$J$6:$J$155+ABS(C303-'По дням'!$J$6:$J$155)))/2+1)&gt;0)*(((D303+'По дням'!$K$6:$K$155-ABS(D303-'По дням'!$K$6:$K$155))-(C303+'По дням'!$J$6:$J$155+ABS(C303-'По дням'!$J$6:$J$155)))/2+1)&gt;0)*1))</f>
        <v/>
      </c>
    </row>
    <row r="304">
      <c r="A304">
        <f>IF(AND(Оплаты!$E$296="ок",COUNTIFS(Акты!$B$5:$B$16,Оплаты!$D$296,Акты!$H$5:$H$16,"ок")&gt;0,COUNTIFS(Оплаты!$D$6:$D$295,Оплаты!$D$296,Оплаты!$A$6:$A$295,Оплаты!$A$296)=0),Оплаты!$D$296,"")</f>
        <v/>
      </c>
      <c r="B304">
        <f>IF(A304="","",MATCH(A304,Акты!$B$5:$B$16,0))</f>
        <v/>
      </c>
      <c r="C304" s="20">
        <f>IF(A304="","",Оплаты!$A$296+1)</f>
        <v/>
      </c>
      <c r="D304" s="20">
        <f>IF(A304="","",MIN(Ввод!$B$4,Ввод!$B$4+1-SUMPRODUCT(MAX((Оплаты!$D$6:$D$505=A304)*(Оплаты!$A$6:$A$505&gt;Оплаты!$A$296)*(Ввод!$B$4+1-Оплаты!$A$6:$A$505)))))</f>
        <v/>
      </c>
      <c r="E304" s="14">
        <f>IF(A304="","",INDEX(Акты!$D$5:$D$16,B304)-SUMIFS(Оплаты!$B$6:$B$505,Оплаты!$D$6:$D$505,A304,Оплаты!$A$6:$A$505,"&lt;="&amp;Оплаты!$A$296))</f>
        <v/>
      </c>
      <c r="F304" s="14">
        <f>IF(G304="","",SUMPRODUCT(ROUND(E304*'По дням'!$L$6:$L$155/100*((((D304+'По дням'!$K$6:$K$155-ABS(D304-'По дням'!$K$6:$K$155))-(C304+'По дням'!$J$6:$J$155+ABS(C304-'По дням'!$J$6:$J$155)))/2+1)&gt;0)*(((D304+'По дням'!$K$6:$K$155-ABS(D304-'По дням'!$K$6:$K$155))-(C304+'По дням'!$J$6:$J$155+ABS(C304-'По дням'!$J$6:$J$155)))/2+1)/'По дням'!$M$6:$M$155,2)*(1-'По дням'!$N$6:$N$155)))</f>
        <v/>
      </c>
      <c r="G304">
        <f>IF(A304="","",IF(C304&gt;D304,"",B304*1000000+C304))</f>
        <v/>
      </c>
      <c r="H304" s="14">
        <f>IF(G304="","",SUMIFS(Оплаты!$B$6:$B$505,Оплаты!$D$6:$D$505,A304,Оплаты!$A$6:$A$505,D304))</f>
        <v/>
      </c>
      <c r="I304">
        <f>IF(G304="","",SUMPRODUCT((((((D304+'По дням'!$K$6:$K$155-ABS(D304-'По дням'!$K$6:$K$155))-(C304+'По дням'!$J$6:$J$155+ABS(C304-'По дням'!$J$6:$J$155)))/2+1)&gt;0)*(((D304+'По дням'!$K$6:$K$155-ABS(D304-'По дням'!$K$6:$K$155))-(C304+'По дням'!$J$6:$J$155+ABS(C304-'По дням'!$J$6:$J$155)))/2+1)&gt;0)*1))</f>
        <v/>
      </c>
    </row>
    <row r="305">
      <c r="A305">
        <f>IF(AND(Оплаты!$E$297="ок",COUNTIFS(Акты!$B$5:$B$16,Оплаты!$D$297,Акты!$H$5:$H$16,"ок")&gt;0,COUNTIFS(Оплаты!$D$6:$D$296,Оплаты!$D$297,Оплаты!$A$6:$A$296,Оплаты!$A$297)=0),Оплаты!$D$297,"")</f>
        <v/>
      </c>
      <c r="B305">
        <f>IF(A305="","",MATCH(A305,Акты!$B$5:$B$16,0))</f>
        <v/>
      </c>
      <c r="C305" s="20">
        <f>IF(A305="","",Оплаты!$A$297+1)</f>
        <v/>
      </c>
      <c r="D305" s="20">
        <f>IF(A305="","",MIN(Ввод!$B$4,Ввод!$B$4+1-SUMPRODUCT(MAX((Оплаты!$D$6:$D$505=A305)*(Оплаты!$A$6:$A$505&gt;Оплаты!$A$297)*(Ввод!$B$4+1-Оплаты!$A$6:$A$505)))))</f>
        <v/>
      </c>
      <c r="E305" s="14">
        <f>IF(A305="","",INDEX(Акты!$D$5:$D$16,B305)-SUMIFS(Оплаты!$B$6:$B$505,Оплаты!$D$6:$D$505,A305,Оплаты!$A$6:$A$505,"&lt;="&amp;Оплаты!$A$297))</f>
        <v/>
      </c>
      <c r="F305" s="14">
        <f>IF(G305="","",SUMPRODUCT(ROUND(E305*'По дням'!$L$6:$L$155/100*((((D305+'По дням'!$K$6:$K$155-ABS(D305-'По дням'!$K$6:$K$155))-(C305+'По дням'!$J$6:$J$155+ABS(C305-'По дням'!$J$6:$J$155)))/2+1)&gt;0)*(((D305+'По дням'!$K$6:$K$155-ABS(D305-'По дням'!$K$6:$K$155))-(C305+'По дням'!$J$6:$J$155+ABS(C305-'По дням'!$J$6:$J$155)))/2+1)/'По дням'!$M$6:$M$155,2)*(1-'По дням'!$N$6:$N$155)))</f>
        <v/>
      </c>
      <c r="G305">
        <f>IF(A305="","",IF(C305&gt;D305,"",B305*1000000+C305))</f>
        <v/>
      </c>
      <c r="H305" s="14">
        <f>IF(G305="","",SUMIFS(Оплаты!$B$6:$B$505,Оплаты!$D$6:$D$505,A305,Оплаты!$A$6:$A$505,D305))</f>
        <v/>
      </c>
      <c r="I305">
        <f>IF(G305="","",SUMPRODUCT((((((D305+'По дням'!$K$6:$K$155-ABS(D305-'По дням'!$K$6:$K$155))-(C305+'По дням'!$J$6:$J$155+ABS(C305-'По дням'!$J$6:$J$155)))/2+1)&gt;0)*(((D305+'По дням'!$K$6:$K$155-ABS(D305-'По дням'!$K$6:$K$155))-(C305+'По дням'!$J$6:$J$155+ABS(C305-'По дням'!$J$6:$J$155)))/2+1)&gt;0)*1))</f>
        <v/>
      </c>
    </row>
    <row r="306">
      <c r="A306">
        <f>IF(AND(Оплаты!$E$298="ок",COUNTIFS(Акты!$B$5:$B$16,Оплаты!$D$298,Акты!$H$5:$H$16,"ок")&gt;0,COUNTIFS(Оплаты!$D$6:$D$297,Оплаты!$D$298,Оплаты!$A$6:$A$297,Оплаты!$A$298)=0),Оплаты!$D$298,"")</f>
        <v/>
      </c>
      <c r="B306">
        <f>IF(A306="","",MATCH(A306,Акты!$B$5:$B$16,0))</f>
        <v/>
      </c>
      <c r="C306" s="20">
        <f>IF(A306="","",Оплаты!$A$298+1)</f>
        <v/>
      </c>
      <c r="D306" s="20">
        <f>IF(A306="","",MIN(Ввод!$B$4,Ввод!$B$4+1-SUMPRODUCT(MAX((Оплаты!$D$6:$D$505=A306)*(Оплаты!$A$6:$A$505&gt;Оплаты!$A$298)*(Ввод!$B$4+1-Оплаты!$A$6:$A$505)))))</f>
        <v/>
      </c>
      <c r="E306" s="14">
        <f>IF(A306="","",INDEX(Акты!$D$5:$D$16,B306)-SUMIFS(Оплаты!$B$6:$B$505,Оплаты!$D$6:$D$505,A306,Оплаты!$A$6:$A$505,"&lt;="&amp;Оплаты!$A$298))</f>
        <v/>
      </c>
      <c r="F306" s="14">
        <f>IF(G306="","",SUMPRODUCT(ROUND(E306*'По дням'!$L$6:$L$155/100*((((D306+'По дням'!$K$6:$K$155-ABS(D306-'По дням'!$K$6:$K$155))-(C306+'По дням'!$J$6:$J$155+ABS(C306-'По дням'!$J$6:$J$155)))/2+1)&gt;0)*(((D306+'По дням'!$K$6:$K$155-ABS(D306-'По дням'!$K$6:$K$155))-(C306+'По дням'!$J$6:$J$155+ABS(C306-'По дням'!$J$6:$J$155)))/2+1)/'По дням'!$M$6:$M$155,2)*(1-'По дням'!$N$6:$N$155)))</f>
        <v/>
      </c>
      <c r="G306">
        <f>IF(A306="","",IF(C306&gt;D306,"",B306*1000000+C306))</f>
        <v/>
      </c>
      <c r="H306" s="14">
        <f>IF(G306="","",SUMIFS(Оплаты!$B$6:$B$505,Оплаты!$D$6:$D$505,A306,Оплаты!$A$6:$A$505,D306))</f>
        <v/>
      </c>
      <c r="I306">
        <f>IF(G306="","",SUMPRODUCT((((((D306+'По дням'!$K$6:$K$155-ABS(D306-'По дням'!$K$6:$K$155))-(C306+'По дням'!$J$6:$J$155+ABS(C306-'По дням'!$J$6:$J$155)))/2+1)&gt;0)*(((D306+'По дням'!$K$6:$K$155-ABS(D306-'По дням'!$K$6:$K$155))-(C306+'По дням'!$J$6:$J$155+ABS(C306-'По дням'!$J$6:$J$155)))/2+1)&gt;0)*1))</f>
        <v/>
      </c>
    </row>
    <row r="307">
      <c r="A307">
        <f>IF(AND(Оплаты!$E$299="ок",COUNTIFS(Акты!$B$5:$B$16,Оплаты!$D$299,Акты!$H$5:$H$16,"ок")&gt;0,COUNTIFS(Оплаты!$D$6:$D$298,Оплаты!$D$299,Оплаты!$A$6:$A$298,Оплаты!$A$299)=0),Оплаты!$D$299,"")</f>
        <v/>
      </c>
      <c r="B307">
        <f>IF(A307="","",MATCH(A307,Акты!$B$5:$B$16,0))</f>
        <v/>
      </c>
      <c r="C307" s="20">
        <f>IF(A307="","",Оплаты!$A$299+1)</f>
        <v/>
      </c>
      <c r="D307" s="20">
        <f>IF(A307="","",MIN(Ввод!$B$4,Ввод!$B$4+1-SUMPRODUCT(MAX((Оплаты!$D$6:$D$505=A307)*(Оплаты!$A$6:$A$505&gt;Оплаты!$A$299)*(Ввод!$B$4+1-Оплаты!$A$6:$A$505)))))</f>
        <v/>
      </c>
      <c r="E307" s="14">
        <f>IF(A307="","",INDEX(Акты!$D$5:$D$16,B307)-SUMIFS(Оплаты!$B$6:$B$505,Оплаты!$D$6:$D$505,A307,Оплаты!$A$6:$A$505,"&lt;="&amp;Оплаты!$A$299))</f>
        <v/>
      </c>
      <c r="F307" s="14">
        <f>IF(G307="","",SUMPRODUCT(ROUND(E307*'По дням'!$L$6:$L$155/100*((((D307+'По дням'!$K$6:$K$155-ABS(D307-'По дням'!$K$6:$K$155))-(C307+'По дням'!$J$6:$J$155+ABS(C307-'По дням'!$J$6:$J$155)))/2+1)&gt;0)*(((D307+'По дням'!$K$6:$K$155-ABS(D307-'По дням'!$K$6:$K$155))-(C307+'По дням'!$J$6:$J$155+ABS(C307-'По дням'!$J$6:$J$155)))/2+1)/'По дням'!$M$6:$M$155,2)*(1-'По дням'!$N$6:$N$155)))</f>
        <v/>
      </c>
      <c r="G307">
        <f>IF(A307="","",IF(C307&gt;D307,"",B307*1000000+C307))</f>
        <v/>
      </c>
      <c r="H307" s="14">
        <f>IF(G307="","",SUMIFS(Оплаты!$B$6:$B$505,Оплаты!$D$6:$D$505,A307,Оплаты!$A$6:$A$505,D307))</f>
        <v/>
      </c>
      <c r="I307">
        <f>IF(G307="","",SUMPRODUCT((((((D307+'По дням'!$K$6:$K$155-ABS(D307-'По дням'!$K$6:$K$155))-(C307+'По дням'!$J$6:$J$155+ABS(C307-'По дням'!$J$6:$J$155)))/2+1)&gt;0)*(((D307+'По дням'!$K$6:$K$155-ABS(D307-'По дням'!$K$6:$K$155))-(C307+'По дням'!$J$6:$J$155+ABS(C307-'По дням'!$J$6:$J$155)))/2+1)&gt;0)*1))</f>
        <v/>
      </c>
    </row>
    <row r="308">
      <c r="A308">
        <f>IF(AND(Оплаты!$E$300="ок",COUNTIFS(Акты!$B$5:$B$16,Оплаты!$D$300,Акты!$H$5:$H$16,"ок")&gt;0,COUNTIFS(Оплаты!$D$6:$D$299,Оплаты!$D$300,Оплаты!$A$6:$A$299,Оплаты!$A$300)=0),Оплаты!$D$300,"")</f>
        <v/>
      </c>
      <c r="B308">
        <f>IF(A308="","",MATCH(A308,Акты!$B$5:$B$16,0))</f>
        <v/>
      </c>
      <c r="C308" s="20">
        <f>IF(A308="","",Оплаты!$A$300+1)</f>
        <v/>
      </c>
      <c r="D308" s="20">
        <f>IF(A308="","",MIN(Ввод!$B$4,Ввод!$B$4+1-SUMPRODUCT(MAX((Оплаты!$D$6:$D$505=A308)*(Оплаты!$A$6:$A$505&gt;Оплаты!$A$300)*(Ввод!$B$4+1-Оплаты!$A$6:$A$505)))))</f>
        <v/>
      </c>
      <c r="E308" s="14">
        <f>IF(A308="","",INDEX(Акты!$D$5:$D$16,B308)-SUMIFS(Оплаты!$B$6:$B$505,Оплаты!$D$6:$D$505,A308,Оплаты!$A$6:$A$505,"&lt;="&amp;Оплаты!$A$300))</f>
        <v/>
      </c>
      <c r="F308" s="14">
        <f>IF(G308="","",SUMPRODUCT(ROUND(E308*'По дням'!$L$6:$L$155/100*((((D308+'По дням'!$K$6:$K$155-ABS(D308-'По дням'!$K$6:$K$155))-(C308+'По дням'!$J$6:$J$155+ABS(C308-'По дням'!$J$6:$J$155)))/2+1)&gt;0)*(((D308+'По дням'!$K$6:$K$155-ABS(D308-'По дням'!$K$6:$K$155))-(C308+'По дням'!$J$6:$J$155+ABS(C308-'По дням'!$J$6:$J$155)))/2+1)/'По дням'!$M$6:$M$155,2)*(1-'По дням'!$N$6:$N$155)))</f>
        <v/>
      </c>
      <c r="G308">
        <f>IF(A308="","",IF(C308&gt;D308,"",B308*1000000+C308))</f>
        <v/>
      </c>
      <c r="H308" s="14">
        <f>IF(G308="","",SUMIFS(Оплаты!$B$6:$B$505,Оплаты!$D$6:$D$505,A308,Оплаты!$A$6:$A$505,D308))</f>
        <v/>
      </c>
      <c r="I308">
        <f>IF(G308="","",SUMPRODUCT((((((D308+'По дням'!$K$6:$K$155-ABS(D308-'По дням'!$K$6:$K$155))-(C308+'По дням'!$J$6:$J$155+ABS(C308-'По дням'!$J$6:$J$155)))/2+1)&gt;0)*(((D308+'По дням'!$K$6:$K$155-ABS(D308-'По дням'!$K$6:$K$155))-(C308+'По дням'!$J$6:$J$155+ABS(C308-'По дням'!$J$6:$J$155)))/2+1)&gt;0)*1))</f>
        <v/>
      </c>
    </row>
    <row r="309">
      <c r="A309">
        <f>IF(AND(Оплаты!$E$301="ок",COUNTIFS(Акты!$B$5:$B$16,Оплаты!$D$301,Акты!$H$5:$H$16,"ок")&gt;0,COUNTIFS(Оплаты!$D$6:$D$300,Оплаты!$D$301,Оплаты!$A$6:$A$300,Оплаты!$A$301)=0),Оплаты!$D$301,"")</f>
        <v/>
      </c>
      <c r="B309">
        <f>IF(A309="","",MATCH(A309,Акты!$B$5:$B$16,0))</f>
        <v/>
      </c>
      <c r="C309" s="20">
        <f>IF(A309="","",Оплаты!$A$301+1)</f>
        <v/>
      </c>
      <c r="D309" s="20">
        <f>IF(A309="","",MIN(Ввод!$B$4,Ввод!$B$4+1-SUMPRODUCT(MAX((Оплаты!$D$6:$D$505=A309)*(Оплаты!$A$6:$A$505&gt;Оплаты!$A$301)*(Ввод!$B$4+1-Оплаты!$A$6:$A$505)))))</f>
        <v/>
      </c>
      <c r="E309" s="14">
        <f>IF(A309="","",INDEX(Акты!$D$5:$D$16,B309)-SUMIFS(Оплаты!$B$6:$B$505,Оплаты!$D$6:$D$505,A309,Оплаты!$A$6:$A$505,"&lt;="&amp;Оплаты!$A$301))</f>
        <v/>
      </c>
      <c r="F309" s="14">
        <f>IF(G309="","",SUMPRODUCT(ROUND(E309*'По дням'!$L$6:$L$155/100*((((D309+'По дням'!$K$6:$K$155-ABS(D309-'По дням'!$K$6:$K$155))-(C309+'По дням'!$J$6:$J$155+ABS(C309-'По дням'!$J$6:$J$155)))/2+1)&gt;0)*(((D309+'По дням'!$K$6:$K$155-ABS(D309-'По дням'!$K$6:$K$155))-(C309+'По дням'!$J$6:$J$155+ABS(C309-'По дням'!$J$6:$J$155)))/2+1)/'По дням'!$M$6:$M$155,2)*(1-'По дням'!$N$6:$N$155)))</f>
        <v/>
      </c>
      <c r="G309">
        <f>IF(A309="","",IF(C309&gt;D309,"",B309*1000000+C309))</f>
        <v/>
      </c>
      <c r="H309" s="14">
        <f>IF(G309="","",SUMIFS(Оплаты!$B$6:$B$505,Оплаты!$D$6:$D$505,A309,Оплаты!$A$6:$A$505,D309))</f>
        <v/>
      </c>
      <c r="I309">
        <f>IF(G309="","",SUMPRODUCT((((((D309+'По дням'!$K$6:$K$155-ABS(D309-'По дням'!$K$6:$K$155))-(C309+'По дням'!$J$6:$J$155+ABS(C309-'По дням'!$J$6:$J$155)))/2+1)&gt;0)*(((D309+'По дням'!$K$6:$K$155-ABS(D309-'По дням'!$K$6:$K$155))-(C309+'По дням'!$J$6:$J$155+ABS(C309-'По дням'!$J$6:$J$155)))/2+1)&gt;0)*1))</f>
        <v/>
      </c>
    </row>
    <row r="310">
      <c r="A310">
        <f>IF(AND(Оплаты!$E$302="ок",COUNTIFS(Акты!$B$5:$B$16,Оплаты!$D$302,Акты!$H$5:$H$16,"ок")&gt;0,COUNTIFS(Оплаты!$D$6:$D$301,Оплаты!$D$302,Оплаты!$A$6:$A$301,Оплаты!$A$302)=0),Оплаты!$D$302,"")</f>
        <v/>
      </c>
      <c r="B310">
        <f>IF(A310="","",MATCH(A310,Акты!$B$5:$B$16,0))</f>
        <v/>
      </c>
      <c r="C310" s="20">
        <f>IF(A310="","",Оплаты!$A$302+1)</f>
        <v/>
      </c>
      <c r="D310" s="20">
        <f>IF(A310="","",MIN(Ввод!$B$4,Ввод!$B$4+1-SUMPRODUCT(MAX((Оплаты!$D$6:$D$505=A310)*(Оплаты!$A$6:$A$505&gt;Оплаты!$A$302)*(Ввод!$B$4+1-Оплаты!$A$6:$A$505)))))</f>
        <v/>
      </c>
      <c r="E310" s="14">
        <f>IF(A310="","",INDEX(Акты!$D$5:$D$16,B310)-SUMIFS(Оплаты!$B$6:$B$505,Оплаты!$D$6:$D$505,A310,Оплаты!$A$6:$A$505,"&lt;="&amp;Оплаты!$A$302))</f>
        <v/>
      </c>
      <c r="F310" s="14">
        <f>IF(G310="","",SUMPRODUCT(ROUND(E310*'По дням'!$L$6:$L$155/100*((((D310+'По дням'!$K$6:$K$155-ABS(D310-'По дням'!$K$6:$K$155))-(C310+'По дням'!$J$6:$J$155+ABS(C310-'По дням'!$J$6:$J$155)))/2+1)&gt;0)*(((D310+'По дням'!$K$6:$K$155-ABS(D310-'По дням'!$K$6:$K$155))-(C310+'По дням'!$J$6:$J$155+ABS(C310-'По дням'!$J$6:$J$155)))/2+1)/'По дням'!$M$6:$M$155,2)*(1-'По дням'!$N$6:$N$155)))</f>
        <v/>
      </c>
      <c r="G310">
        <f>IF(A310="","",IF(C310&gt;D310,"",B310*1000000+C310))</f>
        <v/>
      </c>
      <c r="H310" s="14">
        <f>IF(G310="","",SUMIFS(Оплаты!$B$6:$B$505,Оплаты!$D$6:$D$505,A310,Оплаты!$A$6:$A$505,D310))</f>
        <v/>
      </c>
      <c r="I310">
        <f>IF(G310="","",SUMPRODUCT((((((D310+'По дням'!$K$6:$K$155-ABS(D310-'По дням'!$K$6:$K$155))-(C310+'По дням'!$J$6:$J$155+ABS(C310-'По дням'!$J$6:$J$155)))/2+1)&gt;0)*(((D310+'По дням'!$K$6:$K$155-ABS(D310-'По дням'!$K$6:$K$155))-(C310+'По дням'!$J$6:$J$155+ABS(C310-'По дням'!$J$6:$J$155)))/2+1)&gt;0)*1))</f>
        <v/>
      </c>
    </row>
    <row r="311">
      <c r="A311">
        <f>IF(AND(Оплаты!$E$303="ок",COUNTIFS(Акты!$B$5:$B$16,Оплаты!$D$303,Акты!$H$5:$H$16,"ок")&gt;0,COUNTIFS(Оплаты!$D$6:$D$302,Оплаты!$D$303,Оплаты!$A$6:$A$302,Оплаты!$A$303)=0),Оплаты!$D$303,"")</f>
        <v/>
      </c>
      <c r="B311">
        <f>IF(A311="","",MATCH(A311,Акты!$B$5:$B$16,0))</f>
        <v/>
      </c>
      <c r="C311" s="20">
        <f>IF(A311="","",Оплаты!$A$303+1)</f>
        <v/>
      </c>
      <c r="D311" s="20">
        <f>IF(A311="","",MIN(Ввод!$B$4,Ввод!$B$4+1-SUMPRODUCT(MAX((Оплаты!$D$6:$D$505=A311)*(Оплаты!$A$6:$A$505&gt;Оплаты!$A$303)*(Ввод!$B$4+1-Оплаты!$A$6:$A$505)))))</f>
        <v/>
      </c>
      <c r="E311" s="14">
        <f>IF(A311="","",INDEX(Акты!$D$5:$D$16,B311)-SUMIFS(Оплаты!$B$6:$B$505,Оплаты!$D$6:$D$505,A311,Оплаты!$A$6:$A$505,"&lt;="&amp;Оплаты!$A$303))</f>
        <v/>
      </c>
      <c r="F311" s="14">
        <f>IF(G311="","",SUMPRODUCT(ROUND(E311*'По дням'!$L$6:$L$155/100*((((D311+'По дням'!$K$6:$K$155-ABS(D311-'По дням'!$K$6:$K$155))-(C311+'По дням'!$J$6:$J$155+ABS(C311-'По дням'!$J$6:$J$155)))/2+1)&gt;0)*(((D311+'По дням'!$K$6:$K$155-ABS(D311-'По дням'!$K$6:$K$155))-(C311+'По дням'!$J$6:$J$155+ABS(C311-'По дням'!$J$6:$J$155)))/2+1)/'По дням'!$M$6:$M$155,2)*(1-'По дням'!$N$6:$N$155)))</f>
        <v/>
      </c>
      <c r="G311">
        <f>IF(A311="","",IF(C311&gt;D311,"",B311*1000000+C311))</f>
        <v/>
      </c>
      <c r="H311" s="14">
        <f>IF(G311="","",SUMIFS(Оплаты!$B$6:$B$505,Оплаты!$D$6:$D$505,A311,Оплаты!$A$6:$A$505,D311))</f>
        <v/>
      </c>
      <c r="I311">
        <f>IF(G311="","",SUMPRODUCT((((((D311+'По дням'!$K$6:$K$155-ABS(D311-'По дням'!$K$6:$K$155))-(C311+'По дням'!$J$6:$J$155+ABS(C311-'По дням'!$J$6:$J$155)))/2+1)&gt;0)*(((D311+'По дням'!$K$6:$K$155-ABS(D311-'По дням'!$K$6:$K$155))-(C311+'По дням'!$J$6:$J$155+ABS(C311-'По дням'!$J$6:$J$155)))/2+1)&gt;0)*1))</f>
        <v/>
      </c>
    </row>
    <row r="312">
      <c r="A312">
        <f>IF(AND(Оплаты!$E$304="ок",COUNTIFS(Акты!$B$5:$B$16,Оплаты!$D$304,Акты!$H$5:$H$16,"ок")&gt;0,COUNTIFS(Оплаты!$D$6:$D$303,Оплаты!$D$304,Оплаты!$A$6:$A$303,Оплаты!$A$304)=0),Оплаты!$D$304,"")</f>
        <v/>
      </c>
      <c r="B312">
        <f>IF(A312="","",MATCH(A312,Акты!$B$5:$B$16,0))</f>
        <v/>
      </c>
      <c r="C312" s="20">
        <f>IF(A312="","",Оплаты!$A$304+1)</f>
        <v/>
      </c>
      <c r="D312" s="20">
        <f>IF(A312="","",MIN(Ввод!$B$4,Ввод!$B$4+1-SUMPRODUCT(MAX((Оплаты!$D$6:$D$505=A312)*(Оплаты!$A$6:$A$505&gt;Оплаты!$A$304)*(Ввод!$B$4+1-Оплаты!$A$6:$A$505)))))</f>
        <v/>
      </c>
      <c r="E312" s="14">
        <f>IF(A312="","",INDEX(Акты!$D$5:$D$16,B312)-SUMIFS(Оплаты!$B$6:$B$505,Оплаты!$D$6:$D$505,A312,Оплаты!$A$6:$A$505,"&lt;="&amp;Оплаты!$A$304))</f>
        <v/>
      </c>
      <c r="F312" s="14">
        <f>IF(G312="","",SUMPRODUCT(ROUND(E312*'По дням'!$L$6:$L$155/100*((((D312+'По дням'!$K$6:$K$155-ABS(D312-'По дням'!$K$6:$K$155))-(C312+'По дням'!$J$6:$J$155+ABS(C312-'По дням'!$J$6:$J$155)))/2+1)&gt;0)*(((D312+'По дням'!$K$6:$K$155-ABS(D312-'По дням'!$K$6:$K$155))-(C312+'По дням'!$J$6:$J$155+ABS(C312-'По дням'!$J$6:$J$155)))/2+1)/'По дням'!$M$6:$M$155,2)*(1-'По дням'!$N$6:$N$155)))</f>
        <v/>
      </c>
      <c r="G312">
        <f>IF(A312="","",IF(C312&gt;D312,"",B312*1000000+C312))</f>
        <v/>
      </c>
      <c r="H312" s="14">
        <f>IF(G312="","",SUMIFS(Оплаты!$B$6:$B$505,Оплаты!$D$6:$D$505,A312,Оплаты!$A$6:$A$505,D312))</f>
        <v/>
      </c>
      <c r="I312">
        <f>IF(G312="","",SUMPRODUCT((((((D312+'По дням'!$K$6:$K$155-ABS(D312-'По дням'!$K$6:$K$155))-(C312+'По дням'!$J$6:$J$155+ABS(C312-'По дням'!$J$6:$J$155)))/2+1)&gt;0)*(((D312+'По дням'!$K$6:$K$155-ABS(D312-'По дням'!$K$6:$K$155))-(C312+'По дням'!$J$6:$J$155+ABS(C312-'По дням'!$J$6:$J$155)))/2+1)&gt;0)*1))</f>
        <v/>
      </c>
    </row>
    <row r="313">
      <c r="A313">
        <f>IF(AND(Оплаты!$E$305="ок",COUNTIFS(Акты!$B$5:$B$16,Оплаты!$D$305,Акты!$H$5:$H$16,"ок")&gt;0,COUNTIFS(Оплаты!$D$6:$D$304,Оплаты!$D$305,Оплаты!$A$6:$A$304,Оплаты!$A$305)=0),Оплаты!$D$305,"")</f>
        <v/>
      </c>
      <c r="B313">
        <f>IF(A313="","",MATCH(A313,Акты!$B$5:$B$16,0))</f>
        <v/>
      </c>
      <c r="C313" s="20">
        <f>IF(A313="","",Оплаты!$A$305+1)</f>
        <v/>
      </c>
      <c r="D313" s="20">
        <f>IF(A313="","",MIN(Ввод!$B$4,Ввод!$B$4+1-SUMPRODUCT(MAX((Оплаты!$D$6:$D$505=A313)*(Оплаты!$A$6:$A$505&gt;Оплаты!$A$305)*(Ввод!$B$4+1-Оплаты!$A$6:$A$505)))))</f>
        <v/>
      </c>
      <c r="E313" s="14">
        <f>IF(A313="","",INDEX(Акты!$D$5:$D$16,B313)-SUMIFS(Оплаты!$B$6:$B$505,Оплаты!$D$6:$D$505,A313,Оплаты!$A$6:$A$505,"&lt;="&amp;Оплаты!$A$305))</f>
        <v/>
      </c>
      <c r="F313" s="14">
        <f>IF(G313="","",SUMPRODUCT(ROUND(E313*'По дням'!$L$6:$L$155/100*((((D313+'По дням'!$K$6:$K$155-ABS(D313-'По дням'!$K$6:$K$155))-(C313+'По дням'!$J$6:$J$155+ABS(C313-'По дням'!$J$6:$J$155)))/2+1)&gt;0)*(((D313+'По дням'!$K$6:$K$155-ABS(D313-'По дням'!$K$6:$K$155))-(C313+'По дням'!$J$6:$J$155+ABS(C313-'По дням'!$J$6:$J$155)))/2+1)/'По дням'!$M$6:$M$155,2)*(1-'По дням'!$N$6:$N$155)))</f>
        <v/>
      </c>
      <c r="G313">
        <f>IF(A313="","",IF(C313&gt;D313,"",B313*1000000+C313))</f>
        <v/>
      </c>
      <c r="H313" s="14">
        <f>IF(G313="","",SUMIFS(Оплаты!$B$6:$B$505,Оплаты!$D$6:$D$505,A313,Оплаты!$A$6:$A$505,D313))</f>
        <v/>
      </c>
      <c r="I313">
        <f>IF(G313="","",SUMPRODUCT((((((D313+'По дням'!$K$6:$K$155-ABS(D313-'По дням'!$K$6:$K$155))-(C313+'По дням'!$J$6:$J$155+ABS(C313-'По дням'!$J$6:$J$155)))/2+1)&gt;0)*(((D313+'По дням'!$K$6:$K$155-ABS(D313-'По дням'!$K$6:$K$155))-(C313+'По дням'!$J$6:$J$155+ABS(C313-'По дням'!$J$6:$J$155)))/2+1)&gt;0)*1))</f>
        <v/>
      </c>
    </row>
    <row r="314">
      <c r="A314">
        <f>IF(AND(Оплаты!$E$306="ок",COUNTIFS(Акты!$B$5:$B$16,Оплаты!$D$306,Акты!$H$5:$H$16,"ок")&gt;0,COUNTIFS(Оплаты!$D$6:$D$305,Оплаты!$D$306,Оплаты!$A$6:$A$305,Оплаты!$A$306)=0),Оплаты!$D$306,"")</f>
        <v/>
      </c>
      <c r="B314">
        <f>IF(A314="","",MATCH(A314,Акты!$B$5:$B$16,0))</f>
        <v/>
      </c>
      <c r="C314" s="20">
        <f>IF(A314="","",Оплаты!$A$306+1)</f>
        <v/>
      </c>
      <c r="D314" s="20">
        <f>IF(A314="","",MIN(Ввод!$B$4,Ввод!$B$4+1-SUMPRODUCT(MAX((Оплаты!$D$6:$D$505=A314)*(Оплаты!$A$6:$A$505&gt;Оплаты!$A$306)*(Ввод!$B$4+1-Оплаты!$A$6:$A$505)))))</f>
        <v/>
      </c>
      <c r="E314" s="14">
        <f>IF(A314="","",INDEX(Акты!$D$5:$D$16,B314)-SUMIFS(Оплаты!$B$6:$B$505,Оплаты!$D$6:$D$505,A314,Оплаты!$A$6:$A$505,"&lt;="&amp;Оплаты!$A$306))</f>
        <v/>
      </c>
      <c r="F314" s="14">
        <f>IF(G314="","",SUMPRODUCT(ROUND(E314*'По дням'!$L$6:$L$155/100*((((D314+'По дням'!$K$6:$K$155-ABS(D314-'По дням'!$K$6:$K$155))-(C314+'По дням'!$J$6:$J$155+ABS(C314-'По дням'!$J$6:$J$155)))/2+1)&gt;0)*(((D314+'По дням'!$K$6:$K$155-ABS(D314-'По дням'!$K$6:$K$155))-(C314+'По дням'!$J$6:$J$155+ABS(C314-'По дням'!$J$6:$J$155)))/2+1)/'По дням'!$M$6:$M$155,2)*(1-'По дням'!$N$6:$N$155)))</f>
        <v/>
      </c>
      <c r="G314">
        <f>IF(A314="","",IF(C314&gt;D314,"",B314*1000000+C314))</f>
        <v/>
      </c>
      <c r="H314" s="14">
        <f>IF(G314="","",SUMIFS(Оплаты!$B$6:$B$505,Оплаты!$D$6:$D$505,A314,Оплаты!$A$6:$A$505,D314))</f>
        <v/>
      </c>
      <c r="I314">
        <f>IF(G314="","",SUMPRODUCT((((((D314+'По дням'!$K$6:$K$155-ABS(D314-'По дням'!$K$6:$K$155))-(C314+'По дням'!$J$6:$J$155+ABS(C314-'По дням'!$J$6:$J$155)))/2+1)&gt;0)*(((D314+'По дням'!$K$6:$K$155-ABS(D314-'По дням'!$K$6:$K$155))-(C314+'По дням'!$J$6:$J$155+ABS(C314-'По дням'!$J$6:$J$155)))/2+1)&gt;0)*1))</f>
        <v/>
      </c>
    </row>
    <row r="315">
      <c r="A315">
        <f>IF(AND(Оплаты!$E$307="ок",COUNTIFS(Акты!$B$5:$B$16,Оплаты!$D$307,Акты!$H$5:$H$16,"ок")&gt;0,COUNTIFS(Оплаты!$D$6:$D$306,Оплаты!$D$307,Оплаты!$A$6:$A$306,Оплаты!$A$307)=0),Оплаты!$D$307,"")</f>
        <v/>
      </c>
      <c r="B315">
        <f>IF(A315="","",MATCH(A315,Акты!$B$5:$B$16,0))</f>
        <v/>
      </c>
      <c r="C315" s="20">
        <f>IF(A315="","",Оплаты!$A$307+1)</f>
        <v/>
      </c>
      <c r="D315" s="20">
        <f>IF(A315="","",MIN(Ввод!$B$4,Ввод!$B$4+1-SUMPRODUCT(MAX((Оплаты!$D$6:$D$505=A315)*(Оплаты!$A$6:$A$505&gt;Оплаты!$A$307)*(Ввод!$B$4+1-Оплаты!$A$6:$A$505)))))</f>
        <v/>
      </c>
      <c r="E315" s="14">
        <f>IF(A315="","",INDEX(Акты!$D$5:$D$16,B315)-SUMIFS(Оплаты!$B$6:$B$505,Оплаты!$D$6:$D$505,A315,Оплаты!$A$6:$A$505,"&lt;="&amp;Оплаты!$A$307))</f>
        <v/>
      </c>
      <c r="F315" s="14">
        <f>IF(G315="","",SUMPRODUCT(ROUND(E315*'По дням'!$L$6:$L$155/100*((((D315+'По дням'!$K$6:$K$155-ABS(D315-'По дням'!$K$6:$K$155))-(C315+'По дням'!$J$6:$J$155+ABS(C315-'По дням'!$J$6:$J$155)))/2+1)&gt;0)*(((D315+'По дням'!$K$6:$K$155-ABS(D315-'По дням'!$K$6:$K$155))-(C315+'По дням'!$J$6:$J$155+ABS(C315-'По дням'!$J$6:$J$155)))/2+1)/'По дням'!$M$6:$M$155,2)*(1-'По дням'!$N$6:$N$155)))</f>
        <v/>
      </c>
      <c r="G315">
        <f>IF(A315="","",IF(C315&gt;D315,"",B315*1000000+C315))</f>
        <v/>
      </c>
      <c r="H315" s="14">
        <f>IF(G315="","",SUMIFS(Оплаты!$B$6:$B$505,Оплаты!$D$6:$D$505,A315,Оплаты!$A$6:$A$505,D315))</f>
        <v/>
      </c>
      <c r="I315">
        <f>IF(G315="","",SUMPRODUCT((((((D315+'По дням'!$K$6:$K$155-ABS(D315-'По дням'!$K$6:$K$155))-(C315+'По дням'!$J$6:$J$155+ABS(C315-'По дням'!$J$6:$J$155)))/2+1)&gt;0)*(((D315+'По дням'!$K$6:$K$155-ABS(D315-'По дням'!$K$6:$K$155))-(C315+'По дням'!$J$6:$J$155+ABS(C315-'По дням'!$J$6:$J$155)))/2+1)&gt;0)*1))</f>
        <v/>
      </c>
    </row>
    <row r="316">
      <c r="A316">
        <f>IF(AND(Оплаты!$E$308="ок",COUNTIFS(Акты!$B$5:$B$16,Оплаты!$D$308,Акты!$H$5:$H$16,"ок")&gt;0,COUNTIFS(Оплаты!$D$6:$D$307,Оплаты!$D$308,Оплаты!$A$6:$A$307,Оплаты!$A$308)=0),Оплаты!$D$308,"")</f>
        <v/>
      </c>
      <c r="B316">
        <f>IF(A316="","",MATCH(A316,Акты!$B$5:$B$16,0))</f>
        <v/>
      </c>
      <c r="C316" s="20">
        <f>IF(A316="","",Оплаты!$A$308+1)</f>
        <v/>
      </c>
      <c r="D316" s="20">
        <f>IF(A316="","",MIN(Ввод!$B$4,Ввод!$B$4+1-SUMPRODUCT(MAX((Оплаты!$D$6:$D$505=A316)*(Оплаты!$A$6:$A$505&gt;Оплаты!$A$308)*(Ввод!$B$4+1-Оплаты!$A$6:$A$505)))))</f>
        <v/>
      </c>
      <c r="E316" s="14">
        <f>IF(A316="","",INDEX(Акты!$D$5:$D$16,B316)-SUMIFS(Оплаты!$B$6:$B$505,Оплаты!$D$6:$D$505,A316,Оплаты!$A$6:$A$505,"&lt;="&amp;Оплаты!$A$308))</f>
        <v/>
      </c>
      <c r="F316" s="14">
        <f>IF(G316="","",SUMPRODUCT(ROUND(E316*'По дням'!$L$6:$L$155/100*((((D316+'По дням'!$K$6:$K$155-ABS(D316-'По дням'!$K$6:$K$155))-(C316+'По дням'!$J$6:$J$155+ABS(C316-'По дням'!$J$6:$J$155)))/2+1)&gt;0)*(((D316+'По дням'!$K$6:$K$155-ABS(D316-'По дням'!$K$6:$K$155))-(C316+'По дням'!$J$6:$J$155+ABS(C316-'По дням'!$J$6:$J$155)))/2+1)/'По дням'!$M$6:$M$155,2)*(1-'По дням'!$N$6:$N$155)))</f>
        <v/>
      </c>
      <c r="G316">
        <f>IF(A316="","",IF(C316&gt;D316,"",B316*1000000+C316))</f>
        <v/>
      </c>
      <c r="H316" s="14">
        <f>IF(G316="","",SUMIFS(Оплаты!$B$6:$B$505,Оплаты!$D$6:$D$505,A316,Оплаты!$A$6:$A$505,D316))</f>
        <v/>
      </c>
      <c r="I316">
        <f>IF(G316="","",SUMPRODUCT((((((D316+'По дням'!$K$6:$K$155-ABS(D316-'По дням'!$K$6:$K$155))-(C316+'По дням'!$J$6:$J$155+ABS(C316-'По дням'!$J$6:$J$155)))/2+1)&gt;0)*(((D316+'По дням'!$K$6:$K$155-ABS(D316-'По дням'!$K$6:$K$155))-(C316+'По дням'!$J$6:$J$155+ABS(C316-'По дням'!$J$6:$J$155)))/2+1)&gt;0)*1))</f>
        <v/>
      </c>
    </row>
    <row r="317">
      <c r="A317">
        <f>IF(AND(Оплаты!$E$309="ок",COUNTIFS(Акты!$B$5:$B$16,Оплаты!$D$309,Акты!$H$5:$H$16,"ок")&gt;0,COUNTIFS(Оплаты!$D$6:$D$308,Оплаты!$D$309,Оплаты!$A$6:$A$308,Оплаты!$A$309)=0),Оплаты!$D$309,"")</f>
        <v/>
      </c>
      <c r="B317">
        <f>IF(A317="","",MATCH(A317,Акты!$B$5:$B$16,0))</f>
        <v/>
      </c>
      <c r="C317" s="20">
        <f>IF(A317="","",Оплаты!$A$309+1)</f>
        <v/>
      </c>
      <c r="D317" s="20">
        <f>IF(A317="","",MIN(Ввод!$B$4,Ввод!$B$4+1-SUMPRODUCT(MAX((Оплаты!$D$6:$D$505=A317)*(Оплаты!$A$6:$A$505&gt;Оплаты!$A$309)*(Ввод!$B$4+1-Оплаты!$A$6:$A$505)))))</f>
        <v/>
      </c>
      <c r="E317" s="14">
        <f>IF(A317="","",INDEX(Акты!$D$5:$D$16,B317)-SUMIFS(Оплаты!$B$6:$B$505,Оплаты!$D$6:$D$505,A317,Оплаты!$A$6:$A$505,"&lt;="&amp;Оплаты!$A$309))</f>
        <v/>
      </c>
      <c r="F317" s="14">
        <f>IF(G317="","",SUMPRODUCT(ROUND(E317*'По дням'!$L$6:$L$155/100*((((D317+'По дням'!$K$6:$K$155-ABS(D317-'По дням'!$K$6:$K$155))-(C317+'По дням'!$J$6:$J$155+ABS(C317-'По дням'!$J$6:$J$155)))/2+1)&gt;0)*(((D317+'По дням'!$K$6:$K$155-ABS(D317-'По дням'!$K$6:$K$155))-(C317+'По дням'!$J$6:$J$155+ABS(C317-'По дням'!$J$6:$J$155)))/2+1)/'По дням'!$M$6:$M$155,2)*(1-'По дням'!$N$6:$N$155)))</f>
        <v/>
      </c>
      <c r="G317">
        <f>IF(A317="","",IF(C317&gt;D317,"",B317*1000000+C317))</f>
        <v/>
      </c>
      <c r="H317" s="14">
        <f>IF(G317="","",SUMIFS(Оплаты!$B$6:$B$505,Оплаты!$D$6:$D$505,A317,Оплаты!$A$6:$A$505,D317))</f>
        <v/>
      </c>
      <c r="I317">
        <f>IF(G317="","",SUMPRODUCT((((((D317+'По дням'!$K$6:$K$155-ABS(D317-'По дням'!$K$6:$K$155))-(C317+'По дням'!$J$6:$J$155+ABS(C317-'По дням'!$J$6:$J$155)))/2+1)&gt;0)*(((D317+'По дням'!$K$6:$K$155-ABS(D317-'По дням'!$K$6:$K$155))-(C317+'По дням'!$J$6:$J$155+ABS(C317-'По дням'!$J$6:$J$155)))/2+1)&gt;0)*1))</f>
        <v/>
      </c>
    </row>
    <row r="318">
      <c r="A318">
        <f>IF(AND(Оплаты!$E$310="ок",COUNTIFS(Акты!$B$5:$B$16,Оплаты!$D$310,Акты!$H$5:$H$16,"ок")&gt;0,COUNTIFS(Оплаты!$D$6:$D$309,Оплаты!$D$310,Оплаты!$A$6:$A$309,Оплаты!$A$310)=0),Оплаты!$D$310,"")</f>
        <v/>
      </c>
      <c r="B318">
        <f>IF(A318="","",MATCH(A318,Акты!$B$5:$B$16,0))</f>
        <v/>
      </c>
      <c r="C318" s="20">
        <f>IF(A318="","",Оплаты!$A$310+1)</f>
        <v/>
      </c>
      <c r="D318" s="20">
        <f>IF(A318="","",MIN(Ввод!$B$4,Ввод!$B$4+1-SUMPRODUCT(MAX((Оплаты!$D$6:$D$505=A318)*(Оплаты!$A$6:$A$505&gt;Оплаты!$A$310)*(Ввод!$B$4+1-Оплаты!$A$6:$A$505)))))</f>
        <v/>
      </c>
      <c r="E318" s="14">
        <f>IF(A318="","",INDEX(Акты!$D$5:$D$16,B318)-SUMIFS(Оплаты!$B$6:$B$505,Оплаты!$D$6:$D$505,A318,Оплаты!$A$6:$A$505,"&lt;="&amp;Оплаты!$A$310))</f>
        <v/>
      </c>
      <c r="F318" s="14">
        <f>IF(G318="","",SUMPRODUCT(ROUND(E318*'По дням'!$L$6:$L$155/100*((((D318+'По дням'!$K$6:$K$155-ABS(D318-'По дням'!$K$6:$K$155))-(C318+'По дням'!$J$6:$J$155+ABS(C318-'По дням'!$J$6:$J$155)))/2+1)&gt;0)*(((D318+'По дням'!$K$6:$K$155-ABS(D318-'По дням'!$K$6:$K$155))-(C318+'По дням'!$J$6:$J$155+ABS(C318-'По дням'!$J$6:$J$155)))/2+1)/'По дням'!$M$6:$M$155,2)*(1-'По дням'!$N$6:$N$155)))</f>
        <v/>
      </c>
      <c r="G318">
        <f>IF(A318="","",IF(C318&gt;D318,"",B318*1000000+C318))</f>
        <v/>
      </c>
      <c r="H318" s="14">
        <f>IF(G318="","",SUMIFS(Оплаты!$B$6:$B$505,Оплаты!$D$6:$D$505,A318,Оплаты!$A$6:$A$505,D318))</f>
        <v/>
      </c>
      <c r="I318">
        <f>IF(G318="","",SUMPRODUCT((((((D318+'По дням'!$K$6:$K$155-ABS(D318-'По дням'!$K$6:$K$155))-(C318+'По дням'!$J$6:$J$155+ABS(C318-'По дням'!$J$6:$J$155)))/2+1)&gt;0)*(((D318+'По дням'!$K$6:$K$155-ABS(D318-'По дням'!$K$6:$K$155))-(C318+'По дням'!$J$6:$J$155+ABS(C318-'По дням'!$J$6:$J$155)))/2+1)&gt;0)*1))</f>
        <v/>
      </c>
    </row>
    <row r="319">
      <c r="A319">
        <f>IF(AND(Оплаты!$E$311="ок",COUNTIFS(Акты!$B$5:$B$16,Оплаты!$D$311,Акты!$H$5:$H$16,"ок")&gt;0,COUNTIFS(Оплаты!$D$6:$D$310,Оплаты!$D$311,Оплаты!$A$6:$A$310,Оплаты!$A$311)=0),Оплаты!$D$311,"")</f>
        <v/>
      </c>
      <c r="B319">
        <f>IF(A319="","",MATCH(A319,Акты!$B$5:$B$16,0))</f>
        <v/>
      </c>
      <c r="C319" s="20">
        <f>IF(A319="","",Оплаты!$A$311+1)</f>
        <v/>
      </c>
      <c r="D319" s="20">
        <f>IF(A319="","",MIN(Ввод!$B$4,Ввод!$B$4+1-SUMPRODUCT(MAX((Оплаты!$D$6:$D$505=A319)*(Оплаты!$A$6:$A$505&gt;Оплаты!$A$311)*(Ввод!$B$4+1-Оплаты!$A$6:$A$505)))))</f>
        <v/>
      </c>
      <c r="E319" s="14">
        <f>IF(A319="","",INDEX(Акты!$D$5:$D$16,B319)-SUMIFS(Оплаты!$B$6:$B$505,Оплаты!$D$6:$D$505,A319,Оплаты!$A$6:$A$505,"&lt;="&amp;Оплаты!$A$311))</f>
        <v/>
      </c>
      <c r="F319" s="14">
        <f>IF(G319="","",SUMPRODUCT(ROUND(E319*'По дням'!$L$6:$L$155/100*((((D319+'По дням'!$K$6:$K$155-ABS(D319-'По дням'!$K$6:$K$155))-(C319+'По дням'!$J$6:$J$155+ABS(C319-'По дням'!$J$6:$J$155)))/2+1)&gt;0)*(((D319+'По дням'!$K$6:$K$155-ABS(D319-'По дням'!$K$6:$K$155))-(C319+'По дням'!$J$6:$J$155+ABS(C319-'По дням'!$J$6:$J$155)))/2+1)/'По дням'!$M$6:$M$155,2)*(1-'По дням'!$N$6:$N$155)))</f>
        <v/>
      </c>
      <c r="G319">
        <f>IF(A319="","",IF(C319&gt;D319,"",B319*1000000+C319))</f>
        <v/>
      </c>
      <c r="H319" s="14">
        <f>IF(G319="","",SUMIFS(Оплаты!$B$6:$B$505,Оплаты!$D$6:$D$505,A319,Оплаты!$A$6:$A$505,D319))</f>
        <v/>
      </c>
      <c r="I319">
        <f>IF(G319="","",SUMPRODUCT((((((D319+'По дням'!$K$6:$K$155-ABS(D319-'По дням'!$K$6:$K$155))-(C319+'По дням'!$J$6:$J$155+ABS(C319-'По дням'!$J$6:$J$155)))/2+1)&gt;0)*(((D319+'По дням'!$K$6:$K$155-ABS(D319-'По дням'!$K$6:$K$155))-(C319+'По дням'!$J$6:$J$155+ABS(C319-'По дням'!$J$6:$J$155)))/2+1)&gt;0)*1))</f>
        <v/>
      </c>
    </row>
    <row r="320">
      <c r="A320">
        <f>IF(AND(Оплаты!$E$312="ок",COUNTIFS(Акты!$B$5:$B$16,Оплаты!$D$312,Акты!$H$5:$H$16,"ок")&gt;0,COUNTIFS(Оплаты!$D$6:$D$311,Оплаты!$D$312,Оплаты!$A$6:$A$311,Оплаты!$A$312)=0),Оплаты!$D$312,"")</f>
        <v/>
      </c>
      <c r="B320">
        <f>IF(A320="","",MATCH(A320,Акты!$B$5:$B$16,0))</f>
        <v/>
      </c>
      <c r="C320" s="20">
        <f>IF(A320="","",Оплаты!$A$312+1)</f>
        <v/>
      </c>
      <c r="D320" s="20">
        <f>IF(A320="","",MIN(Ввод!$B$4,Ввод!$B$4+1-SUMPRODUCT(MAX((Оплаты!$D$6:$D$505=A320)*(Оплаты!$A$6:$A$505&gt;Оплаты!$A$312)*(Ввод!$B$4+1-Оплаты!$A$6:$A$505)))))</f>
        <v/>
      </c>
      <c r="E320" s="14">
        <f>IF(A320="","",INDEX(Акты!$D$5:$D$16,B320)-SUMIFS(Оплаты!$B$6:$B$505,Оплаты!$D$6:$D$505,A320,Оплаты!$A$6:$A$505,"&lt;="&amp;Оплаты!$A$312))</f>
        <v/>
      </c>
      <c r="F320" s="14">
        <f>IF(G320="","",SUMPRODUCT(ROUND(E320*'По дням'!$L$6:$L$155/100*((((D320+'По дням'!$K$6:$K$155-ABS(D320-'По дням'!$K$6:$K$155))-(C320+'По дням'!$J$6:$J$155+ABS(C320-'По дням'!$J$6:$J$155)))/2+1)&gt;0)*(((D320+'По дням'!$K$6:$K$155-ABS(D320-'По дням'!$K$6:$K$155))-(C320+'По дням'!$J$6:$J$155+ABS(C320-'По дням'!$J$6:$J$155)))/2+1)/'По дням'!$M$6:$M$155,2)*(1-'По дням'!$N$6:$N$155)))</f>
        <v/>
      </c>
      <c r="G320">
        <f>IF(A320="","",IF(C320&gt;D320,"",B320*1000000+C320))</f>
        <v/>
      </c>
      <c r="H320" s="14">
        <f>IF(G320="","",SUMIFS(Оплаты!$B$6:$B$505,Оплаты!$D$6:$D$505,A320,Оплаты!$A$6:$A$505,D320))</f>
        <v/>
      </c>
      <c r="I320">
        <f>IF(G320="","",SUMPRODUCT((((((D320+'По дням'!$K$6:$K$155-ABS(D320-'По дням'!$K$6:$K$155))-(C320+'По дням'!$J$6:$J$155+ABS(C320-'По дням'!$J$6:$J$155)))/2+1)&gt;0)*(((D320+'По дням'!$K$6:$K$155-ABS(D320-'По дням'!$K$6:$K$155))-(C320+'По дням'!$J$6:$J$155+ABS(C320-'По дням'!$J$6:$J$155)))/2+1)&gt;0)*1))</f>
        <v/>
      </c>
    </row>
    <row r="321">
      <c r="A321">
        <f>IF(AND(Оплаты!$E$313="ок",COUNTIFS(Акты!$B$5:$B$16,Оплаты!$D$313,Акты!$H$5:$H$16,"ок")&gt;0,COUNTIFS(Оплаты!$D$6:$D$312,Оплаты!$D$313,Оплаты!$A$6:$A$312,Оплаты!$A$313)=0),Оплаты!$D$313,"")</f>
        <v/>
      </c>
      <c r="B321">
        <f>IF(A321="","",MATCH(A321,Акты!$B$5:$B$16,0))</f>
        <v/>
      </c>
      <c r="C321" s="20">
        <f>IF(A321="","",Оплаты!$A$313+1)</f>
        <v/>
      </c>
      <c r="D321" s="20">
        <f>IF(A321="","",MIN(Ввод!$B$4,Ввод!$B$4+1-SUMPRODUCT(MAX((Оплаты!$D$6:$D$505=A321)*(Оплаты!$A$6:$A$505&gt;Оплаты!$A$313)*(Ввод!$B$4+1-Оплаты!$A$6:$A$505)))))</f>
        <v/>
      </c>
      <c r="E321" s="14">
        <f>IF(A321="","",INDEX(Акты!$D$5:$D$16,B321)-SUMIFS(Оплаты!$B$6:$B$505,Оплаты!$D$6:$D$505,A321,Оплаты!$A$6:$A$505,"&lt;="&amp;Оплаты!$A$313))</f>
        <v/>
      </c>
      <c r="F321" s="14">
        <f>IF(G321="","",SUMPRODUCT(ROUND(E321*'По дням'!$L$6:$L$155/100*((((D321+'По дням'!$K$6:$K$155-ABS(D321-'По дням'!$K$6:$K$155))-(C321+'По дням'!$J$6:$J$155+ABS(C321-'По дням'!$J$6:$J$155)))/2+1)&gt;0)*(((D321+'По дням'!$K$6:$K$155-ABS(D321-'По дням'!$K$6:$K$155))-(C321+'По дням'!$J$6:$J$155+ABS(C321-'По дням'!$J$6:$J$155)))/2+1)/'По дням'!$M$6:$M$155,2)*(1-'По дням'!$N$6:$N$155)))</f>
        <v/>
      </c>
      <c r="G321">
        <f>IF(A321="","",IF(C321&gt;D321,"",B321*1000000+C321))</f>
        <v/>
      </c>
      <c r="H321" s="14">
        <f>IF(G321="","",SUMIFS(Оплаты!$B$6:$B$505,Оплаты!$D$6:$D$505,A321,Оплаты!$A$6:$A$505,D321))</f>
        <v/>
      </c>
      <c r="I321">
        <f>IF(G321="","",SUMPRODUCT((((((D321+'По дням'!$K$6:$K$155-ABS(D321-'По дням'!$K$6:$K$155))-(C321+'По дням'!$J$6:$J$155+ABS(C321-'По дням'!$J$6:$J$155)))/2+1)&gt;0)*(((D321+'По дням'!$K$6:$K$155-ABS(D321-'По дням'!$K$6:$K$155))-(C321+'По дням'!$J$6:$J$155+ABS(C321-'По дням'!$J$6:$J$155)))/2+1)&gt;0)*1))</f>
        <v/>
      </c>
    </row>
    <row r="322">
      <c r="A322">
        <f>IF(AND(Оплаты!$E$314="ок",COUNTIFS(Акты!$B$5:$B$16,Оплаты!$D$314,Акты!$H$5:$H$16,"ок")&gt;0,COUNTIFS(Оплаты!$D$6:$D$313,Оплаты!$D$314,Оплаты!$A$6:$A$313,Оплаты!$A$314)=0),Оплаты!$D$314,"")</f>
        <v/>
      </c>
      <c r="B322">
        <f>IF(A322="","",MATCH(A322,Акты!$B$5:$B$16,0))</f>
        <v/>
      </c>
      <c r="C322" s="20">
        <f>IF(A322="","",Оплаты!$A$314+1)</f>
        <v/>
      </c>
      <c r="D322" s="20">
        <f>IF(A322="","",MIN(Ввод!$B$4,Ввод!$B$4+1-SUMPRODUCT(MAX((Оплаты!$D$6:$D$505=A322)*(Оплаты!$A$6:$A$505&gt;Оплаты!$A$314)*(Ввод!$B$4+1-Оплаты!$A$6:$A$505)))))</f>
        <v/>
      </c>
      <c r="E322" s="14">
        <f>IF(A322="","",INDEX(Акты!$D$5:$D$16,B322)-SUMIFS(Оплаты!$B$6:$B$505,Оплаты!$D$6:$D$505,A322,Оплаты!$A$6:$A$505,"&lt;="&amp;Оплаты!$A$314))</f>
        <v/>
      </c>
      <c r="F322" s="14">
        <f>IF(G322="","",SUMPRODUCT(ROUND(E322*'По дням'!$L$6:$L$155/100*((((D322+'По дням'!$K$6:$K$155-ABS(D322-'По дням'!$K$6:$K$155))-(C322+'По дням'!$J$6:$J$155+ABS(C322-'По дням'!$J$6:$J$155)))/2+1)&gt;0)*(((D322+'По дням'!$K$6:$K$155-ABS(D322-'По дням'!$K$6:$K$155))-(C322+'По дням'!$J$6:$J$155+ABS(C322-'По дням'!$J$6:$J$155)))/2+1)/'По дням'!$M$6:$M$155,2)*(1-'По дням'!$N$6:$N$155)))</f>
        <v/>
      </c>
      <c r="G322">
        <f>IF(A322="","",IF(C322&gt;D322,"",B322*1000000+C322))</f>
        <v/>
      </c>
      <c r="H322" s="14">
        <f>IF(G322="","",SUMIFS(Оплаты!$B$6:$B$505,Оплаты!$D$6:$D$505,A322,Оплаты!$A$6:$A$505,D322))</f>
        <v/>
      </c>
      <c r="I322">
        <f>IF(G322="","",SUMPRODUCT((((((D322+'По дням'!$K$6:$K$155-ABS(D322-'По дням'!$K$6:$K$155))-(C322+'По дням'!$J$6:$J$155+ABS(C322-'По дням'!$J$6:$J$155)))/2+1)&gt;0)*(((D322+'По дням'!$K$6:$K$155-ABS(D322-'По дням'!$K$6:$K$155))-(C322+'По дням'!$J$6:$J$155+ABS(C322-'По дням'!$J$6:$J$155)))/2+1)&gt;0)*1))</f>
        <v/>
      </c>
    </row>
    <row r="323">
      <c r="A323">
        <f>IF(AND(Оплаты!$E$315="ок",COUNTIFS(Акты!$B$5:$B$16,Оплаты!$D$315,Акты!$H$5:$H$16,"ок")&gt;0,COUNTIFS(Оплаты!$D$6:$D$314,Оплаты!$D$315,Оплаты!$A$6:$A$314,Оплаты!$A$315)=0),Оплаты!$D$315,"")</f>
        <v/>
      </c>
      <c r="B323">
        <f>IF(A323="","",MATCH(A323,Акты!$B$5:$B$16,0))</f>
        <v/>
      </c>
      <c r="C323" s="20">
        <f>IF(A323="","",Оплаты!$A$315+1)</f>
        <v/>
      </c>
      <c r="D323" s="20">
        <f>IF(A323="","",MIN(Ввод!$B$4,Ввод!$B$4+1-SUMPRODUCT(MAX((Оплаты!$D$6:$D$505=A323)*(Оплаты!$A$6:$A$505&gt;Оплаты!$A$315)*(Ввод!$B$4+1-Оплаты!$A$6:$A$505)))))</f>
        <v/>
      </c>
      <c r="E323" s="14">
        <f>IF(A323="","",INDEX(Акты!$D$5:$D$16,B323)-SUMIFS(Оплаты!$B$6:$B$505,Оплаты!$D$6:$D$505,A323,Оплаты!$A$6:$A$505,"&lt;="&amp;Оплаты!$A$315))</f>
        <v/>
      </c>
      <c r="F323" s="14">
        <f>IF(G323="","",SUMPRODUCT(ROUND(E323*'По дням'!$L$6:$L$155/100*((((D323+'По дням'!$K$6:$K$155-ABS(D323-'По дням'!$K$6:$K$155))-(C323+'По дням'!$J$6:$J$155+ABS(C323-'По дням'!$J$6:$J$155)))/2+1)&gt;0)*(((D323+'По дням'!$K$6:$K$155-ABS(D323-'По дням'!$K$6:$K$155))-(C323+'По дням'!$J$6:$J$155+ABS(C323-'По дням'!$J$6:$J$155)))/2+1)/'По дням'!$M$6:$M$155,2)*(1-'По дням'!$N$6:$N$155)))</f>
        <v/>
      </c>
      <c r="G323">
        <f>IF(A323="","",IF(C323&gt;D323,"",B323*1000000+C323))</f>
        <v/>
      </c>
      <c r="H323" s="14">
        <f>IF(G323="","",SUMIFS(Оплаты!$B$6:$B$505,Оплаты!$D$6:$D$505,A323,Оплаты!$A$6:$A$505,D323))</f>
        <v/>
      </c>
      <c r="I323">
        <f>IF(G323="","",SUMPRODUCT((((((D323+'По дням'!$K$6:$K$155-ABS(D323-'По дням'!$K$6:$K$155))-(C323+'По дням'!$J$6:$J$155+ABS(C323-'По дням'!$J$6:$J$155)))/2+1)&gt;0)*(((D323+'По дням'!$K$6:$K$155-ABS(D323-'По дням'!$K$6:$K$155))-(C323+'По дням'!$J$6:$J$155+ABS(C323-'По дням'!$J$6:$J$155)))/2+1)&gt;0)*1))</f>
        <v/>
      </c>
    </row>
    <row r="324">
      <c r="A324">
        <f>IF(AND(Оплаты!$E$316="ок",COUNTIFS(Акты!$B$5:$B$16,Оплаты!$D$316,Акты!$H$5:$H$16,"ок")&gt;0,COUNTIFS(Оплаты!$D$6:$D$315,Оплаты!$D$316,Оплаты!$A$6:$A$315,Оплаты!$A$316)=0),Оплаты!$D$316,"")</f>
        <v/>
      </c>
      <c r="B324">
        <f>IF(A324="","",MATCH(A324,Акты!$B$5:$B$16,0))</f>
        <v/>
      </c>
      <c r="C324" s="20">
        <f>IF(A324="","",Оплаты!$A$316+1)</f>
        <v/>
      </c>
      <c r="D324" s="20">
        <f>IF(A324="","",MIN(Ввод!$B$4,Ввод!$B$4+1-SUMPRODUCT(MAX((Оплаты!$D$6:$D$505=A324)*(Оплаты!$A$6:$A$505&gt;Оплаты!$A$316)*(Ввод!$B$4+1-Оплаты!$A$6:$A$505)))))</f>
        <v/>
      </c>
      <c r="E324" s="14">
        <f>IF(A324="","",INDEX(Акты!$D$5:$D$16,B324)-SUMIFS(Оплаты!$B$6:$B$505,Оплаты!$D$6:$D$505,A324,Оплаты!$A$6:$A$505,"&lt;="&amp;Оплаты!$A$316))</f>
        <v/>
      </c>
      <c r="F324" s="14">
        <f>IF(G324="","",SUMPRODUCT(ROUND(E324*'По дням'!$L$6:$L$155/100*((((D324+'По дням'!$K$6:$K$155-ABS(D324-'По дням'!$K$6:$K$155))-(C324+'По дням'!$J$6:$J$155+ABS(C324-'По дням'!$J$6:$J$155)))/2+1)&gt;0)*(((D324+'По дням'!$K$6:$K$155-ABS(D324-'По дням'!$K$6:$K$155))-(C324+'По дням'!$J$6:$J$155+ABS(C324-'По дням'!$J$6:$J$155)))/2+1)/'По дням'!$M$6:$M$155,2)*(1-'По дням'!$N$6:$N$155)))</f>
        <v/>
      </c>
      <c r="G324">
        <f>IF(A324="","",IF(C324&gt;D324,"",B324*1000000+C324))</f>
        <v/>
      </c>
      <c r="H324" s="14">
        <f>IF(G324="","",SUMIFS(Оплаты!$B$6:$B$505,Оплаты!$D$6:$D$505,A324,Оплаты!$A$6:$A$505,D324))</f>
        <v/>
      </c>
      <c r="I324">
        <f>IF(G324="","",SUMPRODUCT((((((D324+'По дням'!$K$6:$K$155-ABS(D324-'По дням'!$K$6:$K$155))-(C324+'По дням'!$J$6:$J$155+ABS(C324-'По дням'!$J$6:$J$155)))/2+1)&gt;0)*(((D324+'По дням'!$K$6:$K$155-ABS(D324-'По дням'!$K$6:$K$155))-(C324+'По дням'!$J$6:$J$155+ABS(C324-'По дням'!$J$6:$J$155)))/2+1)&gt;0)*1))</f>
        <v/>
      </c>
    </row>
    <row r="325">
      <c r="A325">
        <f>IF(AND(Оплаты!$E$317="ок",COUNTIFS(Акты!$B$5:$B$16,Оплаты!$D$317,Акты!$H$5:$H$16,"ок")&gt;0,COUNTIFS(Оплаты!$D$6:$D$316,Оплаты!$D$317,Оплаты!$A$6:$A$316,Оплаты!$A$317)=0),Оплаты!$D$317,"")</f>
        <v/>
      </c>
      <c r="B325">
        <f>IF(A325="","",MATCH(A325,Акты!$B$5:$B$16,0))</f>
        <v/>
      </c>
      <c r="C325" s="20">
        <f>IF(A325="","",Оплаты!$A$317+1)</f>
        <v/>
      </c>
      <c r="D325" s="20">
        <f>IF(A325="","",MIN(Ввод!$B$4,Ввод!$B$4+1-SUMPRODUCT(MAX((Оплаты!$D$6:$D$505=A325)*(Оплаты!$A$6:$A$505&gt;Оплаты!$A$317)*(Ввод!$B$4+1-Оплаты!$A$6:$A$505)))))</f>
        <v/>
      </c>
      <c r="E325" s="14">
        <f>IF(A325="","",INDEX(Акты!$D$5:$D$16,B325)-SUMIFS(Оплаты!$B$6:$B$505,Оплаты!$D$6:$D$505,A325,Оплаты!$A$6:$A$505,"&lt;="&amp;Оплаты!$A$317))</f>
        <v/>
      </c>
      <c r="F325" s="14">
        <f>IF(G325="","",SUMPRODUCT(ROUND(E325*'По дням'!$L$6:$L$155/100*((((D325+'По дням'!$K$6:$K$155-ABS(D325-'По дням'!$K$6:$K$155))-(C325+'По дням'!$J$6:$J$155+ABS(C325-'По дням'!$J$6:$J$155)))/2+1)&gt;0)*(((D325+'По дням'!$K$6:$K$155-ABS(D325-'По дням'!$K$6:$K$155))-(C325+'По дням'!$J$6:$J$155+ABS(C325-'По дням'!$J$6:$J$155)))/2+1)/'По дням'!$M$6:$M$155,2)*(1-'По дням'!$N$6:$N$155)))</f>
        <v/>
      </c>
      <c r="G325">
        <f>IF(A325="","",IF(C325&gt;D325,"",B325*1000000+C325))</f>
        <v/>
      </c>
      <c r="H325" s="14">
        <f>IF(G325="","",SUMIFS(Оплаты!$B$6:$B$505,Оплаты!$D$6:$D$505,A325,Оплаты!$A$6:$A$505,D325))</f>
        <v/>
      </c>
      <c r="I325">
        <f>IF(G325="","",SUMPRODUCT((((((D325+'По дням'!$K$6:$K$155-ABS(D325-'По дням'!$K$6:$K$155))-(C325+'По дням'!$J$6:$J$155+ABS(C325-'По дням'!$J$6:$J$155)))/2+1)&gt;0)*(((D325+'По дням'!$K$6:$K$155-ABS(D325-'По дням'!$K$6:$K$155))-(C325+'По дням'!$J$6:$J$155+ABS(C325-'По дням'!$J$6:$J$155)))/2+1)&gt;0)*1))</f>
        <v/>
      </c>
    </row>
    <row r="326">
      <c r="A326">
        <f>IF(AND(Оплаты!$E$318="ок",COUNTIFS(Акты!$B$5:$B$16,Оплаты!$D$318,Акты!$H$5:$H$16,"ок")&gt;0,COUNTIFS(Оплаты!$D$6:$D$317,Оплаты!$D$318,Оплаты!$A$6:$A$317,Оплаты!$A$318)=0),Оплаты!$D$318,"")</f>
        <v/>
      </c>
      <c r="B326">
        <f>IF(A326="","",MATCH(A326,Акты!$B$5:$B$16,0))</f>
        <v/>
      </c>
      <c r="C326" s="20">
        <f>IF(A326="","",Оплаты!$A$318+1)</f>
        <v/>
      </c>
      <c r="D326" s="20">
        <f>IF(A326="","",MIN(Ввод!$B$4,Ввод!$B$4+1-SUMPRODUCT(MAX((Оплаты!$D$6:$D$505=A326)*(Оплаты!$A$6:$A$505&gt;Оплаты!$A$318)*(Ввод!$B$4+1-Оплаты!$A$6:$A$505)))))</f>
        <v/>
      </c>
      <c r="E326" s="14">
        <f>IF(A326="","",INDEX(Акты!$D$5:$D$16,B326)-SUMIFS(Оплаты!$B$6:$B$505,Оплаты!$D$6:$D$505,A326,Оплаты!$A$6:$A$505,"&lt;="&amp;Оплаты!$A$318))</f>
        <v/>
      </c>
      <c r="F326" s="14">
        <f>IF(G326="","",SUMPRODUCT(ROUND(E326*'По дням'!$L$6:$L$155/100*((((D326+'По дням'!$K$6:$K$155-ABS(D326-'По дням'!$K$6:$K$155))-(C326+'По дням'!$J$6:$J$155+ABS(C326-'По дням'!$J$6:$J$155)))/2+1)&gt;0)*(((D326+'По дням'!$K$6:$K$155-ABS(D326-'По дням'!$K$6:$K$155))-(C326+'По дням'!$J$6:$J$155+ABS(C326-'По дням'!$J$6:$J$155)))/2+1)/'По дням'!$M$6:$M$155,2)*(1-'По дням'!$N$6:$N$155)))</f>
        <v/>
      </c>
      <c r="G326">
        <f>IF(A326="","",IF(C326&gt;D326,"",B326*1000000+C326))</f>
        <v/>
      </c>
      <c r="H326" s="14">
        <f>IF(G326="","",SUMIFS(Оплаты!$B$6:$B$505,Оплаты!$D$6:$D$505,A326,Оплаты!$A$6:$A$505,D326))</f>
        <v/>
      </c>
      <c r="I326">
        <f>IF(G326="","",SUMPRODUCT((((((D326+'По дням'!$K$6:$K$155-ABS(D326-'По дням'!$K$6:$K$155))-(C326+'По дням'!$J$6:$J$155+ABS(C326-'По дням'!$J$6:$J$155)))/2+1)&gt;0)*(((D326+'По дням'!$K$6:$K$155-ABS(D326-'По дням'!$K$6:$K$155))-(C326+'По дням'!$J$6:$J$155+ABS(C326-'По дням'!$J$6:$J$155)))/2+1)&gt;0)*1))</f>
        <v/>
      </c>
    </row>
    <row r="327">
      <c r="A327">
        <f>IF(AND(Оплаты!$E$319="ок",COUNTIFS(Акты!$B$5:$B$16,Оплаты!$D$319,Акты!$H$5:$H$16,"ок")&gt;0,COUNTIFS(Оплаты!$D$6:$D$318,Оплаты!$D$319,Оплаты!$A$6:$A$318,Оплаты!$A$319)=0),Оплаты!$D$319,"")</f>
        <v/>
      </c>
      <c r="B327">
        <f>IF(A327="","",MATCH(A327,Акты!$B$5:$B$16,0))</f>
        <v/>
      </c>
      <c r="C327" s="20">
        <f>IF(A327="","",Оплаты!$A$319+1)</f>
        <v/>
      </c>
      <c r="D327" s="20">
        <f>IF(A327="","",MIN(Ввод!$B$4,Ввод!$B$4+1-SUMPRODUCT(MAX((Оплаты!$D$6:$D$505=A327)*(Оплаты!$A$6:$A$505&gt;Оплаты!$A$319)*(Ввод!$B$4+1-Оплаты!$A$6:$A$505)))))</f>
        <v/>
      </c>
      <c r="E327" s="14">
        <f>IF(A327="","",INDEX(Акты!$D$5:$D$16,B327)-SUMIFS(Оплаты!$B$6:$B$505,Оплаты!$D$6:$D$505,A327,Оплаты!$A$6:$A$505,"&lt;="&amp;Оплаты!$A$319))</f>
        <v/>
      </c>
      <c r="F327" s="14">
        <f>IF(G327="","",SUMPRODUCT(ROUND(E327*'По дням'!$L$6:$L$155/100*((((D327+'По дням'!$K$6:$K$155-ABS(D327-'По дням'!$K$6:$K$155))-(C327+'По дням'!$J$6:$J$155+ABS(C327-'По дням'!$J$6:$J$155)))/2+1)&gt;0)*(((D327+'По дням'!$K$6:$K$155-ABS(D327-'По дням'!$K$6:$K$155))-(C327+'По дням'!$J$6:$J$155+ABS(C327-'По дням'!$J$6:$J$155)))/2+1)/'По дням'!$M$6:$M$155,2)*(1-'По дням'!$N$6:$N$155)))</f>
        <v/>
      </c>
      <c r="G327">
        <f>IF(A327="","",IF(C327&gt;D327,"",B327*1000000+C327))</f>
        <v/>
      </c>
      <c r="H327" s="14">
        <f>IF(G327="","",SUMIFS(Оплаты!$B$6:$B$505,Оплаты!$D$6:$D$505,A327,Оплаты!$A$6:$A$505,D327))</f>
        <v/>
      </c>
      <c r="I327">
        <f>IF(G327="","",SUMPRODUCT((((((D327+'По дням'!$K$6:$K$155-ABS(D327-'По дням'!$K$6:$K$155))-(C327+'По дням'!$J$6:$J$155+ABS(C327-'По дням'!$J$6:$J$155)))/2+1)&gt;0)*(((D327+'По дням'!$K$6:$K$155-ABS(D327-'По дням'!$K$6:$K$155))-(C327+'По дням'!$J$6:$J$155+ABS(C327-'По дням'!$J$6:$J$155)))/2+1)&gt;0)*1))</f>
        <v/>
      </c>
    </row>
    <row r="328">
      <c r="A328">
        <f>IF(AND(Оплаты!$E$320="ок",COUNTIFS(Акты!$B$5:$B$16,Оплаты!$D$320,Акты!$H$5:$H$16,"ок")&gt;0,COUNTIFS(Оплаты!$D$6:$D$319,Оплаты!$D$320,Оплаты!$A$6:$A$319,Оплаты!$A$320)=0),Оплаты!$D$320,"")</f>
        <v/>
      </c>
      <c r="B328">
        <f>IF(A328="","",MATCH(A328,Акты!$B$5:$B$16,0))</f>
        <v/>
      </c>
      <c r="C328" s="20">
        <f>IF(A328="","",Оплаты!$A$320+1)</f>
        <v/>
      </c>
      <c r="D328" s="20">
        <f>IF(A328="","",MIN(Ввод!$B$4,Ввод!$B$4+1-SUMPRODUCT(MAX((Оплаты!$D$6:$D$505=A328)*(Оплаты!$A$6:$A$505&gt;Оплаты!$A$320)*(Ввод!$B$4+1-Оплаты!$A$6:$A$505)))))</f>
        <v/>
      </c>
      <c r="E328" s="14">
        <f>IF(A328="","",INDEX(Акты!$D$5:$D$16,B328)-SUMIFS(Оплаты!$B$6:$B$505,Оплаты!$D$6:$D$505,A328,Оплаты!$A$6:$A$505,"&lt;="&amp;Оплаты!$A$320))</f>
        <v/>
      </c>
      <c r="F328" s="14">
        <f>IF(G328="","",SUMPRODUCT(ROUND(E328*'По дням'!$L$6:$L$155/100*((((D328+'По дням'!$K$6:$K$155-ABS(D328-'По дням'!$K$6:$K$155))-(C328+'По дням'!$J$6:$J$155+ABS(C328-'По дням'!$J$6:$J$155)))/2+1)&gt;0)*(((D328+'По дням'!$K$6:$K$155-ABS(D328-'По дням'!$K$6:$K$155))-(C328+'По дням'!$J$6:$J$155+ABS(C328-'По дням'!$J$6:$J$155)))/2+1)/'По дням'!$M$6:$M$155,2)*(1-'По дням'!$N$6:$N$155)))</f>
        <v/>
      </c>
      <c r="G328">
        <f>IF(A328="","",IF(C328&gt;D328,"",B328*1000000+C328))</f>
        <v/>
      </c>
      <c r="H328" s="14">
        <f>IF(G328="","",SUMIFS(Оплаты!$B$6:$B$505,Оплаты!$D$6:$D$505,A328,Оплаты!$A$6:$A$505,D328))</f>
        <v/>
      </c>
      <c r="I328">
        <f>IF(G328="","",SUMPRODUCT((((((D328+'По дням'!$K$6:$K$155-ABS(D328-'По дням'!$K$6:$K$155))-(C328+'По дням'!$J$6:$J$155+ABS(C328-'По дням'!$J$6:$J$155)))/2+1)&gt;0)*(((D328+'По дням'!$K$6:$K$155-ABS(D328-'По дням'!$K$6:$K$155))-(C328+'По дням'!$J$6:$J$155+ABS(C328-'По дням'!$J$6:$J$155)))/2+1)&gt;0)*1))</f>
        <v/>
      </c>
    </row>
    <row r="329">
      <c r="A329">
        <f>IF(AND(Оплаты!$E$321="ок",COUNTIFS(Акты!$B$5:$B$16,Оплаты!$D$321,Акты!$H$5:$H$16,"ок")&gt;0,COUNTIFS(Оплаты!$D$6:$D$320,Оплаты!$D$321,Оплаты!$A$6:$A$320,Оплаты!$A$321)=0),Оплаты!$D$321,"")</f>
        <v/>
      </c>
      <c r="B329">
        <f>IF(A329="","",MATCH(A329,Акты!$B$5:$B$16,0))</f>
        <v/>
      </c>
      <c r="C329" s="20">
        <f>IF(A329="","",Оплаты!$A$321+1)</f>
        <v/>
      </c>
      <c r="D329" s="20">
        <f>IF(A329="","",MIN(Ввод!$B$4,Ввод!$B$4+1-SUMPRODUCT(MAX((Оплаты!$D$6:$D$505=A329)*(Оплаты!$A$6:$A$505&gt;Оплаты!$A$321)*(Ввод!$B$4+1-Оплаты!$A$6:$A$505)))))</f>
        <v/>
      </c>
      <c r="E329" s="14">
        <f>IF(A329="","",INDEX(Акты!$D$5:$D$16,B329)-SUMIFS(Оплаты!$B$6:$B$505,Оплаты!$D$6:$D$505,A329,Оплаты!$A$6:$A$505,"&lt;="&amp;Оплаты!$A$321))</f>
        <v/>
      </c>
      <c r="F329" s="14">
        <f>IF(G329="","",SUMPRODUCT(ROUND(E329*'По дням'!$L$6:$L$155/100*((((D329+'По дням'!$K$6:$K$155-ABS(D329-'По дням'!$K$6:$K$155))-(C329+'По дням'!$J$6:$J$155+ABS(C329-'По дням'!$J$6:$J$155)))/2+1)&gt;0)*(((D329+'По дням'!$K$6:$K$155-ABS(D329-'По дням'!$K$6:$K$155))-(C329+'По дням'!$J$6:$J$155+ABS(C329-'По дням'!$J$6:$J$155)))/2+1)/'По дням'!$M$6:$M$155,2)*(1-'По дням'!$N$6:$N$155)))</f>
        <v/>
      </c>
      <c r="G329">
        <f>IF(A329="","",IF(C329&gt;D329,"",B329*1000000+C329))</f>
        <v/>
      </c>
      <c r="H329" s="14">
        <f>IF(G329="","",SUMIFS(Оплаты!$B$6:$B$505,Оплаты!$D$6:$D$505,A329,Оплаты!$A$6:$A$505,D329))</f>
        <v/>
      </c>
      <c r="I329">
        <f>IF(G329="","",SUMPRODUCT((((((D329+'По дням'!$K$6:$K$155-ABS(D329-'По дням'!$K$6:$K$155))-(C329+'По дням'!$J$6:$J$155+ABS(C329-'По дням'!$J$6:$J$155)))/2+1)&gt;0)*(((D329+'По дням'!$K$6:$K$155-ABS(D329-'По дням'!$K$6:$K$155))-(C329+'По дням'!$J$6:$J$155+ABS(C329-'По дням'!$J$6:$J$155)))/2+1)&gt;0)*1))</f>
        <v/>
      </c>
    </row>
    <row r="330">
      <c r="A330">
        <f>IF(AND(Оплаты!$E$322="ок",COUNTIFS(Акты!$B$5:$B$16,Оплаты!$D$322,Акты!$H$5:$H$16,"ок")&gt;0,COUNTIFS(Оплаты!$D$6:$D$321,Оплаты!$D$322,Оплаты!$A$6:$A$321,Оплаты!$A$322)=0),Оплаты!$D$322,"")</f>
        <v/>
      </c>
      <c r="B330">
        <f>IF(A330="","",MATCH(A330,Акты!$B$5:$B$16,0))</f>
        <v/>
      </c>
      <c r="C330" s="20">
        <f>IF(A330="","",Оплаты!$A$322+1)</f>
        <v/>
      </c>
      <c r="D330" s="20">
        <f>IF(A330="","",MIN(Ввод!$B$4,Ввод!$B$4+1-SUMPRODUCT(MAX((Оплаты!$D$6:$D$505=A330)*(Оплаты!$A$6:$A$505&gt;Оплаты!$A$322)*(Ввод!$B$4+1-Оплаты!$A$6:$A$505)))))</f>
        <v/>
      </c>
      <c r="E330" s="14">
        <f>IF(A330="","",INDEX(Акты!$D$5:$D$16,B330)-SUMIFS(Оплаты!$B$6:$B$505,Оплаты!$D$6:$D$505,A330,Оплаты!$A$6:$A$505,"&lt;="&amp;Оплаты!$A$322))</f>
        <v/>
      </c>
      <c r="F330" s="14">
        <f>IF(G330="","",SUMPRODUCT(ROUND(E330*'По дням'!$L$6:$L$155/100*((((D330+'По дням'!$K$6:$K$155-ABS(D330-'По дням'!$K$6:$K$155))-(C330+'По дням'!$J$6:$J$155+ABS(C330-'По дням'!$J$6:$J$155)))/2+1)&gt;0)*(((D330+'По дням'!$K$6:$K$155-ABS(D330-'По дням'!$K$6:$K$155))-(C330+'По дням'!$J$6:$J$155+ABS(C330-'По дням'!$J$6:$J$155)))/2+1)/'По дням'!$M$6:$M$155,2)*(1-'По дням'!$N$6:$N$155)))</f>
        <v/>
      </c>
      <c r="G330">
        <f>IF(A330="","",IF(C330&gt;D330,"",B330*1000000+C330))</f>
        <v/>
      </c>
      <c r="H330" s="14">
        <f>IF(G330="","",SUMIFS(Оплаты!$B$6:$B$505,Оплаты!$D$6:$D$505,A330,Оплаты!$A$6:$A$505,D330))</f>
        <v/>
      </c>
      <c r="I330">
        <f>IF(G330="","",SUMPRODUCT((((((D330+'По дням'!$K$6:$K$155-ABS(D330-'По дням'!$K$6:$K$155))-(C330+'По дням'!$J$6:$J$155+ABS(C330-'По дням'!$J$6:$J$155)))/2+1)&gt;0)*(((D330+'По дням'!$K$6:$K$155-ABS(D330-'По дням'!$K$6:$K$155))-(C330+'По дням'!$J$6:$J$155+ABS(C330-'По дням'!$J$6:$J$155)))/2+1)&gt;0)*1))</f>
        <v/>
      </c>
    </row>
    <row r="331">
      <c r="A331">
        <f>IF(AND(Оплаты!$E$323="ок",COUNTIFS(Акты!$B$5:$B$16,Оплаты!$D$323,Акты!$H$5:$H$16,"ок")&gt;0,COUNTIFS(Оплаты!$D$6:$D$322,Оплаты!$D$323,Оплаты!$A$6:$A$322,Оплаты!$A$323)=0),Оплаты!$D$323,"")</f>
        <v/>
      </c>
      <c r="B331">
        <f>IF(A331="","",MATCH(A331,Акты!$B$5:$B$16,0))</f>
        <v/>
      </c>
      <c r="C331" s="20">
        <f>IF(A331="","",Оплаты!$A$323+1)</f>
        <v/>
      </c>
      <c r="D331" s="20">
        <f>IF(A331="","",MIN(Ввод!$B$4,Ввод!$B$4+1-SUMPRODUCT(MAX((Оплаты!$D$6:$D$505=A331)*(Оплаты!$A$6:$A$505&gt;Оплаты!$A$323)*(Ввод!$B$4+1-Оплаты!$A$6:$A$505)))))</f>
        <v/>
      </c>
      <c r="E331" s="14">
        <f>IF(A331="","",INDEX(Акты!$D$5:$D$16,B331)-SUMIFS(Оплаты!$B$6:$B$505,Оплаты!$D$6:$D$505,A331,Оплаты!$A$6:$A$505,"&lt;="&amp;Оплаты!$A$323))</f>
        <v/>
      </c>
      <c r="F331" s="14">
        <f>IF(G331="","",SUMPRODUCT(ROUND(E331*'По дням'!$L$6:$L$155/100*((((D331+'По дням'!$K$6:$K$155-ABS(D331-'По дням'!$K$6:$K$155))-(C331+'По дням'!$J$6:$J$155+ABS(C331-'По дням'!$J$6:$J$155)))/2+1)&gt;0)*(((D331+'По дням'!$K$6:$K$155-ABS(D331-'По дням'!$K$6:$K$155))-(C331+'По дням'!$J$6:$J$155+ABS(C331-'По дням'!$J$6:$J$155)))/2+1)/'По дням'!$M$6:$M$155,2)*(1-'По дням'!$N$6:$N$155)))</f>
        <v/>
      </c>
      <c r="G331">
        <f>IF(A331="","",IF(C331&gt;D331,"",B331*1000000+C331))</f>
        <v/>
      </c>
      <c r="H331" s="14">
        <f>IF(G331="","",SUMIFS(Оплаты!$B$6:$B$505,Оплаты!$D$6:$D$505,A331,Оплаты!$A$6:$A$505,D331))</f>
        <v/>
      </c>
      <c r="I331">
        <f>IF(G331="","",SUMPRODUCT((((((D331+'По дням'!$K$6:$K$155-ABS(D331-'По дням'!$K$6:$K$155))-(C331+'По дням'!$J$6:$J$155+ABS(C331-'По дням'!$J$6:$J$155)))/2+1)&gt;0)*(((D331+'По дням'!$K$6:$K$155-ABS(D331-'По дням'!$K$6:$K$155))-(C331+'По дням'!$J$6:$J$155+ABS(C331-'По дням'!$J$6:$J$155)))/2+1)&gt;0)*1))</f>
        <v/>
      </c>
    </row>
    <row r="332">
      <c r="A332">
        <f>IF(AND(Оплаты!$E$324="ок",COUNTIFS(Акты!$B$5:$B$16,Оплаты!$D$324,Акты!$H$5:$H$16,"ок")&gt;0,COUNTIFS(Оплаты!$D$6:$D$323,Оплаты!$D$324,Оплаты!$A$6:$A$323,Оплаты!$A$324)=0),Оплаты!$D$324,"")</f>
        <v/>
      </c>
      <c r="B332">
        <f>IF(A332="","",MATCH(A332,Акты!$B$5:$B$16,0))</f>
        <v/>
      </c>
      <c r="C332" s="20">
        <f>IF(A332="","",Оплаты!$A$324+1)</f>
        <v/>
      </c>
      <c r="D332" s="20">
        <f>IF(A332="","",MIN(Ввод!$B$4,Ввод!$B$4+1-SUMPRODUCT(MAX((Оплаты!$D$6:$D$505=A332)*(Оплаты!$A$6:$A$505&gt;Оплаты!$A$324)*(Ввод!$B$4+1-Оплаты!$A$6:$A$505)))))</f>
        <v/>
      </c>
      <c r="E332" s="14">
        <f>IF(A332="","",INDEX(Акты!$D$5:$D$16,B332)-SUMIFS(Оплаты!$B$6:$B$505,Оплаты!$D$6:$D$505,A332,Оплаты!$A$6:$A$505,"&lt;="&amp;Оплаты!$A$324))</f>
        <v/>
      </c>
      <c r="F332" s="14">
        <f>IF(G332="","",SUMPRODUCT(ROUND(E332*'По дням'!$L$6:$L$155/100*((((D332+'По дням'!$K$6:$K$155-ABS(D332-'По дням'!$K$6:$K$155))-(C332+'По дням'!$J$6:$J$155+ABS(C332-'По дням'!$J$6:$J$155)))/2+1)&gt;0)*(((D332+'По дням'!$K$6:$K$155-ABS(D332-'По дням'!$K$6:$K$155))-(C332+'По дням'!$J$6:$J$155+ABS(C332-'По дням'!$J$6:$J$155)))/2+1)/'По дням'!$M$6:$M$155,2)*(1-'По дням'!$N$6:$N$155)))</f>
        <v/>
      </c>
      <c r="G332">
        <f>IF(A332="","",IF(C332&gt;D332,"",B332*1000000+C332))</f>
        <v/>
      </c>
      <c r="H332" s="14">
        <f>IF(G332="","",SUMIFS(Оплаты!$B$6:$B$505,Оплаты!$D$6:$D$505,A332,Оплаты!$A$6:$A$505,D332))</f>
        <v/>
      </c>
      <c r="I332">
        <f>IF(G332="","",SUMPRODUCT((((((D332+'По дням'!$K$6:$K$155-ABS(D332-'По дням'!$K$6:$K$155))-(C332+'По дням'!$J$6:$J$155+ABS(C332-'По дням'!$J$6:$J$155)))/2+1)&gt;0)*(((D332+'По дням'!$K$6:$K$155-ABS(D332-'По дням'!$K$6:$K$155))-(C332+'По дням'!$J$6:$J$155+ABS(C332-'По дням'!$J$6:$J$155)))/2+1)&gt;0)*1))</f>
        <v/>
      </c>
    </row>
    <row r="333">
      <c r="A333">
        <f>IF(AND(Оплаты!$E$325="ок",COUNTIFS(Акты!$B$5:$B$16,Оплаты!$D$325,Акты!$H$5:$H$16,"ок")&gt;0,COUNTIFS(Оплаты!$D$6:$D$324,Оплаты!$D$325,Оплаты!$A$6:$A$324,Оплаты!$A$325)=0),Оплаты!$D$325,"")</f>
        <v/>
      </c>
      <c r="B333">
        <f>IF(A333="","",MATCH(A333,Акты!$B$5:$B$16,0))</f>
        <v/>
      </c>
      <c r="C333" s="20">
        <f>IF(A333="","",Оплаты!$A$325+1)</f>
        <v/>
      </c>
      <c r="D333" s="20">
        <f>IF(A333="","",MIN(Ввод!$B$4,Ввод!$B$4+1-SUMPRODUCT(MAX((Оплаты!$D$6:$D$505=A333)*(Оплаты!$A$6:$A$505&gt;Оплаты!$A$325)*(Ввод!$B$4+1-Оплаты!$A$6:$A$505)))))</f>
        <v/>
      </c>
      <c r="E333" s="14">
        <f>IF(A333="","",INDEX(Акты!$D$5:$D$16,B333)-SUMIFS(Оплаты!$B$6:$B$505,Оплаты!$D$6:$D$505,A333,Оплаты!$A$6:$A$505,"&lt;="&amp;Оплаты!$A$325))</f>
        <v/>
      </c>
      <c r="F333" s="14">
        <f>IF(G333="","",SUMPRODUCT(ROUND(E333*'По дням'!$L$6:$L$155/100*((((D333+'По дням'!$K$6:$K$155-ABS(D333-'По дням'!$K$6:$K$155))-(C333+'По дням'!$J$6:$J$155+ABS(C333-'По дням'!$J$6:$J$155)))/2+1)&gt;0)*(((D333+'По дням'!$K$6:$K$155-ABS(D333-'По дням'!$K$6:$K$155))-(C333+'По дням'!$J$6:$J$155+ABS(C333-'По дням'!$J$6:$J$155)))/2+1)/'По дням'!$M$6:$M$155,2)*(1-'По дням'!$N$6:$N$155)))</f>
        <v/>
      </c>
      <c r="G333">
        <f>IF(A333="","",IF(C333&gt;D333,"",B333*1000000+C333))</f>
        <v/>
      </c>
      <c r="H333" s="14">
        <f>IF(G333="","",SUMIFS(Оплаты!$B$6:$B$505,Оплаты!$D$6:$D$505,A333,Оплаты!$A$6:$A$505,D333))</f>
        <v/>
      </c>
      <c r="I333">
        <f>IF(G333="","",SUMPRODUCT((((((D333+'По дням'!$K$6:$K$155-ABS(D333-'По дням'!$K$6:$K$155))-(C333+'По дням'!$J$6:$J$155+ABS(C333-'По дням'!$J$6:$J$155)))/2+1)&gt;0)*(((D333+'По дням'!$K$6:$K$155-ABS(D333-'По дням'!$K$6:$K$155))-(C333+'По дням'!$J$6:$J$155+ABS(C333-'По дням'!$J$6:$J$155)))/2+1)&gt;0)*1))</f>
        <v/>
      </c>
    </row>
    <row r="334">
      <c r="A334">
        <f>IF(AND(Оплаты!$E$326="ок",COUNTIFS(Акты!$B$5:$B$16,Оплаты!$D$326,Акты!$H$5:$H$16,"ок")&gt;0,COUNTIFS(Оплаты!$D$6:$D$325,Оплаты!$D$326,Оплаты!$A$6:$A$325,Оплаты!$A$326)=0),Оплаты!$D$326,"")</f>
        <v/>
      </c>
      <c r="B334">
        <f>IF(A334="","",MATCH(A334,Акты!$B$5:$B$16,0))</f>
        <v/>
      </c>
      <c r="C334" s="20">
        <f>IF(A334="","",Оплаты!$A$326+1)</f>
        <v/>
      </c>
      <c r="D334" s="20">
        <f>IF(A334="","",MIN(Ввод!$B$4,Ввод!$B$4+1-SUMPRODUCT(MAX((Оплаты!$D$6:$D$505=A334)*(Оплаты!$A$6:$A$505&gt;Оплаты!$A$326)*(Ввод!$B$4+1-Оплаты!$A$6:$A$505)))))</f>
        <v/>
      </c>
      <c r="E334" s="14">
        <f>IF(A334="","",INDEX(Акты!$D$5:$D$16,B334)-SUMIFS(Оплаты!$B$6:$B$505,Оплаты!$D$6:$D$505,A334,Оплаты!$A$6:$A$505,"&lt;="&amp;Оплаты!$A$326))</f>
        <v/>
      </c>
      <c r="F334" s="14">
        <f>IF(G334="","",SUMPRODUCT(ROUND(E334*'По дням'!$L$6:$L$155/100*((((D334+'По дням'!$K$6:$K$155-ABS(D334-'По дням'!$K$6:$K$155))-(C334+'По дням'!$J$6:$J$155+ABS(C334-'По дням'!$J$6:$J$155)))/2+1)&gt;0)*(((D334+'По дням'!$K$6:$K$155-ABS(D334-'По дням'!$K$6:$K$155))-(C334+'По дням'!$J$6:$J$155+ABS(C334-'По дням'!$J$6:$J$155)))/2+1)/'По дням'!$M$6:$M$155,2)*(1-'По дням'!$N$6:$N$155)))</f>
        <v/>
      </c>
      <c r="G334">
        <f>IF(A334="","",IF(C334&gt;D334,"",B334*1000000+C334))</f>
        <v/>
      </c>
      <c r="H334" s="14">
        <f>IF(G334="","",SUMIFS(Оплаты!$B$6:$B$505,Оплаты!$D$6:$D$505,A334,Оплаты!$A$6:$A$505,D334))</f>
        <v/>
      </c>
      <c r="I334">
        <f>IF(G334="","",SUMPRODUCT((((((D334+'По дням'!$K$6:$K$155-ABS(D334-'По дням'!$K$6:$K$155))-(C334+'По дням'!$J$6:$J$155+ABS(C334-'По дням'!$J$6:$J$155)))/2+1)&gt;0)*(((D334+'По дням'!$K$6:$K$155-ABS(D334-'По дням'!$K$6:$K$155))-(C334+'По дням'!$J$6:$J$155+ABS(C334-'По дням'!$J$6:$J$155)))/2+1)&gt;0)*1))</f>
        <v/>
      </c>
    </row>
    <row r="335">
      <c r="A335">
        <f>IF(AND(Оплаты!$E$327="ок",COUNTIFS(Акты!$B$5:$B$16,Оплаты!$D$327,Акты!$H$5:$H$16,"ок")&gt;0,COUNTIFS(Оплаты!$D$6:$D$326,Оплаты!$D$327,Оплаты!$A$6:$A$326,Оплаты!$A$327)=0),Оплаты!$D$327,"")</f>
        <v/>
      </c>
      <c r="B335">
        <f>IF(A335="","",MATCH(A335,Акты!$B$5:$B$16,0))</f>
        <v/>
      </c>
      <c r="C335" s="20">
        <f>IF(A335="","",Оплаты!$A$327+1)</f>
        <v/>
      </c>
      <c r="D335" s="20">
        <f>IF(A335="","",MIN(Ввод!$B$4,Ввод!$B$4+1-SUMPRODUCT(MAX((Оплаты!$D$6:$D$505=A335)*(Оплаты!$A$6:$A$505&gt;Оплаты!$A$327)*(Ввод!$B$4+1-Оплаты!$A$6:$A$505)))))</f>
        <v/>
      </c>
      <c r="E335" s="14">
        <f>IF(A335="","",INDEX(Акты!$D$5:$D$16,B335)-SUMIFS(Оплаты!$B$6:$B$505,Оплаты!$D$6:$D$505,A335,Оплаты!$A$6:$A$505,"&lt;="&amp;Оплаты!$A$327))</f>
        <v/>
      </c>
      <c r="F335" s="14">
        <f>IF(G335="","",SUMPRODUCT(ROUND(E335*'По дням'!$L$6:$L$155/100*((((D335+'По дням'!$K$6:$K$155-ABS(D335-'По дням'!$K$6:$K$155))-(C335+'По дням'!$J$6:$J$155+ABS(C335-'По дням'!$J$6:$J$155)))/2+1)&gt;0)*(((D335+'По дням'!$K$6:$K$155-ABS(D335-'По дням'!$K$6:$K$155))-(C335+'По дням'!$J$6:$J$155+ABS(C335-'По дням'!$J$6:$J$155)))/2+1)/'По дням'!$M$6:$M$155,2)*(1-'По дням'!$N$6:$N$155)))</f>
        <v/>
      </c>
      <c r="G335">
        <f>IF(A335="","",IF(C335&gt;D335,"",B335*1000000+C335))</f>
        <v/>
      </c>
      <c r="H335" s="14">
        <f>IF(G335="","",SUMIFS(Оплаты!$B$6:$B$505,Оплаты!$D$6:$D$505,A335,Оплаты!$A$6:$A$505,D335))</f>
        <v/>
      </c>
      <c r="I335">
        <f>IF(G335="","",SUMPRODUCT((((((D335+'По дням'!$K$6:$K$155-ABS(D335-'По дням'!$K$6:$K$155))-(C335+'По дням'!$J$6:$J$155+ABS(C335-'По дням'!$J$6:$J$155)))/2+1)&gt;0)*(((D335+'По дням'!$K$6:$K$155-ABS(D335-'По дням'!$K$6:$K$155))-(C335+'По дням'!$J$6:$J$155+ABS(C335-'По дням'!$J$6:$J$155)))/2+1)&gt;0)*1))</f>
        <v/>
      </c>
    </row>
    <row r="336">
      <c r="A336">
        <f>IF(AND(Оплаты!$E$328="ок",COUNTIFS(Акты!$B$5:$B$16,Оплаты!$D$328,Акты!$H$5:$H$16,"ок")&gt;0,COUNTIFS(Оплаты!$D$6:$D$327,Оплаты!$D$328,Оплаты!$A$6:$A$327,Оплаты!$A$328)=0),Оплаты!$D$328,"")</f>
        <v/>
      </c>
      <c r="B336">
        <f>IF(A336="","",MATCH(A336,Акты!$B$5:$B$16,0))</f>
        <v/>
      </c>
      <c r="C336" s="20">
        <f>IF(A336="","",Оплаты!$A$328+1)</f>
        <v/>
      </c>
      <c r="D336" s="20">
        <f>IF(A336="","",MIN(Ввод!$B$4,Ввод!$B$4+1-SUMPRODUCT(MAX((Оплаты!$D$6:$D$505=A336)*(Оплаты!$A$6:$A$505&gt;Оплаты!$A$328)*(Ввод!$B$4+1-Оплаты!$A$6:$A$505)))))</f>
        <v/>
      </c>
      <c r="E336" s="14">
        <f>IF(A336="","",INDEX(Акты!$D$5:$D$16,B336)-SUMIFS(Оплаты!$B$6:$B$505,Оплаты!$D$6:$D$505,A336,Оплаты!$A$6:$A$505,"&lt;="&amp;Оплаты!$A$328))</f>
        <v/>
      </c>
      <c r="F336" s="14">
        <f>IF(G336="","",SUMPRODUCT(ROUND(E336*'По дням'!$L$6:$L$155/100*((((D336+'По дням'!$K$6:$K$155-ABS(D336-'По дням'!$K$6:$K$155))-(C336+'По дням'!$J$6:$J$155+ABS(C336-'По дням'!$J$6:$J$155)))/2+1)&gt;0)*(((D336+'По дням'!$K$6:$K$155-ABS(D336-'По дням'!$K$6:$K$155))-(C336+'По дням'!$J$6:$J$155+ABS(C336-'По дням'!$J$6:$J$155)))/2+1)/'По дням'!$M$6:$M$155,2)*(1-'По дням'!$N$6:$N$155)))</f>
        <v/>
      </c>
      <c r="G336">
        <f>IF(A336="","",IF(C336&gt;D336,"",B336*1000000+C336))</f>
        <v/>
      </c>
      <c r="H336" s="14">
        <f>IF(G336="","",SUMIFS(Оплаты!$B$6:$B$505,Оплаты!$D$6:$D$505,A336,Оплаты!$A$6:$A$505,D336))</f>
        <v/>
      </c>
      <c r="I336">
        <f>IF(G336="","",SUMPRODUCT((((((D336+'По дням'!$K$6:$K$155-ABS(D336-'По дням'!$K$6:$K$155))-(C336+'По дням'!$J$6:$J$155+ABS(C336-'По дням'!$J$6:$J$155)))/2+1)&gt;0)*(((D336+'По дням'!$K$6:$K$155-ABS(D336-'По дням'!$K$6:$K$155))-(C336+'По дням'!$J$6:$J$155+ABS(C336-'По дням'!$J$6:$J$155)))/2+1)&gt;0)*1))</f>
        <v/>
      </c>
    </row>
    <row r="337">
      <c r="A337">
        <f>IF(AND(Оплаты!$E$329="ок",COUNTIFS(Акты!$B$5:$B$16,Оплаты!$D$329,Акты!$H$5:$H$16,"ок")&gt;0,COUNTIFS(Оплаты!$D$6:$D$328,Оплаты!$D$329,Оплаты!$A$6:$A$328,Оплаты!$A$329)=0),Оплаты!$D$329,"")</f>
        <v/>
      </c>
      <c r="B337">
        <f>IF(A337="","",MATCH(A337,Акты!$B$5:$B$16,0))</f>
        <v/>
      </c>
      <c r="C337" s="20">
        <f>IF(A337="","",Оплаты!$A$329+1)</f>
        <v/>
      </c>
      <c r="D337" s="20">
        <f>IF(A337="","",MIN(Ввод!$B$4,Ввод!$B$4+1-SUMPRODUCT(MAX((Оплаты!$D$6:$D$505=A337)*(Оплаты!$A$6:$A$505&gt;Оплаты!$A$329)*(Ввод!$B$4+1-Оплаты!$A$6:$A$505)))))</f>
        <v/>
      </c>
      <c r="E337" s="14">
        <f>IF(A337="","",INDEX(Акты!$D$5:$D$16,B337)-SUMIFS(Оплаты!$B$6:$B$505,Оплаты!$D$6:$D$505,A337,Оплаты!$A$6:$A$505,"&lt;="&amp;Оплаты!$A$329))</f>
        <v/>
      </c>
      <c r="F337" s="14">
        <f>IF(G337="","",SUMPRODUCT(ROUND(E337*'По дням'!$L$6:$L$155/100*((((D337+'По дням'!$K$6:$K$155-ABS(D337-'По дням'!$K$6:$K$155))-(C337+'По дням'!$J$6:$J$155+ABS(C337-'По дням'!$J$6:$J$155)))/2+1)&gt;0)*(((D337+'По дням'!$K$6:$K$155-ABS(D337-'По дням'!$K$6:$K$155))-(C337+'По дням'!$J$6:$J$155+ABS(C337-'По дням'!$J$6:$J$155)))/2+1)/'По дням'!$M$6:$M$155,2)*(1-'По дням'!$N$6:$N$155)))</f>
        <v/>
      </c>
      <c r="G337">
        <f>IF(A337="","",IF(C337&gt;D337,"",B337*1000000+C337))</f>
        <v/>
      </c>
      <c r="H337" s="14">
        <f>IF(G337="","",SUMIFS(Оплаты!$B$6:$B$505,Оплаты!$D$6:$D$505,A337,Оплаты!$A$6:$A$505,D337))</f>
        <v/>
      </c>
      <c r="I337">
        <f>IF(G337="","",SUMPRODUCT((((((D337+'По дням'!$K$6:$K$155-ABS(D337-'По дням'!$K$6:$K$155))-(C337+'По дням'!$J$6:$J$155+ABS(C337-'По дням'!$J$6:$J$155)))/2+1)&gt;0)*(((D337+'По дням'!$K$6:$K$155-ABS(D337-'По дням'!$K$6:$K$155))-(C337+'По дням'!$J$6:$J$155+ABS(C337-'По дням'!$J$6:$J$155)))/2+1)&gt;0)*1))</f>
        <v/>
      </c>
    </row>
    <row r="338">
      <c r="A338">
        <f>IF(AND(Оплаты!$E$330="ок",COUNTIFS(Акты!$B$5:$B$16,Оплаты!$D$330,Акты!$H$5:$H$16,"ок")&gt;0,COUNTIFS(Оплаты!$D$6:$D$329,Оплаты!$D$330,Оплаты!$A$6:$A$329,Оплаты!$A$330)=0),Оплаты!$D$330,"")</f>
        <v/>
      </c>
      <c r="B338">
        <f>IF(A338="","",MATCH(A338,Акты!$B$5:$B$16,0))</f>
        <v/>
      </c>
      <c r="C338" s="20">
        <f>IF(A338="","",Оплаты!$A$330+1)</f>
        <v/>
      </c>
      <c r="D338" s="20">
        <f>IF(A338="","",MIN(Ввод!$B$4,Ввод!$B$4+1-SUMPRODUCT(MAX((Оплаты!$D$6:$D$505=A338)*(Оплаты!$A$6:$A$505&gt;Оплаты!$A$330)*(Ввод!$B$4+1-Оплаты!$A$6:$A$505)))))</f>
        <v/>
      </c>
      <c r="E338" s="14">
        <f>IF(A338="","",INDEX(Акты!$D$5:$D$16,B338)-SUMIFS(Оплаты!$B$6:$B$505,Оплаты!$D$6:$D$505,A338,Оплаты!$A$6:$A$505,"&lt;="&amp;Оплаты!$A$330))</f>
        <v/>
      </c>
      <c r="F338" s="14">
        <f>IF(G338="","",SUMPRODUCT(ROUND(E338*'По дням'!$L$6:$L$155/100*((((D338+'По дням'!$K$6:$K$155-ABS(D338-'По дням'!$K$6:$K$155))-(C338+'По дням'!$J$6:$J$155+ABS(C338-'По дням'!$J$6:$J$155)))/2+1)&gt;0)*(((D338+'По дням'!$K$6:$K$155-ABS(D338-'По дням'!$K$6:$K$155))-(C338+'По дням'!$J$6:$J$155+ABS(C338-'По дням'!$J$6:$J$155)))/2+1)/'По дням'!$M$6:$M$155,2)*(1-'По дням'!$N$6:$N$155)))</f>
        <v/>
      </c>
      <c r="G338">
        <f>IF(A338="","",IF(C338&gt;D338,"",B338*1000000+C338))</f>
        <v/>
      </c>
      <c r="H338" s="14">
        <f>IF(G338="","",SUMIFS(Оплаты!$B$6:$B$505,Оплаты!$D$6:$D$505,A338,Оплаты!$A$6:$A$505,D338))</f>
        <v/>
      </c>
      <c r="I338">
        <f>IF(G338="","",SUMPRODUCT((((((D338+'По дням'!$K$6:$K$155-ABS(D338-'По дням'!$K$6:$K$155))-(C338+'По дням'!$J$6:$J$155+ABS(C338-'По дням'!$J$6:$J$155)))/2+1)&gt;0)*(((D338+'По дням'!$K$6:$K$155-ABS(D338-'По дням'!$K$6:$K$155))-(C338+'По дням'!$J$6:$J$155+ABS(C338-'По дням'!$J$6:$J$155)))/2+1)&gt;0)*1))</f>
        <v/>
      </c>
    </row>
    <row r="339">
      <c r="A339">
        <f>IF(AND(Оплаты!$E$331="ок",COUNTIFS(Акты!$B$5:$B$16,Оплаты!$D$331,Акты!$H$5:$H$16,"ок")&gt;0,COUNTIFS(Оплаты!$D$6:$D$330,Оплаты!$D$331,Оплаты!$A$6:$A$330,Оплаты!$A$331)=0),Оплаты!$D$331,"")</f>
        <v/>
      </c>
      <c r="B339">
        <f>IF(A339="","",MATCH(A339,Акты!$B$5:$B$16,0))</f>
        <v/>
      </c>
      <c r="C339" s="20">
        <f>IF(A339="","",Оплаты!$A$331+1)</f>
        <v/>
      </c>
      <c r="D339" s="20">
        <f>IF(A339="","",MIN(Ввод!$B$4,Ввод!$B$4+1-SUMPRODUCT(MAX((Оплаты!$D$6:$D$505=A339)*(Оплаты!$A$6:$A$505&gt;Оплаты!$A$331)*(Ввод!$B$4+1-Оплаты!$A$6:$A$505)))))</f>
        <v/>
      </c>
      <c r="E339" s="14">
        <f>IF(A339="","",INDEX(Акты!$D$5:$D$16,B339)-SUMIFS(Оплаты!$B$6:$B$505,Оплаты!$D$6:$D$505,A339,Оплаты!$A$6:$A$505,"&lt;="&amp;Оплаты!$A$331))</f>
        <v/>
      </c>
      <c r="F339" s="14">
        <f>IF(G339="","",SUMPRODUCT(ROUND(E339*'По дням'!$L$6:$L$155/100*((((D339+'По дням'!$K$6:$K$155-ABS(D339-'По дням'!$K$6:$K$155))-(C339+'По дням'!$J$6:$J$155+ABS(C339-'По дням'!$J$6:$J$155)))/2+1)&gt;0)*(((D339+'По дням'!$K$6:$K$155-ABS(D339-'По дням'!$K$6:$K$155))-(C339+'По дням'!$J$6:$J$155+ABS(C339-'По дням'!$J$6:$J$155)))/2+1)/'По дням'!$M$6:$M$155,2)*(1-'По дням'!$N$6:$N$155)))</f>
        <v/>
      </c>
      <c r="G339">
        <f>IF(A339="","",IF(C339&gt;D339,"",B339*1000000+C339))</f>
        <v/>
      </c>
      <c r="H339" s="14">
        <f>IF(G339="","",SUMIFS(Оплаты!$B$6:$B$505,Оплаты!$D$6:$D$505,A339,Оплаты!$A$6:$A$505,D339))</f>
        <v/>
      </c>
      <c r="I339">
        <f>IF(G339="","",SUMPRODUCT((((((D339+'По дням'!$K$6:$K$155-ABS(D339-'По дням'!$K$6:$K$155))-(C339+'По дням'!$J$6:$J$155+ABS(C339-'По дням'!$J$6:$J$155)))/2+1)&gt;0)*(((D339+'По дням'!$K$6:$K$155-ABS(D339-'По дням'!$K$6:$K$155))-(C339+'По дням'!$J$6:$J$155+ABS(C339-'По дням'!$J$6:$J$155)))/2+1)&gt;0)*1))</f>
        <v/>
      </c>
    </row>
    <row r="340">
      <c r="A340">
        <f>IF(AND(Оплаты!$E$332="ок",COUNTIFS(Акты!$B$5:$B$16,Оплаты!$D$332,Акты!$H$5:$H$16,"ок")&gt;0,COUNTIFS(Оплаты!$D$6:$D$331,Оплаты!$D$332,Оплаты!$A$6:$A$331,Оплаты!$A$332)=0),Оплаты!$D$332,"")</f>
        <v/>
      </c>
      <c r="B340">
        <f>IF(A340="","",MATCH(A340,Акты!$B$5:$B$16,0))</f>
        <v/>
      </c>
      <c r="C340" s="20">
        <f>IF(A340="","",Оплаты!$A$332+1)</f>
        <v/>
      </c>
      <c r="D340" s="20">
        <f>IF(A340="","",MIN(Ввод!$B$4,Ввод!$B$4+1-SUMPRODUCT(MAX((Оплаты!$D$6:$D$505=A340)*(Оплаты!$A$6:$A$505&gt;Оплаты!$A$332)*(Ввод!$B$4+1-Оплаты!$A$6:$A$505)))))</f>
        <v/>
      </c>
      <c r="E340" s="14">
        <f>IF(A340="","",INDEX(Акты!$D$5:$D$16,B340)-SUMIFS(Оплаты!$B$6:$B$505,Оплаты!$D$6:$D$505,A340,Оплаты!$A$6:$A$505,"&lt;="&amp;Оплаты!$A$332))</f>
        <v/>
      </c>
      <c r="F340" s="14">
        <f>IF(G340="","",SUMPRODUCT(ROUND(E340*'По дням'!$L$6:$L$155/100*((((D340+'По дням'!$K$6:$K$155-ABS(D340-'По дням'!$K$6:$K$155))-(C340+'По дням'!$J$6:$J$155+ABS(C340-'По дням'!$J$6:$J$155)))/2+1)&gt;0)*(((D340+'По дням'!$K$6:$K$155-ABS(D340-'По дням'!$K$6:$K$155))-(C340+'По дням'!$J$6:$J$155+ABS(C340-'По дням'!$J$6:$J$155)))/2+1)/'По дням'!$M$6:$M$155,2)*(1-'По дням'!$N$6:$N$155)))</f>
        <v/>
      </c>
      <c r="G340">
        <f>IF(A340="","",IF(C340&gt;D340,"",B340*1000000+C340))</f>
        <v/>
      </c>
      <c r="H340" s="14">
        <f>IF(G340="","",SUMIFS(Оплаты!$B$6:$B$505,Оплаты!$D$6:$D$505,A340,Оплаты!$A$6:$A$505,D340))</f>
        <v/>
      </c>
      <c r="I340">
        <f>IF(G340="","",SUMPRODUCT((((((D340+'По дням'!$K$6:$K$155-ABS(D340-'По дням'!$K$6:$K$155))-(C340+'По дням'!$J$6:$J$155+ABS(C340-'По дням'!$J$6:$J$155)))/2+1)&gt;0)*(((D340+'По дням'!$K$6:$K$155-ABS(D340-'По дням'!$K$6:$K$155))-(C340+'По дням'!$J$6:$J$155+ABS(C340-'По дням'!$J$6:$J$155)))/2+1)&gt;0)*1))</f>
        <v/>
      </c>
    </row>
    <row r="341">
      <c r="A341">
        <f>IF(AND(Оплаты!$E$333="ок",COUNTIFS(Акты!$B$5:$B$16,Оплаты!$D$333,Акты!$H$5:$H$16,"ок")&gt;0,COUNTIFS(Оплаты!$D$6:$D$332,Оплаты!$D$333,Оплаты!$A$6:$A$332,Оплаты!$A$333)=0),Оплаты!$D$333,"")</f>
        <v/>
      </c>
      <c r="B341">
        <f>IF(A341="","",MATCH(A341,Акты!$B$5:$B$16,0))</f>
        <v/>
      </c>
      <c r="C341" s="20">
        <f>IF(A341="","",Оплаты!$A$333+1)</f>
        <v/>
      </c>
      <c r="D341" s="20">
        <f>IF(A341="","",MIN(Ввод!$B$4,Ввод!$B$4+1-SUMPRODUCT(MAX((Оплаты!$D$6:$D$505=A341)*(Оплаты!$A$6:$A$505&gt;Оплаты!$A$333)*(Ввод!$B$4+1-Оплаты!$A$6:$A$505)))))</f>
        <v/>
      </c>
      <c r="E341" s="14">
        <f>IF(A341="","",INDEX(Акты!$D$5:$D$16,B341)-SUMIFS(Оплаты!$B$6:$B$505,Оплаты!$D$6:$D$505,A341,Оплаты!$A$6:$A$505,"&lt;="&amp;Оплаты!$A$333))</f>
        <v/>
      </c>
      <c r="F341" s="14">
        <f>IF(G341="","",SUMPRODUCT(ROUND(E341*'По дням'!$L$6:$L$155/100*((((D341+'По дням'!$K$6:$K$155-ABS(D341-'По дням'!$K$6:$K$155))-(C341+'По дням'!$J$6:$J$155+ABS(C341-'По дням'!$J$6:$J$155)))/2+1)&gt;0)*(((D341+'По дням'!$K$6:$K$155-ABS(D341-'По дням'!$K$6:$K$155))-(C341+'По дням'!$J$6:$J$155+ABS(C341-'По дням'!$J$6:$J$155)))/2+1)/'По дням'!$M$6:$M$155,2)*(1-'По дням'!$N$6:$N$155)))</f>
        <v/>
      </c>
      <c r="G341">
        <f>IF(A341="","",IF(C341&gt;D341,"",B341*1000000+C341))</f>
        <v/>
      </c>
      <c r="H341" s="14">
        <f>IF(G341="","",SUMIFS(Оплаты!$B$6:$B$505,Оплаты!$D$6:$D$505,A341,Оплаты!$A$6:$A$505,D341))</f>
        <v/>
      </c>
      <c r="I341">
        <f>IF(G341="","",SUMPRODUCT((((((D341+'По дням'!$K$6:$K$155-ABS(D341-'По дням'!$K$6:$K$155))-(C341+'По дням'!$J$6:$J$155+ABS(C341-'По дням'!$J$6:$J$155)))/2+1)&gt;0)*(((D341+'По дням'!$K$6:$K$155-ABS(D341-'По дням'!$K$6:$K$155))-(C341+'По дням'!$J$6:$J$155+ABS(C341-'По дням'!$J$6:$J$155)))/2+1)&gt;0)*1))</f>
        <v/>
      </c>
    </row>
    <row r="342">
      <c r="A342">
        <f>IF(AND(Оплаты!$E$334="ок",COUNTIFS(Акты!$B$5:$B$16,Оплаты!$D$334,Акты!$H$5:$H$16,"ок")&gt;0,COUNTIFS(Оплаты!$D$6:$D$333,Оплаты!$D$334,Оплаты!$A$6:$A$333,Оплаты!$A$334)=0),Оплаты!$D$334,"")</f>
        <v/>
      </c>
      <c r="B342">
        <f>IF(A342="","",MATCH(A342,Акты!$B$5:$B$16,0))</f>
        <v/>
      </c>
      <c r="C342" s="20">
        <f>IF(A342="","",Оплаты!$A$334+1)</f>
        <v/>
      </c>
      <c r="D342" s="20">
        <f>IF(A342="","",MIN(Ввод!$B$4,Ввод!$B$4+1-SUMPRODUCT(MAX((Оплаты!$D$6:$D$505=A342)*(Оплаты!$A$6:$A$505&gt;Оплаты!$A$334)*(Ввод!$B$4+1-Оплаты!$A$6:$A$505)))))</f>
        <v/>
      </c>
      <c r="E342" s="14">
        <f>IF(A342="","",INDEX(Акты!$D$5:$D$16,B342)-SUMIFS(Оплаты!$B$6:$B$505,Оплаты!$D$6:$D$505,A342,Оплаты!$A$6:$A$505,"&lt;="&amp;Оплаты!$A$334))</f>
        <v/>
      </c>
      <c r="F342" s="14">
        <f>IF(G342="","",SUMPRODUCT(ROUND(E342*'По дням'!$L$6:$L$155/100*((((D342+'По дням'!$K$6:$K$155-ABS(D342-'По дням'!$K$6:$K$155))-(C342+'По дням'!$J$6:$J$155+ABS(C342-'По дням'!$J$6:$J$155)))/2+1)&gt;0)*(((D342+'По дням'!$K$6:$K$155-ABS(D342-'По дням'!$K$6:$K$155))-(C342+'По дням'!$J$6:$J$155+ABS(C342-'По дням'!$J$6:$J$155)))/2+1)/'По дням'!$M$6:$M$155,2)*(1-'По дням'!$N$6:$N$155)))</f>
        <v/>
      </c>
      <c r="G342">
        <f>IF(A342="","",IF(C342&gt;D342,"",B342*1000000+C342))</f>
        <v/>
      </c>
      <c r="H342" s="14">
        <f>IF(G342="","",SUMIFS(Оплаты!$B$6:$B$505,Оплаты!$D$6:$D$505,A342,Оплаты!$A$6:$A$505,D342))</f>
        <v/>
      </c>
      <c r="I342">
        <f>IF(G342="","",SUMPRODUCT((((((D342+'По дням'!$K$6:$K$155-ABS(D342-'По дням'!$K$6:$K$155))-(C342+'По дням'!$J$6:$J$155+ABS(C342-'По дням'!$J$6:$J$155)))/2+1)&gt;0)*(((D342+'По дням'!$K$6:$K$155-ABS(D342-'По дням'!$K$6:$K$155))-(C342+'По дням'!$J$6:$J$155+ABS(C342-'По дням'!$J$6:$J$155)))/2+1)&gt;0)*1))</f>
        <v/>
      </c>
    </row>
    <row r="343">
      <c r="A343">
        <f>IF(AND(Оплаты!$E$335="ок",COUNTIFS(Акты!$B$5:$B$16,Оплаты!$D$335,Акты!$H$5:$H$16,"ок")&gt;0,COUNTIFS(Оплаты!$D$6:$D$334,Оплаты!$D$335,Оплаты!$A$6:$A$334,Оплаты!$A$335)=0),Оплаты!$D$335,"")</f>
        <v/>
      </c>
      <c r="B343">
        <f>IF(A343="","",MATCH(A343,Акты!$B$5:$B$16,0))</f>
        <v/>
      </c>
      <c r="C343" s="20">
        <f>IF(A343="","",Оплаты!$A$335+1)</f>
        <v/>
      </c>
      <c r="D343" s="20">
        <f>IF(A343="","",MIN(Ввод!$B$4,Ввод!$B$4+1-SUMPRODUCT(MAX((Оплаты!$D$6:$D$505=A343)*(Оплаты!$A$6:$A$505&gt;Оплаты!$A$335)*(Ввод!$B$4+1-Оплаты!$A$6:$A$505)))))</f>
        <v/>
      </c>
      <c r="E343" s="14">
        <f>IF(A343="","",INDEX(Акты!$D$5:$D$16,B343)-SUMIFS(Оплаты!$B$6:$B$505,Оплаты!$D$6:$D$505,A343,Оплаты!$A$6:$A$505,"&lt;="&amp;Оплаты!$A$335))</f>
        <v/>
      </c>
      <c r="F343" s="14">
        <f>IF(G343="","",SUMPRODUCT(ROUND(E343*'По дням'!$L$6:$L$155/100*((((D343+'По дням'!$K$6:$K$155-ABS(D343-'По дням'!$K$6:$K$155))-(C343+'По дням'!$J$6:$J$155+ABS(C343-'По дням'!$J$6:$J$155)))/2+1)&gt;0)*(((D343+'По дням'!$K$6:$K$155-ABS(D343-'По дням'!$K$6:$K$155))-(C343+'По дням'!$J$6:$J$155+ABS(C343-'По дням'!$J$6:$J$155)))/2+1)/'По дням'!$M$6:$M$155,2)*(1-'По дням'!$N$6:$N$155)))</f>
        <v/>
      </c>
      <c r="G343">
        <f>IF(A343="","",IF(C343&gt;D343,"",B343*1000000+C343))</f>
        <v/>
      </c>
      <c r="H343" s="14">
        <f>IF(G343="","",SUMIFS(Оплаты!$B$6:$B$505,Оплаты!$D$6:$D$505,A343,Оплаты!$A$6:$A$505,D343))</f>
        <v/>
      </c>
      <c r="I343">
        <f>IF(G343="","",SUMPRODUCT((((((D343+'По дням'!$K$6:$K$155-ABS(D343-'По дням'!$K$6:$K$155))-(C343+'По дням'!$J$6:$J$155+ABS(C343-'По дням'!$J$6:$J$155)))/2+1)&gt;0)*(((D343+'По дням'!$K$6:$K$155-ABS(D343-'По дням'!$K$6:$K$155))-(C343+'По дням'!$J$6:$J$155+ABS(C343-'По дням'!$J$6:$J$155)))/2+1)&gt;0)*1))</f>
        <v/>
      </c>
    </row>
    <row r="344">
      <c r="A344">
        <f>IF(AND(Оплаты!$E$336="ок",COUNTIFS(Акты!$B$5:$B$16,Оплаты!$D$336,Акты!$H$5:$H$16,"ок")&gt;0,COUNTIFS(Оплаты!$D$6:$D$335,Оплаты!$D$336,Оплаты!$A$6:$A$335,Оплаты!$A$336)=0),Оплаты!$D$336,"")</f>
        <v/>
      </c>
      <c r="B344">
        <f>IF(A344="","",MATCH(A344,Акты!$B$5:$B$16,0))</f>
        <v/>
      </c>
      <c r="C344" s="20">
        <f>IF(A344="","",Оплаты!$A$336+1)</f>
        <v/>
      </c>
      <c r="D344" s="20">
        <f>IF(A344="","",MIN(Ввод!$B$4,Ввод!$B$4+1-SUMPRODUCT(MAX((Оплаты!$D$6:$D$505=A344)*(Оплаты!$A$6:$A$505&gt;Оплаты!$A$336)*(Ввод!$B$4+1-Оплаты!$A$6:$A$505)))))</f>
        <v/>
      </c>
      <c r="E344" s="14">
        <f>IF(A344="","",INDEX(Акты!$D$5:$D$16,B344)-SUMIFS(Оплаты!$B$6:$B$505,Оплаты!$D$6:$D$505,A344,Оплаты!$A$6:$A$505,"&lt;="&amp;Оплаты!$A$336))</f>
        <v/>
      </c>
      <c r="F344" s="14">
        <f>IF(G344="","",SUMPRODUCT(ROUND(E344*'По дням'!$L$6:$L$155/100*((((D344+'По дням'!$K$6:$K$155-ABS(D344-'По дням'!$K$6:$K$155))-(C344+'По дням'!$J$6:$J$155+ABS(C344-'По дням'!$J$6:$J$155)))/2+1)&gt;0)*(((D344+'По дням'!$K$6:$K$155-ABS(D344-'По дням'!$K$6:$K$155))-(C344+'По дням'!$J$6:$J$155+ABS(C344-'По дням'!$J$6:$J$155)))/2+1)/'По дням'!$M$6:$M$155,2)*(1-'По дням'!$N$6:$N$155)))</f>
        <v/>
      </c>
      <c r="G344">
        <f>IF(A344="","",IF(C344&gt;D344,"",B344*1000000+C344))</f>
        <v/>
      </c>
      <c r="H344" s="14">
        <f>IF(G344="","",SUMIFS(Оплаты!$B$6:$B$505,Оплаты!$D$6:$D$505,A344,Оплаты!$A$6:$A$505,D344))</f>
        <v/>
      </c>
      <c r="I344">
        <f>IF(G344="","",SUMPRODUCT((((((D344+'По дням'!$K$6:$K$155-ABS(D344-'По дням'!$K$6:$K$155))-(C344+'По дням'!$J$6:$J$155+ABS(C344-'По дням'!$J$6:$J$155)))/2+1)&gt;0)*(((D344+'По дням'!$K$6:$K$155-ABS(D344-'По дням'!$K$6:$K$155))-(C344+'По дням'!$J$6:$J$155+ABS(C344-'По дням'!$J$6:$J$155)))/2+1)&gt;0)*1))</f>
        <v/>
      </c>
    </row>
    <row r="345">
      <c r="A345">
        <f>IF(AND(Оплаты!$E$337="ок",COUNTIFS(Акты!$B$5:$B$16,Оплаты!$D$337,Акты!$H$5:$H$16,"ок")&gt;0,COUNTIFS(Оплаты!$D$6:$D$336,Оплаты!$D$337,Оплаты!$A$6:$A$336,Оплаты!$A$337)=0),Оплаты!$D$337,"")</f>
        <v/>
      </c>
      <c r="B345">
        <f>IF(A345="","",MATCH(A345,Акты!$B$5:$B$16,0))</f>
        <v/>
      </c>
      <c r="C345" s="20">
        <f>IF(A345="","",Оплаты!$A$337+1)</f>
        <v/>
      </c>
      <c r="D345" s="20">
        <f>IF(A345="","",MIN(Ввод!$B$4,Ввод!$B$4+1-SUMPRODUCT(MAX((Оплаты!$D$6:$D$505=A345)*(Оплаты!$A$6:$A$505&gt;Оплаты!$A$337)*(Ввод!$B$4+1-Оплаты!$A$6:$A$505)))))</f>
        <v/>
      </c>
      <c r="E345" s="14">
        <f>IF(A345="","",INDEX(Акты!$D$5:$D$16,B345)-SUMIFS(Оплаты!$B$6:$B$505,Оплаты!$D$6:$D$505,A345,Оплаты!$A$6:$A$505,"&lt;="&amp;Оплаты!$A$337))</f>
        <v/>
      </c>
      <c r="F345" s="14">
        <f>IF(G345="","",SUMPRODUCT(ROUND(E345*'По дням'!$L$6:$L$155/100*((((D345+'По дням'!$K$6:$K$155-ABS(D345-'По дням'!$K$6:$K$155))-(C345+'По дням'!$J$6:$J$155+ABS(C345-'По дням'!$J$6:$J$155)))/2+1)&gt;0)*(((D345+'По дням'!$K$6:$K$155-ABS(D345-'По дням'!$K$6:$K$155))-(C345+'По дням'!$J$6:$J$155+ABS(C345-'По дням'!$J$6:$J$155)))/2+1)/'По дням'!$M$6:$M$155,2)*(1-'По дням'!$N$6:$N$155)))</f>
        <v/>
      </c>
      <c r="G345">
        <f>IF(A345="","",IF(C345&gt;D345,"",B345*1000000+C345))</f>
        <v/>
      </c>
      <c r="H345" s="14">
        <f>IF(G345="","",SUMIFS(Оплаты!$B$6:$B$505,Оплаты!$D$6:$D$505,A345,Оплаты!$A$6:$A$505,D345))</f>
        <v/>
      </c>
      <c r="I345">
        <f>IF(G345="","",SUMPRODUCT((((((D345+'По дням'!$K$6:$K$155-ABS(D345-'По дням'!$K$6:$K$155))-(C345+'По дням'!$J$6:$J$155+ABS(C345-'По дням'!$J$6:$J$155)))/2+1)&gt;0)*(((D345+'По дням'!$K$6:$K$155-ABS(D345-'По дням'!$K$6:$K$155))-(C345+'По дням'!$J$6:$J$155+ABS(C345-'По дням'!$J$6:$J$155)))/2+1)&gt;0)*1))</f>
        <v/>
      </c>
    </row>
    <row r="346">
      <c r="A346">
        <f>IF(AND(Оплаты!$E$338="ок",COUNTIFS(Акты!$B$5:$B$16,Оплаты!$D$338,Акты!$H$5:$H$16,"ок")&gt;0,COUNTIFS(Оплаты!$D$6:$D$337,Оплаты!$D$338,Оплаты!$A$6:$A$337,Оплаты!$A$338)=0),Оплаты!$D$338,"")</f>
        <v/>
      </c>
      <c r="B346">
        <f>IF(A346="","",MATCH(A346,Акты!$B$5:$B$16,0))</f>
        <v/>
      </c>
      <c r="C346" s="20">
        <f>IF(A346="","",Оплаты!$A$338+1)</f>
        <v/>
      </c>
      <c r="D346" s="20">
        <f>IF(A346="","",MIN(Ввод!$B$4,Ввод!$B$4+1-SUMPRODUCT(MAX((Оплаты!$D$6:$D$505=A346)*(Оплаты!$A$6:$A$505&gt;Оплаты!$A$338)*(Ввод!$B$4+1-Оплаты!$A$6:$A$505)))))</f>
        <v/>
      </c>
      <c r="E346" s="14">
        <f>IF(A346="","",INDEX(Акты!$D$5:$D$16,B346)-SUMIFS(Оплаты!$B$6:$B$505,Оплаты!$D$6:$D$505,A346,Оплаты!$A$6:$A$505,"&lt;="&amp;Оплаты!$A$338))</f>
        <v/>
      </c>
      <c r="F346" s="14">
        <f>IF(G346="","",SUMPRODUCT(ROUND(E346*'По дням'!$L$6:$L$155/100*((((D346+'По дням'!$K$6:$K$155-ABS(D346-'По дням'!$K$6:$K$155))-(C346+'По дням'!$J$6:$J$155+ABS(C346-'По дням'!$J$6:$J$155)))/2+1)&gt;0)*(((D346+'По дням'!$K$6:$K$155-ABS(D346-'По дням'!$K$6:$K$155))-(C346+'По дням'!$J$6:$J$155+ABS(C346-'По дням'!$J$6:$J$155)))/2+1)/'По дням'!$M$6:$M$155,2)*(1-'По дням'!$N$6:$N$155)))</f>
        <v/>
      </c>
      <c r="G346">
        <f>IF(A346="","",IF(C346&gt;D346,"",B346*1000000+C346))</f>
        <v/>
      </c>
      <c r="H346" s="14">
        <f>IF(G346="","",SUMIFS(Оплаты!$B$6:$B$505,Оплаты!$D$6:$D$505,A346,Оплаты!$A$6:$A$505,D346))</f>
        <v/>
      </c>
      <c r="I346">
        <f>IF(G346="","",SUMPRODUCT((((((D346+'По дням'!$K$6:$K$155-ABS(D346-'По дням'!$K$6:$K$155))-(C346+'По дням'!$J$6:$J$155+ABS(C346-'По дням'!$J$6:$J$155)))/2+1)&gt;0)*(((D346+'По дням'!$K$6:$K$155-ABS(D346-'По дням'!$K$6:$K$155))-(C346+'По дням'!$J$6:$J$155+ABS(C346-'По дням'!$J$6:$J$155)))/2+1)&gt;0)*1))</f>
        <v/>
      </c>
    </row>
    <row r="347">
      <c r="A347">
        <f>IF(AND(Оплаты!$E$339="ок",COUNTIFS(Акты!$B$5:$B$16,Оплаты!$D$339,Акты!$H$5:$H$16,"ок")&gt;0,COUNTIFS(Оплаты!$D$6:$D$338,Оплаты!$D$339,Оплаты!$A$6:$A$338,Оплаты!$A$339)=0),Оплаты!$D$339,"")</f>
        <v/>
      </c>
      <c r="B347">
        <f>IF(A347="","",MATCH(A347,Акты!$B$5:$B$16,0))</f>
        <v/>
      </c>
      <c r="C347" s="20">
        <f>IF(A347="","",Оплаты!$A$339+1)</f>
        <v/>
      </c>
      <c r="D347" s="20">
        <f>IF(A347="","",MIN(Ввод!$B$4,Ввод!$B$4+1-SUMPRODUCT(MAX((Оплаты!$D$6:$D$505=A347)*(Оплаты!$A$6:$A$505&gt;Оплаты!$A$339)*(Ввод!$B$4+1-Оплаты!$A$6:$A$505)))))</f>
        <v/>
      </c>
      <c r="E347" s="14">
        <f>IF(A347="","",INDEX(Акты!$D$5:$D$16,B347)-SUMIFS(Оплаты!$B$6:$B$505,Оплаты!$D$6:$D$505,A347,Оплаты!$A$6:$A$505,"&lt;="&amp;Оплаты!$A$339))</f>
        <v/>
      </c>
      <c r="F347" s="14">
        <f>IF(G347="","",SUMPRODUCT(ROUND(E347*'По дням'!$L$6:$L$155/100*((((D347+'По дням'!$K$6:$K$155-ABS(D347-'По дням'!$K$6:$K$155))-(C347+'По дням'!$J$6:$J$155+ABS(C347-'По дням'!$J$6:$J$155)))/2+1)&gt;0)*(((D347+'По дням'!$K$6:$K$155-ABS(D347-'По дням'!$K$6:$K$155))-(C347+'По дням'!$J$6:$J$155+ABS(C347-'По дням'!$J$6:$J$155)))/2+1)/'По дням'!$M$6:$M$155,2)*(1-'По дням'!$N$6:$N$155)))</f>
        <v/>
      </c>
      <c r="G347">
        <f>IF(A347="","",IF(C347&gt;D347,"",B347*1000000+C347))</f>
        <v/>
      </c>
      <c r="H347" s="14">
        <f>IF(G347="","",SUMIFS(Оплаты!$B$6:$B$505,Оплаты!$D$6:$D$505,A347,Оплаты!$A$6:$A$505,D347))</f>
        <v/>
      </c>
      <c r="I347">
        <f>IF(G347="","",SUMPRODUCT((((((D347+'По дням'!$K$6:$K$155-ABS(D347-'По дням'!$K$6:$K$155))-(C347+'По дням'!$J$6:$J$155+ABS(C347-'По дням'!$J$6:$J$155)))/2+1)&gt;0)*(((D347+'По дням'!$K$6:$K$155-ABS(D347-'По дням'!$K$6:$K$155))-(C347+'По дням'!$J$6:$J$155+ABS(C347-'По дням'!$J$6:$J$155)))/2+1)&gt;0)*1))</f>
        <v/>
      </c>
    </row>
    <row r="348">
      <c r="A348">
        <f>IF(AND(Оплаты!$E$340="ок",COUNTIFS(Акты!$B$5:$B$16,Оплаты!$D$340,Акты!$H$5:$H$16,"ок")&gt;0,COUNTIFS(Оплаты!$D$6:$D$339,Оплаты!$D$340,Оплаты!$A$6:$A$339,Оплаты!$A$340)=0),Оплаты!$D$340,"")</f>
        <v/>
      </c>
      <c r="B348">
        <f>IF(A348="","",MATCH(A348,Акты!$B$5:$B$16,0))</f>
        <v/>
      </c>
      <c r="C348" s="20">
        <f>IF(A348="","",Оплаты!$A$340+1)</f>
        <v/>
      </c>
      <c r="D348" s="20">
        <f>IF(A348="","",MIN(Ввод!$B$4,Ввод!$B$4+1-SUMPRODUCT(MAX((Оплаты!$D$6:$D$505=A348)*(Оплаты!$A$6:$A$505&gt;Оплаты!$A$340)*(Ввод!$B$4+1-Оплаты!$A$6:$A$505)))))</f>
        <v/>
      </c>
      <c r="E348" s="14">
        <f>IF(A348="","",INDEX(Акты!$D$5:$D$16,B348)-SUMIFS(Оплаты!$B$6:$B$505,Оплаты!$D$6:$D$505,A348,Оплаты!$A$6:$A$505,"&lt;="&amp;Оплаты!$A$340))</f>
        <v/>
      </c>
      <c r="F348" s="14">
        <f>IF(G348="","",SUMPRODUCT(ROUND(E348*'По дням'!$L$6:$L$155/100*((((D348+'По дням'!$K$6:$K$155-ABS(D348-'По дням'!$K$6:$K$155))-(C348+'По дням'!$J$6:$J$155+ABS(C348-'По дням'!$J$6:$J$155)))/2+1)&gt;0)*(((D348+'По дням'!$K$6:$K$155-ABS(D348-'По дням'!$K$6:$K$155))-(C348+'По дням'!$J$6:$J$155+ABS(C348-'По дням'!$J$6:$J$155)))/2+1)/'По дням'!$M$6:$M$155,2)*(1-'По дням'!$N$6:$N$155)))</f>
        <v/>
      </c>
      <c r="G348">
        <f>IF(A348="","",IF(C348&gt;D348,"",B348*1000000+C348))</f>
        <v/>
      </c>
      <c r="H348" s="14">
        <f>IF(G348="","",SUMIFS(Оплаты!$B$6:$B$505,Оплаты!$D$6:$D$505,A348,Оплаты!$A$6:$A$505,D348))</f>
        <v/>
      </c>
      <c r="I348">
        <f>IF(G348="","",SUMPRODUCT((((((D348+'По дням'!$K$6:$K$155-ABS(D348-'По дням'!$K$6:$K$155))-(C348+'По дням'!$J$6:$J$155+ABS(C348-'По дням'!$J$6:$J$155)))/2+1)&gt;0)*(((D348+'По дням'!$K$6:$K$155-ABS(D348-'По дням'!$K$6:$K$155))-(C348+'По дням'!$J$6:$J$155+ABS(C348-'По дням'!$J$6:$J$155)))/2+1)&gt;0)*1))</f>
        <v/>
      </c>
    </row>
    <row r="349">
      <c r="A349">
        <f>IF(AND(Оплаты!$E$341="ок",COUNTIFS(Акты!$B$5:$B$16,Оплаты!$D$341,Акты!$H$5:$H$16,"ок")&gt;0,COUNTIFS(Оплаты!$D$6:$D$340,Оплаты!$D$341,Оплаты!$A$6:$A$340,Оплаты!$A$341)=0),Оплаты!$D$341,"")</f>
        <v/>
      </c>
      <c r="B349">
        <f>IF(A349="","",MATCH(A349,Акты!$B$5:$B$16,0))</f>
        <v/>
      </c>
      <c r="C349" s="20">
        <f>IF(A349="","",Оплаты!$A$341+1)</f>
        <v/>
      </c>
      <c r="D349" s="20">
        <f>IF(A349="","",MIN(Ввод!$B$4,Ввод!$B$4+1-SUMPRODUCT(MAX((Оплаты!$D$6:$D$505=A349)*(Оплаты!$A$6:$A$505&gt;Оплаты!$A$341)*(Ввод!$B$4+1-Оплаты!$A$6:$A$505)))))</f>
        <v/>
      </c>
      <c r="E349" s="14">
        <f>IF(A349="","",INDEX(Акты!$D$5:$D$16,B349)-SUMIFS(Оплаты!$B$6:$B$505,Оплаты!$D$6:$D$505,A349,Оплаты!$A$6:$A$505,"&lt;="&amp;Оплаты!$A$341))</f>
        <v/>
      </c>
      <c r="F349" s="14">
        <f>IF(G349="","",SUMPRODUCT(ROUND(E349*'По дням'!$L$6:$L$155/100*((((D349+'По дням'!$K$6:$K$155-ABS(D349-'По дням'!$K$6:$K$155))-(C349+'По дням'!$J$6:$J$155+ABS(C349-'По дням'!$J$6:$J$155)))/2+1)&gt;0)*(((D349+'По дням'!$K$6:$K$155-ABS(D349-'По дням'!$K$6:$K$155))-(C349+'По дням'!$J$6:$J$155+ABS(C349-'По дням'!$J$6:$J$155)))/2+1)/'По дням'!$M$6:$M$155,2)*(1-'По дням'!$N$6:$N$155)))</f>
        <v/>
      </c>
      <c r="G349">
        <f>IF(A349="","",IF(C349&gt;D349,"",B349*1000000+C349))</f>
        <v/>
      </c>
      <c r="H349" s="14">
        <f>IF(G349="","",SUMIFS(Оплаты!$B$6:$B$505,Оплаты!$D$6:$D$505,A349,Оплаты!$A$6:$A$505,D349))</f>
        <v/>
      </c>
      <c r="I349">
        <f>IF(G349="","",SUMPRODUCT((((((D349+'По дням'!$K$6:$K$155-ABS(D349-'По дням'!$K$6:$K$155))-(C349+'По дням'!$J$6:$J$155+ABS(C349-'По дням'!$J$6:$J$155)))/2+1)&gt;0)*(((D349+'По дням'!$K$6:$K$155-ABS(D349-'По дням'!$K$6:$K$155))-(C349+'По дням'!$J$6:$J$155+ABS(C349-'По дням'!$J$6:$J$155)))/2+1)&gt;0)*1))</f>
        <v/>
      </c>
    </row>
    <row r="350">
      <c r="A350">
        <f>IF(AND(Оплаты!$E$342="ок",COUNTIFS(Акты!$B$5:$B$16,Оплаты!$D$342,Акты!$H$5:$H$16,"ок")&gt;0,COUNTIFS(Оплаты!$D$6:$D$341,Оплаты!$D$342,Оплаты!$A$6:$A$341,Оплаты!$A$342)=0),Оплаты!$D$342,"")</f>
        <v/>
      </c>
      <c r="B350">
        <f>IF(A350="","",MATCH(A350,Акты!$B$5:$B$16,0))</f>
        <v/>
      </c>
      <c r="C350" s="20">
        <f>IF(A350="","",Оплаты!$A$342+1)</f>
        <v/>
      </c>
      <c r="D350" s="20">
        <f>IF(A350="","",MIN(Ввод!$B$4,Ввод!$B$4+1-SUMPRODUCT(MAX((Оплаты!$D$6:$D$505=A350)*(Оплаты!$A$6:$A$505&gt;Оплаты!$A$342)*(Ввод!$B$4+1-Оплаты!$A$6:$A$505)))))</f>
        <v/>
      </c>
      <c r="E350" s="14">
        <f>IF(A350="","",INDEX(Акты!$D$5:$D$16,B350)-SUMIFS(Оплаты!$B$6:$B$505,Оплаты!$D$6:$D$505,A350,Оплаты!$A$6:$A$505,"&lt;="&amp;Оплаты!$A$342))</f>
        <v/>
      </c>
      <c r="F350" s="14">
        <f>IF(G350="","",SUMPRODUCT(ROUND(E350*'По дням'!$L$6:$L$155/100*((((D350+'По дням'!$K$6:$K$155-ABS(D350-'По дням'!$K$6:$K$155))-(C350+'По дням'!$J$6:$J$155+ABS(C350-'По дням'!$J$6:$J$155)))/2+1)&gt;0)*(((D350+'По дням'!$K$6:$K$155-ABS(D350-'По дням'!$K$6:$K$155))-(C350+'По дням'!$J$6:$J$155+ABS(C350-'По дням'!$J$6:$J$155)))/2+1)/'По дням'!$M$6:$M$155,2)*(1-'По дням'!$N$6:$N$155)))</f>
        <v/>
      </c>
      <c r="G350">
        <f>IF(A350="","",IF(C350&gt;D350,"",B350*1000000+C350))</f>
        <v/>
      </c>
      <c r="H350" s="14">
        <f>IF(G350="","",SUMIFS(Оплаты!$B$6:$B$505,Оплаты!$D$6:$D$505,A350,Оплаты!$A$6:$A$505,D350))</f>
        <v/>
      </c>
      <c r="I350">
        <f>IF(G350="","",SUMPRODUCT((((((D350+'По дням'!$K$6:$K$155-ABS(D350-'По дням'!$K$6:$K$155))-(C350+'По дням'!$J$6:$J$155+ABS(C350-'По дням'!$J$6:$J$155)))/2+1)&gt;0)*(((D350+'По дням'!$K$6:$K$155-ABS(D350-'По дням'!$K$6:$K$155))-(C350+'По дням'!$J$6:$J$155+ABS(C350-'По дням'!$J$6:$J$155)))/2+1)&gt;0)*1))</f>
        <v/>
      </c>
    </row>
    <row r="351">
      <c r="A351">
        <f>IF(AND(Оплаты!$E$343="ок",COUNTIFS(Акты!$B$5:$B$16,Оплаты!$D$343,Акты!$H$5:$H$16,"ок")&gt;0,COUNTIFS(Оплаты!$D$6:$D$342,Оплаты!$D$343,Оплаты!$A$6:$A$342,Оплаты!$A$343)=0),Оплаты!$D$343,"")</f>
        <v/>
      </c>
      <c r="B351">
        <f>IF(A351="","",MATCH(A351,Акты!$B$5:$B$16,0))</f>
        <v/>
      </c>
      <c r="C351" s="20">
        <f>IF(A351="","",Оплаты!$A$343+1)</f>
        <v/>
      </c>
      <c r="D351" s="20">
        <f>IF(A351="","",MIN(Ввод!$B$4,Ввод!$B$4+1-SUMPRODUCT(MAX((Оплаты!$D$6:$D$505=A351)*(Оплаты!$A$6:$A$505&gt;Оплаты!$A$343)*(Ввод!$B$4+1-Оплаты!$A$6:$A$505)))))</f>
        <v/>
      </c>
      <c r="E351" s="14">
        <f>IF(A351="","",INDEX(Акты!$D$5:$D$16,B351)-SUMIFS(Оплаты!$B$6:$B$505,Оплаты!$D$6:$D$505,A351,Оплаты!$A$6:$A$505,"&lt;="&amp;Оплаты!$A$343))</f>
        <v/>
      </c>
      <c r="F351" s="14">
        <f>IF(G351="","",SUMPRODUCT(ROUND(E351*'По дням'!$L$6:$L$155/100*((((D351+'По дням'!$K$6:$K$155-ABS(D351-'По дням'!$K$6:$K$155))-(C351+'По дням'!$J$6:$J$155+ABS(C351-'По дням'!$J$6:$J$155)))/2+1)&gt;0)*(((D351+'По дням'!$K$6:$K$155-ABS(D351-'По дням'!$K$6:$K$155))-(C351+'По дням'!$J$6:$J$155+ABS(C351-'По дням'!$J$6:$J$155)))/2+1)/'По дням'!$M$6:$M$155,2)*(1-'По дням'!$N$6:$N$155)))</f>
        <v/>
      </c>
      <c r="G351">
        <f>IF(A351="","",IF(C351&gt;D351,"",B351*1000000+C351))</f>
        <v/>
      </c>
      <c r="H351" s="14">
        <f>IF(G351="","",SUMIFS(Оплаты!$B$6:$B$505,Оплаты!$D$6:$D$505,A351,Оплаты!$A$6:$A$505,D351))</f>
        <v/>
      </c>
      <c r="I351">
        <f>IF(G351="","",SUMPRODUCT((((((D351+'По дням'!$K$6:$K$155-ABS(D351-'По дням'!$K$6:$K$155))-(C351+'По дням'!$J$6:$J$155+ABS(C351-'По дням'!$J$6:$J$155)))/2+1)&gt;0)*(((D351+'По дням'!$K$6:$K$155-ABS(D351-'По дням'!$K$6:$K$155))-(C351+'По дням'!$J$6:$J$155+ABS(C351-'По дням'!$J$6:$J$155)))/2+1)&gt;0)*1))</f>
        <v/>
      </c>
    </row>
    <row r="352">
      <c r="A352">
        <f>IF(AND(Оплаты!$E$344="ок",COUNTIFS(Акты!$B$5:$B$16,Оплаты!$D$344,Акты!$H$5:$H$16,"ок")&gt;0,COUNTIFS(Оплаты!$D$6:$D$343,Оплаты!$D$344,Оплаты!$A$6:$A$343,Оплаты!$A$344)=0),Оплаты!$D$344,"")</f>
        <v/>
      </c>
      <c r="B352">
        <f>IF(A352="","",MATCH(A352,Акты!$B$5:$B$16,0))</f>
        <v/>
      </c>
      <c r="C352" s="20">
        <f>IF(A352="","",Оплаты!$A$344+1)</f>
        <v/>
      </c>
      <c r="D352" s="20">
        <f>IF(A352="","",MIN(Ввод!$B$4,Ввод!$B$4+1-SUMPRODUCT(MAX((Оплаты!$D$6:$D$505=A352)*(Оплаты!$A$6:$A$505&gt;Оплаты!$A$344)*(Ввод!$B$4+1-Оплаты!$A$6:$A$505)))))</f>
        <v/>
      </c>
      <c r="E352" s="14">
        <f>IF(A352="","",INDEX(Акты!$D$5:$D$16,B352)-SUMIFS(Оплаты!$B$6:$B$505,Оплаты!$D$6:$D$505,A352,Оплаты!$A$6:$A$505,"&lt;="&amp;Оплаты!$A$344))</f>
        <v/>
      </c>
      <c r="F352" s="14">
        <f>IF(G352="","",SUMPRODUCT(ROUND(E352*'По дням'!$L$6:$L$155/100*((((D352+'По дням'!$K$6:$K$155-ABS(D352-'По дням'!$K$6:$K$155))-(C352+'По дням'!$J$6:$J$155+ABS(C352-'По дням'!$J$6:$J$155)))/2+1)&gt;0)*(((D352+'По дням'!$K$6:$K$155-ABS(D352-'По дням'!$K$6:$K$155))-(C352+'По дням'!$J$6:$J$155+ABS(C352-'По дням'!$J$6:$J$155)))/2+1)/'По дням'!$M$6:$M$155,2)*(1-'По дням'!$N$6:$N$155)))</f>
        <v/>
      </c>
      <c r="G352">
        <f>IF(A352="","",IF(C352&gt;D352,"",B352*1000000+C352))</f>
        <v/>
      </c>
      <c r="H352" s="14">
        <f>IF(G352="","",SUMIFS(Оплаты!$B$6:$B$505,Оплаты!$D$6:$D$505,A352,Оплаты!$A$6:$A$505,D352))</f>
        <v/>
      </c>
      <c r="I352">
        <f>IF(G352="","",SUMPRODUCT((((((D352+'По дням'!$K$6:$K$155-ABS(D352-'По дням'!$K$6:$K$155))-(C352+'По дням'!$J$6:$J$155+ABS(C352-'По дням'!$J$6:$J$155)))/2+1)&gt;0)*(((D352+'По дням'!$K$6:$K$155-ABS(D352-'По дням'!$K$6:$K$155))-(C352+'По дням'!$J$6:$J$155+ABS(C352-'По дням'!$J$6:$J$155)))/2+1)&gt;0)*1))</f>
        <v/>
      </c>
    </row>
    <row r="353">
      <c r="A353">
        <f>IF(AND(Оплаты!$E$345="ок",COUNTIFS(Акты!$B$5:$B$16,Оплаты!$D$345,Акты!$H$5:$H$16,"ок")&gt;0,COUNTIFS(Оплаты!$D$6:$D$344,Оплаты!$D$345,Оплаты!$A$6:$A$344,Оплаты!$A$345)=0),Оплаты!$D$345,"")</f>
        <v/>
      </c>
      <c r="B353">
        <f>IF(A353="","",MATCH(A353,Акты!$B$5:$B$16,0))</f>
        <v/>
      </c>
      <c r="C353" s="20">
        <f>IF(A353="","",Оплаты!$A$345+1)</f>
        <v/>
      </c>
      <c r="D353" s="20">
        <f>IF(A353="","",MIN(Ввод!$B$4,Ввод!$B$4+1-SUMPRODUCT(MAX((Оплаты!$D$6:$D$505=A353)*(Оплаты!$A$6:$A$505&gt;Оплаты!$A$345)*(Ввод!$B$4+1-Оплаты!$A$6:$A$505)))))</f>
        <v/>
      </c>
      <c r="E353" s="14">
        <f>IF(A353="","",INDEX(Акты!$D$5:$D$16,B353)-SUMIFS(Оплаты!$B$6:$B$505,Оплаты!$D$6:$D$505,A353,Оплаты!$A$6:$A$505,"&lt;="&amp;Оплаты!$A$345))</f>
        <v/>
      </c>
      <c r="F353" s="14">
        <f>IF(G353="","",SUMPRODUCT(ROUND(E353*'По дням'!$L$6:$L$155/100*((((D353+'По дням'!$K$6:$K$155-ABS(D353-'По дням'!$K$6:$K$155))-(C353+'По дням'!$J$6:$J$155+ABS(C353-'По дням'!$J$6:$J$155)))/2+1)&gt;0)*(((D353+'По дням'!$K$6:$K$155-ABS(D353-'По дням'!$K$6:$K$155))-(C353+'По дням'!$J$6:$J$155+ABS(C353-'По дням'!$J$6:$J$155)))/2+1)/'По дням'!$M$6:$M$155,2)*(1-'По дням'!$N$6:$N$155)))</f>
        <v/>
      </c>
      <c r="G353">
        <f>IF(A353="","",IF(C353&gt;D353,"",B353*1000000+C353))</f>
        <v/>
      </c>
      <c r="H353" s="14">
        <f>IF(G353="","",SUMIFS(Оплаты!$B$6:$B$505,Оплаты!$D$6:$D$505,A353,Оплаты!$A$6:$A$505,D353))</f>
        <v/>
      </c>
      <c r="I353">
        <f>IF(G353="","",SUMPRODUCT((((((D353+'По дням'!$K$6:$K$155-ABS(D353-'По дням'!$K$6:$K$155))-(C353+'По дням'!$J$6:$J$155+ABS(C353-'По дням'!$J$6:$J$155)))/2+1)&gt;0)*(((D353+'По дням'!$K$6:$K$155-ABS(D353-'По дням'!$K$6:$K$155))-(C353+'По дням'!$J$6:$J$155+ABS(C353-'По дням'!$J$6:$J$155)))/2+1)&gt;0)*1))</f>
        <v/>
      </c>
    </row>
    <row r="354">
      <c r="A354">
        <f>IF(AND(Оплаты!$E$346="ок",COUNTIFS(Акты!$B$5:$B$16,Оплаты!$D$346,Акты!$H$5:$H$16,"ок")&gt;0,COUNTIFS(Оплаты!$D$6:$D$345,Оплаты!$D$346,Оплаты!$A$6:$A$345,Оплаты!$A$346)=0),Оплаты!$D$346,"")</f>
        <v/>
      </c>
      <c r="B354">
        <f>IF(A354="","",MATCH(A354,Акты!$B$5:$B$16,0))</f>
        <v/>
      </c>
      <c r="C354" s="20">
        <f>IF(A354="","",Оплаты!$A$346+1)</f>
        <v/>
      </c>
      <c r="D354" s="20">
        <f>IF(A354="","",MIN(Ввод!$B$4,Ввод!$B$4+1-SUMPRODUCT(MAX((Оплаты!$D$6:$D$505=A354)*(Оплаты!$A$6:$A$505&gt;Оплаты!$A$346)*(Ввод!$B$4+1-Оплаты!$A$6:$A$505)))))</f>
        <v/>
      </c>
      <c r="E354" s="14">
        <f>IF(A354="","",INDEX(Акты!$D$5:$D$16,B354)-SUMIFS(Оплаты!$B$6:$B$505,Оплаты!$D$6:$D$505,A354,Оплаты!$A$6:$A$505,"&lt;="&amp;Оплаты!$A$346))</f>
        <v/>
      </c>
      <c r="F354" s="14">
        <f>IF(G354="","",SUMPRODUCT(ROUND(E354*'По дням'!$L$6:$L$155/100*((((D354+'По дням'!$K$6:$K$155-ABS(D354-'По дням'!$K$6:$K$155))-(C354+'По дням'!$J$6:$J$155+ABS(C354-'По дням'!$J$6:$J$155)))/2+1)&gt;0)*(((D354+'По дням'!$K$6:$K$155-ABS(D354-'По дням'!$K$6:$K$155))-(C354+'По дням'!$J$6:$J$155+ABS(C354-'По дням'!$J$6:$J$155)))/2+1)/'По дням'!$M$6:$M$155,2)*(1-'По дням'!$N$6:$N$155)))</f>
        <v/>
      </c>
      <c r="G354">
        <f>IF(A354="","",IF(C354&gt;D354,"",B354*1000000+C354))</f>
        <v/>
      </c>
      <c r="H354" s="14">
        <f>IF(G354="","",SUMIFS(Оплаты!$B$6:$B$505,Оплаты!$D$6:$D$505,A354,Оплаты!$A$6:$A$505,D354))</f>
        <v/>
      </c>
      <c r="I354">
        <f>IF(G354="","",SUMPRODUCT((((((D354+'По дням'!$K$6:$K$155-ABS(D354-'По дням'!$K$6:$K$155))-(C354+'По дням'!$J$6:$J$155+ABS(C354-'По дням'!$J$6:$J$155)))/2+1)&gt;0)*(((D354+'По дням'!$K$6:$K$155-ABS(D354-'По дням'!$K$6:$K$155))-(C354+'По дням'!$J$6:$J$155+ABS(C354-'По дням'!$J$6:$J$155)))/2+1)&gt;0)*1))</f>
        <v/>
      </c>
    </row>
    <row r="355">
      <c r="A355">
        <f>IF(AND(Оплаты!$E$347="ок",COUNTIFS(Акты!$B$5:$B$16,Оплаты!$D$347,Акты!$H$5:$H$16,"ок")&gt;0,COUNTIFS(Оплаты!$D$6:$D$346,Оплаты!$D$347,Оплаты!$A$6:$A$346,Оплаты!$A$347)=0),Оплаты!$D$347,"")</f>
        <v/>
      </c>
      <c r="B355">
        <f>IF(A355="","",MATCH(A355,Акты!$B$5:$B$16,0))</f>
        <v/>
      </c>
      <c r="C355" s="20">
        <f>IF(A355="","",Оплаты!$A$347+1)</f>
        <v/>
      </c>
      <c r="D355" s="20">
        <f>IF(A355="","",MIN(Ввод!$B$4,Ввод!$B$4+1-SUMPRODUCT(MAX((Оплаты!$D$6:$D$505=A355)*(Оплаты!$A$6:$A$505&gt;Оплаты!$A$347)*(Ввод!$B$4+1-Оплаты!$A$6:$A$505)))))</f>
        <v/>
      </c>
      <c r="E355" s="14">
        <f>IF(A355="","",INDEX(Акты!$D$5:$D$16,B355)-SUMIFS(Оплаты!$B$6:$B$505,Оплаты!$D$6:$D$505,A355,Оплаты!$A$6:$A$505,"&lt;="&amp;Оплаты!$A$347))</f>
        <v/>
      </c>
      <c r="F355" s="14">
        <f>IF(G355="","",SUMPRODUCT(ROUND(E355*'По дням'!$L$6:$L$155/100*((((D355+'По дням'!$K$6:$K$155-ABS(D355-'По дням'!$K$6:$K$155))-(C355+'По дням'!$J$6:$J$155+ABS(C355-'По дням'!$J$6:$J$155)))/2+1)&gt;0)*(((D355+'По дням'!$K$6:$K$155-ABS(D355-'По дням'!$K$6:$K$155))-(C355+'По дням'!$J$6:$J$155+ABS(C355-'По дням'!$J$6:$J$155)))/2+1)/'По дням'!$M$6:$M$155,2)*(1-'По дням'!$N$6:$N$155)))</f>
        <v/>
      </c>
      <c r="G355">
        <f>IF(A355="","",IF(C355&gt;D355,"",B355*1000000+C355))</f>
        <v/>
      </c>
      <c r="H355" s="14">
        <f>IF(G355="","",SUMIFS(Оплаты!$B$6:$B$505,Оплаты!$D$6:$D$505,A355,Оплаты!$A$6:$A$505,D355))</f>
        <v/>
      </c>
      <c r="I355">
        <f>IF(G355="","",SUMPRODUCT((((((D355+'По дням'!$K$6:$K$155-ABS(D355-'По дням'!$K$6:$K$155))-(C355+'По дням'!$J$6:$J$155+ABS(C355-'По дням'!$J$6:$J$155)))/2+1)&gt;0)*(((D355+'По дням'!$K$6:$K$155-ABS(D355-'По дням'!$K$6:$K$155))-(C355+'По дням'!$J$6:$J$155+ABS(C355-'По дням'!$J$6:$J$155)))/2+1)&gt;0)*1))</f>
        <v/>
      </c>
    </row>
    <row r="356">
      <c r="A356">
        <f>IF(AND(Оплаты!$E$348="ок",COUNTIFS(Акты!$B$5:$B$16,Оплаты!$D$348,Акты!$H$5:$H$16,"ок")&gt;0,COUNTIFS(Оплаты!$D$6:$D$347,Оплаты!$D$348,Оплаты!$A$6:$A$347,Оплаты!$A$348)=0),Оплаты!$D$348,"")</f>
        <v/>
      </c>
      <c r="B356">
        <f>IF(A356="","",MATCH(A356,Акты!$B$5:$B$16,0))</f>
        <v/>
      </c>
      <c r="C356" s="20">
        <f>IF(A356="","",Оплаты!$A$348+1)</f>
        <v/>
      </c>
      <c r="D356" s="20">
        <f>IF(A356="","",MIN(Ввод!$B$4,Ввод!$B$4+1-SUMPRODUCT(MAX((Оплаты!$D$6:$D$505=A356)*(Оплаты!$A$6:$A$505&gt;Оплаты!$A$348)*(Ввод!$B$4+1-Оплаты!$A$6:$A$505)))))</f>
        <v/>
      </c>
      <c r="E356" s="14">
        <f>IF(A356="","",INDEX(Акты!$D$5:$D$16,B356)-SUMIFS(Оплаты!$B$6:$B$505,Оплаты!$D$6:$D$505,A356,Оплаты!$A$6:$A$505,"&lt;="&amp;Оплаты!$A$348))</f>
        <v/>
      </c>
      <c r="F356" s="14">
        <f>IF(G356="","",SUMPRODUCT(ROUND(E356*'По дням'!$L$6:$L$155/100*((((D356+'По дням'!$K$6:$K$155-ABS(D356-'По дням'!$K$6:$K$155))-(C356+'По дням'!$J$6:$J$155+ABS(C356-'По дням'!$J$6:$J$155)))/2+1)&gt;0)*(((D356+'По дням'!$K$6:$K$155-ABS(D356-'По дням'!$K$6:$K$155))-(C356+'По дням'!$J$6:$J$155+ABS(C356-'По дням'!$J$6:$J$155)))/2+1)/'По дням'!$M$6:$M$155,2)*(1-'По дням'!$N$6:$N$155)))</f>
        <v/>
      </c>
      <c r="G356">
        <f>IF(A356="","",IF(C356&gt;D356,"",B356*1000000+C356))</f>
        <v/>
      </c>
      <c r="H356" s="14">
        <f>IF(G356="","",SUMIFS(Оплаты!$B$6:$B$505,Оплаты!$D$6:$D$505,A356,Оплаты!$A$6:$A$505,D356))</f>
        <v/>
      </c>
      <c r="I356">
        <f>IF(G356="","",SUMPRODUCT((((((D356+'По дням'!$K$6:$K$155-ABS(D356-'По дням'!$K$6:$K$155))-(C356+'По дням'!$J$6:$J$155+ABS(C356-'По дням'!$J$6:$J$155)))/2+1)&gt;0)*(((D356+'По дням'!$K$6:$K$155-ABS(D356-'По дням'!$K$6:$K$155))-(C356+'По дням'!$J$6:$J$155+ABS(C356-'По дням'!$J$6:$J$155)))/2+1)&gt;0)*1))</f>
        <v/>
      </c>
    </row>
    <row r="357">
      <c r="A357">
        <f>IF(AND(Оплаты!$E$349="ок",COUNTIFS(Акты!$B$5:$B$16,Оплаты!$D$349,Акты!$H$5:$H$16,"ок")&gt;0,COUNTIFS(Оплаты!$D$6:$D$348,Оплаты!$D$349,Оплаты!$A$6:$A$348,Оплаты!$A$349)=0),Оплаты!$D$349,"")</f>
        <v/>
      </c>
      <c r="B357">
        <f>IF(A357="","",MATCH(A357,Акты!$B$5:$B$16,0))</f>
        <v/>
      </c>
      <c r="C357" s="20">
        <f>IF(A357="","",Оплаты!$A$349+1)</f>
        <v/>
      </c>
      <c r="D357" s="20">
        <f>IF(A357="","",MIN(Ввод!$B$4,Ввод!$B$4+1-SUMPRODUCT(MAX((Оплаты!$D$6:$D$505=A357)*(Оплаты!$A$6:$A$505&gt;Оплаты!$A$349)*(Ввод!$B$4+1-Оплаты!$A$6:$A$505)))))</f>
        <v/>
      </c>
      <c r="E357" s="14">
        <f>IF(A357="","",INDEX(Акты!$D$5:$D$16,B357)-SUMIFS(Оплаты!$B$6:$B$505,Оплаты!$D$6:$D$505,A357,Оплаты!$A$6:$A$505,"&lt;="&amp;Оплаты!$A$349))</f>
        <v/>
      </c>
      <c r="F357" s="14">
        <f>IF(G357="","",SUMPRODUCT(ROUND(E357*'По дням'!$L$6:$L$155/100*((((D357+'По дням'!$K$6:$K$155-ABS(D357-'По дням'!$K$6:$K$155))-(C357+'По дням'!$J$6:$J$155+ABS(C357-'По дням'!$J$6:$J$155)))/2+1)&gt;0)*(((D357+'По дням'!$K$6:$K$155-ABS(D357-'По дням'!$K$6:$K$155))-(C357+'По дням'!$J$6:$J$155+ABS(C357-'По дням'!$J$6:$J$155)))/2+1)/'По дням'!$M$6:$M$155,2)*(1-'По дням'!$N$6:$N$155)))</f>
        <v/>
      </c>
      <c r="G357">
        <f>IF(A357="","",IF(C357&gt;D357,"",B357*1000000+C357))</f>
        <v/>
      </c>
      <c r="H357" s="14">
        <f>IF(G357="","",SUMIFS(Оплаты!$B$6:$B$505,Оплаты!$D$6:$D$505,A357,Оплаты!$A$6:$A$505,D357))</f>
        <v/>
      </c>
      <c r="I357">
        <f>IF(G357="","",SUMPRODUCT((((((D357+'По дням'!$K$6:$K$155-ABS(D357-'По дням'!$K$6:$K$155))-(C357+'По дням'!$J$6:$J$155+ABS(C357-'По дням'!$J$6:$J$155)))/2+1)&gt;0)*(((D357+'По дням'!$K$6:$K$155-ABS(D357-'По дням'!$K$6:$K$155))-(C357+'По дням'!$J$6:$J$155+ABS(C357-'По дням'!$J$6:$J$155)))/2+1)&gt;0)*1))</f>
        <v/>
      </c>
    </row>
    <row r="358">
      <c r="A358">
        <f>IF(AND(Оплаты!$E$350="ок",COUNTIFS(Акты!$B$5:$B$16,Оплаты!$D$350,Акты!$H$5:$H$16,"ок")&gt;0,COUNTIFS(Оплаты!$D$6:$D$349,Оплаты!$D$350,Оплаты!$A$6:$A$349,Оплаты!$A$350)=0),Оплаты!$D$350,"")</f>
        <v/>
      </c>
      <c r="B358">
        <f>IF(A358="","",MATCH(A358,Акты!$B$5:$B$16,0))</f>
        <v/>
      </c>
      <c r="C358" s="20">
        <f>IF(A358="","",Оплаты!$A$350+1)</f>
        <v/>
      </c>
      <c r="D358" s="20">
        <f>IF(A358="","",MIN(Ввод!$B$4,Ввод!$B$4+1-SUMPRODUCT(MAX((Оплаты!$D$6:$D$505=A358)*(Оплаты!$A$6:$A$505&gt;Оплаты!$A$350)*(Ввод!$B$4+1-Оплаты!$A$6:$A$505)))))</f>
        <v/>
      </c>
      <c r="E358" s="14">
        <f>IF(A358="","",INDEX(Акты!$D$5:$D$16,B358)-SUMIFS(Оплаты!$B$6:$B$505,Оплаты!$D$6:$D$505,A358,Оплаты!$A$6:$A$505,"&lt;="&amp;Оплаты!$A$350))</f>
        <v/>
      </c>
      <c r="F358" s="14">
        <f>IF(G358="","",SUMPRODUCT(ROUND(E358*'По дням'!$L$6:$L$155/100*((((D358+'По дням'!$K$6:$K$155-ABS(D358-'По дням'!$K$6:$K$155))-(C358+'По дням'!$J$6:$J$155+ABS(C358-'По дням'!$J$6:$J$155)))/2+1)&gt;0)*(((D358+'По дням'!$K$6:$K$155-ABS(D358-'По дням'!$K$6:$K$155))-(C358+'По дням'!$J$6:$J$155+ABS(C358-'По дням'!$J$6:$J$155)))/2+1)/'По дням'!$M$6:$M$155,2)*(1-'По дням'!$N$6:$N$155)))</f>
        <v/>
      </c>
      <c r="G358">
        <f>IF(A358="","",IF(C358&gt;D358,"",B358*1000000+C358))</f>
        <v/>
      </c>
      <c r="H358" s="14">
        <f>IF(G358="","",SUMIFS(Оплаты!$B$6:$B$505,Оплаты!$D$6:$D$505,A358,Оплаты!$A$6:$A$505,D358))</f>
        <v/>
      </c>
      <c r="I358">
        <f>IF(G358="","",SUMPRODUCT((((((D358+'По дням'!$K$6:$K$155-ABS(D358-'По дням'!$K$6:$K$155))-(C358+'По дням'!$J$6:$J$155+ABS(C358-'По дням'!$J$6:$J$155)))/2+1)&gt;0)*(((D358+'По дням'!$K$6:$K$155-ABS(D358-'По дням'!$K$6:$K$155))-(C358+'По дням'!$J$6:$J$155+ABS(C358-'По дням'!$J$6:$J$155)))/2+1)&gt;0)*1))</f>
        <v/>
      </c>
    </row>
    <row r="359">
      <c r="A359">
        <f>IF(AND(Оплаты!$E$351="ок",COUNTIFS(Акты!$B$5:$B$16,Оплаты!$D$351,Акты!$H$5:$H$16,"ок")&gt;0,COUNTIFS(Оплаты!$D$6:$D$350,Оплаты!$D$351,Оплаты!$A$6:$A$350,Оплаты!$A$351)=0),Оплаты!$D$351,"")</f>
        <v/>
      </c>
      <c r="B359">
        <f>IF(A359="","",MATCH(A359,Акты!$B$5:$B$16,0))</f>
        <v/>
      </c>
      <c r="C359" s="20">
        <f>IF(A359="","",Оплаты!$A$351+1)</f>
        <v/>
      </c>
      <c r="D359" s="20">
        <f>IF(A359="","",MIN(Ввод!$B$4,Ввод!$B$4+1-SUMPRODUCT(MAX((Оплаты!$D$6:$D$505=A359)*(Оплаты!$A$6:$A$505&gt;Оплаты!$A$351)*(Ввод!$B$4+1-Оплаты!$A$6:$A$505)))))</f>
        <v/>
      </c>
      <c r="E359" s="14">
        <f>IF(A359="","",INDEX(Акты!$D$5:$D$16,B359)-SUMIFS(Оплаты!$B$6:$B$505,Оплаты!$D$6:$D$505,A359,Оплаты!$A$6:$A$505,"&lt;="&amp;Оплаты!$A$351))</f>
        <v/>
      </c>
      <c r="F359" s="14">
        <f>IF(G359="","",SUMPRODUCT(ROUND(E359*'По дням'!$L$6:$L$155/100*((((D359+'По дням'!$K$6:$K$155-ABS(D359-'По дням'!$K$6:$K$155))-(C359+'По дням'!$J$6:$J$155+ABS(C359-'По дням'!$J$6:$J$155)))/2+1)&gt;0)*(((D359+'По дням'!$K$6:$K$155-ABS(D359-'По дням'!$K$6:$K$155))-(C359+'По дням'!$J$6:$J$155+ABS(C359-'По дням'!$J$6:$J$155)))/2+1)/'По дням'!$M$6:$M$155,2)*(1-'По дням'!$N$6:$N$155)))</f>
        <v/>
      </c>
      <c r="G359">
        <f>IF(A359="","",IF(C359&gt;D359,"",B359*1000000+C359))</f>
        <v/>
      </c>
      <c r="H359" s="14">
        <f>IF(G359="","",SUMIFS(Оплаты!$B$6:$B$505,Оплаты!$D$6:$D$505,A359,Оплаты!$A$6:$A$505,D359))</f>
        <v/>
      </c>
      <c r="I359">
        <f>IF(G359="","",SUMPRODUCT((((((D359+'По дням'!$K$6:$K$155-ABS(D359-'По дням'!$K$6:$K$155))-(C359+'По дням'!$J$6:$J$155+ABS(C359-'По дням'!$J$6:$J$155)))/2+1)&gt;0)*(((D359+'По дням'!$K$6:$K$155-ABS(D359-'По дням'!$K$6:$K$155))-(C359+'По дням'!$J$6:$J$155+ABS(C359-'По дням'!$J$6:$J$155)))/2+1)&gt;0)*1))</f>
        <v/>
      </c>
    </row>
    <row r="360">
      <c r="A360">
        <f>IF(AND(Оплаты!$E$352="ок",COUNTIFS(Акты!$B$5:$B$16,Оплаты!$D$352,Акты!$H$5:$H$16,"ок")&gt;0,COUNTIFS(Оплаты!$D$6:$D$351,Оплаты!$D$352,Оплаты!$A$6:$A$351,Оплаты!$A$352)=0),Оплаты!$D$352,"")</f>
        <v/>
      </c>
      <c r="B360">
        <f>IF(A360="","",MATCH(A360,Акты!$B$5:$B$16,0))</f>
        <v/>
      </c>
      <c r="C360" s="20">
        <f>IF(A360="","",Оплаты!$A$352+1)</f>
        <v/>
      </c>
      <c r="D360" s="20">
        <f>IF(A360="","",MIN(Ввод!$B$4,Ввод!$B$4+1-SUMPRODUCT(MAX((Оплаты!$D$6:$D$505=A360)*(Оплаты!$A$6:$A$505&gt;Оплаты!$A$352)*(Ввод!$B$4+1-Оплаты!$A$6:$A$505)))))</f>
        <v/>
      </c>
      <c r="E360" s="14">
        <f>IF(A360="","",INDEX(Акты!$D$5:$D$16,B360)-SUMIFS(Оплаты!$B$6:$B$505,Оплаты!$D$6:$D$505,A360,Оплаты!$A$6:$A$505,"&lt;="&amp;Оплаты!$A$352))</f>
        <v/>
      </c>
      <c r="F360" s="14">
        <f>IF(G360="","",SUMPRODUCT(ROUND(E360*'По дням'!$L$6:$L$155/100*((((D360+'По дням'!$K$6:$K$155-ABS(D360-'По дням'!$K$6:$K$155))-(C360+'По дням'!$J$6:$J$155+ABS(C360-'По дням'!$J$6:$J$155)))/2+1)&gt;0)*(((D360+'По дням'!$K$6:$K$155-ABS(D360-'По дням'!$K$6:$K$155))-(C360+'По дням'!$J$6:$J$155+ABS(C360-'По дням'!$J$6:$J$155)))/2+1)/'По дням'!$M$6:$M$155,2)*(1-'По дням'!$N$6:$N$155)))</f>
        <v/>
      </c>
      <c r="G360">
        <f>IF(A360="","",IF(C360&gt;D360,"",B360*1000000+C360))</f>
        <v/>
      </c>
      <c r="H360" s="14">
        <f>IF(G360="","",SUMIFS(Оплаты!$B$6:$B$505,Оплаты!$D$6:$D$505,A360,Оплаты!$A$6:$A$505,D360))</f>
        <v/>
      </c>
      <c r="I360">
        <f>IF(G360="","",SUMPRODUCT((((((D360+'По дням'!$K$6:$K$155-ABS(D360-'По дням'!$K$6:$K$155))-(C360+'По дням'!$J$6:$J$155+ABS(C360-'По дням'!$J$6:$J$155)))/2+1)&gt;0)*(((D360+'По дням'!$K$6:$K$155-ABS(D360-'По дням'!$K$6:$K$155))-(C360+'По дням'!$J$6:$J$155+ABS(C360-'По дням'!$J$6:$J$155)))/2+1)&gt;0)*1))</f>
        <v/>
      </c>
    </row>
    <row r="361">
      <c r="A361">
        <f>IF(AND(Оплаты!$E$353="ок",COUNTIFS(Акты!$B$5:$B$16,Оплаты!$D$353,Акты!$H$5:$H$16,"ок")&gt;0,COUNTIFS(Оплаты!$D$6:$D$352,Оплаты!$D$353,Оплаты!$A$6:$A$352,Оплаты!$A$353)=0),Оплаты!$D$353,"")</f>
        <v/>
      </c>
      <c r="B361">
        <f>IF(A361="","",MATCH(A361,Акты!$B$5:$B$16,0))</f>
        <v/>
      </c>
      <c r="C361" s="20">
        <f>IF(A361="","",Оплаты!$A$353+1)</f>
        <v/>
      </c>
      <c r="D361" s="20">
        <f>IF(A361="","",MIN(Ввод!$B$4,Ввод!$B$4+1-SUMPRODUCT(MAX((Оплаты!$D$6:$D$505=A361)*(Оплаты!$A$6:$A$505&gt;Оплаты!$A$353)*(Ввод!$B$4+1-Оплаты!$A$6:$A$505)))))</f>
        <v/>
      </c>
      <c r="E361" s="14">
        <f>IF(A361="","",INDEX(Акты!$D$5:$D$16,B361)-SUMIFS(Оплаты!$B$6:$B$505,Оплаты!$D$6:$D$505,A361,Оплаты!$A$6:$A$505,"&lt;="&amp;Оплаты!$A$353))</f>
        <v/>
      </c>
      <c r="F361" s="14">
        <f>IF(G361="","",SUMPRODUCT(ROUND(E361*'По дням'!$L$6:$L$155/100*((((D361+'По дням'!$K$6:$K$155-ABS(D361-'По дням'!$K$6:$K$155))-(C361+'По дням'!$J$6:$J$155+ABS(C361-'По дням'!$J$6:$J$155)))/2+1)&gt;0)*(((D361+'По дням'!$K$6:$K$155-ABS(D361-'По дням'!$K$6:$K$155))-(C361+'По дням'!$J$6:$J$155+ABS(C361-'По дням'!$J$6:$J$155)))/2+1)/'По дням'!$M$6:$M$155,2)*(1-'По дням'!$N$6:$N$155)))</f>
        <v/>
      </c>
      <c r="G361">
        <f>IF(A361="","",IF(C361&gt;D361,"",B361*1000000+C361))</f>
        <v/>
      </c>
      <c r="H361" s="14">
        <f>IF(G361="","",SUMIFS(Оплаты!$B$6:$B$505,Оплаты!$D$6:$D$505,A361,Оплаты!$A$6:$A$505,D361))</f>
        <v/>
      </c>
      <c r="I361">
        <f>IF(G361="","",SUMPRODUCT((((((D361+'По дням'!$K$6:$K$155-ABS(D361-'По дням'!$K$6:$K$155))-(C361+'По дням'!$J$6:$J$155+ABS(C361-'По дням'!$J$6:$J$155)))/2+1)&gt;0)*(((D361+'По дням'!$K$6:$K$155-ABS(D361-'По дням'!$K$6:$K$155))-(C361+'По дням'!$J$6:$J$155+ABS(C361-'По дням'!$J$6:$J$155)))/2+1)&gt;0)*1))</f>
        <v/>
      </c>
    </row>
    <row r="362">
      <c r="A362">
        <f>IF(AND(Оплаты!$E$354="ок",COUNTIFS(Акты!$B$5:$B$16,Оплаты!$D$354,Акты!$H$5:$H$16,"ок")&gt;0,COUNTIFS(Оплаты!$D$6:$D$353,Оплаты!$D$354,Оплаты!$A$6:$A$353,Оплаты!$A$354)=0),Оплаты!$D$354,"")</f>
        <v/>
      </c>
      <c r="B362">
        <f>IF(A362="","",MATCH(A362,Акты!$B$5:$B$16,0))</f>
        <v/>
      </c>
      <c r="C362" s="20">
        <f>IF(A362="","",Оплаты!$A$354+1)</f>
        <v/>
      </c>
      <c r="D362" s="20">
        <f>IF(A362="","",MIN(Ввод!$B$4,Ввод!$B$4+1-SUMPRODUCT(MAX((Оплаты!$D$6:$D$505=A362)*(Оплаты!$A$6:$A$505&gt;Оплаты!$A$354)*(Ввод!$B$4+1-Оплаты!$A$6:$A$505)))))</f>
        <v/>
      </c>
      <c r="E362" s="14">
        <f>IF(A362="","",INDEX(Акты!$D$5:$D$16,B362)-SUMIFS(Оплаты!$B$6:$B$505,Оплаты!$D$6:$D$505,A362,Оплаты!$A$6:$A$505,"&lt;="&amp;Оплаты!$A$354))</f>
        <v/>
      </c>
      <c r="F362" s="14">
        <f>IF(G362="","",SUMPRODUCT(ROUND(E362*'По дням'!$L$6:$L$155/100*((((D362+'По дням'!$K$6:$K$155-ABS(D362-'По дням'!$K$6:$K$155))-(C362+'По дням'!$J$6:$J$155+ABS(C362-'По дням'!$J$6:$J$155)))/2+1)&gt;0)*(((D362+'По дням'!$K$6:$K$155-ABS(D362-'По дням'!$K$6:$K$155))-(C362+'По дням'!$J$6:$J$155+ABS(C362-'По дням'!$J$6:$J$155)))/2+1)/'По дням'!$M$6:$M$155,2)*(1-'По дням'!$N$6:$N$155)))</f>
        <v/>
      </c>
      <c r="G362">
        <f>IF(A362="","",IF(C362&gt;D362,"",B362*1000000+C362))</f>
        <v/>
      </c>
      <c r="H362" s="14">
        <f>IF(G362="","",SUMIFS(Оплаты!$B$6:$B$505,Оплаты!$D$6:$D$505,A362,Оплаты!$A$6:$A$505,D362))</f>
        <v/>
      </c>
      <c r="I362">
        <f>IF(G362="","",SUMPRODUCT((((((D362+'По дням'!$K$6:$K$155-ABS(D362-'По дням'!$K$6:$K$155))-(C362+'По дням'!$J$6:$J$155+ABS(C362-'По дням'!$J$6:$J$155)))/2+1)&gt;0)*(((D362+'По дням'!$K$6:$K$155-ABS(D362-'По дням'!$K$6:$K$155))-(C362+'По дням'!$J$6:$J$155+ABS(C362-'По дням'!$J$6:$J$155)))/2+1)&gt;0)*1))</f>
        <v/>
      </c>
    </row>
    <row r="363">
      <c r="A363">
        <f>IF(AND(Оплаты!$E$355="ок",COUNTIFS(Акты!$B$5:$B$16,Оплаты!$D$355,Акты!$H$5:$H$16,"ок")&gt;0,COUNTIFS(Оплаты!$D$6:$D$354,Оплаты!$D$355,Оплаты!$A$6:$A$354,Оплаты!$A$355)=0),Оплаты!$D$355,"")</f>
        <v/>
      </c>
      <c r="B363">
        <f>IF(A363="","",MATCH(A363,Акты!$B$5:$B$16,0))</f>
        <v/>
      </c>
      <c r="C363" s="20">
        <f>IF(A363="","",Оплаты!$A$355+1)</f>
        <v/>
      </c>
      <c r="D363" s="20">
        <f>IF(A363="","",MIN(Ввод!$B$4,Ввод!$B$4+1-SUMPRODUCT(MAX((Оплаты!$D$6:$D$505=A363)*(Оплаты!$A$6:$A$505&gt;Оплаты!$A$355)*(Ввод!$B$4+1-Оплаты!$A$6:$A$505)))))</f>
        <v/>
      </c>
      <c r="E363" s="14">
        <f>IF(A363="","",INDEX(Акты!$D$5:$D$16,B363)-SUMIFS(Оплаты!$B$6:$B$505,Оплаты!$D$6:$D$505,A363,Оплаты!$A$6:$A$505,"&lt;="&amp;Оплаты!$A$355))</f>
        <v/>
      </c>
      <c r="F363" s="14">
        <f>IF(G363="","",SUMPRODUCT(ROUND(E363*'По дням'!$L$6:$L$155/100*((((D363+'По дням'!$K$6:$K$155-ABS(D363-'По дням'!$K$6:$K$155))-(C363+'По дням'!$J$6:$J$155+ABS(C363-'По дням'!$J$6:$J$155)))/2+1)&gt;0)*(((D363+'По дням'!$K$6:$K$155-ABS(D363-'По дням'!$K$6:$K$155))-(C363+'По дням'!$J$6:$J$155+ABS(C363-'По дням'!$J$6:$J$155)))/2+1)/'По дням'!$M$6:$M$155,2)*(1-'По дням'!$N$6:$N$155)))</f>
        <v/>
      </c>
      <c r="G363">
        <f>IF(A363="","",IF(C363&gt;D363,"",B363*1000000+C363))</f>
        <v/>
      </c>
      <c r="H363" s="14">
        <f>IF(G363="","",SUMIFS(Оплаты!$B$6:$B$505,Оплаты!$D$6:$D$505,A363,Оплаты!$A$6:$A$505,D363))</f>
        <v/>
      </c>
      <c r="I363">
        <f>IF(G363="","",SUMPRODUCT((((((D363+'По дням'!$K$6:$K$155-ABS(D363-'По дням'!$K$6:$K$155))-(C363+'По дням'!$J$6:$J$155+ABS(C363-'По дням'!$J$6:$J$155)))/2+1)&gt;0)*(((D363+'По дням'!$K$6:$K$155-ABS(D363-'По дням'!$K$6:$K$155))-(C363+'По дням'!$J$6:$J$155+ABS(C363-'По дням'!$J$6:$J$155)))/2+1)&gt;0)*1))</f>
        <v/>
      </c>
    </row>
    <row r="364">
      <c r="A364">
        <f>IF(AND(Оплаты!$E$356="ок",COUNTIFS(Акты!$B$5:$B$16,Оплаты!$D$356,Акты!$H$5:$H$16,"ок")&gt;0,COUNTIFS(Оплаты!$D$6:$D$355,Оплаты!$D$356,Оплаты!$A$6:$A$355,Оплаты!$A$356)=0),Оплаты!$D$356,"")</f>
        <v/>
      </c>
      <c r="B364">
        <f>IF(A364="","",MATCH(A364,Акты!$B$5:$B$16,0))</f>
        <v/>
      </c>
      <c r="C364" s="20">
        <f>IF(A364="","",Оплаты!$A$356+1)</f>
        <v/>
      </c>
      <c r="D364" s="20">
        <f>IF(A364="","",MIN(Ввод!$B$4,Ввод!$B$4+1-SUMPRODUCT(MAX((Оплаты!$D$6:$D$505=A364)*(Оплаты!$A$6:$A$505&gt;Оплаты!$A$356)*(Ввод!$B$4+1-Оплаты!$A$6:$A$505)))))</f>
        <v/>
      </c>
      <c r="E364" s="14">
        <f>IF(A364="","",INDEX(Акты!$D$5:$D$16,B364)-SUMIFS(Оплаты!$B$6:$B$505,Оплаты!$D$6:$D$505,A364,Оплаты!$A$6:$A$505,"&lt;="&amp;Оплаты!$A$356))</f>
        <v/>
      </c>
      <c r="F364" s="14">
        <f>IF(G364="","",SUMPRODUCT(ROUND(E364*'По дням'!$L$6:$L$155/100*((((D364+'По дням'!$K$6:$K$155-ABS(D364-'По дням'!$K$6:$K$155))-(C364+'По дням'!$J$6:$J$155+ABS(C364-'По дням'!$J$6:$J$155)))/2+1)&gt;0)*(((D364+'По дням'!$K$6:$K$155-ABS(D364-'По дням'!$K$6:$K$155))-(C364+'По дням'!$J$6:$J$155+ABS(C364-'По дням'!$J$6:$J$155)))/2+1)/'По дням'!$M$6:$M$155,2)*(1-'По дням'!$N$6:$N$155)))</f>
        <v/>
      </c>
      <c r="G364">
        <f>IF(A364="","",IF(C364&gt;D364,"",B364*1000000+C364))</f>
        <v/>
      </c>
      <c r="H364" s="14">
        <f>IF(G364="","",SUMIFS(Оплаты!$B$6:$B$505,Оплаты!$D$6:$D$505,A364,Оплаты!$A$6:$A$505,D364))</f>
        <v/>
      </c>
      <c r="I364">
        <f>IF(G364="","",SUMPRODUCT((((((D364+'По дням'!$K$6:$K$155-ABS(D364-'По дням'!$K$6:$K$155))-(C364+'По дням'!$J$6:$J$155+ABS(C364-'По дням'!$J$6:$J$155)))/2+1)&gt;0)*(((D364+'По дням'!$K$6:$K$155-ABS(D364-'По дням'!$K$6:$K$155))-(C364+'По дням'!$J$6:$J$155+ABS(C364-'По дням'!$J$6:$J$155)))/2+1)&gt;0)*1))</f>
        <v/>
      </c>
    </row>
    <row r="365">
      <c r="A365">
        <f>IF(AND(Оплаты!$E$357="ок",COUNTIFS(Акты!$B$5:$B$16,Оплаты!$D$357,Акты!$H$5:$H$16,"ок")&gt;0,COUNTIFS(Оплаты!$D$6:$D$356,Оплаты!$D$357,Оплаты!$A$6:$A$356,Оплаты!$A$357)=0),Оплаты!$D$357,"")</f>
        <v/>
      </c>
      <c r="B365">
        <f>IF(A365="","",MATCH(A365,Акты!$B$5:$B$16,0))</f>
        <v/>
      </c>
      <c r="C365" s="20">
        <f>IF(A365="","",Оплаты!$A$357+1)</f>
        <v/>
      </c>
      <c r="D365" s="20">
        <f>IF(A365="","",MIN(Ввод!$B$4,Ввод!$B$4+1-SUMPRODUCT(MAX((Оплаты!$D$6:$D$505=A365)*(Оплаты!$A$6:$A$505&gt;Оплаты!$A$357)*(Ввод!$B$4+1-Оплаты!$A$6:$A$505)))))</f>
        <v/>
      </c>
      <c r="E365" s="14">
        <f>IF(A365="","",INDEX(Акты!$D$5:$D$16,B365)-SUMIFS(Оплаты!$B$6:$B$505,Оплаты!$D$6:$D$505,A365,Оплаты!$A$6:$A$505,"&lt;="&amp;Оплаты!$A$357))</f>
        <v/>
      </c>
      <c r="F365" s="14">
        <f>IF(G365="","",SUMPRODUCT(ROUND(E365*'По дням'!$L$6:$L$155/100*((((D365+'По дням'!$K$6:$K$155-ABS(D365-'По дням'!$K$6:$K$155))-(C365+'По дням'!$J$6:$J$155+ABS(C365-'По дням'!$J$6:$J$155)))/2+1)&gt;0)*(((D365+'По дням'!$K$6:$K$155-ABS(D365-'По дням'!$K$6:$K$155))-(C365+'По дням'!$J$6:$J$155+ABS(C365-'По дням'!$J$6:$J$155)))/2+1)/'По дням'!$M$6:$M$155,2)*(1-'По дням'!$N$6:$N$155)))</f>
        <v/>
      </c>
      <c r="G365">
        <f>IF(A365="","",IF(C365&gt;D365,"",B365*1000000+C365))</f>
        <v/>
      </c>
      <c r="H365" s="14">
        <f>IF(G365="","",SUMIFS(Оплаты!$B$6:$B$505,Оплаты!$D$6:$D$505,A365,Оплаты!$A$6:$A$505,D365))</f>
        <v/>
      </c>
      <c r="I365">
        <f>IF(G365="","",SUMPRODUCT((((((D365+'По дням'!$K$6:$K$155-ABS(D365-'По дням'!$K$6:$K$155))-(C365+'По дням'!$J$6:$J$155+ABS(C365-'По дням'!$J$6:$J$155)))/2+1)&gt;0)*(((D365+'По дням'!$K$6:$K$155-ABS(D365-'По дням'!$K$6:$K$155))-(C365+'По дням'!$J$6:$J$155+ABS(C365-'По дням'!$J$6:$J$155)))/2+1)&gt;0)*1))</f>
        <v/>
      </c>
    </row>
    <row r="366">
      <c r="A366">
        <f>IF(AND(Оплаты!$E$358="ок",COUNTIFS(Акты!$B$5:$B$16,Оплаты!$D$358,Акты!$H$5:$H$16,"ок")&gt;0,COUNTIFS(Оплаты!$D$6:$D$357,Оплаты!$D$358,Оплаты!$A$6:$A$357,Оплаты!$A$358)=0),Оплаты!$D$358,"")</f>
        <v/>
      </c>
      <c r="B366">
        <f>IF(A366="","",MATCH(A366,Акты!$B$5:$B$16,0))</f>
        <v/>
      </c>
      <c r="C366" s="20">
        <f>IF(A366="","",Оплаты!$A$358+1)</f>
        <v/>
      </c>
      <c r="D366" s="20">
        <f>IF(A366="","",MIN(Ввод!$B$4,Ввод!$B$4+1-SUMPRODUCT(MAX((Оплаты!$D$6:$D$505=A366)*(Оплаты!$A$6:$A$505&gt;Оплаты!$A$358)*(Ввод!$B$4+1-Оплаты!$A$6:$A$505)))))</f>
        <v/>
      </c>
      <c r="E366" s="14">
        <f>IF(A366="","",INDEX(Акты!$D$5:$D$16,B366)-SUMIFS(Оплаты!$B$6:$B$505,Оплаты!$D$6:$D$505,A366,Оплаты!$A$6:$A$505,"&lt;="&amp;Оплаты!$A$358))</f>
        <v/>
      </c>
      <c r="F366" s="14">
        <f>IF(G366="","",SUMPRODUCT(ROUND(E366*'По дням'!$L$6:$L$155/100*((((D366+'По дням'!$K$6:$K$155-ABS(D366-'По дням'!$K$6:$K$155))-(C366+'По дням'!$J$6:$J$155+ABS(C366-'По дням'!$J$6:$J$155)))/2+1)&gt;0)*(((D366+'По дням'!$K$6:$K$155-ABS(D366-'По дням'!$K$6:$K$155))-(C366+'По дням'!$J$6:$J$155+ABS(C366-'По дням'!$J$6:$J$155)))/2+1)/'По дням'!$M$6:$M$155,2)*(1-'По дням'!$N$6:$N$155)))</f>
        <v/>
      </c>
      <c r="G366">
        <f>IF(A366="","",IF(C366&gt;D366,"",B366*1000000+C366))</f>
        <v/>
      </c>
      <c r="H366" s="14">
        <f>IF(G366="","",SUMIFS(Оплаты!$B$6:$B$505,Оплаты!$D$6:$D$505,A366,Оплаты!$A$6:$A$505,D366))</f>
        <v/>
      </c>
      <c r="I366">
        <f>IF(G366="","",SUMPRODUCT((((((D366+'По дням'!$K$6:$K$155-ABS(D366-'По дням'!$K$6:$K$155))-(C366+'По дням'!$J$6:$J$155+ABS(C366-'По дням'!$J$6:$J$155)))/2+1)&gt;0)*(((D366+'По дням'!$K$6:$K$155-ABS(D366-'По дням'!$K$6:$K$155))-(C366+'По дням'!$J$6:$J$155+ABS(C366-'По дням'!$J$6:$J$155)))/2+1)&gt;0)*1))</f>
        <v/>
      </c>
    </row>
    <row r="367">
      <c r="A367">
        <f>IF(AND(Оплаты!$E$359="ок",COUNTIFS(Акты!$B$5:$B$16,Оплаты!$D$359,Акты!$H$5:$H$16,"ок")&gt;0,COUNTIFS(Оплаты!$D$6:$D$358,Оплаты!$D$359,Оплаты!$A$6:$A$358,Оплаты!$A$359)=0),Оплаты!$D$359,"")</f>
        <v/>
      </c>
      <c r="B367">
        <f>IF(A367="","",MATCH(A367,Акты!$B$5:$B$16,0))</f>
        <v/>
      </c>
      <c r="C367" s="20">
        <f>IF(A367="","",Оплаты!$A$359+1)</f>
        <v/>
      </c>
      <c r="D367" s="20">
        <f>IF(A367="","",MIN(Ввод!$B$4,Ввод!$B$4+1-SUMPRODUCT(MAX((Оплаты!$D$6:$D$505=A367)*(Оплаты!$A$6:$A$505&gt;Оплаты!$A$359)*(Ввод!$B$4+1-Оплаты!$A$6:$A$505)))))</f>
        <v/>
      </c>
      <c r="E367" s="14">
        <f>IF(A367="","",INDEX(Акты!$D$5:$D$16,B367)-SUMIFS(Оплаты!$B$6:$B$505,Оплаты!$D$6:$D$505,A367,Оплаты!$A$6:$A$505,"&lt;="&amp;Оплаты!$A$359))</f>
        <v/>
      </c>
      <c r="F367" s="14">
        <f>IF(G367="","",SUMPRODUCT(ROUND(E367*'По дням'!$L$6:$L$155/100*((((D367+'По дням'!$K$6:$K$155-ABS(D367-'По дням'!$K$6:$K$155))-(C367+'По дням'!$J$6:$J$155+ABS(C367-'По дням'!$J$6:$J$155)))/2+1)&gt;0)*(((D367+'По дням'!$K$6:$K$155-ABS(D367-'По дням'!$K$6:$K$155))-(C367+'По дням'!$J$6:$J$155+ABS(C367-'По дням'!$J$6:$J$155)))/2+1)/'По дням'!$M$6:$M$155,2)*(1-'По дням'!$N$6:$N$155)))</f>
        <v/>
      </c>
      <c r="G367">
        <f>IF(A367="","",IF(C367&gt;D367,"",B367*1000000+C367))</f>
        <v/>
      </c>
      <c r="H367" s="14">
        <f>IF(G367="","",SUMIFS(Оплаты!$B$6:$B$505,Оплаты!$D$6:$D$505,A367,Оплаты!$A$6:$A$505,D367))</f>
        <v/>
      </c>
      <c r="I367">
        <f>IF(G367="","",SUMPRODUCT((((((D367+'По дням'!$K$6:$K$155-ABS(D367-'По дням'!$K$6:$K$155))-(C367+'По дням'!$J$6:$J$155+ABS(C367-'По дням'!$J$6:$J$155)))/2+1)&gt;0)*(((D367+'По дням'!$K$6:$K$155-ABS(D367-'По дням'!$K$6:$K$155))-(C367+'По дням'!$J$6:$J$155+ABS(C367-'По дням'!$J$6:$J$155)))/2+1)&gt;0)*1))</f>
        <v/>
      </c>
    </row>
    <row r="368">
      <c r="A368">
        <f>IF(AND(Оплаты!$E$360="ок",COUNTIFS(Акты!$B$5:$B$16,Оплаты!$D$360,Акты!$H$5:$H$16,"ок")&gt;0,COUNTIFS(Оплаты!$D$6:$D$359,Оплаты!$D$360,Оплаты!$A$6:$A$359,Оплаты!$A$360)=0),Оплаты!$D$360,"")</f>
        <v/>
      </c>
      <c r="B368">
        <f>IF(A368="","",MATCH(A368,Акты!$B$5:$B$16,0))</f>
        <v/>
      </c>
      <c r="C368" s="20">
        <f>IF(A368="","",Оплаты!$A$360+1)</f>
        <v/>
      </c>
      <c r="D368" s="20">
        <f>IF(A368="","",MIN(Ввод!$B$4,Ввод!$B$4+1-SUMPRODUCT(MAX((Оплаты!$D$6:$D$505=A368)*(Оплаты!$A$6:$A$505&gt;Оплаты!$A$360)*(Ввод!$B$4+1-Оплаты!$A$6:$A$505)))))</f>
        <v/>
      </c>
      <c r="E368" s="14">
        <f>IF(A368="","",INDEX(Акты!$D$5:$D$16,B368)-SUMIFS(Оплаты!$B$6:$B$505,Оплаты!$D$6:$D$505,A368,Оплаты!$A$6:$A$505,"&lt;="&amp;Оплаты!$A$360))</f>
        <v/>
      </c>
      <c r="F368" s="14">
        <f>IF(G368="","",SUMPRODUCT(ROUND(E368*'По дням'!$L$6:$L$155/100*((((D368+'По дням'!$K$6:$K$155-ABS(D368-'По дням'!$K$6:$K$155))-(C368+'По дням'!$J$6:$J$155+ABS(C368-'По дням'!$J$6:$J$155)))/2+1)&gt;0)*(((D368+'По дням'!$K$6:$K$155-ABS(D368-'По дням'!$K$6:$K$155))-(C368+'По дням'!$J$6:$J$155+ABS(C368-'По дням'!$J$6:$J$155)))/2+1)/'По дням'!$M$6:$M$155,2)*(1-'По дням'!$N$6:$N$155)))</f>
        <v/>
      </c>
      <c r="G368">
        <f>IF(A368="","",IF(C368&gt;D368,"",B368*1000000+C368))</f>
        <v/>
      </c>
      <c r="H368" s="14">
        <f>IF(G368="","",SUMIFS(Оплаты!$B$6:$B$505,Оплаты!$D$6:$D$505,A368,Оплаты!$A$6:$A$505,D368))</f>
        <v/>
      </c>
      <c r="I368">
        <f>IF(G368="","",SUMPRODUCT((((((D368+'По дням'!$K$6:$K$155-ABS(D368-'По дням'!$K$6:$K$155))-(C368+'По дням'!$J$6:$J$155+ABS(C368-'По дням'!$J$6:$J$155)))/2+1)&gt;0)*(((D368+'По дням'!$K$6:$K$155-ABS(D368-'По дням'!$K$6:$K$155))-(C368+'По дням'!$J$6:$J$155+ABS(C368-'По дням'!$J$6:$J$155)))/2+1)&gt;0)*1))</f>
        <v/>
      </c>
    </row>
    <row r="369">
      <c r="A369">
        <f>IF(AND(Оплаты!$E$361="ок",COUNTIFS(Акты!$B$5:$B$16,Оплаты!$D$361,Акты!$H$5:$H$16,"ок")&gt;0,COUNTIFS(Оплаты!$D$6:$D$360,Оплаты!$D$361,Оплаты!$A$6:$A$360,Оплаты!$A$361)=0),Оплаты!$D$361,"")</f>
        <v/>
      </c>
      <c r="B369">
        <f>IF(A369="","",MATCH(A369,Акты!$B$5:$B$16,0))</f>
        <v/>
      </c>
      <c r="C369" s="20">
        <f>IF(A369="","",Оплаты!$A$361+1)</f>
        <v/>
      </c>
      <c r="D369" s="20">
        <f>IF(A369="","",MIN(Ввод!$B$4,Ввод!$B$4+1-SUMPRODUCT(MAX((Оплаты!$D$6:$D$505=A369)*(Оплаты!$A$6:$A$505&gt;Оплаты!$A$361)*(Ввод!$B$4+1-Оплаты!$A$6:$A$505)))))</f>
        <v/>
      </c>
      <c r="E369" s="14">
        <f>IF(A369="","",INDEX(Акты!$D$5:$D$16,B369)-SUMIFS(Оплаты!$B$6:$B$505,Оплаты!$D$6:$D$505,A369,Оплаты!$A$6:$A$505,"&lt;="&amp;Оплаты!$A$361))</f>
        <v/>
      </c>
      <c r="F369" s="14">
        <f>IF(G369="","",SUMPRODUCT(ROUND(E369*'По дням'!$L$6:$L$155/100*((((D369+'По дням'!$K$6:$K$155-ABS(D369-'По дням'!$K$6:$K$155))-(C369+'По дням'!$J$6:$J$155+ABS(C369-'По дням'!$J$6:$J$155)))/2+1)&gt;0)*(((D369+'По дням'!$K$6:$K$155-ABS(D369-'По дням'!$K$6:$K$155))-(C369+'По дням'!$J$6:$J$155+ABS(C369-'По дням'!$J$6:$J$155)))/2+1)/'По дням'!$M$6:$M$155,2)*(1-'По дням'!$N$6:$N$155)))</f>
        <v/>
      </c>
      <c r="G369">
        <f>IF(A369="","",IF(C369&gt;D369,"",B369*1000000+C369))</f>
        <v/>
      </c>
      <c r="H369" s="14">
        <f>IF(G369="","",SUMIFS(Оплаты!$B$6:$B$505,Оплаты!$D$6:$D$505,A369,Оплаты!$A$6:$A$505,D369))</f>
        <v/>
      </c>
      <c r="I369">
        <f>IF(G369="","",SUMPRODUCT((((((D369+'По дням'!$K$6:$K$155-ABS(D369-'По дням'!$K$6:$K$155))-(C369+'По дням'!$J$6:$J$155+ABS(C369-'По дням'!$J$6:$J$155)))/2+1)&gt;0)*(((D369+'По дням'!$K$6:$K$155-ABS(D369-'По дням'!$K$6:$K$155))-(C369+'По дням'!$J$6:$J$155+ABS(C369-'По дням'!$J$6:$J$155)))/2+1)&gt;0)*1))</f>
        <v/>
      </c>
    </row>
    <row r="370">
      <c r="A370">
        <f>IF(AND(Оплаты!$E$362="ок",COUNTIFS(Акты!$B$5:$B$16,Оплаты!$D$362,Акты!$H$5:$H$16,"ок")&gt;0,COUNTIFS(Оплаты!$D$6:$D$361,Оплаты!$D$362,Оплаты!$A$6:$A$361,Оплаты!$A$362)=0),Оплаты!$D$362,"")</f>
        <v/>
      </c>
      <c r="B370">
        <f>IF(A370="","",MATCH(A370,Акты!$B$5:$B$16,0))</f>
        <v/>
      </c>
      <c r="C370" s="20">
        <f>IF(A370="","",Оплаты!$A$362+1)</f>
        <v/>
      </c>
      <c r="D370" s="20">
        <f>IF(A370="","",MIN(Ввод!$B$4,Ввод!$B$4+1-SUMPRODUCT(MAX((Оплаты!$D$6:$D$505=A370)*(Оплаты!$A$6:$A$505&gt;Оплаты!$A$362)*(Ввод!$B$4+1-Оплаты!$A$6:$A$505)))))</f>
        <v/>
      </c>
      <c r="E370" s="14">
        <f>IF(A370="","",INDEX(Акты!$D$5:$D$16,B370)-SUMIFS(Оплаты!$B$6:$B$505,Оплаты!$D$6:$D$505,A370,Оплаты!$A$6:$A$505,"&lt;="&amp;Оплаты!$A$362))</f>
        <v/>
      </c>
      <c r="F370" s="14">
        <f>IF(G370="","",SUMPRODUCT(ROUND(E370*'По дням'!$L$6:$L$155/100*((((D370+'По дням'!$K$6:$K$155-ABS(D370-'По дням'!$K$6:$K$155))-(C370+'По дням'!$J$6:$J$155+ABS(C370-'По дням'!$J$6:$J$155)))/2+1)&gt;0)*(((D370+'По дням'!$K$6:$K$155-ABS(D370-'По дням'!$K$6:$K$155))-(C370+'По дням'!$J$6:$J$155+ABS(C370-'По дням'!$J$6:$J$155)))/2+1)/'По дням'!$M$6:$M$155,2)*(1-'По дням'!$N$6:$N$155)))</f>
        <v/>
      </c>
      <c r="G370">
        <f>IF(A370="","",IF(C370&gt;D370,"",B370*1000000+C370))</f>
        <v/>
      </c>
      <c r="H370" s="14">
        <f>IF(G370="","",SUMIFS(Оплаты!$B$6:$B$505,Оплаты!$D$6:$D$505,A370,Оплаты!$A$6:$A$505,D370))</f>
        <v/>
      </c>
      <c r="I370">
        <f>IF(G370="","",SUMPRODUCT((((((D370+'По дням'!$K$6:$K$155-ABS(D370-'По дням'!$K$6:$K$155))-(C370+'По дням'!$J$6:$J$155+ABS(C370-'По дням'!$J$6:$J$155)))/2+1)&gt;0)*(((D370+'По дням'!$K$6:$K$155-ABS(D370-'По дням'!$K$6:$K$155))-(C370+'По дням'!$J$6:$J$155+ABS(C370-'По дням'!$J$6:$J$155)))/2+1)&gt;0)*1))</f>
        <v/>
      </c>
    </row>
    <row r="371">
      <c r="A371">
        <f>IF(AND(Оплаты!$E$363="ок",COUNTIFS(Акты!$B$5:$B$16,Оплаты!$D$363,Акты!$H$5:$H$16,"ок")&gt;0,COUNTIFS(Оплаты!$D$6:$D$362,Оплаты!$D$363,Оплаты!$A$6:$A$362,Оплаты!$A$363)=0),Оплаты!$D$363,"")</f>
        <v/>
      </c>
      <c r="B371">
        <f>IF(A371="","",MATCH(A371,Акты!$B$5:$B$16,0))</f>
        <v/>
      </c>
      <c r="C371" s="20">
        <f>IF(A371="","",Оплаты!$A$363+1)</f>
        <v/>
      </c>
      <c r="D371" s="20">
        <f>IF(A371="","",MIN(Ввод!$B$4,Ввод!$B$4+1-SUMPRODUCT(MAX((Оплаты!$D$6:$D$505=A371)*(Оплаты!$A$6:$A$505&gt;Оплаты!$A$363)*(Ввод!$B$4+1-Оплаты!$A$6:$A$505)))))</f>
        <v/>
      </c>
      <c r="E371" s="14">
        <f>IF(A371="","",INDEX(Акты!$D$5:$D$16,B371)-SUMIFS(Оплаты!$B$6:$B$505,Оплаты!$D$6:$D$505,A371,Оплаты!$A$6:$A$505,"&lt;="&amp;Оплаты!$A$363))</f>
        <v/>
      </c>
      <c r="F371" s="14">
        <f>IF(G371="","",SUMPRODUCT(ROUND(E371*'По дням'!$L$6:$L$155/100*((((D371+'По дням'!$K$6:$K$155-ABS(D371-'По дням'!$K$6:$K$155))-(C371+'По дням'!$J$6:$J$155+ABS(C371-'По дням'!$J$6:$J$155)))/2+1)&gt;0)*(((D371+'По дням'!$K$6:$K$155-ABS(D371-'По дням'!$K$6:$K$155))-(C371+'По дням'!$J$6:$J$155+ABS(C371-'По дням'!$J$6:$J$155)))/2+1)/'По дням'!$M$6:$M$155,2)*(1-'По дням'!$N$6:$N$155)))</f>
        <v/>
      </c>
      <c r="G371">
        <f>IF(A371="","",IF(C371&gt;D371,"",B371*1000000+C371))</f>
        <v/>
      </c>
      <c r="H371" s="14">
        <f>IF(G371="","",SUMIFS(Оплаты!$B$6:$B$505,Оплаты!$D$6:$D$505,A371,Оплаты!$A$6:$A$505,D371))</f>
        <v/>
      </c>
      <c r="I371">
        <f>IF(G371="","",SUMPRODUCT((((((D371+'По дням'!$K$6:$K$155-ABS(D371-'По дням'!$K$6:$K$155))-(C371+'По дням'!$J$6:$J$155+ABS(C371-'По дням'!$J$6:$J$155)))/2+1)&gt;0)*(((D371+'По дням'!$K$6:$K$155-ABS(D371-'По дням'!$K$6:$K$155))-(C371+'По дням'!$J$6:$J$155+ABS(C371-'По дням'!$J$6:$J$155)))/2+1)&gt;0)*1))</f>
        <v/>
      </c>
    </row>
    <row r="372">
      <c r="A372">
        <f>IF(AND(Оплаты!$E$364="ок",COUNTIFS(Акты!$B$5:$B$16,Оплаты!$D$364,Акты!$H$5:$H$16,"ок")&gt;0,COUNTIFS(Оплаты!$D$6:$D$363,Оплаты!$D$364,Оплаты!$A$6:$A$363,Оплаты!$A$364)=0),Оплаты!$D$364,"")</f>
        <v/>
      </c>
      <c r="B372">
        <f>IF(A372="","",MATCH(A372,Акты!$B$5:$B$16,0))</f>
        <v/>
      </c>
      <c r="C372" s="20">
        <f>IF(A372="","",Оплаты!$A$364+1)</f>
        <v/>
      </c>
      <c r="D372" s="20">
        <f>IF(A372="","",MIN(Ввод!$B$4,Ввод!$B$4+1-SUMPRODUCT(MAX((Оплаты!$D$6:$D$505=A372)*(Оплаты!$A$6:$A$505&gt;Оплаты!$A$364)*(Ввод!$B$4+1-Оплаты!$A$6:$A$505)))))</f>
        <v/>
      </c>
      <c r="E372" s="14">
        <f>IF(A372="","",INDEX(Акты!$D$5:$D$16,B372)-SUMIFS(Оплаты!$B$6:$B$505,Оплаты!$D$6:$D$505,A372,Оплаты!$A$6:$A$505,"&lt;="&amp;Оплаты!$A$364))</f>
        <v/>
      </c>
      <c r="F372" s="14">
        <f>IF(G372="","",SUMPRODUCT(ROUND(E372*'По дням'!$L$6:$L$155/100*((((D372+'По дням'!$K$6:$K$155-ABS(D372-'По дням'!$K$6:$K$155))-(C372+'По дням'!$J$6:$J$155+ABS(C372-'По дням'!$J$6:$J$155)))/2+1)&gt;0)*(((D372+'По дням'!$K$6:$K$155-ABS(D372-'По дням'!$K$6:$K$155))-(C372+'По дням'!$J$6:$J$155+ABS(C372-'По дням'!$J$6:$J$155)))/2+1)/'По дням'!$M$6:$M$155,2)*(1-'По дням'!$N$6:$N$155)))</f>
        <v/>
      </c>
      <c r="G372">
        <f>IF(A372="","",IF(C372&gt;D372,"",B372*1000000+C372))</f>
        <v/>
      </c>
      <c r="H372" s="14">
        <f>IF(G372="","",SUMIFS(Оплаты!$B$6:$B$505,Оплаты!$D$6:$D$505,A372,Оплаты!$A$6:$A$505,D372))</f>
        <v/>
      </c>
      <c r="I372">
        <f>IF(G372="","",SUMPRODUCT((((((D372+'По дням'!$K$6:$K$155-ABS(D372-'По дням'!$K$6:$K$155))-(C372+'По дням'!$J$6:$J$155+ABS(C372-'По дням'!$J$6:$J$155)))/2+1)&gt;0)*(((D372+'По дням'!$K$6:$K$155-ABS(D372-'По дням'!$K$6:$K$155))-(C372+'По дням'!$J$6:$J$155+ABS(C372-'По дням'!$J$6:$J$155)))/2+1)&gt;0)*1))</f>
        <v/>
      </c>
    </row>
    <row r="373">
      <c r="A373">
        <f>IF(AND(Оплаты!$E$365="ок",COUNTIFS(Акты!$B$5:$B$16,Оплаты!$D$365,Акты!$H$5:$H$16,"ок")&gt;0,COUNTIFS(Оплаты!$D$6:$D$364,Оплаты!$D$365,Оплаты!$A$6:$A$364,Оплаты!$A$365)=0),Оплаты!$D$365,"")</f>
        <v/>
      </c>
      <c r="B373">
        <f>IF(A373="","",MATCH(A373,Акты!$B$5:$B$16,0))</f>
        <v/>
      </c>
      <c r="C373" s="20">
        <f>IF(A373="","",Оплаты!$A$365+1)</f>
        <v/>
      </c>
      <c r="D373" s="20">
        <f>IF(A373="","",MIN(Ввод!$B$4,Ввод!$B$4+1-SUMPRODUCT(MAX((Оплаты!$D$6:$D$505=A373)*(Оплаты!$A$6:$A$505&gt;Оплаты!$A$365)*(Ввод!$B$4+1-Оплаты!$A$6:$A$505)))))</f>
        <v/>
      </c>
      <c r="E373" s="14">
        <f>IF(A373="","",INDEX(Акты!$D$5:$D$16,B373)-SUMIFS(Оплаты!$B$6:$B$505,Оплаты!$D$6:$D$505,A373,Оплаты!$A$6:$A$505,"&lt;="&amp;Оплаты!$A$365))</f>
        <v/>
      </c>
      <c r="F373" s="14">
        <f>IF(G373="","",SUMPRODUCT(ROUND(E373*'По дням'!$L$6:$L$155/100*((((D373+'По дням'!$K$6:$K$155-ABS(D373-'По дням'!$K$6:$K$155))-(C373+'По дням'!$J$6:$J$155+ABS(C373-'По дням'!$J$6:$J$155)))/2+1)&gt;0)*(((D373+'По дням'!$K$6:$K$155-ABS(D373-'По дням'!$K$6:$K$155))-(C373+'По дням'!$J$6:$J$155+ABS(C373-'По дням'!$J$6:$J$155)))/2+1)/'По дням'!$M$6:$M$155,2)*(1-'По дням'!$N$6:$N$155)))</f>
        <v/>
      </c>
      <c r="G373">
        <f>IF(A373="","",IF(C373&gt;D373,"",B373*1000000+C373))</f>
        <v/>
      </c>
      <c r="H373" s="14">
        <f>IF(G373="","",SUMIFS(Оплаты!$B$6:$B$505,Оплаты!$D$6:$D$505,A373,Оплаты!$A$6:$A$505,D373))</f>
        <v/>
      </c>
      <c r="I373">
        <f>IF(G373="","",SUMPRODUCT((((((D373+'По дням'!$K$6:$K$155-ABS(D373-'По дням'!$K$6:$K$155))-(C373+'По дням'!$J$6:$J$155+ABS(C373-'По дням'!$J$6:$J$155)))/2+1)&gt;0)*(((D373+'По дням'!$K$6:$K$155-ABS(D373-'По дням'!$K$6:$K$155))-(C373+'По дням'!$J$6:$J$155+ABS(C373-'По дням'!$J$6:$J$155)))/2+1)&gt;0)*1))</f>
        <v/>
      </c>
    </row>
    <row r="374">
      <c r="A374">
        <f>IF(AND(Оплаты!$E$366="ок",COUNTIFS(Акты!$B$5:$B$16,Оплаты!$D$366,Акты!$H$5:$H$16,"ок")&gt;0,COUNTIFS(Оплаты!$D$6:$D$365,Оплаты!$D$366,Оплаты!$A$6:$A$365,Оплаты!$A$366)=0),Оплаты!$D$366,"")</f>
        <v/>
      </c>
      <c r="B374">
        <f>IF(A374="","",MATCH(A374,Акты!$B$5:$B$16,0))</f>
        <v/>
      </c>
      <c r="C374" s="20">
        <f>IF(A374="","",Оплаты!$A$366+1)</f>
        <v/>
      </c>
      <c r="D374" s="20">
        <f>IF(A374="","",MIN(Ввод!$B$4,Ввод!$B$4+1-SUMPRODUCT(MAX((Оплаты!$D$6:$D$505=A374)*(Оплаты!$A$6:$A$505&gt;Оплаты!$A$366)*(Ввод!$B$4+1-Оплаты!$A$6:$A$505)))))</f>
        <v/>
      </c>
      <c r="E374" s="14">
        <f>IF(A374="","",INDEX(Акты!$D$5:$D$16,B374)-SUMIFS(Оплаты!$B$6:$B$505,Оплаты!$D$6:$D$505,A374,Оплаты!$A$6:$A$505,"&lt;="&amp;Оплаты!$A$366))</f>
        <v/>
      </c>
      <c r="F374" s="14">
        <f>IF(G374="","",SUMPRODUCT(ROUND(E374*'По дням'!$L$6:$L$155/100*((((D374+'По дням'!$K$6:$K$155-ABS(D374-'По дням'!$K$6:$K$155))-(C374+'По дням'!$J$6:$J$155+ABS(C374-'По дням'!$J$6:$J$155)))/2+1)&gt;0)*(((D374+'По дням'!$K$6:$K$155-ABS(D374-'По дням'!$K$6:$K$155))-(C374+'По дням'!$J$6:$J$155+ABS(C374-'По дням'!$J$6:$J$155)))/2+1)/'По дням'!$M$6:$M$155,2)*(1-'По дням'!$N$6:$N$155)))</f>
        <v/>
      </c>
      <c r="G374">
        <f>IF(A374="","",IF(C374&gt;D374,"",B374*1000000+C374))</f>
        <v/>
      </c>
      <c r="H374" s="14">
        <f>IF(G374="","",SUMIFS(Оплаты!$B$6:$B$505,Оплаты!$D$6:$D$505,A374,Оплаты!$A$6:$A$505,D374))</f>
        <v/>
      </c>
      <c r="I374">
        <f>IF(G374="","",SUMPRODUCT((((((D374+'По дням'!$K$6:$K$155-ABS(D374-'По дням'!$K$6:$K$155))-(C374+'По дням'!$J$6:$J$155+ABS(C374-'По дням'!$J$6:$J$155)))/2+1)&gt;0)*(((D374+'По дням'!$K$6:$K$155-ABS(D374-'По дням'!$K$6:$K$155))-(C374+'По дням'!$J$6:$J$155+ABS(C374-'По дням'!$J$6:$J$155)))/2+1)&gt;0)*1))</f>
        <v/>
      </c>
    </row>
    <row r="375">
      <c r="A375">
        <f>IF(AND(Оплаты!$E$367="ок",COUNTIFS(Акты!$B$5:$B$16,Оплаты!$D$367,Акты!$H$5:$H$16,"ок")&gt;0,COUNTIFS(Оплаты!$D$6:$D$366,Оплаты!$D$367,Оплаты!$A$6:$A$366,Оплаты!$A$367)=0),Оплаты!$D$367,"")</f>
        <v/>
      </c>
      <c r="B375">
        <f>IF(A375="","",MATCH(A375,Акты!$B$5:$B$16,0))</f>
        <v/>
      </c>
      <c r="C375" s="20">
        <f>IF(A375="","",Оплаты!$A$367+1)</f>
        <v/>
      </c>
      <c r="D375" s="20">
        <f>IF(A375="","",MIN(Ввод!$B$4,Ввод!$B$4+1-SUMPRODUCT(MAX((Оплаты!$D$6:$D$505=A375)*(Оплаты!$A$6:$A$505&gt;Оплаты!$A$367)*(Ввод!$B$4+1-Оплаты!$A$6:$A$505)))))</f>
        <v/>
      </c>
      <c r="E375" s="14">
        <f>IF(A375="","",INDEX(Акты!$D$5:$D$16,B375)-SUMIFS(Оплаты!$B$6:$B$505,Оплаты!$D$6:$D$505,A375,Оплаты!$A$6:$A$505,"&lt;="&amp;Оплаты!$A$367))</f>
        <v/>
      </c>
      <c r="F375" s="14">
        <f>IF(G375="","",SUMPRODUCT(ROUND(E375*'По дням'!$L$6:$L$155/100*((((D375+'По дням'!$K$6:$K$155-ABS(D375-'По дням'!$K$6:$K$155))-(C375+'По дням'!$J$6:$J$155+ABS(C375-'По дням'!$J$6:$J$155)))/2+1)&gt;0)*(((D375+'По дням'!$K$6:$K$155-ABS(D375-'По дням'!$K$6:$K$155))-(C375+'По дням'!$J$6:$J$155+ABS(C375-'По дням'!$J$6:$J$155)))/2+1)/'По дням'!$M$6:$M$155,2)*(1-'По дням'!$N$6:$N$155)))</f>
        <v/>
      </c>
      <c r="G375">
        <f>IF(A375="","",IF(C375&gt;D375,"",B375*1000000+C375))</f>
        <v/>
      </c>
      <c r="H375" s="14">
        <f>IF(G375="","",SUMIFS(Оплаты!$B$6:$B$505,Оплаты!$D$6:$D$505,A375,Оплаты!$A$6:$A$505,D375))</f>
        <v/>
      </c>
      <c r="I375">
        <f>IF(G375="","",SUMPRODUCT((((((D375+'По дням'!$K$6:$K$155-ABS(D375-'По дням'!$K$6:$K$155))-(C375+'По дням'!$J$6:$J$155+ABS(C375-'По дням'!$J$6:$J$155)))/2+1)&gt;0)*(((D375+'По дням'!$K$6:$K$155-ABS(D375-'По дням'!$K$6:$K$155))-(C375+'По дням'!$J$6:$J$155+ABS(C375-'По дням'!$J$6:$J$155)))/2+1)&gt;0)*1))</f>
        <v/>
      </c>
    </row>
    <row r="376">
      <c r="A376">
        <f>IF(AND(Оплаты!$E$368="ок",COUNTIFS(Акты!$B$5:$B$16,Оплаты!$D$368,Акты!$H$5:$H$16,"ок")&gt;0,COUNTIFS(Оплаты!$D$6:$D$367,Оплаты!$D$368,Оплаты!$A$6:$A$367,Оплаты!$A$368)=0),Оплаты!$D$368,"")</f>
        <v/>
      </c>
      <c r="B376">
        <f>IF(A376="","",MATCH(A376,Акты!$B$5:$B$16,0))</f>
        <v/>
      </c>
      <c r="C376" s="20">
        <f>IF(A376="","",Оплаты!$A$368+1)</f>
        <v/>
      </c>
      <c r="D376" s="20">
        <f>IF(A376="","",MIN(Ввод!$B$4,Ввод!$B$4+1-SUMPRODUCT(MAX((Оплаты!$D$6:$D$505=A376)*(Оплаты!$A$6:$A$505&gt;Оплаты!$A$368)*(Ввод!$B$4+1-Оплаты!$A$6:$A$505)))))</f>
        <v/>
      </c>
      <c r="E376" s="14">
        <f>IF(A376="","",INDEX(Акты!$D$5:$D$16,B376)-SUMIFS(Оплаты!$B$6:$B$505,Оплаты!$D$6:$D$505,A376,Оплаты!$A$6:$A$505,"&lt;="&amp;Оплаты!$A$368))</f>
        <v/>
      </c>
      <c r="F376" s="14">
        <f>IF(G376="","",SUMPRODUCT(ROUND(E376*'По дням'!$L$6:$L$155/100*((((D376+'По дням'!$K$6:$K$155-ABS(D376-'По дням'!$K$6:$K$155))-(C376+'По дням'!$J$6:$J$155+ABS(C376-'По дням'!$J$6:$J$155)))/2+1)&gt;0)*(((D376+'По дням'!$K$6:$K$155-ABS(D376-'По дням'!$K$6:$K$155))-(C376+'По дням'!$J$6:$J$155+ABS(C376-'По дням'!$J$6:$J$155)))/2+1)/'По дням'!$M$6:$M$155,2)*(1-'По дням'!$N$6:$N$155)))</f>
        <v/>
      </c>
      <c r="G376">
        <f>IF(A376="","",IF(C376&gt;D376,"",B376*1000000+C376))</f>
        <v/>
      </c>
      <c r="H376" s="14">
        <f>IF(G376="","",SUMIFS(Оплаты!$B$6:$B$505,Оплаты!$D$6:$D$505,A376,Оплаты!$A$6:$A$505,D376))</f>
        <v/>
      </c>
      <c r="I376">
        <f>IF(G376="","",SUMPRODUCT((((((D376+'По дням'!$K$6:$K$155-ABS(D376-'По дням'!$K$6:$K$155))-(C376+'По дням'!$J$6:$J$155+ABS(C376-'По дням'!$J$6:$J$155)))/2+1)&gt;0)*(((D376+'По дням'!$K$6:$K$155-ABS(D376-'По дням'!$K$6:$K$155))-(C376+'По дням'!$J$6:$J$155+ABS(C376-'По дням'!$J$6:$J$155)))/2+1)&gt;0)*1))</f>
        <v/>
      </c>
    </row>
    <row r="377">
      <c r="A377">
        <f>IF(AND(Оплаты!$E$369="ок",COUNTIFS(Акты!$B$5:$B$16,Оплаты!$D$369,Акты!$H$5:$H$16,"ок")&gt;0,COUNTIFS(Оплаты!$D$6:$D$368,Оплаты!$D$369,Оплаты!$A$6:$A$368,Оплаты!$A$369)=0),Оплаты!$D$369,"")</f>
        <v/>
      </c>
      <c r="B377">
        <f>IF(A377="","",MATCH(A377,Акты!$B$5:$B$16,0))</f>
        <v/>
      </c>
      <c r="C377" s="20">
        <f>IF(A377="","",Оплаты!$A$369+1)</f>
        <v/>
      </c>
      <c r="D377" s="20">
        <f>IF(A377="","",MIN(Ввод!$B$4,Ввод!$B$4+1-SUMPRODUCT(MAX((Оплаты!$D$6:$D$505=A377)*(Оплаты!$A$6:$A$505&gt;Оплаты!$A$369)*(Ввод!$B$4+1-Оплаты!$A$6:$A$505)))))</f>
        <v/>
      </c>
      <c r="E377" s="14">
        <f>IF(A377="","",INDEX(Акты!$D$5:$D$16,B377)-SUMIFS(Оплаты!$B$6:$B$505,Оплаты!$D$6:$D$505,A377,Оплаты!$A$6:$A$505,"&lt;="&amp;Оплаты!$A$369))</f>
        <v/>
      </c>
      <c r="F377" s="14">
        <f>IF(G377="","",SUMPRODUCT(ROUND(E377*'По дням'!$L$6:$L$155/100*((((D377+'По дням'!$K$6:$K$155-ABS(D377-'По дням'!$K$6:$K$155))-(C377+'По дням'!$J$6:$J$155+ABS(C377-'По дням'!$J$6:$J$155)))/2+1)&gt;0)*(((D377+'По дням'!$K$6:$K$155-ABS(D377-'По дням'!$K$6:$K$155))-(C377+'По дням'!$J$6:$J$155+ABS(C377-'По дням'!$J$6:$J$155)))/2+1)/'По дням'!$M$6:$M$155,2)*(1-'По дням'!$N$6:$N$155)))</f>
        <v/>
      </c>
      <c r="G377">
        <f>IF(A377="","",IF(C377&gt;D377,"",B377*1000000+C377))</f>
        <v/>
      </c>
      <c r="H377" s="14">
        <f>IF(G377="","",SUMIFS(Оплаты!$B$6:$B$505,Оплаты!$D$6:$D$505,A377,Оплаты!$A$6:$A$505,D377))</f>
        <v/>
      </c>
      <c r="I377">
        <f>IF(G377="","",SUMPRODUCT((((((D377+'По дням'!$K$6:$K$155-ABS(D377-'По дням'!$K$6:$K$155))-(C377+'По дням'!$J$6:$J$155+ABS(C377-'По дням'!$J$6:$J$155)))/2+1)&gt;0)*(((D377+'По дням'!$K$6:$K$155-ABS(D377-'По дням'!$K$6:$K$155))-(C377+'По дням'!$J$6:$J$155+ABS(C377-'По дням'!$J$6:$J$155)))/2+1)&gt;0)*1))</f>
        <v/>
      </c>
    </row>
    <row r="378">
      <c r="A378">
        <f>IF(AND(Оплаты!$E$370="ок",COUNTIFS(Акты!$B$5:$B$16,Оплаты!$D$370,Акты!$H$5:$H$16,"ок")&gt;0,COUNTIFS(Оплаты!$D$6:$D$369,Оплаты!$D$370,Оплаты!$A$6:$A$369,Оплаты!$A$370)=0),Оплаты!$D$370,"")</f>
        <v/>
      </c>
      <c r="B378">
        <f>IF(A378="","",MATCH(A378,Акты!$B$5:$B$16,0))</f>
        <v/>
      </c>
      <c r="C378" s="20">
        <f>IF(A378="","",Оплаты!$A$370+1)</f>
        <v/>
      </c>
      <c r="D378" s="20">
        <f>IF(A378="","",MIN(Ввод!$B$4,Ввод!$B$4+1-SUMPRODUCT(MAX((Оплаты!$D$6:$D$505=A378)*(Оплаты!$A$6:$A$505&gt;Оплаты!$A$370)*(Ввод!$B$4+1-Оплаты!$A$6:$A$505)))))</f>
        <v/>
      </c>
      <c r="E378" s="14">
        <f>IF(A378="","",INDEX(Акты!$D$5:$D$16,B378)-SUMIFS(Оплаты!$B$6:$B$505,Оплаты!$D$6:$D$505,A378,Оплаты!$A$6:$A$505,"&lt;="&amp;Оплаты!$A$370))</f>
        <v/>
      </c>
      <c r="F378" s="14">
        <f>IF(G378="","",SUMPRODUCT(ROUND(E378*'По дням'!$L$6:$L$155/100*((((D378+'По дням'!$K$6:$K$155-ABS(D378-'По дням'!$K$6:$K$155))-(C378+'По дням'!$J$6:$J$155+ABS(C378-'По дням'!$J$6:$J$155)))/2+1)&gt;0)*(((D378+'По дням'!$K$6:$K$155-ABS(D378-'По дням'!$K$6:$K$155))-(C378+'По дням'!$J$6:$J$155+ABS(C378-'По дням'!$J$6:$J$155)))/2+1)/'По дням'!$M$6:$M$155,2)*(1-'По дням'!$N$6:$N$155)))</f>
        <v/>
      </c>
      <c r="G378">
        <f>IF(A378="","",IF(C378&gt;D378,"",B378*1000000+C378))</f>
        <v/>
      </c>
      <c r="H378" s="14">
        <f>IF(G378="","",SUMIFS(Оплаты!$B$6:$B$505,Оплаты!$D$6:$D$505,A378,Оплаты!$A$6:$A$505,D378))</f>
        <v/>
      </c>
      <c r="I378">
        <f>IF(G378="","",SUMPRODUCT((((((D378+'По дням'!$K$6:$K$155-ABS(D378-'По дням'!$K$6:$K$155))-(C378+'По дням'!$J$6:$J$155+ABS(C378-'По дням'!$J$6:$J$155)))/2+1)&gt;0)*(((D378+'По дням'!$K$6:$K$155-ABS(D378-'По дням'!$K$6:$K$155))-(C378+'По дням'!$J$6:$J$155+ABS(C378-'По дням'!$J$6:$J$155)))/2+1)&gt;0)*1))</f>
        <v/>
      </c>
    </row>
    <row r="379">
      <c r="A379">
        <f>IF(AND(Оплаты!$E$371="ок",COUNTIFS(Акты!$B$5:$B$16,Оплаты!$D$371,Акты!$H$5:$H$16,"ок")&gt;0,COUNTIFS(Оплаты!$D$6:$D$370,Оплаты!$D$371,Оплаты!$A$6:$A$370,Оплаты!$A$371)=0),Оплаты!$D$371,"")</f>
        <v/>
      </c>
      <c r="B379">
        <f>IF(A379="","",MATCH(A379,Акты!$B$5:$B$16,0))</f>
        <v/>
      </c>
      <c r="C379" s="20">
        <f>IF(A379="","",Оплаты!$A$371+1)</f>
        <v/>
      </c>
      <c r="D379" s="20">
        <f>IF(A379="","",MIN(Ввод!$B$4,Ввод!$B$4+1-SUMPRODUCT(MAX((Оплаты!$D$6:$D$505=A379)*(Оплаты!$A$6:$A$505&gt;Оплаты!$A$371)*(Ввод!$B$4+1-Оплаты!$A$6:$A$505)))))</f>
        <v/>
      </c>
      <c r="E379" s="14">
        <f>IF(A379="","",INDEX(Акты!$D$5:$D$16,B379)-SUMIFS(Оплаты!$B$6:$B$505,Оплаты!$D$6:$D$505,A379,Оплаты!$A$6:$A$505,"&lt;="&amp;Оплаты!$A$371))</f>
        <v/>
      </c>
      <c r="F379" s="14">
        <f>IF(G379="","",SUMPRODUCT(ROUND(E379*'По дням'!$L$6:$L$155/100*((((D379+'По дням'!$K$6:$K$155-ABS(D379-'По дням'!$K$6:$K$155))-(C379+'По дням'!$J$6:$J$155+ABS(C379-'По дням'!$J$6:$J$155)))/2+1)&gt;0)*(((D379+'По дням'!$K$6:$K$155-ABS(D379-'По дням'!$K$6:$K$155))-(C379+'По дням'!$J$6:$J$155+ABS(C379-'По дням'!$J$6:$J$155)))/2+1)/'По дням'!$M$6:$M$155,2)*(1-'По дням'!$N$6:$N$155)))</f>
        <v/>
      </c>
      <c r="G379">
        <f>IF(A379="","",IF(C379&gt;D379,"",B379*1000000+C379))</f>
        <v/>
      </c>
      <c r="H379" s="14">
        <f>IF(G379="","",SUMIFS(Оплаты!$B$6:$B$505,Оплаты!$D$6:$D$505,A379,Оплаты!$A$6:$A$505,D379))</f>
        <v/>
      </c>
      <c r="I379">
        <f>IF(G379="","",SUMPRODUCT((((((D379+'По дням'!$K$6:$K$155-ABS(D379-'По дням'!$K$6:$K$155))-(C379+'По дням'!$J$6:$J$155+ABS(C379-'По дням'!$J$6:$J$155)))/2+1)&gt;0)*(((D379+'По дням'!$K$6:$K$155-ABS(D379-'По дням'!$K$6:$K$155))-(C379+'По дням'!$J$6:$J$155+ABS(C379-'По дням'!$J$6:$J$155)))/2+1)&gt;0)*1))</f>
        <v/>
      </c>
    </row>
    <row r="380">
      <c r="A380">
        <f>IF(AND(Оплаты!$E$372="ок",COUNTIFS(Акты!$B$5:$B$16,Оплаты!$D$372,Акты!$H$5:$H$16,"ок")&gt;0,COUNTIFS(Оплаты!$D$6:$D$371,Оплаты!$D$372,Оплаты!$A$6:$A$371,Оплаты!$A$372)=0),Оплаты!$D$372,"")</f>
        <v/>
      </c>
      <c r="B380">
        <f>IF(A380="","",MATCH(A380,Акты!$B$5:$B$16,0))</f>
        <v/>
      </c>
      <c r="C380" s="20">
        <f>IF(A380="","",Оплаты!$A$372+1)</f>
        <v/>
      </c>
      <c r="D380" s="20">
        <f>IF(A380="","",MIN(Ввод!$B$4,Ввод!$B$4+1-SUMPRODUCT(MAX((Оплаты!$D$6:$D$505=A380)*(Оплаты!$A$6:$A$505&gt;Оплаты!$A$372)*(Ввод!$B$4+1-Оплаты!$A$6:$A$505)))))</f>
        <v/>
      </c>
      <c r="E380" s="14">
        <f>IF(A380="","",INDEX(Акты!$D$5:$D$16,B380)-SUMIFS(Оплаты!$B$6:$B$505,Оплаты!$D$6:$D$505,A380,Оплаты!$A$6:$A$505,"&lt;="&amp;Оплаты!$A$372))</f>
        <v/>
      </c>
      <c r="F380" s="14">
        <f>IF(G380="","",SUMPRODUCT(ROUND(E380*'По дням'!$L$6:$L$155/100*((((D380+'По дням'!$K$6:$K$155-ABS(D380-'По дням'!$K$6:$K$155))-(C380+'По дням'!$J$6:$J$155+ABS(C380-'По дням'!$J$6:$J$155)))/2+1)&gt;0)*(((D380+'По дням'!$K$6:$K$155-ABS(D380-'По дням'!$K$6:$K$155))-(C380+'По дням'!$J$6:$J$155+ABS(C380-'По дням'!$J$6:$J$155)))/2+1)/'По дням'!$M$6:$M$155,2)*(1-'По дням'!$N$6:$N$155)))</f>
        <v/>
      </c>
      <c r="G380">
        <f>IF(A380="","",IF(C380&gt;D380,"",B380*1000000+C380))</f>
        <v/>
      </c>
      <c r="H380" s="14">
        <f>IF(G380="","",SUMIFS(Оплаты!$B$6:$B$505,Оплаты!$D$6:$D$505,A380,Оплаты!$A$6:$A$505,D380))</f>
        <v/>
      </c>
      <c r="I380">
        <f>IF(G380="","",SUMPRODUCT((((((D380+'По дням'!$K$6:$K$155-ABS(D380-'По дням'!$K$6:$K$155))-(C380+'По дням'!$J$6:$J$155+ABS(C380-'По дням'!$J$6:$J$155)))/2+1)&gt;0)*(((D380+'По дням'!$K$6:$K$155-ABS(D380-'По дням'!$K$6:$K$155))-(C380+'По дням'!$J$6:$J$155+ABS(C380-'По дням'!$J$6:$J$155)))/2+1)&gt;0)*1))</f>
        <v/>
      </c>
    </row>
    <row r="381">
      <c r="A381">
        <f>IF(AND(Оплаты!$E$373="ок",COUNTIFS(Акты!$B$5:$B$16,Оплаты!$D$373,Акты!$H$5:$H$16,"ок")&gt;0,COUNTIFS(Оплаты!$D$6:$D$372,Оплаты!$D$373,Оплаты!$A$6:$A$372,Оплаты!$A$373)=0),Оплаты!$D$373,"")</f>
        <v/>
      </c>
      <c r="B381">
        <f>IF(A381="","",MATCH(A381,Акты!$B$5:$B$16,0))</f>
        <v/>
      </c>
      <c r="C381" s="20">
        <f>IF(A381="","",Оплаты!$A$373+1)</f>
        <v/>
      </c>
      <c r="D381" s="20">
        <f>IF(A381="","",MIN(Ввод!$B$4,Ввод!$B$4+1-SUMPRODUCT(MAX((Оплаты!$D$6:$D$505=A381)*(Оплаты!$A$6:$A$505&gt;Оплаты!$A$373)*(Ввод!$B$4+1-Оплаты!$A$6:$A$505)))))</f>
        <v/>
      </c>
      <c r="E381" s="14">
        <f>IF(A381="","",INDEX(Акты!$D$5:$D$16,B381)-SUMIFS(Оплаты!$B$6:$B$505,Оплаты!$D$6:$D$505,A381,Оплаты!$A$6:$A$505,"&lt;="&amp;Оплаты!$A$373))</f>
        <v/>
      </c>
      <c r="F381" s="14">
        <f>IF(G381="","",SUMPRODUCT(ROUND(E381*'По дням'!$L$6:$L$155/100*((((D381+'По дням'!$K$6:$K$155-ABS(D381-'По дням'!$K$6:$K$155))-(C381+'По дням'!$J$6:$J$155+ABS(C381-'По дням'!$J$6:$J$155)))/2+1)&gt;0)*(((D381+'По дням'!$K$6:$K$155-ABS(D381-'По дням'!$K$6:$K$155))-(C381+'По дням'!$J$6:$J$155+ABS(C381-'По дням'!$J$6:$J$155)))/2+1)/'По дням'!$M$6:$M$155,2)*(1-'По дням'!$N$6:$N$155)))</f>
        <v/>
      </c>
      <c r="G381">
        <f>IF(A381="","",IF(C381&gt;D381,"",B381*1000000+C381))</f>
        <v/>
      </c>
      <c r="H381" s="14">
        <f>IF(G381="","",SUMIFS(Оплаты!$B$6:$B$505,Оплаты!$D$6:$D$505,A381,Оплаты!$A$6:$A$505,D381))</f>
        <v/>
      </c>
      <c r="I381">
        <f>IF(G381="","",SUMPRODUCT((((((D381+'По дням'!$K$6:$K$155-ABS(D381-'По дням'!$K$6:$K$155))-(C381+'По дням'!$J$6:$J$155+ABS(C381-'По дням'!$J$6:$J$155)))/2+1)&gt;0)*(((D381+'По дням'!$K$6:$K$155-ABS(D381-'По дням'!$K$6:$K$155))-(C381+'По дням'!$J$6:$J$155+ABS(C381-'По дням'!$J$6:$J$155)))/2+1)&gt;0)*1))</f>
        <v/>
      </c>
    </row>
    <row r="382">
      <c r="A382">
        <f>IF(AND(Оплаты!$E$374="ок",COUNTIFS(Акты!$B$5:$B$16,Оплаты!$D$374,Акты!$H$5:$H$16,"ок")&gt;0,COUNTIFS(Оплаты!$D$6:$D$373,Оплаты!$D$374,Оплаты!$A$6:$A$373,Оплаты!$A$374)=0),Оплаты!$D$374,"")</f>
        <v/>
      </c>
      <c r="B382">
        <f>IF(A382="","",MATCH(A382,Акты!$B$5:$B$16,0))</f>
        <v/>
      </c>
      <c r="C382" s="20">
        <f>IF(A382="","",Оплаты!$A$374+1)</f>
        <v/>
      </c>
      <c r="D382" s="20">
        <f>IF(A382="","",MIN(Ввод!$B$4,Ввод!$B$4+1-SUMPRODUCT(MAX((Оплаты!$D$6:$D$505=A382)*(Оплаты!$A$6:$A$505&gt;Оплаты!$A$374)*(Ввод!$B$4+1-Оплаты!$A$6:$A$505)))))</f>
        <v/>
      </c>
      <c r="E382" s="14">
        <f>IF(A382="","",INDEX(Акты!$D$5:$D$16,B382)-SUMIFS(Оплаты!$B$6:$B$505,Оплаты!$D$6:$D$505,A382,Оплаты!$A$6:$A$505,"&lt;="&amp;Оплаты!$A$374))</f>
        <v/>
      </c>
      <c r="F382" s="14">
        <f>IF(G382="","",SUMPRODUCT(ROUND(E382*'По дням'!$L$6:$L$155/100*((((D382+'По дням'!$K$6:$K$155-ABS(D382-'По дням'!$K$6:$K$155))-(C382+'По дням'!$J$6:$J$155+ABS(C382-'По дням'!$J$6:$J$155)))/2+1)&gt;0)*(((D382+'По дням'!$K$6:$K$155-ABS(D382-'По дням'!$K$6:$K$155))-(C382+'По дням'!$J$6:$J$155+ABS(C382-'По дням'!$J$6:$J$155)))/2+1)/'По дням'!$M$6:$M$155,2)*(1-'По дням'!$N$6:$N$155)))</f>
        <v/>
      </c>
      <c r="G382">
        <f>IF(A382="","",IF(C382&gt;D382,"",B382*1000000+C382))</f>
        <v/>
      </c>
      <c r="H382" s="14">
        <f>IF(G382="","",SUMIFS(Оплаты!$B$6:$B$505,Оплаты!$D$6:$D$505,A382,Оплаты!$A$6:$A$505,D382))</f>
        <v/>
      </c>
      <c r="I382">
        <f>IF(G382="","",SUMPRODUCT((((((D382+'По дням'!$K$6:$K$155-ABS(D382-'По дням'!$K$6:$K$155))-(C382+'По дням'!$J$6:$J$155+ABS(C382-'По дням'!$J$6:$J$155)))/2+1)&gt;0)*(((D382+'По дням'!$K$6:$K$155-ABS(D382-'По дням'!$K$6:$K$155))-(C382+'По дням'!$J$6:$J$155+ABS(C382-'По дням'!$J$6:$J$155)))/2+1)&gt;0)*1))</f>
        <v/>
      </c>
    </row>
    <row r="383">
      <c r="A383">
        <f>IF(AND(Оплаты!$E$375="ок",COUNTIFS(Акты!$B$5:$B$16,Оплаты!$D$375,Акты!$H$5:$H$16,"ок")&gt;0,COUNTIFS(Оплаты!$D$6:$D$374,Оплаты!$D$375,Оплаты!$A$6:$A$374,Оплаты!$A$375)=0),Оплаты!$D$375,"")</f>
        <v/>
      </c>
      <c r="B383">
        <f>IF(A383="","",MATCH(A383,Акты!$B$5:$B$16,0))</f>
        <v/>
      </c>
      <c r="C383" s="20">
        <f>IF(A383="","",Оплаты!$A$375+1)</f>
        <v/>
      </c>
      <c r="D383" s="20">
        <f>IF(A383="","",MIN(Ввод!$B$4,Ввод!$B$4+1-SUMPRODUCT(MAX((Оплаты!$D$6:$D$505=A383)*(Оплаты!$A$6:$A$505&gt;Оплаты!$A$375)*(Ввод!$B$4+1-Оплаты!$A$6:$A$505)))))</f>
        <v/>
      </c>
      <c r="E383" s="14">
        <f>IF(A383="","",INDEX(Акты!$D$5:$D$16,B383)-SUMIFS(Оплаты!$B$6:$B$505,Оплаты!$D$6:$D$505,A383,Оплаты!$A$6:$A$505,"&lt;="&amp;Оплаты!$A$375))</f>
        <v/>
      </c>
      <c r="F383" s="14">
        <f>IF(G383="","",SUMPRODUCT(ROUND(E383*'По дням'!$L$6:$L$155/100*((((D383+'По дням'!$K$6:$K$155-ABS(D383-'По дням'!$K$6:$K$155))-(C383+'По дням'!$J$6:$J$155+ABS(C383-'По дням'!$J$6:$J$155)))/2+1)&gt;0)*(((D383+'По дням'!$K$6:$K$155-ABS(D383-'По дням'!$K$6:$K$155))-(C383+'По дням'!$J$6:$J$155+ABS(C383-'По дням'!$J$6:$J$155)))/2+1)/'По дням'!$M$6:$M$155,2)*(1-'По дням'!$N$6:$N$155)))</f>
        <v/>
      </c>
      <c r="G383">
        <f>IF(A383="","",IF(C383&gt;D383,"",B383*1000000+C383))</f>
        <v/>
      </c>
      <c r="H383" s="14">
        <f>IF(G383="","",SUMIFS(Оплаты!$B$6:$B$505,Оплаты!$D$6:$D$505,A383,Оплаты!$A$6:$A$505,D383))</f>
        <v/>
      </c>
      <c r="I383">
        <f>IF(G383="","",SUMPRODUCT((((((D383+'По дням'!$K$6:$K$155-ABS(D383-'По дням'!$K$6:$K$155))-(C383+'По дням'!$J$6:$J$155+ABS(C383-'По дням'!$J$6:$J$155)))/2+1)&gt;0)*(((D383+'По дням'!$K$6:$K$155-ABS(D383-'По дням'!$K$6:$K$155))-(C383+'По дням'!$J$6:$J$155+ABS(C383-'По дням'!$J$6:$J$155)))/2+1)&gt;0)*1))</f>
        <v/>
      </c>
    </row>
    <row r="384">
      <c r="A384">
        <f>IF(AND(Оплаты!$E$376="ок",COUNTIFS(Акты!$B$5:$B$16,Оплаты!$D$376,Акты!$H$5:$H$16,"ок")&gt;0,COUNTIFS(Оплаты!$D$6:$D$375,Оплаты!$D$376,Оплаты!$A$6:$A$375,Оплаты!$A$376)=0),Оплаты!$D$376,"")</f>
        <v/>
      </c>
      <c r="B384">
        <f>IF(A384="","",MATCH(A384,Акты!$B$5:$B$16,0))</f>
        <v/>
      </c>
      <c r="C384" s="20">
        <f>IF(A384="","",Оплаты!$A$376+1)</f>
        <v/>
      </c>
      <c r="D384" s="20">
        <f>IF(A384="","",MIN(Ввод!$B$4,Ввод!$B$4+1-SUMPRODUCT(MAX((Оплаты!$D$6:$D$505=A384)*(Оплаты!$A$6:$A$505&gt;Оплаты!$A$376)*(Ввод!$B$4+1-Оплаты!$A$6:$A$505)))))</f>
        <v/>
      </c>
      <c r="E384" s="14">
        <f>IF(A384="","",INDEX(Акты!$D$5:$D$16,B384)-SUMIFS(Оплаты!$B$6:$B$505,Оплаты!$D$6:$D$505,A384,Оплаты!$A$6:$A$505,"&lt;="&amp;Оплаты!$A$376))</f>
        <v/>
      </c>
      <c r="F384" s="14">
        <f>IF(G384="","",SUMPRODUCT(ROUND(E384*'По дням'!$L$6:$L$155/100*((((D384+'По дням'!$K$6:$K$155-ABS(D384-'По дням'!$K$6:$K$155))-(C384+'По дням'!$J$6:$J$155+ABS(C384-'По дням'!$J$6:$J$155)))/2+1)&gt;0)*(((D384+'По дням'!$K$6:$K$155-ABS(D384-'По дням'!$K$6:$K$155))-(C384+'По дням'!$J$6:$J$155+ABS(C384-'По дням'!$J$6:$J$155)))/2+1)/'По дням'!$M$6:$M$155,2)*(1-'По дням'!$N$6:$N$155)))</f>
        <v/>
      </c>
      <c r="G384">
        <f>IF(A384="","",IF(C384&gt;D384,"",B384*1000000+C384))</f>
        <v/>
      </c>
      <c r="H384" s="14">
        <f>IF(G384="","",SUMIFS(Оплаты!$B$6:$B$505,Оплаты!$D$6:$D$505,A384,Оплаты!$A$6:$A$505,D384))</f>
        <v/>
      </c>
      <c r="I384">
        <f>IF(G384="","",SUMPRODUCT((((((D384+'По дням'!$K$6:$K$155-ABS(D384-'По дням'!$K$6:$K$155))-(C384+'По дням'!$J$6:$J$155+ABS(C384-'По дням'!$J$6:$J$155)))/2+1)&gt;0)*(((D384+'По дням'!$K$6:$K$155-ABS(D384-'По дням'!$K$6:$K$155))-(C384+'По дням'!$J$6:$J$155+ABS(C384-'По дням'!$J$6:$J$155)))/2+1)&gt;0)*1))</f>
        <v/>
      </c>
    </row>
    <row r="385">
      <c r="A385">
        <f>IF(AND(Оплаты!$E$377="ок",COUNTIFS(Акты!$B$5:$B$16,Оплаты!$D$377,Акты!$H$5:$H$16,"ок")&gt;0,COUNTIFS(Оплаты!$D$6:$D$376,Оплаты!$D$377,Оплаты!$A$6:$A$376,Оплаты!$A$377)=0),Оплаты!$D$377,"")</f>
        <v/>
      </c>
      <c r="B385">
        <f>IF(A385="","",MATCH(A385,Акты!$B$5:$B$16,0))</f>
        <v/>
      </c>
      <c r="C385" s="20">
        <f>IF(A385="","",Оплаты!$A$377+1)</f>
        <v/>
      </c>
      <c r="D385" s="20">
        <f>IF(A385="","",MIN(Ввод!$B$4,Ввод!$B$4+1-SUMPRODUCT(MAX((Оплаты!$D$6:$D$505=A385)*(Оплаты!$A$6:$A$505&gt;Оплаты!$A$377)*(Ввод!$B$4+1-Оплаты!$A$6:$A$505)))))</f>
        <v/>
      </c>
      <c r="E385" s="14">
        <f>IF(A385="","",INDEX(Акты!$D$5:$D$16,B385)-SUMIFS(Оплаты!$B$6:$B$505,Оплаты!$D$6:$D$505,A385,Оплаты!$A$6:$A$505,"&lt;="&amp;Оплаты!$A$377))</f>
        <v/>
      </c>
      <c r="F385" s="14">
        <f>IF(G385="","",SUMPRODUCT(ROUND(E385*'По дням'!$L$6:$L$155/100*((((D385+'По дням'!$K$6:$K$155-ABS(D385-'По дням'!$K$6:$K$155))-(C385+'По дням'!$J$6:$J$155+ABS(C385-'По дням'!$J$6:$J$155)))/2+1)&gt;0)*(((D385+'По дням'!$K$6:$K$155-ABS(D385-'По дням'!$K$6:$K$155))-(C385+'По дням'!$J$6:$J$155+ABS(C385-'По дням'!$J$6:$J$155)))/2+1)/'По дням'!$M$6:$M$155,2)*(1-'По дням'!$N$6:$N$155)))</f>
        <v/>
      </c>
      <c r="G385">
        <f>IF(A385="","",IF(C385&gt;D385,"",B385*1000000+C385))</f>
        <v/>
      </c>
      <c r="H385" s="14">
        <f>IF(G385="","",SUMIFS(Оплаты!$B$6:$B$505,Оплаты!$D$6:$D$505,A385,Оплаты!$A$6:$A$505,D385))</f>
        <v/>
      </c>
      <c r="I385">
        <f>IF(G385="","",SUMPRODUCT((((((D385+'По дням'!$K$6:$K$155-ABS(D385-'По дням'!$K$6:$K$155))-(C385+'По дням'!$J$6:$J$155+ABS(C385-'По дням'!$J$6:$J$155)))/2+1)&gt;0)*(((D385+'По дням'!$K$6:$K$155-ABS(D385-'По дням'!$K$6:$K$155))-(C385+'По дням'!$J$6:$J$155+ABS(C385-'По дням'!$J$6:$J$155)))/2+1)&gt;0)*1))</f>
        <v/>
      </c>
    </row>
    <row r="386">
      <c r="A386">
        <f>IF(AND(Оплаты!$E$378="ок",COUNTIFS(Акты!$B$5:$B$16,Оплаты!$D$378,Акты!$H$5:$H$16,"ок")&gt;0,COUNTIFS(Оплаты!$D$6:$D$377,Оплаты!$D$378,Оплаты!$A$6:$A$377,Оплаты!$A$378)=0),Оплаты!$D$378,"")</f>
        <v/>
      </c>
      <c r="B386">
        <f>IF(A386="","",MATCH(A386,Акты!$B$5:$B$16,0))</f>
        <v/>
      </c>
      <c r="C386" s="20">
        <f>IF(A386="","",Оплаты!$A$378+1)</f>
        <v/>
      </c>
      <c r="D386" s="20">
        <f>IF(A386="","",MIN(Ввод!$B$4,Ввод!$B$4+1-SUMPRODUCT(MAX((Оплаты!$D$6:$D$505=A386)*(Оплаты!$A$6:$A$505&gt;Оплаты!$A$378)*(Ввод!$B$4+1-Оплаты!$A$6:$A$505)))))</f>
        <v/>
      </c>
      <c r="E386" s="14">
        <f>IF(A386="","",INDEX(Акты!$D$5:$D$16,B386)-SUMIFS(Оплаты!$B$6:$B$505,Оплаты!$D$6:$D$505,A386,Оплаты!$A$6:$A$505,"&lt;="&amp;Оплаты!$A$378))</f>
        <v/>
      </c>
      <c r="F386" s="14">
        <f>IF(G386="","",SUMPRODUCT(ROUND(E386*'По дням'!$L$6:$L$155/100*((((D386+'По дням'!$K$6:$K$155-ABS(D386-'По дням'!$K$6:$K$155))-(C386+'По дням'!$J$6:$J$155+ABS(C386-'По дням'!$J$6:$J$155)))/2+1)&gt;0)*(((D386+'По дням'!$K$6:$K$155-ABS(D386-'По дням'!$K$6:$K$155))-(C386+'По дням'!$J$6:$J$155+ABS(C386-'По дням'!$J$6:$J$155)))/2+1)/'По дням'!$M$6:$M$155,2)*(1-'По дням'!$N$6:$N$155)))</f>
        <v/>
      </c>
      <c r="G386">
        <f>IF(A386="","",IF(C386&gt;D386,"",B386*1000000+C386))</f>
        <v/>
      </c>
      <c r="H386" s="14">
        <f>IF(G386="","",SUMIFS(Оплаты!$B$6:$B$505,Оплаты!$D$6:$D$505,A386,Оплаты!$A$6:$A$505,D386))</f>
        <v/>
      </c>
      <c r="I386">
        <f>IF(G386="","",SUMPRODUCT((((((D386+'По дням'!$K$6:$K$155-ABS(D386-'По дням'!$K$6:$K$155))-(C386+'По дням'!$J$6:$J$155+ABS(C386-'По дням'!$J$6:$J$155)))/2+1)&gt;0)*(((D386+'По дням'!$K$6:$K$155-ABS(D386-'По дням'!$K$6:$K$155))-(C386+'По дням'!$J$6:$J$155+ABS(C386-'По дням'!$J$6:$J$155)))/2+1)&gt;0)*1))</f>
        <v/>
      </c>
    </row>
    <row r="387">
      <c r="A387">
        <f>IF(AND(Оплаты!$E$379="ок",COUNTIFS(Акты!$B$5:$B$16,Оплаты!$D$379,Акты!$H$5:$H$16,"ок")&gt;0,COUNTIFS(Оплаты!$D$6:$D$378,Оплаты!$D$379,Оплаты!$A$6:$A$378,Оплаты!$A$379)=0),Оплаты!$D$379,"")</f>
        <v/>
      </c>
      <c r="B387">
        <f>IF(A387="","",MATCH(A387,Акты!$B$5:$B$16,0))</f>
        <v/>
      </c>
      <c r="C387" s="20">
        <f>IF(A387="","",Оплаты!$A$379+1)</f>
        <v/>
      </c>
      <c r="D387" s="20">
        <f>IF(A387="","",MIN(Ввод!$B$4,Ввод!$B$4+1-SUMPRODUCT(MAX((Оплаты!$D$6:$D$505=A387)*(Оплаты!$A$6:$A$505&gt;Оплаты!$A$379)*(Ввод!$B$4+1-Оплаты!$A$6:$A$505)))))</f>
        <v/>
      </c>
      <c r="E387" s="14">
        <f>IF(A387="","",INDEX(Акты!$D$5:$D$16,B387)-SUMIFS(Оплаты!$B$6:$B$505,Оплаты!$D$6:$D$505,A387,Оплаты!$A$6:$A$505,"&lt;="&amp;Оплаты!$A$379))</f>
        <v/>
      </c>
      <c r="F387" s="14">
        <f>IF(G387="","",SUMPRODUCT(ROUND(E387*'По дням'!$L$6:$L$155/100*((((D387+'По дням'!$K$6:$K$155-ABS(D387-'По дням'!$K$6:$K$155))-(C387+'По дням'!$J$6:$J$155+ABS(C387-'По дням'!$J$6:$J$155)))/2+1)&gt;0)*(((D387+'По дням'!$K$6:$K$155-ABS(D387-'По дням'!$K$6:$K$155))-(C387+'По дням'!$J$6:$J$155+ABS(C387-'По дням'!$J$6:$J$155)))/2+1)/'По дням'!$M$6:$M$155,2)*(1-'По дням'!$N$6:$N$155)))</f>
        <v/>
      </c>
      <c r="G387">
        <f>IF(A387="","",IF(C387&gt;D387,"",B387*1000000+C387))</f>
        <v/>
      </c>
      <c r="H387" s="14">
        <f>IF(G387="","",SUMIFS(Оплаты!$B$6:$B$505,Оплаты!$D$6:$D$505,A387,Оплаты!$A$6:$A$505,D387))</f>
        <v/>
      </c>
      <c r="I387">
        <f>IF(G387="","",SUMPRODUCT((((((D387+'По дням'!$K$6:$K$155-ABS(D387-'По дням'!$K$6:$K$155))-(C387+'По дням'!$J$6:$J$155+ABS(C387-'По дням'!$J$6:$J$155)))/2+1)&gt;0)*(((D387+'По дням'!$K$6:$K$155-ABS(D387-'По дням'!$K$6:$K$155))-(C387+'По дням'!$J$6:$J$155+ABS(C387-'По дням'!$J$6:$J$155)))/2+1)&gt;0)*1))</f>
        <v/>
      </c>
    </row>
    <row r="388">
      <c r="A388">
        <f>IF(AND(Оплаты!$E$380="ок",COUNTIFS(Акты!$B$5:$B$16,Оплаты!$D$380,Акты!$H$5:$H$16,"ок")&gt;0,COUNTIFS(Оплаты!$D$6:$D$379,Оплаты!$D$380,Оплаты!$A$6:$A$379,Оплаты!$A$380)=0),Оплаты!$D$380,"")</f>
        <v/>
      </c>
      <c r="B388">
        <f>IF(A388="","",MATCH(A388,Акты!$B$5:$B$16,0))</f>
        <v/>
      </c>
      <c r="C388" s="20">
        <f>IF(A388="","",Оплаты!$A$380+1)</f>
        <v/>
      </c>
      <c r="D388" s="20">
        <f>IF(A388="","",MIN(Ввод!$B$4,Ввод!$B$4+1-SUMPRODUCT(MAX((Оплаты!$D$6:$D$505=A388)*(Оплаты!$A$6:$A$505&gt;Оплаты!$A$380)*(Ввод!$B$4+1-Оплаты!$A$6:$A$505)))))</f>
        <v/>
      </c>
      <c r="E388" s="14">
        <f>IF(A388="","",INDEX(Акты!$D$5:$D$16,B388)-SUMIFS(Оплаты!$B$6:$B$505,Оплаты!$D$6:$D$505,A388,Оплаты!$A$6:$A$505,"&lt;="&amp;Оплаты!$A$380))</f>
        <v/>
      </c>
      <c r="F388" s="14">
        <f>IF(G388="","",SUMPRODUCT(ROUND(E388*'По дням'!$L$6:$L$155/100*((((D388+'По дням'!$K$6:$K$155-ABS(D388-'По дням'!$K$6:$K$155))-(C388+'По дням'!$J$6:$J$155+ABS(C388-'По дням'!$J$6:$J$155)))/2+1)&gt;0)*(((D388+'По дням'!$K$6:$K$155-ABS(D388-'По дням'!$K$6:$K$155))-(C388+'По дням'!$J$6:$J$155+ABS(C388-'По дням'!$J$6:$J$155)))/2+1)/'По дням'!$M$6:$M$155,2)*(1-'По дням'!$N$6:$N$155)))</f>
        <v/>
      </c>
      <c r="G388">
        <f>IF(A388="","",IF(C388&gt;D388,"",B388*1000000+C388))</f>
        <v/>
      </c>
      <c r="H388" s="14">
        <f>IF(G388="","",SUMIFS(Оплаты!$B$6:$B$505,Оплаты!$D$6:$D$505,A388,Оплаты!$A$6:$A$505,D388))</f>
        <v/>
      </c>
      <c r="I388">
        <f>IF(G388="","",SUMPRODUCT((((((D388+'По дням'!$K$6:$K$155-ABS(D388-'По дням'!$K$6:$K$155))-(C388+'По дням'!$J$6:$J$155+ABS(C388-'По дням'!$J$6:$J$155)))/2+1)&gt;0)*(((D388+'По дням'!$K$6:$K$155-ABS(D388-'По дням'!$K$6:$K$155))-(C388+'По дням'!$J$6:$J$155+ABS(C388-'По дням'!$J$6:$J$155)))/2+1)&gt;0)*1))</f>
        <v/>
      </c>
    </row>
    <row r="389">
      <c r="A389">
        <f>IF(AND(Оплаты!$E$381="ок",COUNTIFS(Акты!$B$5:$B$16,Оплаты!$D$381,Акты!$H$5:$H$16,"ок")&gt;0,COUNTIFS(Оплаты!$D$6:$D$380,Оплаты!$D$381,Оплаты!$A$6:$A$380,Оплаты!$A$381)=0),Оплаты!$D$381,"")</f>
        <v/>
      </c>
      <c r="B389">
        <f>IF(A389="","",MATCH(A389,Акты!$B$5:$B$16,0))</f>
        <v/>
      </c>
      <c r="C389" s="20">
        <f>IF(A389="","",Оплаты!$A$381+1)</f>
        <v/>
      </c>
      <c r="D389" s="20">
        <f>IF(A389="","",MIN(Ввод!$B$4,Ввод!$B$4+1-SUMPRODUCT(MAX((Оплаты!$D$6:$D$505=A389)*(Оплаты!$A$6:$A$505&gt;Оплаты!$A$381)*(Ввод!$B$4+1-Оплаты!$A$6:$A$505)))))</f>
        <v/>
      </c>
      <c r="E389" s="14">
        <f>IF(A389="","",INDEX(Акты!$D$5:$D$16,B389)-SUMIFS(Оплаты!$B$6:$B$505,Оплаты!$D$6:$D$505,A389,Оплаты!$A$6:$A$505,"&lt;="&amp;Оплаты!$A$381))</f>
        <v/>
      </c>
      <c r="F389" s="14">
        <f>IF(G389="","",SUMPRODUCT(ROUND(E389*'По дням'!$L$6:$L$155/100*((((D389+'По дням'!$K$6:$K$155-ABS(D389-'По дням'!$K$6:$K$155))-(C389+'По дням'!$J$6:$J$155+ABS(C389-'По дням'!$J$6:$J$155)))/2+1)&gt;0)*(((D389+'По дням'!$K$6:$K$155-ABS(D389-'По дням'!$K$6:$K$155))-(C389+'По дням'!$J$6:$J$155+ABS(C389-'По дням'!$J$6:$J$155)))/2+1)/'По дням'!$M$6:$M$155,2)*(1-'По дням'!$N$6:$N$155)))</f>
        <v/>
      </c>
      <c r="G389">
        <f>IF(A389="","",IF(C389&gt;D389,"",B389*1000000+C389))</f>
        <v/>
      </c>
      <c r="H389" s="14">
        <f>IF(G389="","",SUMIFS(Оплаты!$B$6:$B$505,Оплаты!$D$6:$D$505,A389,Оплаты!$A$6:$A$505,D389))</f>
        <v/>
      </c>
      <c r="I389">
        <f>IF(G389="","",SUMPRODUCT((((((D389+'По дням'!$K$6:$K$155-ABS(D389-'По дням'!$K$6:$K$155))-(C389+'По дням'!$J$6:$J$155+ABS(C389-'По дням'!$J$6:$J$155)))/2+1)&gt;0)*(((D389+'По дням'!$K$6:$K$155-ABS(D389-'По дням'!$K$6:$K$155))-(C389+'По дням'!$J$6:$J$155+ABS(C389-'По дням'!$J$6:$J$155)))/2+1)&gt;0)*1))</f>
        <v/>
      </c>
    </row>
    <row r="390">
      <c r="A390">
        <f>IF(AND(Оплаты!$E$382="ок",COUNTIFS(Акты!$B$5:$B$16,Оплаты!$D$382,Акты!$H$5:$H$16,"ок")&gt;0,COUNTIFS(Оплаты!$D$6:$D$381,Оплаты!$D$382,Оплаты!$A$6:$A$381,Оплаты!$A$382)=0),Оплаты!$D$382,"")</f>
        <v/>
      </c>
      <c r="B390">
        <f>IF(A390="","",MATCH(A390,Акты!$B$5:$B$16,0))</f>
        <v/>
      </c>
      <c r="C390" s="20">
        <f>IF(A390="","",Оплаты!$A$382+1)</f>
        <v/>
      </c>
      <c r="D390" s="20">
        <f>IF(A390="","",MIN(Ввод!$B$4,Ввод!$B$4+1-SUMPRODUCT(MAX((Оплаты!$D$6:$D$505=A390)*(Оплаты!$A$6:$A$505&gt;Оплаты!$A$382)*(Ввод!$B$4+1-Оплаты!$A$6:$A$505)))))</f>
        <v/>
      </c>
      <c r="E390" s="14">
        <f>IF(A390="","",INDEX(Акты!$D$5:$D$16,B390)-SUMIFS(Оплаты!$B$6:$B$505,Оплаты!$D$6:$D$505,A390,Оплаты!$A$6:$A$505,"&lt;="&amp;Оплаты!$A$382))</f>
        <v/>
      </c>
      <c r="F390" s="14">
        <f>IF(G390="","",SUMPRODUCT(ROUND(E390*'По дням'!$L$6:$L$155/100*((((D390+'По дням'!$K$6:$K$155-ABS(D390-'По дням'!$K$6:$K$155))-(C390+'По дням'!$J$6:$J$155+ABS(C390-'По дням'!$J$6:$J$155)))/2+1)&gt;0)*(((D390+'По дням'!$K$6:$K$155-ABS(D390-'По дням'!$K$6:$K$155))-(C390+'По дням'!$J$6:$J$155+ABS(C390-'По дням'!$J$6:$J$155)))/2+1)/'По дням'!$M$6:$M$155,2)*(1-'По дням'!$N$6:$N$155)))</f>
        <v/>
      </c>
      <c r="G390">
        <f>IF(A390="","",IF(C390&gt;D390,"",B390*1000000+C390))</f>
        <v/>
      </c>
      <c r="H390" s="14">
        <f>IF(G390="","",SUMIFS(Оплаты!$B$6:$B$505,Оплаты!$D$6:$D$505,A390,Оплаты!$A$6:$A$505,D390))</f>
        <v/>
      </c>
      <c r="I390">
        <f>IF(G390="","",SUMPRODUCT((((((D390+'По дням'!$K$6:$K$155-ABS(D390-'По дням'!$K$6:$K$155))-(C390+'По дням'!$J$6:$J$155+ABS(C390-'По дням'!$J$6:$J$155)))/2+1)&gt;0)*(((D390+'По дням'!$K$6:$K$155-ABS(D390-'По дням'!$K$6:$K$155))-(C390+'По дням'!$J$6:$J$155+ABS(C390-'По дням'!$J$6:$J$155)))/2+1)&gt;0)*1))</f>
        <v/>
      </c>
    </row>
    <row r="391">
      <c r="A391">
        <f>IF(AND(Оплаты!$E$383="ок",COUNTIFS(Акты!$B$5:$B$16,Оплаты!$D$383,Акты!$H$5:$H$16,"ок")&gt;0,COUNTIFS(Оплаты!$D$6:$D$382,Оплаты!$D$383,Оплаты!$A$6:$A$382,Оплаты!$A$383)=0),Оплаты!$D$383,"")</f>
        <v/>
      </c>
      <c r="B391">
        <f>IF(A391="","",MATCH(A391,Акты!$B$5:$B$16,0))</f>
        <v/>
      </c>
      <c r="C391" s="20">
        <f>IF(A391="","",Оплаты!$A$383+1)</f>
        <v/>
      </c>
      <c r="D391" s="20">
        <f>IF(A391="","",MIN(Ввод!$B$4,Ввод!$B$4+1-SUMPRODUCT(MAX((Оплаты!$D$6:$D$505=A391)*(Оплаты!$A$6:$A$505&gt;Оплаты!$A$383)*(Ввод!$B$4+1-Оплаты!$A$6:$A$505)))))</f>
        <v/>
      </c>
      <c r="E391" s="14">
        <f>IF(A391="","",INDEX(Акты!$D$5:$D$16,B391)-SUMIFS(Оплаты!$B$6:$B$505,Оплаты!$D$6:$D$505,A391,Оплаты!$A$6:$A$505,"&lt;="&amp;Оплаты!$A$383))</f>
        <v/>
      </c>
      <c r="F391" s="14">
        <f>IF(G391="","",SUMPRODUCT(ROUND(E391*'По дням'!$L$6:$L$155/100*((((D391+'По дням'!$K$6:$K$155-ABS(D391-'По дням'!$K$6:$K$155))-(C391+'По дням'!$J$6:$J$155+ABS(C391-'По дням'!$J$6:$J$155)))/2+1)&gt;0)*(((D391+'По дням'!$K$6:$K$155-ABS(D391-'По дням'!$K$6:$K$155))-(C391+'По дням'!$J$6:$J$155+ABS(C391-'По дням'!$J$6:$J$155)))/2+1)/'По дням'!$M$6:$M$155,2)*(1-'По дням'!$N$6:$N$155)))</f>
        <v/>
      </c>
      <c r="G391">
        <f>IF(A391="","",IF(C391&gt;D391,"",B391*1000000+C391))</f>
        <v/>
      </c>
      <c r="H391" s="14">
        <f>IF(G391="","",SUMIFS(Оплаты!$B$6:$B$505,Оплаты!$D$6:$D$505,A391,Оплаты!$A$6:$A$505,D391))</f>
        <v/>
      </c>
      <c r="I391">
        <f>IF(G391="","",SUMPRODUCT((((((D391+'По дням'!$K$6:$K$155-ABS(D391-'По дням'!$K$6:$K$155))-(C391+'По дням'!$J$6:$J$155+ABS(C391-'По дням'!$J$6:$J$155)))/2+1)&gt;0)*(((D391+'По дням'!$K$6:$K$155-ABS(D391-'По дням'!$K$6:$K$155))-(C391+'По дням'!$J$6:$J$155+ABS(C391-'По дням'!$J$6:$J$155)))/2+1)&gt;0)*1))</f>
        <v/>
      </c>
    </row>
    <row r="392">
      <c r="A392">
        <f>IF(AND(Оплаты!$E$384="ок",COUNTIFS(Акты!$B$5:$B$16,Оплаты!$D$384,Акты!$H$5:$H$16,"ок")&gt;0,COUNTIFS(Оплаты!$D$6:$D$383,Оплаты!$D$384,Оплаты!$A$6:$A$383,Оплаты!$A$384)=0),Оплаты!$D$384,"")</f>
        <v/>
      </c>
      <c r="B392">
        <f>IF(A392="","",MATCH(A392,Акты!$B$5:$B$16,0))</f>
        <v/>
      </c>
      <c r="C392" s="20">
        <f>IF(A392="","",Оплаты!$A$384+1)</f>
        <v/>
      </c>
      <c r="D392" s="20">
        <f>IF(A392="","",MIN(Ввод!$B$4,Ввод!$B$4+1-SUMPRODUCT(MAX((Оплаты!$D$6:$D$505=A392)*(Оплаты!$A$6:$A$505&gt;Оплаты!$A$384)*(Ввод!$B$4+1-Оплаты!$A$6:$A$505)))))</f>
        <v/>
      </c>
      <c r="E392" s="14">
        <f>IF(A392="","",INDEX(Акты!$D$5:$D$16,B392)-SUMIFS(Оплаты!$B$6:$B$505,Оплаты!$D$6:$D$505,A392,Оплаты!$A$6:$A$505,"&lt;="&amp;Оплаты!$A$384))</f>
        <v/>
      </c>
      <c r="F392" s="14">
        <f>IF(G392="","",SUMPRODUCT(ROUND(E392*'По дням'!$L$6:$L$155/100*((((D392+'По дням'!$K$6:$K$155-ABS(D392-'По дням'!$K$6:$K$155))-(C392+'По дням'!$J$6:$J$155+ABS(C392-'По дням'!$J$6:$J$155)))/2+1)&gt;0)*(((D392+'По дням'!$K$6:$K$155-ABS(D392-'По дням'!$K$6:$K$155))-(C392+'По дням'!$J$6:$J$155+ABS(C392-'По дням'!$J$6:$J$155)))/2+1)/'По дням'!$M$6:$M$155,2)*(1-'По дням'!$N$6:$N$155)))</f>
        <v/>
      </c>
      <c r="G392">
        <f>IF(A392="","",IF(C392&gt;D392,"",B392*1000000+C392))</f>
        <v/>
      </c>
      <c r="H392" s="14">
        <f>IF(G392="","",SUMIFS(Оплаты!$B$6:$B$505,Оплаты!$D$6:$D$505,A392,Оплаты!$A$6:$A$505,D392))</f>
        <v/>
      </c>
      <c r="I392">
        <f>IF(G392="","",SUMPRODUCT((((((D392+'По дням'!$K$6:$K$155-ABS(D392-'По дням'!$K$6:$K$155))-(C392+'По дням'!$J$6:$J$155+ABS(C392-'По дням'!$J$6:$J$155)))/2+1)&gt;0)*(((D392+'По дням'!$K$6:$K$155-ABS(D392-'По дням'!$K$6:$K$155))-(C392+'По дням'!$J$6:$J$155+ABS(C392-'По дням'!$J$6:$J$155)))/2+1)&gt;0)*1))</f>
        <v/>
      </c>
    </row>
    <row r="393">
      <c r="A393">
        <f>IF(AND(Оплаты!$E$385="ок",COUNTIFS(Акты!$B$5:$B$16,Оплаты!$D$385,Акты!$H$5:$H$16,"ок")&gt;0,COUNTIFS(Оплаты!$D$6:$D$384,Оплаты!$D$385,Оплаты!$A$6:$A$384,Оплаты!$A$385)=0),Оплаты!$D$385,"")</f>
        <v/>
      </c>
      <c r="B393">
        <f>IF(A393="","",MATCH(A393,Акты!$B$5:$B$16,0))</f>
        <v/>
      </c>
      <c r="C393" s="20">
        <f>IF(A393="","",Оплаты!$A$385+1)</f>
        <v/>
      </c>
      <c r="D393" s="20">
        <f>IF(A393="","",MIN(Ввод!$B$4,Ввод!$B$4+1-SUMPRODUCT(MAX((Оплаты!$D$6:$D$505=A393)*(Оплаты!$A$6:$A$505&gt;Оплаты!$A$385)*(Ввод!$B$4+1-Оплаты!$A$6:$A$505)))))</f>
        <v/>
      </c>
      <c r="E393" s="14">
        <f>IF(A393="","",INDEX(Акты!$D$5:$D$16,B393)-SUMIFS(Оплаты!$B$6:$B$505,Оплаты!$D$6:$D$505,A393,Оплаты!$A$6:$A$505,"&lt;="&amp;Оплаты!$A$385))</f>
        <v/>
      </c>
      <c r="F393" s="14">
        <f>IF(G393="","",SUMPRODUCT(ROUND(E393*'По дням'!$L$6:$L$155/100*((((D393+'По дням'!$K$6:$K$155-ABS(D393-'По дням'!$K$6:$K$155))-(C393+'По дням'!$J$6:$J$155+ABS(C393-'По дням'!$J$6:$J$155)))/2+1)&gt;0)*(((D393+'По дням'!$K$6:$K$155-ABS(D393-'По дням'!$K$6:$K$155))-(C393+'По дням'!$J$6:$J$155+ABS(C393-'По дням'!$J$6:$J$155)))/2+1)/'По дням'!$M$6:$M$155,2)*(1-'По дням'!$N$6:$N$155)))</f>
        <v/>
      </c>
      <c r="G393">
        <f>IF(A393="","",IF(C393&gt;D393,"",B393*1000000+C393))</f>
        <v/>
      </c>
      <c r="H393" s="14">
        <f>IF(G393="","",SUMIFS(Оплаты!$B$6:$B$505,Оплаты!$D$6:$D$505,A393,Оплаты!$A$6:$A$505,D393))</f>
        <v/>
      </c>
      <c r="I393">
        <f>IF(G393="","",SUMPRODUCT((((((D393+'По дням'!$K$6:$K$155-ABS(D393-'По дням'!$K$6:$K$155))-(C393+'По дням'!$J$6:$J$155+ABS(C393-'По дням'!$J$6:$J$155)))/2+1)&gt;0)*(((D393+'По дням'!$K$6:$K$155-ABS(D393-'По дням'!$K$6:$K$155))-(C393+'По дням'!$J$6:$J$155+ABS(C393-'По дням'!$J$6:$J$155)))/2+1)&gt;0)*1))</f>
        <v/>
      </c>
    </row>
    <row r="394">
      <c r="A394">
        <f>IF(AND(Оплаты!$E$386="ок",COUNTIFS(Акты!$B$5:$B$16,Оплаты!$D$386,Акты!$H$5:$H$16,"ок")&gt;0,COUNTIFS(Оплаты!$D$6:$D$385,Оплаты!$D$386,Оплаты!$A$6:$A$385,Оплаты!$A$386)=0),Оплаты!$D$386,"")</f>
        <v/>
      </c>
      <c r="B394">
        <f>IF(A394="","",MATCH(A394,Акты!$B$5:$B$16,0))</f>
        <v/>
      </c>
      <c r="C394" s="20">
        <f>IF(A394="","",Оплаты!$A$386+1)</f>
        <v/>
      </c>
      <c r="D394" s="20">
        <f>IF(A394="","",MIN(Ввод!$B$4,Ввод!$B$4+1-SUMPRODUCT(MAX((Оплаты!$D$6:$D$505=A394)*(Оплаты!$A$6:$A$505&gt;Оплаты!$A$386)*(Ввод!$B$4+1-Оплаты!$A$6:$A$505)))))</f>
        <v/>
      </c>
      <c r="E394" s="14">
        <f>IF(A394="","",INDEX(Акты!$D$5:$D$16,B394)-SUMIFS(Оплаты!$B$6:$B$505,Оплаты!$D$6:$D$505,A394,Оплаты!$A$6:$A$505,"&lt;="&amp;Оплаты!$A$386))</f>
        <v/>
      </c>
      <c r="F394" s="14">
        <f>IF(G394="","",SUMPRODUCT(ROUND(E394*'По дням'!$L$6:$L$155/100*((((D394+'По дням'!$K$6:$K$155-ABS(D394-'По дням'!$K$6:$K$155))-(C394+'По дням'!$J$6:$J$155+ABS(C394-'По дням'!$J$6:$J$155)))/2+1)&gt;0)*(((D394+'По дням'!$K$6:$K$155-ABS(D394-'По дням'!$K$6:$K$155))-(C394+'По дням'!$J$6:$J$155+ABS(C394-'По дням'!$J$6:$J$155)))/2+1)/'По дням'!$M$6:$M$155,2)*(1-'По дням'!$N$6:$N$155)))</f>
        <v/>
      </c>
      <c r="G394">
        <f>IF(A394="","",IF(C394&gt;D394,"",B394*1000000+C394))</f>
        <v/>
      </c>
      <c r="H394" s="14">
        <f>IF(G394="","",SUMIFS(Оплаты!$B$6:$B$505,Оплаты!$D$6:$D$505,A394,Оплаты!$A$6:$A$505,D394))</f>
        <v/>
      </c>
      <c r="I394">
        <f>IF(G394="","",SUMPRODUCT((((((D394+'По дням'!$K$6:$K$155-ABS(D394-'По дням'!$K$6:$K$155))-(C394+'По дням'!$J$6:$J$155+ABS(C394-'По дням'!$J$6:$J$155)))/2+1)&gt;0)*(((D394+'По дням'!$K$6:$K$155-ABS(D394-'По дням'!$K$6:$K$155))-(C394+'По дням'!$J$6:$J$155+ABS(C394-'По дням'!$J$6:$J$155)))/2+1)&gt;0)*1))</f>
        <v/>
      </c>
    </row>
    <row r="395">
      <c r="A395">
        <f>IF(AND(Оплаты!$E$387="ок",COUNTIFS(Акты!$B$5:$B$16,Оплаты!$D$387,Акты!$H$5:$H$16,"ок")&gt;0,COUNTIFS(Оплаты!$D$6:$D$386,Оплаты!$D$387,Оплаты!$A$6:$A$386,Оплаты!$A$387)=0),Оплаты!$D$387,"")</f>
        <v/>
      </c>
      <c r="B395">
        <f>IF(A395="","",MATCH(A395,Акты!$B$5:$B$16,0))</f>
        <v/>
      </c>
      <c r="C395" s="20">
        <f>IF(A395="","",Оплаты!$A$387+1)</f>
        <v/>
      </c>
      <c r="D395" s="20">
        <f>IF(A395="","",MIN(Ввод!$B$4,Ввод!$B$4+1-SUMPRODUCT(MAX((Оплаты!$D$6:$D$505=A395)*(Оплаты!$A$6:$A$505&gt;Оплаты!$A$387)*(Ввод!$B$4+1-Оплаты!$A$6:$A$505)))))</f>
        <v/>
      </c>
      <c r="E395" s="14">
        <f>IF(A395="","",INDEX(Акты!$D$5:$D$16,B395)-SUMIFS(Оплаты!$B$6:$B$505,Оплаты!$D$6:$D$505,A395,Оплаты!$A$6:$A$505,"&lt;="&amp;Оплаты!$A$387))</f>
        <v/>
      </c>
      <c r="F395" s="14">
        <f>IF(G395="","",SUMPRODUCT(ROUND(E395*'По дням'!$L$6:$L$155/100*((((D395+'По дням'!$K$6:$K$155-ABS(D395-'По дням'!$K$6:$K$155))-(C395+'По дням'!$J$6:$J$155+ABS(C395-'По дням'!$J$6:$J$155)))/2+1)&gt;0)*(((D395+'По дням'!$K$6:$K$155-ABS(D395-'По дням'!$K$6:$K$155))-(C395+'По дням'!$J$6:$J$155+ABS(C395-'По дням'!$J$6:$J$155)))/2+1)/'По дням'!$M$6:$M$155,2)*(1-'По дням'!$N$6:$N$155)))</f>
        <v/>
      </c>
      <c r="G395">
        <f>IF(A395="","",IF(C395&gt;D395,"",B395*1000000+C395))</f>
        <v/>
      </c>
      <c r="H395" s="14">
        <f>IF(G395="","",SUMIFS(Оплаты!$B$6:$B$505,Оплаты!$D$6:$D$505,A395,Оплаты!$A$6:$A$505,D395))</f>
        <v/>
      </c>
      <c r="I395">
        <f>IF(G395="","",SUMPRODUCT((((((D395+'По дням'!$K$6:$K$155-ABS(D395-'По дням'!$K$6:$K$155))-(C395+'По дням'!$J$6:$J$155+ABS(C395-'По дням'!$J$6:$J$155)))/2+1)&gt;0)*(((D395+'По дням'!$K$6:$K$155-ABS(D395-'По дням'!$K$6:$K$155))-(C395+'По дням'!$J$6:$J$155+ABS(C395-'По дням'!$J$6:$J$155)))/2+1)&gt;0)*1))</f>
        <v/>
      </c>
    </row>
    <row r="396">
      <c r="A396">
        <f>IF(AND(Оплаты!$E$388="ок",COUNTIFS(Акты!$B$5:$B$16,Оплаты!$D$388,Акты!$H$5:$H$16,"ок")&gt;0,COUNTIFS(Оплаты!$D$6:$D$387,Оплаты!$D$388,Оплаты!$A$6:$A$387,Оплаты!$A$388)=0),Оплаты!$D$388,"")</f>
        <v/>
      </c>
      <c r="B396">
        <f>IF(A396="","",MATCH(A396,Акты!$B$5:$B$16,0))</f>
        <v/>
      </c>
      <c r="C396" s="20">
        <f>IF(A396="","",Оплаты!$A$388+1)</f>
        <v/>
      </c>
      <c r="D396" s="20">
        <f>IF(A396="","",MIN(Ввод!$B$4,Ввод!$B$4+1-SUMPRODUCT(MAX((Оплаты!$D$6:$D$505=A396)*(Оплаты!$A$6:$A$505&gt;Оплаты!$A$388)*(Ввод!$B$4+1-Оплаты!$A$6:$A$505)))))</f>
        <v/>
      </c>
      <c r="E396" s="14">
        <f>IF(A396="","",INDEX(Акты!$D$5:$D$16,B396)-SUMIFS(Оплаты!$B$6:$B$505,Оплаты!$D$6:$D$505,A396,Оплаты!$A$6:$A$505,"&lt;="&amp;Оплаты!$A$388))</f>
        <v/>
      </c>
      <c r="F396" s="14">
        <f>IF(G396="","",SUMPRODUCT(ROUND(E396*'По дням'!$L$6:$L$155/100*((((D396+'По дням'!$K$6:$K$155-ABS(D396-'По дням'!$K$6:$K$155))-(C396+'По дням'!$J$6:$J$155+ABS(C396-'По дням'!$J$6:$J$155)))/2+1)&gt;0)*(((D396+'По дням'!$K$6:$K$155-ABS(D396-'По дням'!$K$6:$K$155))-(C396+'По дням'!$J$6:$J$155+ABS(C396-'По дням'!$J$6:$J$155)))/2+1)/'По дням'!$M$6:$M$155,2)*(1-'По дням'!$N$6:$N$155)))</f>
        <v/>
      </c>
      <c r="G396">
        <f>IF(A396="","",IF(C396&gt;D396,"",B396*1000000+C396))</f>
        <v/>
      </c>
      <c r="H396" s="14">
        <f>IF(G396="","",SUMIFS(Оплаты!$B$6:$B$505,Оплаты!$D$6:$D$505,A396,Оплаты!$A$6:$A$505,D396))</f>
        <v/>
      </c>
      <c r="I396">
        <f>IF(G396="","",SUMPRODUCT((((((D396+'По дням'!$K$6:$K$155-ABS(D396-'По дням'!$K$6:$K$155))-(C396+'По дням'!$J$6:$J$155+ABS(C396-'По дням'!$J$6:$J$155)))/2+1)&gt;0)*(((D396+'По дням'!$K$6:$K$155-ABS(D396-'По дням'!$K$6:$K$155))-(C396+'По дням'!$J$6:$J$155+ABS(C396-'По дням'!$J$6:$J$155)))/2+1)&gt;0)*1))</f>
        <v/>
      </c>
    </row>
    <row r="397">
      <c r="A397">
        <f>IF(AND(Оплаты!$E$389="ок",COUNTIFS(Акты!$B$5:$B$16,Оплаты!$D$389,Акты!$H$5:$H$16,"ок")&gt;0,COUNTIFS(Оплаты!$D$6:$D$388,Оплаты!$D$389,Оплаты!$A$6:$A$388,Оплаты!$A$389)=0),Оплаты!$D$389,"")</f>
        <v/>
      </c>
      <c r="B397">
        <f>IF(A397="","",MATCH(A397,Акты!$B$5:$B$16,0))</f>
        <v/>
      </c>
      <c r="C397" s="20">
        <f>IF(A397="","",Оплаты!$A$389+1)</f>
        <v/>
      </c>
      <c r="D397" s="20">
        <f>IF(A397="","",MIN(Ввод!$B$4,Ввод!$B$4+1-SUMPRODUCT(MAX((Оплаты!$D$6:$D$505=A397)*(Оплаты!$A$6:$A$505&gt;Оплаты!$A$389)*(Ввод!$B$4+1-Оплаты!$A$6:$A$505)))))</f>
        <v/>
      </c>
      <c r="E397" s="14">
        <f>IF(A397="","",INDEX(Акты!$D$5:$D$16,B397)-SUMIFS(Оплаты!$B$6:$B$505,Оплаты!$D$6:$D$505,A397,Оплаты!$A$6:$A$505,"&lt;="&amp;Оплаты!$A$389))</f>
        <v/>
      </c>
      <c r="F397" s="14">
        <f>IF(G397="","",SUMPRODUCT(ROUND(E397*'По дням'!$L$6:$L$155/100*((((D397+'По дням'!$K$6:$K$155-ABS(D397-'По дням'!$K$6:$K$155))-(C397+'По дням'!$J$6:$J$155+ABS(C397-'По дням'!$J$6:$J$155)))/2+1)&gt;0)*(((D397+'По дням'!$K$6:$K$155-ABS(D397-'По дням'!$K$6:$K$155))-(C397+'По дням'!$J$6:$J$155+ABS(C397-'По дням'!$J$6:$J$155)))/2+1)/'По дням'!$M$6:$M$155,2)*(1-'По дням'!$N$6:$N$155)))</f>
        <v/>
      </c>
      <c r="G397">
        <f>IF(A397="","",IF(C397&gt;D397,"",B397*1000000+C397))</f>
        <v/>
      </c>
      <c r="H397" s="14">
        <f>IF(G397="","",SUMIFS(Оплаты!$B$6:$B$505,Оплаты!$D$6:$D$505,A397,Оплаты!$A$6:$A$505,D397))</f>
        <v/>
      </c>
      <c r="I397">
        <f>IF(G397="","",SUMPRODUCT((((((D397+'По дням'!$K$6:$K$155-ABS(D397-'По дням'!$K$6:$K$155))-(C397+'По дням'!$J$6:$J$155+ABS(C397-'По дням'!$J$6:$J$155)))/2+1)&gt;0)*(((D397+'По дням'!$K$6:$K$155-ABS(D397-'По дням'!$K$6:$K$155))-(C397+'По дням'!$J$6:$J$155+ABS(C397-'По дням'!$J$6:$J$155)))/2+1)&gt;0)*1))</f>
        <v/>
      </c>
    </row>
    <row r="398">
      <c r="A398">
        <f>IF(AND(Оплаты!$E$390="ок",COUNTIFS(Акты!$B$5:$B$16,Оплаты!$D$390,Акты!$H$5:$H$16,"ок")&gt;0,COUNTIFS(Оплаты!$D$6:$D$389,Оплаты!$D$390,Оплаты!$A$6:$A$389,Оплаты!$A$390)=0),Оплаты!$D$390,"")</f>
        <v/>
      </c>
      <c r="B398">
        <f>IF(A398="","",MATCH(A398,Акты!$B$5:$B$16,0))</f>
        <v/>
      </c>
      <c r="C398" s="20">
        <f>IF(A398="","",Оплаты!$A$390+1)</f>
        <v/>
      </c>
      <c r="D398" s="20">
        <f>IF(A398="","",MIN(Ввод!$B$4,Ввод!$B$4+1-SUMPRODUCT(MAX((Оплаты!$D$6:$D$505=A398)*(Оплаты!$A$6:$A$505&gt;Оплаты!$A$390)*(Ввод!$B$4+1-Оплаты!$A$6:$A$505)))))</f>
        <v/>
      </c>
      <c r="E398" s="14">
        <f>IF(A398="","",INDEX(Акты!$D$5:$D$16,B398)-SUMIFS(Оплаты!$B$6:$B$505,Оплаты!$D$6:$D$505,A398,Оплаты!$A$6:$A$505,"&lt;="&amp;Оплаты!$A$390))</f>
        <v/>
      </c>
      <c r="F398" s="14">
        <f>IF(G398="","",SUMPRODUCT(ROUND(E398*'По дням'!$L$6:$L$155/100*((((D398+'По дням'!$K$6:$K$155-ABS(D398-'По дням'!$K$6:$K$155))-(C398+'По дням'!$J$6:$J$155+ABS(C398-'По дням'!$J$6:$J$155)))/2+1)&gt;0)*(((D398+'По дням'!$K$6:$K$155-ABS(D398-'По дням'!$K$6:$K$155))-(C398+'По дням'!$J$6:$J$155+ABS(C398-'По дням'!$J$6:$J$155)))/2+1)/'По дням'!$M$6:$M$155,2)*(1-'По дням'!$N$6:$N$155)))</f>
        <v/>
      </c>
      <c r="G398">
        <f>IF(A398="","",IF(C398&gt;D398,"",B398*1000000+C398))</f>
        <v/>
      </c>
      <c r="H398" s="14">
        <f>IF(G398="","",SUMIFS(Оплаты!$B$6:$B$505,Оплаты!$D$6:$D$505,A398,Оплаты!$A$6:$A$505,D398))</f>
        <v/>
      </c>
      <c r="I398">
        <f>IF(G398="","",SUMPRODUCT((((((D398+'По дням'!$K$6:$K$155-ABS(D398-'По дням'!$K$6:$K$155))-(C398+'По дням'!$J$6:$J$155+ABS(C398-'По дням'!$J$6:$J$155)))/2+1)&gt;0)*(((D398+'По дням'!$K$6:$K$155-ABS(D398-'По дням'!$K$6:$K$155))-(C398+'По дням'!$J$6:$J$155+ABS(C398-'По дням'!$J$6:$J$155)))/2+1)&gt;0)*1))</f>
        <v/>
      </c>
    </row>
    <row r="399">
      <c r="A399">
        <f>IF(AND(Оплаты!$E$391="ок",COUNTIFS(Акты!$B$5:$B$16,Оплаты!$D$391,Акты!$H$5:$H$16,"ок")&gt;0,COUNTIFS(Оплаты!$D$6:$D$390,Оплаты!$D$391,Оплаты!$A$6:$A$390,Оплаты!$A$391)=0),Оплаты!$D$391,"")</f>
        <v/>
      </c>
      <c r="B399">
        <f>IF(A399="","",MATCH(A399,Акты!$B$5:$B$16,0))</f>
        <v/>
      </c>
      <c r="C399" s="20">
        <f>IF(A399="","",Оплаты!$A$391+1)</f>
        <v/>
      </c>
      <c r="D399" s="20">
        <f>IF(A399="","",MIN(Ввод!$B$4,Ввод!$B$4+1-SUMPRODUCT(MAX((Оплаты!$D$6:$D$505=A399)*(Оплаты!$A$6:$A$505&gt;Оплаты!$A$391)*(Ввод!$B$4+1-Оплаты!$A$6:$A$505)))))</f>
        <v/>
      </c>
      <c r="E399" s="14">
        <f>IF(A399="","",INDEX(Акты!$D$5:$D$16,B399)-SUMIFS(Оплаты!$B$6:$B$505,Оплаты!$D$6:$D$505,A399,Оплаты!$A$6:$A$505,"&lt;="&amp;Оплаты!$A$391))</f>
        <v/>
      </c>
      <c r="F399" s="14">
        <f>IF(G399="","",SUMPRODUCT(ROUND(E399*'По дням'!$L$6:$L$155/100*((((D399+'По дням'!$K$6:$K$155-ABS(D399-'По дням'!$K$6:$K$155))-(C399+'По дням'!$J$6:$J$155+ABS(C399-'По дням'!$J$6:$J$155)))/2+1)&gt;0)*(((D399+'По дням'!$K$6:$K$155-ABS(D399-'По дням'!$K$6:$K$155))-(C399+'По дням'!$J$6:$J$155+ABS(C399-'По дням'!$J$6:$J$155)))/2+1)/'По дням'!$M$6:$M$155,2)*(1-'По дням'!$N$6:$N$155)))</f>
        <v/>
      </c>
      <c r="G399">
        <f>IF(A399="","",IF(C399&gt;D399,"",B399*1000000+C399))</f>
        <v/>
      </c>
      <c r="H399" s="14">
        <f>IF(G399="","",SUMIFS(Оплаты!$B$6:$B$505,Оплаты!$D$6:$D$505,A399,Оплаты!$A$6:$A$505,D399))</f>
        <v/>
      </c>
      <c r="I399">
        <f>IF(G399="","",SUMPRODUCT((((((D399+'По дням'!$K$6:$K$155-ABS(D399-'По дням'!$K$6:$K$155))-(C399+'По дням'!$J$6:$J$155+ABS(C399-'По дням'!$J$6:$J$155)))/2+1)&gt;0)*(((D399+'По дням'!$K$6:$K$155-ABS(D399-'По дням'!$K$6:$K$155))-(C399+'По дням'!$J$6:$J$155+ABS(C399-'По дням'!$J$6:$J$155)))/2+1)&gt;0)*1))</f>
        <v/>
      </c>
    </row>
    <row r="400">
      <c r="A400">
        <f>IF(AND(Оплаты!$E$392="ок",COUNTIFS(Акты!$B$5:$B$16,Оплаты!$D$392,Акты!$H$5:$H$16,"ок")&gt;0,COUNTIFS(Оплаты!$D$6:$D$391,Оплаты!$D$392,Оплаты!$A$6:$A$391,Оплаты!$A$392)=0),Оплаты!$D$392,"")</f>
        <v/>
      </c>
      <c r="B400">
        <f>IF(A400="","",MATCH(A400,Акты!$B$5:$B$16,0))</f>
        <v/>
      </c>
      <c r="C400" s="20">
        <f>IF(A400="","",Оплаты!$A$392+1)</f>
        <v/>
      </c>
      <c r="D400" s="20">
        <f>IF(A400="","",MIN(Ввод!$B$4,Ввод!$B$4+1-SUMPRODUCT(MAX((Оплаты!$D$6:$D$505=A400)*(Оплаты!$A$6:$A$505&gt;Оплаты!$A$392)*(Ввод!$B$4+1-Оплаты!$A$6:$A$505)))))</f>
        <v/>
      </c>
      <c r="E400" s="14">
        <f>IF(A400="","",INDEX(Акты!$D$5:$D$16,B400)-SUMIFS(Оплаты!$B$6:$B$505,Оплаты!$D$6:$D$505,A400,Оплаты!$A$6:$A$505,"&lt;="&amp;Оплаты!$A$392))</f>
        <v/>
      </c>
      <c r="F400" s="14">
        <f>IF(G400="","",SUMPRODUCT(ROUND(E400*'По дням'!$L$6:$L$155/100*((((D400+'По дням'!$K$6:$K$155-ABS(D400-'По дням'!$K$6:$K$155))-(C400+'По дням'!$J$6:$J$155+ABS(C400-'По дням'!$J$6:$J$155)))/2+1)&gt;0)*(((D400+'По дням'!$K$6:$K$155-ABS(D400-'По дням'!$K$6:$K$155))-(C400+'По дням'!$J$6:$J$155+ABS(C400-'По дням'!$J$6:$J$155)))/2+1)/'По дням'!$M$6:$M$155,2)*(1-'По дням'!$N$6:$N$155)))</f>
        <v/>
      </c>
      <c r="G400">
        <f>IF(A400="","",IF(C400&gt;D400,"",B400*1000000+C400))</f>
        <v/>
      </c>
      <c r="H400" s="14">
        <f>IF(G400="","",SUMIFS(Оплаты!$B$6:$B$505,Оплаты!$D$6:$D$505,A400,Оплаты!$A$6:$A$505,D400))</f>
        <v/>
      </c>
      <c r="I400">
        <f>IF(G400="","",SUMPRODUCT((((((D400+'По дням'!$K$6:$K$155-ABS(D400-'По дням'!$K$6:$K$155))-(C400+'По дням'!$J$6:$J$155+ABS(C400-'По дням'!$J$6:$J$155)))/2+1)&gt;0)*(((D400+'По дням'!$K$6:$K$155-ABS(D400-'По дням'!$K$6:$K$155))-(C400+'По дням'!$J$6:$J$155+ABS(C400-'По дням'!$J$6:$J$155)))/2+1)&gt;0)*1))</f>
        <v/>
      </c>
    </row>
    <row r="401">
      <c r="A401">
        <f>IF(AND(Оплаты!$E$393="ок",COUNTIFS(Акты!$B$5:$B$16,Оплаты!$D$393,Акты!$H$5:$H$16,"ок")&gt;0,COUNTIFS(Оплаты!$D$6:$D$392,Оплаты!$D$393,Оплаты!$A$6:$A$392,Оплаты!$A$393)=0),Оплаты!$D$393,"")</f>
        <v/>
      </c>
      <c r="B401">
        <f>IF(A401="","",MATCH(A401,Акты!$B$5:$B$16,0))</f>
        <v/>
      </c>
      <c r="C401" s="20">
        <f>IF(A401="","",Оплаты!$A$393+1)</f>
        <v/>
      </c>
      <c r="D401" s="20">
        <f>IF(A401="","",MIN(Ввод!$B$4,Ввод!$B$4+1-SUMPRODUCT(MAX((Оплаты!$D$6:$D$505=A401)*(Оплаты!$A$6:$A$505&gt;Оплаты!$A$393)*(Ввод!$B$4+1-Оплаты!$A$6:$A$505)))))</f>
        <v/>
      </c>
      <c r="E401" s="14">
        <f>IF(A401="","",INDEX(Акты!$D$5:$D$16,B401)-SUMIFS(Оплаты!$B$6:$B$505,Оплаты!$D$6:$D$505,A401,Оплаты!$A$6:$A$505,"&lt;="&amp;Оплаты!$A$393))</f>
        <v/>
      </c>
      <c r="F401" s="14">
        <f>IF(G401="","",SUMPRODUCT(ROUND(E401*'По дням'!$L$6:$L$155/100*((((D401+'По дням'!$K$6:$K$155-ABS(D401-'По дням'!$K$6:$K$155))-(C401+'По дням'!$J$6:$J$155+ABS(C401-'По дням'!$J$6:$J$155)))/2+1)&gt;0)*(((D401+'По дням'!$K$6:$K$155-ABS(D401-'По дням'!$K$6:$K$155))-(C401+'По дням'!$J$6:$J$155+ABS(C401-'По дням'!$J$6:$J$155)))/2+1)/'По дням'!$M$6:$M$155,2)*(1-'По дням'!$N$6:$N$155)))</f>
        <v/>
      </c>
      <c r="G401">
        <f>IF(A401="","",IF(C401&gt;D401,"",B401*1000000+C401))</f>
        <v/>
      </c>
      <c r="H401" s="14">
        <f>IF(G401="","",SUMIFS(Оплаты!$B$6:$B$505,Оплаты!$D$6:$D$505,A401,Оплаты!$A$6:$A$505,D401))</f>
        <v/>
      </c>
      <c r="I401">
        <f>IF(G401="","",SUMPRODUCT((((((D401+'По дням'!$K$6:$K$155-ABS(D401-'По дням'!$K$6:$K$155))-(C401+'По дням'!$J$6:$J$155+ABS(C401-'По дням'!$J$6:$J$155)))/2+1)&gt;0)*(((D401+'По дням'!$K$6:$K$155-ABS(D401-'По дням'!$K$6:$K$155))-(C401+'По дням'!$J$6:$J$155+ABS(C401-'По дням'!$J$6:$J$155)))/2+1)&gt;0)*1))</f>
        <v/>
      </c>
    </row>
    <row r="402">
      <c r="A402">
        <f>IF(AND(Оплаты!$E$394="ок",COUNTIFS(Акты!$B$5:$B$16,Оплаты!$D$394,Акты!$H$5:$H$16,"ок")&gt;0,COUNTIFS(Оплаты!$D$6:$D$393,Оплаты!$D$394,Оплаты!$A$6:$A$393,Оплаты!$A$394)=0),Оплаты!$D$394,"")</f>
        <v/>
      </c>
      <c r="B402">
        <f>IF(A402="","",MATCH(A402,Акты!$B$5:$B$16,0))</f>
        <v/>
      </c>
      <c r="C402" s="20">
        <f>IF(A402="","",Оплаты!$A$394+1)</f>
        <v/>
      </c>
      <c r="D402" s="20">
        <f>IF(A402="","",MIN(Ввод!$B$4,Ввод!$B$4+1-SUMPRODUCT(MAX((Оплаты!$D$6:$D$505=A402)*(Оплаты!$A$6:$A$505&gt;Оплаты!$A$394)*(Ввод!$B$4+1-Оплаты!$A$6:$A$505)))))</f>
        <v/>
      </c>
      <c r="E402" s="14">
        <f>IF(A402="","",INDEX(Акты!$D$5:$D$16,B402)-SUMIFS(Оплаты!$B$6:$B$505,Оплаты!$D$6:$D$505,A402,Оплаты!$A$6:$A$505,"&lt;="&amp;Оплаты!$A$394))</f>
        <v/>
      </c>
      <c r="F402" s="14">
        <f>IF(G402="","",SUMPRODUCT(ROUND(E402*'По дням'!$L$6:$L$155/100*((((D402+'По дням'!$K$6:$K$155-ABS(D402-'По дням'!$K$6:$K$155))-(C402+'По дням'!$J$6:$J$155+ABS(C402-'По дням'!$J$6:$J$155)))/2+1)&gt;0)*(((D402+'По дням'!$K$6:$K$155-ABS(D402-'По дням'!$K$6:$K$155))-(C402+'По дням'!$J$6:$J$155+ABS(C402-'По дням'!$J$6:$J$155)))/2+1)/'По дням'!$M$6:$M$155,2)*(1-'По дням'!$N$6:$N$155)))</f>
        <v/>
      </c>
      <c r="G402">
        <f>IF(A402="","",IF(C402&gt;D402,"",B402*1000000+C402))</f>
        <v/>
      </c>
      <c r="H402" s="14">
        <f>IF(G402="","",SUMIFS(Оплаты!$B$6:$B$505,Оплаты!$D$6:$D$505,A402,Оплаты!$A$6:$A$505,D402))</f>
        <v/>
      </c>
      <c r="I402">
        <f>IF(G402="","",SUMPRODUCT((((((D402+'По дням'!$K$6:$K$155-ABS(D402-'По дням'!$K$6:$K$155))-(C402+'По дням'!$J$6:$J$155+ABS(C402-'По дням'!$J$6:$J$155)))/2+1)&gt;0)*(((D402+'По дням'!$K$6:$K$155-ABS(D402-'По дням'!$K$6:$K$155))-(C402+'По дням'!$J$6:$J$155+ABS(C402-'По дням'!$J$6:$J$155)))/2+1)&gt;0)*1))</f>
        <v/>
      </c>
    </row>
    <row r="403">
      <c r="A403">
        <f>IF(AND(Оплаты!$E$395="ок",COUNTIFS(Акты!$B$5:$B$16,Оплаты!$D$395,Акты!$H$5:$H$16,"ок")&gt;0,COUNTIFS(Оплаты!$D$6:$D$394,Оплаты!$D$395,Оплаты!$A$6:$A$394,Оплаты!$A$395)=0),Оплаты!$D$395,"")</f>
        <v/>
      </c>
      <c r="B403">
        <f>IF(A403="","",MATCH(A403,Акты!$B$5:$B$16,0))</f>
        <v/>
      </c>
      <c r="C403" s="20">
        <f>IF(A403="","",Оплаты!$A$395+1)</f>
        <v/>
      </c>
      <c r="D403" s="20">
        <f>IF(A403="","",MIN(Ввод!$B$4,Ввод!$B$4+1-SUMPRODUCT(MAX((Оплаты!$D$6:$D$505=A403)*(Оплаты!$A$6:$A$505&gt;Оплаты!$A$395)*(Ввод!$B$4+1-Оплаты!$A$6:$A$505)))))</f>
        <v/>
      </c>
      <c r="E403" s="14">
        <f>IF(A403="","",INDEX(Акты!$D$5:$D$16,B403)-SUMIFS(Оплаты!$B$6:$B$505,Оплаты!$D$6:$D$505,A403,Оплаты!$A$6:$A$505,"&lt;="&amp;Оплаты!$A$395))</f>
        <v/>
      </c>
      <c r="F403" s="14">
        <f>IF(G403="","",SUMPRODUCT(ROUND(E403*'По дням'!$L$6:$L$155/100*((((D403+'По дням'!$K$6:$K$155-ABS(D403-'По дням'!$K$6:$K$155))-(C403+'По дням'!$J$6:$J$155+ABS(C403-'По дням'!$J$6:$J$155)))/2+1)&gt;0)*(((D403+'По дням'!$K$6:$K$155-ABS(D403-'По дням'!$K$6:$K$155))-(C403+'По дням'!$J$6:$J$155+ABS(C403-'По дням'!$J$6:$J$155)))/2+1)/'По дням'!$M$6:$M$155,2)*(1-'По дням'!$N$6:$N$155)))</f>
        <v/>
      </c>
      <c r="G403">
        <f>IF(A403="","",IF(C403&gt;D403,"",B403*1000000+C403))</f>
        <v/>
      </c>
      <c r="H403" s="14">
        <f>IF(G403="","",SUMIFS(Оплаты!$B$6:$B$505,Оплаты!$D$6:$D$505,A403,Оплаты!$A$6:$A$505,D403))</f>
        <v/>
      </c>
      <c r="I403">
        <f>IF(G403="","",SUMPRODUCT((((((D403+'По дням'!$K$6:$K$155-ABS(D403-'По дням'!$K$6:$K$155))-(C403+'По дням'!$J$6:$J$155+ABS(C403-'По дням'!$J$6:$J$155)))/2+1)&gt;0)*(((D403+'По дням'!$K$6:$K$155-ABS(D403-'По дням'!$K$6:$K$155))-(C403+'По дням'!$J$6:$J$155+ABS(C403-'По дням'!$J$6:$J$155)))/2+1)&gt;0)*1))</f>
        <v/>
      </c>
    </row>
    <row r="404">
      <c r="A404">
        <f>IF(AND(Оплаты!$E$396="ок",COUNTIFS(Акты!$B$5:$B$16,Оплаты!$D$396,Акты!$H$5:$H$16,"ок")&gt;0,COUNTIFS(Оплаты!$D$6:$D$395,Оплаты!$D$396,Оплаты!$A$6:$A$395,Оплаты!$A$396)=0),Оплаты!$D$396,"")</f>
        <v/>
      </c>
      <c r="B404">
        <f>IF(A404="","",MATCH(A404,Акты!$B$5:$B$16,0))</f>
        <v/>
      </c>
      <c r="C404" s="20">
        <f>IF(A404="","",Оплаты!$A$396+1)</f>
        <v/>
      </c>
      <c r="D404" s="20">
        <f>IF(A404="","",MIN(Ввод!$B$4,Ввод!$B$4+1-SUMPRODUCT(MAX((Оплаты!$D$6:$D$505=A404)*(Оплаты!$A$6:$A$505&gt;Оплаты!$A$396)*(Ввод!$B$4+1-Оплаты!$A$6:$A$505)))))</f>
        <v/>
      </c>
      <c r="E404" s="14">
        <f>IF(A404="","",INDEX(Акты!$D$5:$D$16,B404)-SUMIFS(Оплаты!$B$6:$B$505,Оплаты!$D$6:$D$505,A404,Оплаты!$A$6:$A$505,"&lt;="&amp;Оплаты!$A$396))</f>
        <v/>
      </c>
      <c r="F404" s="14">
        <f>IF(G404="","",SUMPRODUCT(ROUND(E404*'По дням'!$L$6:$L$155/100*((((D404+'По дням'!$K$6:$K$155-ABS(D404-'По дням'!$K$6:$K$155))-(C404+'По дням'!$J$6:$J$155+ABS(C404-'По дням'!$J$6:$J$155)))/2+1)&gt;0)*(((D404+'По дням'!$K$6:$K$155-ABS(D404-'По дням'!$K$6:$K$155))-(C404+'По дням'!$J$6:$J$155+ABS(C404-'По дням'!$J$6:$J$155)))/2+1)/'По дням'!$M$6:$M$155,2)*(1-'По дням'!$N$6:$N$155)))</f>
        <v/>
      </c>
      <c r="G404">
        <f>IF(A404="","",IF(C404&gt;D404,"",B404*1000000+C404))</f>
        <v/>
      </c>
      <c r="H404" s="14">
        <f>IF(G404="","",SUMIFS(Оплаты!$B$6:$B$505,Оплаты!$D$6:$D$505,A404,Оплаты!$A$6:$A$505,D404))</f>
        <v/>
      </c>
      <c r="I404">
        <f>IF(G404="","",SUMPRODUCT((((((D404+'По дням'!$K$6:$K$155-ABS(D404-'По дням'!$K$6:$K$155))-(C404+'По дням'!$J$6:$J$155+ABS(C404-'По дням'!$J$6:$J$155)))/2+1)&gt;0)*(((D404+'По дням'!$K$6:$K$155-ABS(D404-'По дням'!$K$6:$K$155))-(C404+'По дням'!$J$6:$J$155+ABS(C404-'По дням'!$J$6:$J$155)))/2+1)&gt;0)*1))</f>
        <v/>
      </c>
    </row>
    <row r="405">
      <c r="A405">
        <f>IF(AND(Оплаты!$E$397="ок",COUNTIFS(Акты!$B$5:$B$16,Оплаты!$D$397,Акты!$H$5:$H$16,"ок")&gt;0,COUNTIFS(Оплаты!$D$6:$D$396,Оплаты!$D$397,Оплаты!$A$6:$A$396,Оплаты!$A$397)=0),Оплаты!$D$397,"")</f>
        <v/>
      </c>
      <c r="B405">
        <f>IF(A405="","",MATCH(A405,Акты!$B$5:$B$16,0))</f>
        <v/>
      </c>
      <c r="C405" s="20">
        <f>IF(A405="","",Оплаты!$A$397+1)</f>
        <v/>
      </c>
      <c r="D405" s="20">
        <f>IF(A405="","",MIN(Ввод!$B$4,Ввод!$B$4+1-SUMPRODUCT(MAX((Оплаты!$D$6:$D$505=A405)*(Оплаты!$A$6:$A$505&gt;Оплаты!$A$397)*(Ввод!$B$4+1-Оплаты!$A$6:$A$505)))))</f>
        <v/>
      </c>
      <c r="E405" s="14">
        <f>IF(A405="","",INDEX(Акты!$D$5:$D$16,B405)-SUMIFS(Оплаты!$B$6:$B$505,Оплаты!$D$6:$D$505,A405,Оплаты!$A$6:$A$505,"&lt;="&amp;Оплаты!$A$397))</f>
        <v/>
      </c>
      <c r="F405" s="14">
        <f>IF(G405="","",SUMPRODUCT(ROUND(E405*'По дням'!$L$6:$L$155/100*((((D405+'По дням'!$K$6:$K$155-ABS(D405-'По дням'!$K$6:$K$155))-(C405+'По дням'!$J$6:$J$155+ABS(C405-'По дням'!$J$6:$J$155)))/2+1)&gt;0)*(((D405+'По дням'!$K$6:$K$155-ABS(D405-'По дням'!$K$6:$K$155))-(C405+'По дням'!$J$6:$J$155+ABS(C405-'По дням'!$J$6:$J$155)))/2+1)/'По дням'!$M$6:$M$155,2)*(1-'По дням'!$N$6:$N$155)))</f>
        <v/>
      </c>
      <c r="G405">
        <f>IF(A405="","",IF(C405&gt;D405,"",B405*1000000+C405))</f>
        <v/>
      </c>
      <c r="H405" s="14">
        <f>IF(G405="","",SUMIFS(Оплаты!$B$6:$B$505,Оплаты!$D$6:$D$505,A405,Оплаты!$A$6:$A$505,D405))</f>
        <v/>
      </c>
      <c r="I405">
        <f>IF(G405="","",SUMPRODUCT((((((D405+'По дням'!$K$6:$K$155-ABS(D405-'По дням'!$K$6:$K$155))-(C405+'По дням'!$J$6:$J$155+ABS(C405-'По дням'!$J$6:$J$155)))/2+1)&gt;0)*(((D405+'По дням'!$K$6:$K$155-ABS(D405-'По дням'!$K$6:$K$155))-(C405+'По дням'!$J$6:$J$155+ABS(C405-'По дням'!$J$6:$J$155)))/2+1)&gt;0)*1))</f>
        <v/>
      </c>
    </row>
    <row r="406">
      <c r="A406">
        <f>IF(AND(Оплаты!$E$398="ок",COUNTIFS(Акты!$B$5:$B$16,Оплаты!$D$398,Акты!$H$5:$H$16,"ок")&gt;0,COUNTIFS(Оплаты!$D$6:$D$397,Оплаты!$D$398,Оплаты!$A$6:$A$397,Оплаты!$A$398)=0),Оплаты!$D$398,"")</f>
        <v/>
      </c>
      <c r="B406">
        <f>IF(A406="","",MATCH(A406,Акты!$B$5:$B$16,0))</f>
        <v/>
      </c>
      <c r="C406" s="20">
        <f>IF(A406="","",Оплаты!$A$398+1)</f>
        <v/>
      </c>
      <c r="D406" s="20">
        <f>IF(A406="","",MIN(Ввод!$B$4,Ввод!$B$4+1-SUMPRODUCT(MAX((Оплаты!$D$6:$D$505=A406)*(Оплаты!$A$6:$A$505&gt;Оплаты!$A$398)*(Ввод!$B$4+1-Оплаты!$A$6:$A$505)))))</f>
        <v/>
      </c>
      <c r="E406" s="14">
        <f>IF(A406="","",INDEX(Акты!$D$5:$D$16,B406)-SUMIFS(Оплаты!$B$6:$B$505,Оплаты!$D$6:$D$505,A406,Оплаты!$A$6:$A$505,"&lt;="&amp;Оплаты!$A$398))</f>
        <v/>
      </c>
      <c r="F406" s="14">
        <f>IF(G406="","",SUMPRODUCT(ROUND(E406*'По дням'!$L$6:$L$155/100*((((D406+'По дням'!$K$6:$K$155-ABS(D406-'По дням'!$K$6:$K$155))-(C406+'По дням'!$J$6:$J$155+ABS(C406-'По дням'!$J$6:$J$155)))/2+1)&gt;0)*(((D406+'По дням'!$K$6:$K$155-ABS(D406-'По дням'!$K$6:$K$155))-(C406+'По дням'!$J$6:$J$155+ABS(C406-'По дням'!$J$6:$J$155)))/2+1)/'По дням'!$M$6:$M$155,2)*(1-'По дням'!$N$6:$N$155)))</f>
        <v/>
      </c>
      <c r="G406">
        <f>IF(A406="","",IF(C406&gt;D406,"",B406*1000000+C406))</f>
        <v/>
      </c>
      <c r="H406" s="14">
        <f>IF(G406="","",SUMIFS(Оплаты!$B$6:$B$505,Оплаты!$D$6:$D$505,A406,Оплаты!$A$6:$A$505,D406))</f>
        <v/>
      </c>
      <c r="I406">
        <f>IF(G406="","",SUMPRODUCT((((((D406+'По дням'!$K$6:$K$155-ABS(D406-'По дням'!$K$6:$K$155))-(C406+'По дням'!$J$6:$J$155+ABS(C406-'По дням'!$J$6:$J$155)))/2+1)&gt;0)*(((D406+'По дням'!$K$6:$K$155-ABS(D406-'По дням'!$K$6:$K$155))-(C406+'По дням'!$J$6:$J$155+ABS(C406-'По дням'!$J$6:$J$155)))/2+1)&gt;0)*1))</f>
        <v/>
      </c>
    </row>
    <row r="407">
      <c r="A407">
        <f>IF(AND(Оплаты!$E$399="ок",COUNTIFS(Акты!$B$5:$B$16,Оплаты!$D$399,Акты!$H$5:$H$16,"ок")&gt;0,COUNTIFS(Оплаты!$D$6:$D$398,Оплаты!$D$399,Оплаты!$A$6:$A$398,Оплаты!$A$399)=0),Оплаты!$D$399,"")</f>
        <v/>
      </c>
      <c r="B407">
        <f>IF(A407="","",MATCH(A407,Акты!$B$5:$B$16,0))</f>
        <v/>
      </c>
      <c r="C407" s="20">
        <f>IF(A407="","",Оплаты!$A$399+1)</f>
        <v/>
      </c>
      <c r="D407" s="20">
        <f>IF(A407="","",MIN(Ввод!$B$4,Ввод!$B$4+1-SUMPRODUCT(MAX((Оплаты!$D$6:$D$505=A407)*(Оплаты!$A$6:$A$505&gt;Оплаты!$A$399)*(Ввод!$B$4+1-Оплаты!$A$6:$A$505)))))</f>
        <v/>
      </c>
      <c r="E407" s="14">
        <f>IF(A407="","",INDEX(Акты!$D$5:$D$16,B407)-SUMIFS(Оплаты!$B$6:$B$505,Оплаты!$D$6:$D$505,A407,Оплаты!$A$6:$A$505,"&lt;="&amp;Оплаты!$A$399))</f>
        <v/>
      </c>
      <c r="F407" s="14">
        <f>IF(G407="","",SUMPRODUCT(ROUND(E407*'По дням'!$L$6:$L$155/100*((((D407+'По дням'!$K$6:$K$155-ABS(D407-'По дням'!$K$6:$K$155))-(C407+'По дням'!$J$6:$J$155+ABS(C407-'По дням'!$J$6:$J$155)))/2+1)&gt;0)*(((D407+'По дням'!$K$6:$K$155-ABS(D407-'По дням'!$K$6:$K$155))-(C407+'По дням'!$J$6:$J$155+ABS(C407-'По дням'!$J$6:$J$155)))/2+1)/'По дням'!$M$6:$M$155,2)*(1-'По дням'!$N$6:$N$155)))</f>
        <v/>
      </c>
      <c r="G407">
        <f>IF(A407="","",IF(C407&gt;D407,"",B407*1000000+C407))</f>
        <v/>
      </c>
      <c r="H407" s="14">
        <f>IF(G407="","",SUMIFS(Оплаты!$B$6:$B$505,Оплаты!$D$6:$D$505,A407,Оплаты!$A$6:$A$505,D407))</f>
        <v/>
      </c>
      <c r="I407">
        <f>IF(G407="","",SUMPRODUCT((((((D407+'По дням'!$K$6:$K$155-ABS(D407-'По дням'!$K$6:$K$155))-(C407+'По дням'!$J$6:$J$155+ABS(C407-'По дням'!$J$6:$J$155)))/2+1)&gt;0)*(((D407+'По дням'!$K$6:$K$155-ABS(D407-'По дням'!$K$6:$K$155))-(C407+'По дням'!$J$6:$J$155+ABS(C407-'По дням'!$J$6:$J$155)))/2+1)&gt;0)*1))</f>
        <v/>
      </c>
    </row>
    <row r="408">
      <c r="A408">
        <f>IF(AND(Оплаты!$E$400="ок",COUNTIFS(Акты!$B$5:$B$16,Оплаты!$D$400,Акты!$H$5:$H$16,"ок")&gt;0,COUNTIFS(Оплаты!$D$6:$D$399,Оплаты!$D$400,Оплаты!$A$6:$A$399,Оплаты!$A$400)=0),Оплаты!$D$400,"")</f>
        <v/>
      </c>
      <c r="B408">
        <f>IF(A408="","",MATCH(A408,Акты!$B$5:$B$16,0))</f>
        <v/>
      </c>
      <c r="C408" s="20">
        <f>IF(A408="","",Оплаты!$A$400+1)</f>
        <v/>
      </c>
      <c r="D408" s="20">
        <f>IF(A408="","",MIN(Ввод!$B$4,Ввод!$B$4+1-SUMPRODUCT(MAX((Оплаты!$D$6:$D$505=A408)*(Оплаты!$A$6:$A$505&gt;Оплаты!$A$400)*(Ввод!$B$4+1-Оплаты!$A$6:$A$505)))))</f>
        <v/>
      </c>
      <c r="E408" s="14">
        <f>IF(A408="","",INDEX(Акты!$D$5:$D$16,B408)-SUMIFS(Оплаты!$B$6:$B$505,Оплаты!$D$6:$D$505,A408,Оплаты!$A$6:$A$505,"&lt;="&amp;Оплаты!$A$400))</f>
        <v/>
      </c>
      <c r="F408" s="14">
        <f>IF(G408="","",SUMPRODUCT(ROUND(E408*'По дням'!$L$6:$L$155/100*((((D408+'По дням'!$K$6:$K$155-ABS(D408-'По дням'!$K$6:$K$155))-(C408+'По дням'!$J$6:$J$155+ABS(C408-'По дням'!$J$6:$J$155)))/2+1)&gt;0)*(((D408+'По дням'!$K$6:$K$155-ABS(D408-'По дням'!$K$6:$K$155))-(C408+'По дням'!$J$6:$J$155+ABS(C408-'По дням'!$J$6:$J$155)))/2+1)/'По дням'!$M$6:$M$155,2)*(1-'По дням'!$N$6:$N$155)))</f>
        <v/>
      </c>
      <c r="G408">
        <f>IF(A408="","",IF(C408&gt;D408,"",B408*1000000+C408))</f>
        <v/>
      </c>
      <c r="H408" s="14">
        <f>IF(G408="","",SUMIFS(Оплаты!$B$6:$B$505,Оплаты!$D$6:$D$505,A408,Оплаты!$A$6:$A$505,D408))</f>
        <v/>
      </c>
      <c r="I408">
        <f>IF(G408="","",SUMPRODUCT((((((D408+'По дням'!$K$6:$K$155-ABS(D408-'По дням'!$K$6:$K$155))-(C408+'По дням'!$J$6:$J$155+ABS(C408-'По дням'!$J$6:$J$155)))/2+1)&gt;0)*(((D408+'По дням'!$K$6:$K$155-ABS(D408-'По дням'!$K$6:$K$155))-(C408+'По дням'!$J$6:$J$155+ABS(C408-'По дням'!$J$6:$J$155)))/2+1)&gt;0)*1))</f>
        <v/>
      </c>
    </row>
    <row r="409">
      <c r="A409">
        <f>IF(AND(Оплаты!$E$401="ок",COUNTIFS(Акты!$B$5:$B$16,Оплаты!$D$401,Акты!$H$5:$H$16,"ок")&gt;0,COUNTIFS(Оплаты!$D$6:$D$400,Оплаты!$D$401,Оплаты!$A$6:$A$400,Оплаты!$A$401)=0),Оплаты!$D$401,"")</f>
        <v/>
      </c>
      <c r="B409">
        <f>IF(A409="","",MATCH(A409,Акты!$B$5:$B$16,0))</f>
        <v/>
      </c>
      <c r="C409" s="20">
        <f>IF(A409="","",Оплаты!$A$401+1)</f>
        <v/>
      </c>
      <c r="D409" s="20">
        <f>IF(A409="","",MIN(Ввод!$B$4,Ввод!$B$4+1-SUMPRODUCT(MAX((Оплаты!$D$6:$D$505=A409)*(Оплаты!$A$6:$A$505&gt;Оплаты!$A$401)*(Ввод!$B$4+1-Оплаты!$A$6:$A$505)))))</f>
        <v/>
      </c>
      <c r="E409" s="14">
        <f>IF(A409="","",INDEX(Акты!$D$5:$D$16,B409)-SUMIFS(Оплаты!$B$6:$B$505,Оплаты!$D$6:$D$505,A409,Оплаты!$A$6:$A$505,"&lt;="&amp;Оплаты!$A$401))</f>
        <v/>
      </c>
      <c r="F409" s="14">
        <f>IF(G409="","",SUMPRODUCT(ROUND(E409*'По дням'!$L$6:$L$155/100*((((D409+'По дням'!$K$6:$K$155-ABS(D409-'По дням'!$K$6:$K$155))-(C409+'По дням'!$J$6:$J$155+ABS(C409-'По дням'!$J$6:$J$155)))/2+1)&gt;0)*(((D409+'По дням'!$K$6:$K$155-ABS(D409-'По дням'!$K$6:$K$155))-(C409+'По дням'!$J$6:$J$155+ABS(C409-'По дням'!$J$6:$J$155)))/2+1)/'По дням'!$M$6:$M$155,2)*(1-'По дням'!$N$6:$N$155)))</f>
        <v/>
      </c>
      <c r="G409">
        <f>IF(A409="","",IF(C409&gt;D409,"",B409*1000000+C409))</f>
        <v/>
      </c>
      <c r="H409" s="14">
        <f>IF(G409="","",SUMIFS(Оплаты!$B$6:$B$505,Оплаты!$D$6:$D$505,A409,Оплаты!$A$6:$A$505,D409))</f>
        <v/>
      </c>
      <c r="I409">
        <f>IF(G409="","",SUMPRODUCT((((((D409+'По дням'!$K$6:$K$155-ABS(D409-'По дням'!$K$6:$K$155))-(C409+'По дням'!$J$6:$J$155+ABS(C409-'По дням'!$J$6:$J$155)))/2+1)&gt;0)*(((D409+'По дням'!$K$6:$K$155-ABS(D409-'По дням'!$K$6:$K$155))-(C409+'По дням'!$J$6:$J$155+ABS(C409-'По дням'!$J$6:$J$155)))/2+1)&gt;0)*1))</f>
        <v/>
      </c>
    </row>
    <row r="410">
      <c r="A410">
        <f>IF(AND(Оплаты!$E$402="ок",COUNTIFS(Акты!$B$5:$B$16,Оплаты!$D$402,Акты!$H$5:$H$16,"ок")&gt;0,COUNTIFS(Оплаты!$D$6:$D$401,Оплаты!$D$402,Оплаты!$A$6:$A$401,Оплаты!$A$402)=0),Оплаты!$D$402,"")</f>
        <v/>
      </c>
      <c r="B410">
        <f>IF(A410="","",MATCH(A410,Акты!$B$5:$B$16,0))</f>
        <v/>
      </c>
      <c r="C410" s="20">
        <f>IF(A410="","",Оплаты!$A$402+1)</f>
        <v/>
      </c>
      <c r="D410" s="20">
        <f>IF(A410="","",MIN(Ввод!$B$4,Ввод!$B$4+1-SUMPRODUCT(MAX((Оплаты!$D$6:$D$505=A410)*(Оплаты!$A$6:$A$505&gt;Оплаты!$A$402)*(Ввод!$B$4+1-Оплаты!$A$6:$A$505)))))</f>
        <v/>
      </c>
      <c r="E410" s="14">
        <f>IF(A410="","",INDEX(Акты!$D$5:$D$16,B410)-SUMIFS(Оплаты!$B$6:$B$505,Оплаты!$D$6:$D$505,A410,Оплаты!$A$6:$A$505,"&lt;="&amp;Оплаты!$A$402))</f>
        <v/>
      </c>
      <c r="F410" s="14">
        <f>IF(G410="","",SUMPRODUCT(ROUND(E410*'По дням'!$L$6:$L$155/100*((((D410+'По дням'!$K$6:$K$155-ABS(D410-'По дням'!$K$6:$K$155))-(C410+'По дням'!$J$6:$J$155+ABS(C410-'По дням'!$J$6:$J$155)))/2+1)&gt;0)*(((D410+'По дням'!$K$6:$K$155-ABS(D410-'По дням'!$K$6:$K$155))-(C410+'По дням'!$J$6:$J$155+ABS(C410-'По дням'!$J$6:$J$155)))/2+1)/'По дням'!$M$6:$M$155,2)*(1-'По дням'!$N$6:$N$155)))</f>
        <v/>
      </c>
      <c r="G410">
        <f>IF(A410="","",IF(C410&gt;D410,"",B410*1000000+C410))</f>
        <v/>
      </c>
      <c r="H410" s="14">
        <f>IF(G410="","",SUMIFS(Оплаты!$B$6:$B$505,Оплаты!$D$6:$D$505,A410,Оплаты!$A$6:$A$505,D410))</f>
        <v/>
      </c>
      <c r="I410">
        <f>IF(G410="","",SUMPRODUCT((((((D410+'По дням'!$K$6:$K$155-ABS(D410-'По дням'!$K$6:$K$155))-(C410+'По дням'!$J$6:$J$155+ABS(C410-'По дням'!$J$6:$J$155)))/2+1)&gt;0)*(((D410+'По дням'!$K$6:$K$155-ABS(D410-'По дням'!$K$6:$K$155))-(C410+'По дням'!$J$6:$J$155+ABS(C410-'По дням'!$J$6:$J$155)))/2+1)&gt;0)*1))</f>
        <v/>
      </c>
    </row>
    <row r="411">
      <c r="A411">
        <f>IF(AND(Оплаты!$E$403="ок",COUNTIFS(Акты!$B$5:$B$16,Оплаты!$D$403,Акты!$H$5:$H$16,"ок")&gt;0,COUNTIFS(Оплаты!$D$6:$D$402,Оплаты!$D$403,Оплаты!$A$6:$A$402,Оплаты!$A$403)=0),Оплаты!$D$403,"")</f>
        <v/>
      </c>
      <c r="B411">
        <f>IF(A411="","",MATCH(A411,Акты!$B$5:$B$16,0))</f>
        <v/>
      </c>
      <c r="C411" s="20">
        <f>IF(A411="","",Оплаты!$A$403+1)</f>
        <v/>
      </c>
      <c r="D411" s="20">
        <f>IF(A411="","",MIN(Ввод!$B$4,Ввод!$B$4+1-SUMPRODUCT(MAX((Оплаты!$D$6:$D$505=A411)*(Оплаты!$A$6:$A$505&gt;Оплаты!$A$403)*(Ввод!$B$4+1-Оплаты!$A$6:$A$505)))))</f>
        <v/>
      </c>
      <c r="E411" s="14">
        <f>IF(A411="","",INDEX(Акты!$D$5:$D$16,B411)-SUMIFS(Оплаты!$B$6:$B$505,Оплаты!$D$6:$D$505,A411,Оплаты!$A$6:$A$505,"&lt;="&amp;Оплаты!$A$403))</f>
        <v/>
      </c>
      <c r="F411" s="14">
        <f>IF(G411="","",SUMPRODUCT(ROUND(E411*'По дням'!$L$6:$L$155/100*((((D411+'По дням'!$K$6:$K$155-ABS(D411-'По дням'!$K$6:$K$155))-(C411+'По дням'!$J$6:$J$155+ABS(C411-'По дням'!$J$6:$J$155)))/2+1)&gt;0)*(((D411+'По дням'!$K$6:$K$155-ABS(D411-'По дням'!$K$6:$K$155))-(C411+'По дням'!$J$6:$J$155+ABS(C411-'По дням'!$J$6:$J$155)))/2+1)/'По дням'!$M$6:$M$155,2)*(1-'По дням'!$N$6:$N$155)))</f>
        <v/>
      </c>
      <c r="G411">
        <f>IF(A411="","",IF(C411&gt;D411,"",B411*1000000+C411))</f>
        <v/>
      </c>
      <c r="H411" s="14">
        <f>IF(G411="","",SUMIFS(Оплаты!$B$6:$B$505,Оплаты!$D$6:$D$505,A411,Оплаты!$A$6:$A$505,D411))</f>
        <v/>
      </c>
      <c r="I411">
        <f>IF(G411="","",SUMPRODUCT((((((D411+'По дням'!$K$6:$K$155-ABS(D411-'По дням'!$K$6:$K$155))-(C411+'По дням'!$J$6:$J$155+ABS(C411-'По дням'!$J$6:$J$155)))/2+1)&gt;0)*(((D411+'По дням'!$K$6:$K$155-ABS(D411-'По дням'!$K$6:$K$155))-(C411+'По дням'!$J$6:$J$155+ABS(C411-'По дням'!$J$6:$J$155)))/2+1)&gt;0)*1))</f>
        <v/>
      </c>
    </row>
    <row r="412">
      <c r="A412">
        <f>IF(AND(Оплаты!$E$404="ок",COUNTIFS(Акты!$B$5:$B$16,Оплаты!$D$404,Акты!$H$5:$H$16,"ок")&gt;0,COUNTIFS(Оплаты!$D$6:$D$403,Оплаты!$D$404,Оплаты!$A$6:$A$403,Оплаты!$A$404)=0),Оплаты!$D$404,"")</f>
        <v/>
      </c>
      <c r="B412">
        <f>IF(A412="","",MATCH(A412,Акты!$B$5:$B$16,0))</f>
        <v/>
      </c>
      <c r="C412" s="20">
        <f>IF(A412="","",Оплаты!$A$404+1)</f>
        <v/>
      </c>
      <c r="D412" s="20">
        <f>IF(A412="","",MIN(Ввод!$B$4,Ввод!$B$4+1-SUMPRODUCT(MAX((Оплаты!$D$6:$D$505=A412)*(Оплаты!$A$6:$A$505&gt;Оплаты!$A$404)*(Ввод!$B$4+1-Оплаты!$A$6:$A$505)))))</f>
        <v/>
      </c>
      <c r="E412" s="14">
        <f>IF(A412="","",INDEX(Акты!$D$5:$D$16,B412)-SUMIFS(Оплаты!$B$6:$B$505,Оплаты!$D$6:$D$505,A412,Оплаты!$A$6:$A$505,"&lt;="&amp;Оплаты!$A$404))</f>
        <v/>
      </c>
      <c r="F412" s="14">
        <f>IF(G412="","",SUMPRODUCT(ROUND(E412*'По дням'!$L$6:$L$155/100*((((D412+'По дням'!$K$6:$K$155-ABS(D412-'По дням'!$K$6:$K$155))-(C412+'По дням'!$J$6:$J$155+ABS(C412-'По дням'!$J$6:$J$155)))/2+1)&gt;0)*(((D412+'По дням'!$K$6:$K$155-ABS(D412-'По дням'!$K$6:$K$155))-(C412+'По дням'!$J$6:$J$155+ABS(C412-'По дням'!$J$6:$J$155)))/2+1)/'По дням'!$M$6:$M$155,2)*(1-'По дням'!$N$6:$N$155)))</f>
        <v/>
      </c>
      <c r="G412">
        <f>IF(A412="","",IF(C412&gt;D412,"",B412*1000000+C412))</f>
        <v/>
      </c>
      <c r="H412" s="14">
        <f>IF(G412="","",SUMIFS(Оплаты!$B$6:$B$505,Оплаты!$D$6:$D$505,A412,Оплаты!$A$6:$A$505,D412))</f>
        <v/>
      </c>
      <c r="I412">
        <f>IF(G412="","",SUMPRODUCT((((((D412+'По дням'!$K$6:$K$155-ABS(D412-'По дням'!$K$6:$K$155))-(C412+'По дням'!$J$6:$J$155+ABS(C412-'По дням'!$J$6:$J$155)))/2+1)&gt;0)*(((D412+'По дням'!$K$6:$K$155-ABS(D412-'По дням'!$K$6:$K$155))-(C412+'По дням'!$J$6:$J$155+ABS(C412-'По дням'!$J$6:$J$155)))/2+1)&gt;0)*1))</f>
        <v/>
      </c>
    </row>
    <row r="413">
      <c r="A413">
        <f>IF(AND(Оплаты!$E$405="ок",COUNTIFS(Акты!$B$5:$B$16,Оплаты!$D$405,Акты!$H$5:$H$16,"ок")&gt;0,COUNTIFS(Оплаты!$D$6:$D$404,Оплаты!$D$405,Оплаты!$A$6:$A$404,Оплаты!$A$405)=0),Оплаты!$D$405,"")</f>
        <v/>
      </c>
      <c r="B413">
        <f>IF(A413="","",MATCH(A413,Акты!$B$5:$B$16,0))</f>
        <v/>
      </c>
      <c r="C413" s="20">
        <f>IF(A413="","",Оплаты!$A$405+1)</f>
        <v/>
      </c>
      <c r="D413" s="20">
        <f>IF(A413="","",MIN(Ввод!$B$4,Ввод!$B$4+1-SUMPRODUCT(MAX((Оплаты!$D$6:$D$505=A413)*(Оплаты!$A$6:$A$505&gt;Оплаты!$A$405)*(Ввод!$B$4+1-Оплаты!$A$6:$A$505)))))</f>
        <v/>
      </c>
      <c r="E413" s="14">
        <f>IF(A413="","",INDEX(Акты!$D$5:$D$16,B413)-SUMIFS(Оплаты!$B$6:$B$505,Оплаты!$D$6:$D$505,A413,Оплаты!$A$6:$A$505,"&lt;="&amp;Оплаты!$A$405))</f>
        <v/>
      </c>
      <c r="F413" s="14">
        <f>IF(G413="","",SUMPRODUCT(ROUND(E413*'По дням'!$L$6:$L$155/100*((((D413+'По дням'!$K$6:$K$155-ABS(D413-'По дням'!$K$6:$K$155))-(C413+'По дням'!$J$6:$J$155+ABS(C413-'По дням'!$J$6:$J$155)))/2+1)&gt;0)*(((D413+'По дням'!$K$6:$K$155-ABS(D413-'По дням'!$K$6:$K$155))-(C413+'По дням'!$J$6:$J$155+ABS(C413-'По дням'!$J$6:$J$155)))/2+1)/'По дням'!$M$6:$M$155,2)*(1-'По дням'!$N$6:$N$155)))</f>
        <v/>
      </c>
      <c r="G413">
        <f>IF(A413="","",IF(C413&gt;D413,"",B413*1000000+C413))</f>
        <v/>
      </c>
      <c r="H413" s="14">
        <f>IF(G413="","",SUMIFS(Оплаты!$B$6:$B$505,Оплаты!$D$6:$D$505,A413,Оплаты!$A$6:$A$505,D413))</f>
        <v/>
      </c>
      <c r="I413">
        <f>IF(G413="","",SUMPRODUCT((((((D413+'По дням'!$K$6:$K$155-ABS(D413-'По дням'!$K$6:$K$155))-(C413+'По дням'!$J$6:$J$155+ABS(C413-'По дням'!$J$6:$J$155)))/2+1)&gt;0)*(((D413+'По дням'!$K$6:$K$155-ABS(D413-'По дням'!$K$6:$K$155))-(C413+'По дням'!$J$6:$J$155+ABS(C413-'По дням'!$J$6:$J$155)))/2+1)&gt;0)*1))</f>
        <v/>
      </c>
    </row>
    <row r="414">
      <c r="A414">
        <f>IF(AND(Оплаты!$E$406="ок",COUNTIFS(Акты!$B$5:$B$16,Оплаты!$D$406,Акты!$H$5:$H$16,"ок")&gt;0,COUNTIFS(Оплаты!$D$6:$D$405,Оплаты!$D$406,Оплаты!$A$6:$A$405,Оплаты!$A$406)=0),Оплаты!$D$406,"")</f>
        <v/>
      </c>
      <c r="B414">
        <f>IF(A414="","",MATCH(A414,Акты!$B$5:$B$16,0))</f>
        <v/>
      </c>
      <c r="C414" s="20">
        <f>IF(A414="","",Оплаты!$A$406+1)</f>
        <v/>
      </c>
      <c r="D414" s="20">
        <f>IF(A414="","",MIN(Ввод!$B$4,Ввод!$B$4+1-SUMPRODUCT(MAX((Оплаты!$D$6:$D$505=A414)*(Оплаты!$A$6:$A$505&gt;Оплаты!$A$406)*(Ввод!$B$4+1-Оплаты!$A$6:$A$505)))))</f>
        <v/>
      </c>
      <c r="E414" s="14">
        <f>IF(A414="","",INDEX(Акты!$D$5:$D$16,B414)-SUMIFS(Оплаты!$B$6:$B$505,Оплаты!$D$6:$D$505,A414,Оплаты!$A$6:$A$505,"&lt;="&amp;Оплаты!$A$406))</f>
        <v/>
      </c>
      <c r="F414" s="14">
        <f>IF(G414="","",SUMPRODUCT(ROUND(E414*'По дням'!$L$6:$L$155/100*((((D414+'По дням'!$K$6:$K$155-ABS(D414-'По дням'!$K$6:$K$155))-(C414+'По дням'!$J$6:$J$155+ABS(C414-'По дням'!$J$6:$J$155)))/2+1)&gt;0)*(((D414+'По дням'!$K$6:$K$155-ABS(D414-'По дням'!$K$6:$K$155))-(C414+'По дням'!$J$6:$J$155+ABS(C414-'По дням'!$J$6:$J$155)))/2+1)/'По дням'!$M$6:$M$155,2)*(1-'По дням'!$N$6:$N$155)))</f>
        <v/>
      </c>
      <c r="G414">
        <f>IF(A414="","",IF(C414&gt;D414,"",B414*1000000+C414))</f>
        <v/>
      </c>
      <c r="H414" s="14">
        <f>IF(G414="","",SUMIFS(Оплаты!$B$6:$B$505,Оплаты!$D$6:$D$505,A414,Оплаты!$A$6:$A$505,D414))</f>
        <v/>
      </c>
      <c r="I414">
        <f>IF(G414="","",SUMPRODUCT((((((D414+'По дням'!$K$6:$K$155-ABS(D414-'По дням'!$K$6:$K$155))-(C414+'По дням'!$J$6:$J$155+ABS(C414-'По дням'!$J$6:$J$155)))/2+1)&gt;0)*(((D414+'По дням'!$K$6:$K$155-ABS(D414-'По дням'!$K$6:$K$155))-(C414+'По дням'!$J$6:$J$155+ABS(C414-'По дням'!$J$6:$J$155)))/2+1)&gt;0)*1))</f>
        <v/>
      </c>
    </row>
    <row r="415">
      <c r="A415">
        <f>IF(AND(Оплаты!$E$407="ок",COUNTIFS(Акты!$B$5:$B$16,Оплаты!$D$407,Акты!$H$5:$H$16,"ок")&gt;0,COUNTIFS(Оплаты!$D$6:$D$406,Оплаты!$D$407,Оплаты!$A$6:$A$406,Оплаты!$A$407)=0),Оплаты!$D$407,"")</f>
        <v/>
      </c>
      <c r="B415">
        <f>IF(A415="","",MATCH(A415,Акты!$B$5:$B$16,0))</f>
        <v/>
      </c>
      <c r="C415" s="20">
        <f>IF(A415="","",Оплаты!$A$407+1)</f>
        <v/>
      </c>
      <c r="D415" s="20">
        <f>IF(A415="","",MIN(Ввод!$B$4,Ввод!$B$4+1-SUMPRODUCT(MAX((Оплаты!$D$6:$D$505=A415)*(Оплаты!$A$6:$A$505&gt;Оплаты!$A$407)*(Ввод!$B$4+1-Оплаты!$A$6:$A$505)))))</f>
        <v/>
      </c>
      <c r="E415" s="14">
        <f>IF(A415="","",INDEX(Акты!$D$5:$D$16,B415)-SUMIFS(Оплаты!$B$6:$B$505,Оплаты!$D$6:$D$505,A415,Оплаты!$A$6:$A$505,"&lt;="&amp;Оплаты!$A$407))</f>
        <v/>
      </c>
      <c r="F415" s="14">
        <f>IF(G415="","",SUMPRODUCT(ROUND(E415*'По дням'!$L$6:$L$155/100*((((D415+'По дням'!$K$6:$K$155-ABS(D415-'По дням'!$K$6:$K$155))-(C415+'По дням'!$J$6:$J$155+ABS(C415-'По дням'!$J$6:$J$155)))/2+1)&gt;0)*(((D415+'По дням'!$K$6:$K$155-ABS(D415-'По дням'!$K$6:$K$155))-(C415+'По дням'!$J$6:$J$155+ABS(C415-'По дням'!$J$6:$J$155)))/2+1)/'По дням'!$M$6:$M$155,2)*(1-'По дням'!$N$6:$N$155)))</f>
        <v/>
      </c>
      <c r="G415">
        <f>IF(A415="","",IF(C415&gt;D415,"",B415*1000000+C415))</f>
        <v/>
      </c>
      <c r="H415" s="14">
        <f>IF(G415="","",SUMIFS(Оплаты!$B$6:$B$505,Оплаты!$D$6:$D$505,A415,Оплаты!$A$6:$A$505,D415))</f>
        <v/>
      </c>
      <c r="I415">
        <f>IF(G415="","",SUMPRODUCT((((((D415+'По дням'!$K$6:$K$155-ABS(D415-'По дням'!$K$6:$K$155))-(C415+'По дням'!$J$6:$J$155+ABS(C415-'По дням'!$J$6:$J$155)))/2+1)&gt;0)*(((D415+'По дням'!$K$6:$K$155-ABS(D415-'По дням'!$K$6:$K$155))-(C415+'По дням'!$J$6:$J$155+ABS(C415-'По дням'!$J$6:$J$155)))/2+1)&gt;0)*1))</f>
        <v/>
      </c>
    </row>
    <row r="416">
      <c r="A416">
        <f>IF(AND(Оплаты!$E$408="ок",COUNTIFS(Акты!$B$5:$B$16,Оплаты!$D$408,Акты!$H$5:$H$16,"ок")&gt;0,COUNTIFS(Оплаты!$D$6:$D$407,Оплаты!$D$408,Оплаты!$A$6:$A$407,Оплаты!$A$408)=0),Оплаты!$D$408,"")</f>
        <v/>
      </c>
      <c r="B416">
        <f>IF(A416="","",MATCH(A416,Акты!$B$5:$B$16,0))</f>
        <v/>
      </c>
      <c r="C416" s="20">
        <f>IF(A416="","",Оплаты!$A$408+1)</f>
        <v/>
      </c>
      <c r="D416" s="20">
        <f>IF(A416="","",MIN(Ввод!$B$4,Ввод!$B$4+1-SUMPRODUCT(MAX((Оплаты!$D$6:$D$505=A416)*(Оплаты!$A$6:$A$505&gt;Оплаты!$A$408)*(Ввод!$B$4+1-Оплаты!$A$6:$A$505)))))</f>
        <v/>
      </c>
      <c r="E416" s="14">
        <f>IF(A416="","",INDEX(Акты!$D$5:$D$16,B416)-SUMIFS(Оплаты!$B$6:$B$505,Оплаты!$D$6:$D$505,A416,Оплаты!$A$6:$A$505,"&lt;="&amp;Оплаты!$A$408))</f>
        <v/>
      </c>
      <c r="F416" s="14">
        <f>IF(G416="","",SUMPRODUCT(ROUND(E416*'По дням'!$L$6:$L$155/100*((((D416+'По дням'!$K$6:$K$155-ABS(D416-'По дням'!$K$6:$K$155))-(C416+'По дням'!$J$6:$J$155+ABS(C416-'По дням'!$J$6:$J$155)))/2+1)&gt;0)*(((D416+'По дням'!$K$6:$K$155-ABS(D416-'По дням'!$K$6:$K$155))-(C416+'По дням'!$J$6:$J$155+ABS(C416-'По дням'!$J$6:$J$155)))/2+1)/'По дням'!$M$6:$M$155,2)*(1-'По дням'!$N$6:$N$155)))</f>
        <v/>
      </c>
      <c r="G416">
        <f>IF(A416="","",IF(C416&gt;D416,"",B416*1000000+C416))</f>
        <v/>
      </c>
      <c r="H416" s="14">
        <f>IF(G416="","",SUMIFS(Оплаты!$B$6:$B$505,Оплаты!$D$6:$D$505,A416,Оплаты!$A$6:$A$505,D416))</f>
        <v/>
      </c>
      <c r="I416">
        <f>IF(G416="","",SUMPRODUCT((((((D416+'По дням'!$K$6:$K$155-ABS(D416-'По дням'!$K$6:$K$155))-(C416+'По дням'!$J$6:$J$155+ABS(C416-'По дням'!$J$6:$J$155)))/2+1)&gt;0)*(((D416+'По дням'!$K$6:$K$155-ABS(D416-'По дням'!$K$6:$K$155))-(C416+'По дням'!$J$6:$J$155+ABS(C416-'По дням'!$J$6:$J$155)))/2+1)&gt;0)*1))</f>
        <v/>
      </c>
    </row>
    <row r="417">
      <c r="A417">
        <f>IF(AND(Оплаты!$E$409="ок",COUNTIFS(Акты!$B$5:$B$16,Оплаты!$D$409,Акты!$H$5:$H$16,"ок")&gt;0,COUNTIFS(Оплаты!$D$6:$D$408,Оплаты!$D$409,Оплаты!$A$6:$A$408,Оплаты!$A$409)=0),Оплаты!$D$409,"")</f>
        <v/>
      </c>
      <c r="B417">
        <f>IF(A417="","",MATCH(A417,Акты!$B$5:$B$16,0))</f>
        <v/>
      </c>
      <c r="C417" s="20">
        <f>IF(A417="","",Оплаты!$A$409+1)</f>
        <v/>
      </c>
      <c r="D417" s="20">
        <f>IF(A417="","",MIN(Ввод!$B$4,Ввод!$B$4+1-SUMPRODUCT(MAX((Оплаты!$D$6:$D$505=A417)*(Оплаты!$A$6:$A$505&gt;Оплаты!$A$409)*(Ввод!$B$4+1-Оплаты!$A$6:$A$505)))))</f>
        <v/>
      </c>
      <c r="E417" s="14">
        <f>IF(A417="","",INDEX(Акты!$D$5:$D$16,B417)-SUMIFS(Оплаты!$B$6:$B$505,Оплаты!$D$6:$D$505,A417,Оплаты!$A$6:$A$505,"&lt;="&amp;Оплаты!$A$409))</f>
        <v/>
      </c>
      <c r="F417" s="14">
        <f>IF(G417="","",SUMPRODUCT(ROUND(E417*'По дням'!$L$6:$L$155/100*((((D417+'По дням'!$K$6:$K$155-ABS(D417-'По дням'!$K$6:$K$155))-(C417+'По дням'!$J$6:$J$155+ABS(C417-'По дням'!$J$6:$J$155)))/2+1)&gt;0)*(((D417+'По дням'!$K$6:$K$155-ABS(D417-'По дням'!$K$6:$K$155))-(C417+'По дням'!$J$6:$J$155+ABS(C417-'По дням'!$J$6:$J$155)))/2+1)/'По дням'!$M$6:$M$155,2)*(1-'По дням'!$N$6:$N$155)))</f>
        <v/>
      </c>
      <c r="G417">
        <f>IF(A417="","",IF(C417&gt;D417,"",B417*1000000+C417))</f>
        <v/>
      </c>
      <c r="H417" s="14">
        <f>IF(G417="","",SUMIFS(Оплаты!$B$6:$B$505,Оплаты!$D$6:$D$505,A417,Оплаты!$A$6:$A$505,D417))</f>
        <v/>
      </c>
      <c r="I417">
        <f>IF(G417="","",SUMPRODUCT((((((D417+'По дням'!$K$6:$K$155-ABS(D417-'По дням'!$K$6:$K$155))-(C417+'По дням'!$J$6:$J$155+ABS(C417-'По дням'!$J$6:$J$155)))/2+1)&gt;0)*(((D417+'По дням'!$K$6:$K$155-ABS(D417-'По дням'!$K$6:$K$155))-(C417+'По дням'!$J$6:$J$155+ABS(C417-'По дням'!$J$6:$J$155)))/2+1)&gt;0)*1))</f>
        <v/>
      </c>
    </row>
    <row r="418">
      <c r="A418">
        <f>IF(AND(Оплаты!$E$410="ок",COUNTIFS(Акты!$B$5:$B$16,Оплаты!$D$410,Акты!$H$5:$H$16,"ок")&gt;0,COUNTIFS(Оплаты!$D$6:$D$409,Оплаты!$D$410,Оплаты!$A$6:$A$409,Оплаты!$A$410)=0),Оплаты!$D$410,"")</f>
        <v/>
      </c>
      <c r="B418">
        <f>IF(A418="","",MATCH(A418,Акты!$B$5:$B$16,0))</f>
        <v/>
      </c>
      <c r="C418" s="20">
        <f>IF(A418="","",Оплаты!$A$410+1)</f>
        <v/>
      </c>
      <c r="D418" s="20">
        <f>IF(A418="","",MIN(Ввод!$B$4,Ввод!$B$4+1-SUMPRODUCT(MAX((Оплаты!$D$6:$D$505=A418)*(Оплаты!$A$6:$A$505&gt;Оплаты!$A$410)*(Ввод!$B$4+1-Оплаты!$A$6:$A$505)))))</f>
        <v/>
      </c>
      <c r="E418" s="14">
        <f>IF(A418="","",INDEX(Акты!$D$5:$D$16,B418)-SUMIFS(Оплаты!$B$6:$B$505,Оплаты!$D$6:$D$505,A418,Оплаты!$A$6:$A$505,"&lt;="&amp;Оплаты!$A$410))</f>
        <v/>
      </c>
      <c r="F418" s="14">
        <f>IF(G418="","",SUMPRODUCT(ROUND(E418*'По дням'!$L$6:$L$155/100*((((D418+'По дням'!$K$6:$K$155-ABS(D418-'По дням'!$K$6:$K$155))-(C418+'По дням'!$J$6:$J$155+ABS(C418-'По дням'!$J$6:$J$155)))/2+1)&gt;0)*(((D418+'По дням'!$K$6:$K$155-ABS(D418-'По дням'!$K$6:$K$155))-(C418+'По дням'!$J$6:$J$155+ABS(C418-'По дням'!$J$6:$J$155)))/2+1)/'По дням'!$M$6:$M$155,2)*(1-'По дням'!$N$6:$N$155)))</f>
        <v/>
      </c>
      <c r="G418">
        <f>IF(A418="","",IF(C418&gt;D418,"",B418*1000000+C418))</f>
        <v/>
      </c>
      <c r="H418" s="14">
        <f>IF(G418="","",SUMIFS(Оплаты!$B$6:$B$505,Оплаты!$D$6:$D$505,A418,Оплаты!$A$6:$A$505,D418))</f>
        <v/>
      </c>
      <c r="I418">
        <f>IF(G418="","",SUMPRODUCT((((((D418+'По дням'!$K$6:$K$155-ABS(D418-'По дням'!$K$6:$K$155))-(C418+'По дням'!$J$6:$J$155+ABS(C418-'По дням'!$J$6:$J$155)))/2+1)&gt;0)*(((D418+'По дням'!$K$6:$K$155-ABS(D418-'По дням'!$K$6:$K$155))-(C418+'По дням'!$J$6:$J$155+ABS(C418-'По дням'!$J$6:$J$155)))/2+1)&gt;0)*1))</f>
        <v/>
      </c>
    </row>
    <row r="419">
      <c r="A419">
        <f>IF(AND(Оплаты!$E$411="ок",COUNTIFS(Акты!$B$5:$B$16,Оплаты!$D$411,Акты!$H$5:$H$16,"ок")&gt;0,COUNTIFS(Оплаты!$D$6:$D$410,Оплаты!$D$411,Оплаты!$A$6:$A$410,Оплаты!$A$411)=0),Оплаты!$D$411,"")</f>
        <v/>
      </c>
      <c r="B419">
        <f>IF(A419="","",MATCH(A419,Акты!$B$5:$B$16,0))</f>
        <v/>
      </c>
      <c r="C419" s="20">
        <f>IF(A419="","",Оплаты!$A$411+1)</f>
        <v/>
      </c>
      <c r="D419" s="20">
        <f>IF(A419="","",MIN(Ввод!$B$4,Ввод!$B$4+1-SUMPRODUCT(MAX((Оплаты!$D$6:$D$505=A419)*(Оплаты!$A$6:$A$505&gt;Оплаты!$A$411)*(Ввод!$B$4+1-Оплаты!$A$6:$A$505)))))</f>
        <v/>
      </c>
      <c r="E419" s="14">
        <f>IF(A419="","",INDEX(Акты!$D$5:$D$16,B419)-SUMIFS(Оплаты!$B$6:$B$505,Оплаты!$D$6:$D$505,A419,Оплаты!$A$6:$A$505,"&lt;="&amp;Оплаты!$A$411))</f>
        <v/>
      </c>
      <c r="F419" s="14">
        <f>IF(G419="","",SUMPRODUCT(ROUND(E419*'По дням'!$L$6:$L$155/100*((((D419+'По дням'!$K$6:$K$155-ABS(D419-'По дням'!$K$6:$K$155))-(C419+'По дням'!$J$6:$J$155+ABS(C419-'По дням'!$J$6:$J$155)))/2+1)&gt;0)*(((D419+'По дням'!$K$6:$K$155-ABS(D419-'По дням'!$K$6:$K$155))-(C419+'По дням'!$J$6:$J$155+ABS(C419-'По дням'!$J$6:$J$155)))/2+1)/'По дням'!$M$6:$M$155,2)*(1-'По дням'!$N$6:$N$155)))</f>
        <v/>
      </c>
      <c r="G419">
        <f>IF(A419="","",IF(C419&gt;D419,"",B419*1000000+C419))</f>
        <v/>
      </c>
      <c r="H419" s="14">
        <f>IF(G419="","",SUMIFS(Оплаты!$B$6:$B$505,Оплаты!$D$6:$D$505,A419,Оплаты!$A$6:$A$505,D419))</f>
        <v/>
      </c>
      <c r="I419">
        <f>IF(G419="","",SUMPRODUCT((((((D419+'По дням'!$K$6:$K$155-ABS(D419-'По дням'!$K$6:$K$155))-(C419+'По дням'!$J$6:$J$155+ABS(C419-'По дням'!$J$6:$J$155)))/2+1)&gt;0)*(((D419+'По дням'!$K$6:$K$155-ABS(D419-'По дням'!$K$6:$K$155))-(C419+'По дням'!$J$6:$J$155+ABS(C419-'По дням'!$J$6:$J$155)))/2+1)&gt;0)*1))</f>
        <v/>
      </c>
    </row>
    <row r="420">
      <c r="A420">
        <f>IF(AND(Оплаты!$E$412="ок",COUNTIFS(Акты!$B$5:$B$16,Оплаты!$D$412,Акты!$H$5:$H$16,"ок")&gt;0,COUNTIFS(Оплаты!$D$6:$D$411,Оплаты!$D$412,Оплаты!$A$6:$A$411,Оплаты!$A$412)=0),Оплаты!$D$412,"")</f>
        <v/>
      </c>
      <c r="B420">
        <f>IF(A420="","",MATCH(A420,Акты!$B$5:$B$16,0))</f>
        <v/>
      </c>
      <c r="C420" s="20">
        <f>IF(A420="","",Оплаты!$A$412+1)</f>
        <v/>
      </c>
      <c r="D420" s="20">
        <f>IF(A420="","",MIN(Ввод!$B$4,Ввод!$B$4+1-SUMPRODUCT(MAX((Оплаты!$D$6:$D$505=A420)*(Оплаты!$A$6:$A$505&gt;Оплаты!$A$412)*(Ввод!$B$4+1-Оплаты!$A$6:$A$505)))))</f>
        <v/>
      </c>
      <c r="E420" s="14">
        <f>IF(A420="","",INDEX(Акты!$D$5:$D$16,B420)-SUMIFS(Оплаты!$B$6:$B$505,Оплаты!$D$6:$D$505,A420,Оплаты!$A$6:$A$505,"&lt;="&amp;Оплаты!$A$412))</f>
        <v/>
      </c>
      <c r="F420" s="14">
        <f>IF(G420="","",SUMPRODUCT(ROUND(E420*'По дням'!$L$6:$L$155/100*((((D420+'По дням'!$K$6:$K$155-ABS(D420-'По дням'!$K$6:$K$155))-(C420+'По дням'!$J$6:$J$155+ABS(C420-'По дням'!$J$6:$J$155)))/2+1)&gt;0)*(((D420+'По дням'!$K$6:$K$155-ABS(D420-'По дням'!$K$6:$K$155))-(C420+'По дням'!$J$6:$J$155+ABS(C420-'По дням'!$J$6:$J$155)))/2+1)/'По дням'!$M$6:$M$155,2)*(1-'По дням'!$N$6:$N$155)))</f>
        <v/>
      </c>
      <c r="G420">
        <f>IF(A420="","",IF(C420&gt;D420,"",B420*1000000+C420))</f>
        <v/>
      </c>
      <c r="H420" s="14">
        <f>IF(G420="","",SUMIFS(Оплаты!$B$6:$B$505,Оплаты!$D$6:$D$505,A420,Оплаты!$A$6:$A$505,D420))</f>
        <v/>
      </c>
      <c r="I420">
        <f>IF(G420="","",SUMPRODUCT((((((D420+'По дням'!$K$6:$K$155-ABS(D420-'По дням'!$K$6:$K$155))-(C420+'По дням'!$J$6:$J$155+ABS(C420-'По дням'!$J$6:$J$155)))/2+1)&gt;0)*(((D420+'По дням'!$K$6:$K$155-ABS(D420-'По дням'!$K$6:$K$155))-(C420+'По дням'!$J$6:$J$155+ABS(C420-'По дням'!$J$6:$J$155)))/2+1)&gt;0)*1))</f>
        <v/>
      </c>
    </row>
    <row r="421">
      <c r="A421">
        <f>IF(AND(Оплаты!$E$413="ок",COUNTIFS(Акты!$B$5:$B$16,Оплаты!$D$413,Акты!$H$5:$H$16,"ок")&gt;0,COUNTIFS(Оплаты!$D$6:$D$412,Оплаты!$D$413,Оплаты!$A$6:$A$412,Оплаты!$A$413)=0),Оплаты!$D$413,"")</f>
        <v/>
      </c>
      <c r="B421">
        <f>IF(A421="","",MATCH(A421,Акты!$B$5:$B$16,0))</f>
        <v/>
      </c>
      <c r="C421" s="20">
        <f>IF(A421="","",Оплаты!$A$413+1)</f>
        <v/>
      </c>
      <c r="D421" s="20">
        <f>IF(A421="","",MIN(Ввод!$B$4,Ввод!$B$4+1-SUMPRODUCT(MAX((Оплаты!$D$6:$D$505=A421)*(Оплаты!$A$6:$A$505&gt;Оплаты!$A$413)*(Ввод!$B$4+1-Оплаты!$A$6:$A$505)))))</f>
        <v/>
      </c>
      <c r="E421" s="14">
        <f>IF(A421="","",INDEX(Акты!$D$5:$D$16,B421)-SUMIFS(Оплаты!$B$6:$B$505,Оплаты!$D$6:$D$505,A421,Оплаты!$A$6:$A$505,"&lt;="&amp;Оплаты!$A$413))</f>
        <v/>
      </c>
      <c r="F421" s="14">
        <f>IF(G421="","",SUMPRODUCT(ROUND(E421*'По дням'!$L$6:$L$155/100*((((D421+'По дням'!$K$6:$K$155-ABS(D421-'По дням'!$K$6:$K$155))-(C421+'По дням'!$J$6:$J$155+ABS(C421-'По дням'!$J$6:$J$155)))/2+1)&gt;0)*(((D421+'По дням'!$K$6:$K$155-ABS(D421-'По дням'!$K$6:$K$155))-(C421+'По дням'!$J$6:$J$155+ABS(C421-'По дням'!$J$6:$J$155)))/2+1)/'По дням'!$M$6:$M$155,2)*(1-'По дням'!$N$6:$N$155)))</f>
        <v/>
      </c>
      <c r="G421">
        <f>IF(A421="","",IF(C421&gt;D421,"",B421*1000000+C421))</f>
        <v/>
      </c>
      <c r="H421" s="14">
        <f>IF(G421="","",SUMIFS(Оплаты!$B$6:$B$505,Оплаты!$D$6:$D$505,A421,Оплаты!$A$6:$A$505,D421))</f>
        <v/>
      </c>
      <c r="I421">
        <f>IF(G421="","",SUMPRODUCT((((((D421+'По дням'!$K$6:$K$155-ABS(D421-'По дням'!$K$6:$K$155))-(C421+'По дням'!$J$6:$J$155+ABS(C421-'По дням'!$J$6:$J$155)))/2+1)&gt;0)*(((D421+'По дням'!$K$6:$K$155-ABS(D421-'По дням'!$K$6:$K$155))-(C421+'По дням'!$J$6:$J$155+ABS(C421-'По дням'!$J$6:$J$155)))/2+1)&gt;0)*1))</f>
        <v/>
      </c>
    </row>
    <row r="422">
      <c r="A422">
        <f>IF(AND(Оплаты!$E$414="ок",COUNTIFS(Акты!$B$5:$B$16,Оплаты!$D$414,Акты!$H$5:$H$16,"ок")&gt;0,COUNTIFS(Оплаты!$D$6:$D$413,Оплаты!$D$414,Оплаты!$A$6:$A$413,Оплаты!$A$414)=0),Оплаты!$D$414,"")</f>
        <v/>
      </c>
      <c r="B422">
        <f>IF(A422="","",MATCH(A422,Акты!$B$5:$B$16,0))</f>
        <v/>
      </c>
      <c r="C422" s="20">
        <f>IF(A422="","",Оплаты!$A$414+1)</f>
        <v/>
      </c>
      <c r="D422" s="20">
        <f>IF(A422="","",MIN(Ввод!$B$4,Ввод!$B$4+1-SUMPRODUCT(MAX((Оплаты!$D$6:$D$505=A422)*(Оплаты!$A$6:$A$505&gt;Оплаты!$A$414)*(Ввод!$B$4+1-Оплаты!$A$6:$A$505)))))</f>
        <v/>
      </c>
      <c r="E422" s="14">
        <f>IF(A422="","",INDEX(Акты!$D$5:$D$16,B422)-SUMIFS(Оплаты!$B$6:$B$505,Оплаты!$D$6:$D$505,A422,Оплаты!$A$6:$A$505,"&lt;="&amp;Оплаты!$A$414))</f>
        <v/>
      </c>
      <c r="F422" s="14">
        <f>IF(G422="","",SUMPRODUCT(ROUND(E422*'По дням'!$L$6:$L$155/100*((((D422+'По дням'!$K$6:$K$155-ABS(D422-'По дням'!$K$6:$K$155))-(C422+'По дням'!$J$6:$J$155+ABS(C422-'По дням'!$J$6:$J$155)))/2+1)&gt;0)*(((D422+'По дням'!$K$6:$K$155-ABS(D422-'По дням'!$K$6:$K$155))-(C422+'По дням'!$J$6:$J$155+ABS(C422-'По дням'!$J$6:$J$155)))/2+1)/'По дням'!$M$6:$M$155,2)*(1-'По дням'!$N$6:$N$155)))</f>
        <v/>
      </c>
      <c r="G422">
        <f>IF(A422="","",IF(C422&gt;D422,"",B422*1000000+C422))</f>
        <v/>
      </c>
      <c r="H422" s="14">
        <f>IF(G422="","",SUMIFS(Оплаты!$B$6:$B$505,Оплаты!$D$6:$D$505,A422,Оплаты!$A$6:$A$505,D422))</f>
        <v/>
      </c>
      <c r="I422">
        <f>IF(G422="","",SUMPRODUCT((((((D422+'По дням'!$K$6:$K$155-ABS(D422-'По дням'!$K$6:$K$155))-(C422+'По дням'!$J$6:$J$155+ABS(C422-'По дням'!$J$6:$J$155)))/2+1)&gt;0)*(((D422+'По дням'!$K$6:$K$155-ABS(D422-'По дням'!$K$6:$K$155))-(C422+'По дням'!$J$6:$J$155+ABS(C422-'По дням'!$J$6:$J$155)))/2+1)&gt;0)*1))</f>
        <v/>
      </c>
    </row>
    <row r="423">
      <c r="A423">
        <f>IF(AND(Оплаты!$E$415="ок",COUNTIFS(Акты!$B$5:$B$16,Оплаты!$D$415,Акты!$H$5:$H$16,"ок")&gt;0,COUNTIFS(Оплаты!$D$6:$D$414,Оплаты!$D$415,Оплаты!$A$6:$A$414,Оплаты!$A$415)=0),Оплаты!$D$415,"")</f>
        <v/>
      </c>
      <c r="B423">
        <f>IF(A423="","",MATCH(A423,Акты!$B$5:$B$16,0))</f>
        <v/>
      </c>
      <c r="C423" s="20">
        <f>IF(A423="","",Оплаты!$A$415+1)</f>
        <v/>
      </c>
      <c r="D423" s="20">
        <f>IF(A423="","",MIN(Ввод!$B$4,Ввод!$B$4+1-SUMPRODUCT(MAX((Оплаты!$D$6:$D$505=A423)*(Оплаты!$A$6:$A$505&gt;Оплаты!$A$415)*(Ввод!$B$4+1-Оплаты!$A$6:$A$505)))))</f>
        <v/>
      </c>
      <c r="E423" s="14">
        <f>IF(A423="","",INDEX(Акты!$D$5:$D$16,B423)-SUMIFS(Оплаты!$B$6:$B$505,Оплаты!$D$6:$D$505,A423,Оплаты!$A$6:$A$505,"&lt;="&amp;Оплаты!$A$415))</f>
        <v/>
      </c>
      <c r="F423" s="14">
        <f>IF(G423="","",SUMPRODUCT(ROUND(E423*'По дням'!$L$6:$L$155/100*((((D423+'По дням'!$K$6:$K$155-ABS(D423-'По дням'!$K$6:$K$155))-(C423+'По дням'!$J$6:$J$155+ABS(C423-'По дням'!$J$6:$J$155)))/2+1)&gt;0)*(((D423+'По дням'!$K$6:$K$155-ABS(D423-'По дням'!$K$6:$K$155))-(C423+'По дням'!$J$6:$J$155+ABS(C423-'По дням'!$J$6:$J$155)))/2+1)/'По дням'!$M$6:$M$155,2)*(1-'По дням'!$N$6:$N$155)))</f>
        <v/>
      </c>
      <c r="G423">
        <f>IF(A423="","",IF(C423&gt;D423,"",B423*1000000+C423))</f>
        <v/>
      </c>
      <c r="H423" s="14">
        <f>IF(G423="","",SUMIFS(Оплаты!$B$6:$B$505,Оплаты!$D$6:$D$505,A423,Оплаты!$A$6:$A$505,D423))</f>
        <v/>
      </c>
      <c r="I423">
        <f>IF(G423="","",SUMPRODUCT((((((D423+'По дням'!$K$6:$K$155-ABS(D423-'По дням'!$K$6:$K$155))-(C423+'По дням'!$J$6:$J$155+ABS(C423-'По дням'!$J$6:$J$155)))/2+1)&gt;0)*(((D423+'По дням'!$K$6:$K$155-ABS(D423-'По дням'!$K$6:$K$155))-(C423+'По дням'!$J$6:$J$155+ABS(C423-'По дням'!$J$6:$J$155)))/2+1)&gt;0)*1))</f>
        <v/>
      </c>
    </row>
    <row r="424">
      <c r="A424">
        <f>IF(AND(Оплаты!$E$416="ок",COUNTIFS(Акты!$B$5:$B$16,Оплаты!$D$416,Акты!$H$5:$H$16,"ок")&gt;0,COUNTIFS(Оплаты!$D$6:$D$415,Оплаты!$D$416,Оплаты!$A$6:$A$415,Оплаты!$A$416)=0),Оплаты!$D$416,"")</f>
        <v/>
      </c>
      <c r="B424">
        <f>IF(A424="","",MATCH(A424,Акты!$B$5:$B$16,0))</f>
        <v/>
      </c>
      <c r="C424" s="20">
        <f>IF(A424="","",Оплаты!$A$416+1)</f>
        <v/>
      </c>
      <c r="D424" s="20">
        <f>IF(A424="","",MIN(Ввод!$B$4,Ввод!$B$4+1-SUMPRODUCT(MAX((Оплаты!$D$6:$D$505=A424)*(Оплаты!$A$6:$A$505&gt;Оплаты!$A$416)*(Ввод!$B$4+1-Оплаты!$A$6:$A$505)))))</f>
        <v/>
      </c>
      <c r="E424" s="14">
        <f>IF(A424="","",INDEX(Акты!$D$5:$D$16,B424)-SUMIFS(Оплаты!$B$6:$B$505,Оплаты!$D$6:$D$505,A424,Оплаты!$A$6:$A$505,"&lt;="&amp;Оплаты!$A$416))</f>
        <v/>
      </c>
      <c r="F424" s="14">
        <f>IF(G424="","",SUMPRODUCT(ROUND(E424*'По дням'!$L$6:$L$155/100*((((D424+'По дням'!$K$6:$K$155-ABS(D424-'По дням'!$K$6:$K$155))-(C424+'По дням'!$J$6:$J$155+ABS(C424-'По дням'!$J$6:$J$155)))/2+1)&gt;0)*(((D424+'По дням'!$K$6:$K$155-ABS(D424-'По дням'!$K$6:$K$155))-(C424+'По дням'!$J$6:$J$155+ABS(C424-'По дням'!$J$6:$J$155)))/2+1)/'По дням'!$M$6:$M$155,2)*(1-'По дням'!$N$6:$N$155)))</f>
        <v/>
      </c>
      <c r="G424">
        <f>IF(A424="","",IF(C424&gt;D424,"",B424*1000000+C424))</f>
        <v/>
      </c>
      <c r="H424" s="14">
        <f>IF(G424="","",SUMIFS(Оплаты!$B$6:$B$505,Оплаты!$D$6:$D$505,A424,Оплаты!$A$6:$A$505,D424))</f>
        <v/>
      </c>
      <c r="I424">
        <f>IF(G424="","",SUMPRODUCT((((((D424+'По дням'!$K$6:$K$155-ABS(D424-'По дням'!$K$6:$K$155))-(C424+'По дням'!$J$6:$J$155+ABS(C424-'По дням'!$J$6:$J$155)))/2+1)&gt;0)*(((D424+'По дням'!$K$6:$K$155-ABS(D424-'По дням'!$K$6:$K$155))-(C424+'По дням'!$J$6:$J$155+ABS(C424-'По дням'!$J$6:$J$155)))/2+1)&gt;0)*1))</f>
        <v/>
      </c>
    </row>
    <row r="425">
      <c r="A425">
        <f>IF(AND(Оплаты!$E$417="ок",COUNTIFS(Акты!$B$5:$B$16,Оплаты!$D$417,Акты!$H$5:$H$16,"ок")&gt;0,COUNTIFS(Оплаты!$D$6:$D$416,Оплаты!$D$417,Оплаты!$A$6:$A$416,Оплаты!$A$417)=0),Оплаты!$D$417,"")</f>
        <v/>
      </c>
      <c r="B425">
        <f>IF(A425="","",MATCH(A425,Акты!$B$5:$B$16,0))</f>
        <v/>
      </c>
      <c r="C425" s="20">
        <f>IF(A425="","",Оплаты!$A$417+1)</f>
        <v/>
      </c>
      <c r="D425" s="20">
        <f>IF(A425="","",MIN(Ввод!$B$4,Ввод!$B$4+1-SUMPRODUCT(MAX((Оплаты!$D$6:$D$505=A425)*(Оплаты!$A$6:$A$505&gt;Оплаты!$A$417)*(Ввод!$B$4+1-Оплаты!$A$6:$A$505)))))</f>
        <v/>
      </c>
      <c r="E425" s="14">
        <f>IF(A425="","",INDEX(Акты!$D$5:$D$16,B425)-SUMIFS(Оплаты!$B$6:$B$505,Оплаты!$D$6:$D$505,A425,Оплаты!$A$6:$A$505,"&lt;="&amp;Оплаты!$A$417))</f>
        <v/>
      </c>
      <c r="F425" s="14">
        <f>IF(G425="","",SUMPRODUCT(ROUND(E425*'По дням'!$L$6:$L$155/100*((((D425+'По дням'!$K$6:$K$155-ABS(D425-'По дням'!$K$6:$K$155))-(C425+'По дням'!$J$6:$J$155+ABS(C425-'По дням'!$J$6:$J$155)))/2+1)&gt;0)*(((D425+'По дням'!$K$6:$K$155-ABS(D425-'По дням'!$K$6:$K$155))-(C425+'По дням'!$J$6:$J$155+ABS(C425-'По дням'!$J$6:$J$155)))/2+1)/'По дням'!$M$6:$M$155,2)*(1-'По дням'!$N$6:$N$155)))</f>
        <v/>
      </c>
      <c r="G425">
        <f>IF(A425="","",IF(C425&gt;D425,"",B425*1000000+C425))</f>
        <v/>
      </c>
      <c r="H425" s="14">
        <f>IF(G425="","",SUMIFS(Оплаты!$B$6:$B$505,Оплаты!$D$6:$D$505,A425,Оплаты!$A$6:$A$505,D425))</f>
        <v/>
      </c>
      <c r="I425">
        <f>IF(G425="","",SUMPRODUCT((((((D425+'По дням'!$K$6:$K$155-ABS(D425-'По дням'!$K$6:$K$155))-(C425+'По дням'!$J$6:$J$155+ABS(C425-'По дням'!$J$6:$J$155)))/2+1)&gt;0)*(((D425+'По дням'!$K$6:$K$155-ABS(D425-'По дням'!$K$6:$K$155))-(C425+'По дням'!$J$6:$J$155+ABS(C425-'По дням'!$J$6:$J$155)))/2+1)&gt;0)*1))</f>
        <v/>
      </c>
    </row>
    <row r="426">
      <c r="A426">
        <f>IF(AND(Оплаты!$E$418="ок",COUNTIFS(Акты!$B$5:$B$16,Оплаты!$D$418,Акты!$H$5:$H$16,"ок")&gt;0,COUNTIFS(Оплаты!$D$6:$D$417,Оплаты!$D$418,Оплаты!$A$6:$A$417,Оплаты!$A$418)=0),Оплаты!$D$418,"")</f>
        <v/>
      </c>
      <c r="B426">
        <f>IF(A426="","",MATCH(A426,Акты!$B$5:$B$16,0))</f>
        <v/>
      </c>
      <c r="C426" s="20">
        <f>IF(A426="","",Оплаты!$A$418+1)</f>
        <v/>
      </c>
      <c r="D426" s="20">
        <f>IF(A426="","",MIN(Ввод!$B$4,Ввод!$B$4+1-SUMPRODUCT(MAX((Оплаты!$D$6:$D$505=A426)*(Оплаты!$A$6:$A$505&gt;Оплаты!$A$418)*(Ввод!$B$4+1-Оплаты!$A$6:$A$505)))))</f>
        <v/>
      </c>
      <c r="E426" s="14">
        <f>IF(A426="","",INDEX(Акты!$D$5:$D$16,B426)-SUMIFS(Оплаты!$B$6:$B$505,Оплаты!$D$6:$D$505,A426,Оплаты!$A$6:$A$505,"&lt;="&amp;Оплаты!$A$418))</f>
        <v/>
      </c>
      <c r="F426" s="14">
        <f>IF(G426="","",SUMPRODUCT(ROUND(E426*'По дням'!$L$6:$L$155/100*((((D426+'По дням'!$K$6:$K$155-ABS(D426-'По дням'!$K$6:$K$155))-(C426+'По дням'!$J$6:$J$155+ABS(C426-'По дням'!$J$6:$J$155)))/2+1)&gt;0)*(((D426+'По дням'!$K$6:$K$155-ABS(D426-'По дням'!$K$6:$K$155))-(C426+'По дням'!$J$6:$J$155+ABS(C426-'По дням'!$J$6:$J$155)))/2+1)/'По дням'!$M$6:$M$155,2)*(1-'По дням'!$N$6:$N$155)))</f>
        <v/>
      </c>
      <c r="G426">
        <f>IF(A426="","",IF(C426&gt;D426,"",B426*1000000+C426))</f>
        <v/>
      </c>
      <c r="H426" s="14">
        <f>IF(G426="","",SUMIFS(Оплаты!$B$6:$B$505,Оплаты!$D$6:$D$505,A426,Оплаты!$A$6:$A$505,D426))</f>
        <v/>
      </c>
      <c r="I426">
        <f>IF(G426="","",SUMPRODUCT((((((D426+'По дням'!$K$6:$K$155-ABS(D426-'По дням'!$K$6:$K$155))-(C426+'По дням'!$J$6:$J$155+ABS(C426-'По дням'!$J$6:$J$155)))/2+1)&gt;0)*(((D426+'По дням'!$K$6:$K$155-ABS(D426-'По дням'!$K$6:$K$155))-(C426+'По дням'!$J$6:$J$155+ABS(C426-'По дням'!$J$6:$J$155)))/2+1)&gt;0)*1))</f>
        <v/>
      </c>
    </row>
    <row r="427">
      <c r="A427">
        <f>IF(AND(Оплаты!$E$419="ок",COUNTIFS(Акты!$B$5:$B$16,Оплаты!$D$419,Акты!$H$5:$H$16,"ок")&gt;0,COUNTIFS(Оплаты!$D$6:$D$418,Оплаты!$D$419,Оплаты!$A$6:$A$418,Оплаты!$A$419)=0),Оплаты!$D$419,"")</f>
        <v/>
      </c>
      <c r="B427">
        <f>IF(A427="","",MATCH(A427,Акты!$B$5:$B$16,0))</f>
        <v/>
      </c>
      <c r="C427" s="20">
        <f>IF(A427="","",Оплаты!$A$419+1)</f>
        <v/>
      </c>
      <c r="D427" s="20">
        <f>IF(A427="","",MIN(Ввод!$B$4,Ввод!$B$4+1-SUMPRODUCT(MAX((Оплаты!$D$6:$D$505=A427)*(Оплаты!$A$6:$A$505&gt;Оплаты!$A$419)*(Ввод!$B$4+1-Оплаты!$A$6:$A$505)))))</f>
        <v/>
      </c>
      <c r="E427" s="14">
        <f>IF(A427="","",INDEX(Акты!$D$5:$D$16,B427)-SUMIFS(Оплаты!$B$6:$B$505,Оплаты!$D$6:$D$505,A427,Оплаты!$A$6:$A$505,"&lt;="&amp;Оплаты!$A$419))</f>
        <v/>
      </c>
      <c r="F427" s="14">
        <f>IF(G427="","",SUMPRODUCT(ROUND(E427*'По дням'!$L$6:$L$155/100*((((D427+'По дням'!$K$6:$K$155-ABS(D427-'По дням'!$K$6:$K$155))-(C427+'По дням'!$J$6:$J$155+ABS(C427-'По дням'!$J$6:$J$155)))/2+1)&gt;0)*(((D427+'По дням'!$K$6:$K$155-ABS(D427-'По дням'!$K$6:$K$155))-(C427+'По дням'!$J$6:$J$155+ABS(C427-'По дням'!$J$6:$J$155)))/2+1)/'По дням'!$M$6:$M$155,2)*(1-'По дням'!$N$6:$N$155)))</f>
        <v/>
      </c>
      <c r="G427">
        <f>IF(A427="","",IF(C427&gt;D427,"",B427*1000000+C427))</f>
        <v/>
      </c>
      <c r="H427" s="14">
        <f>IF(G427="","",SUMIFS(Оплаты!$B$6:$B$505,Оплаты!$D$6:$D$505,A427,Оплаты!$A$6:$A$505,D427))</f>
        <v/>
      </c>
      <c r="I427">
        <f>IF(G427="","",SUMPRODUCT((((((D427+'По дням'!$K$6:$K$155-ABS(D427-'По дням'!$K$6:$K$155))-(C427+'По дням'!$J$6:$J$155+ABS(C427-'По дням'!$J$6:$J$155)))/2+1)&gt;0)*(((D427+'По дням'!$K$6:$K$155-ABS(D427-'По дням'!$K$6:$K$155))-(C427+'По дням'!$J$6:$J$155+ABS(C427-'По дням'!$J$6:$J$155)))/2+1)&gt;0)*1))</f>
        <v/>
      </c>
    </row>
    <row r="428">
      <c r="A428">
        <f>IF(AND(Оплаты!$E$420="ок",COUNTIFS(Акты!$B$5:$B$16,Оплаты!$D$420,Акты!$H$5:$H$16,"ок")&gt;0,COUNTIFS(Оплаты!$D$6:$D$419,Оплаты!$D$420,Оплаты!$A$6:$A$419,Оплаты!$A$420)=0),Оплаты!$D$420,"")</f>
        <v/>
      </c>
      <c r="B428">
        <f>IF(A428="","",MATCH(A428,Акты!$B$5:$B$16,0))</f>
        <v/>
      </c>
      <c r="C428" s="20">
        <f>IF(A428="","",Оплаты!$A$420+1)</f>
        <v/>
      </c>
      <c r="D428" s="20">
        <f>IF(A428="","",MIN(Ввод!$B$4,Ввод!$B$4+1-SUMPRODUCT(MAX((Оплаты!$D$6:$D$505=A428)*(Оплаты!$A$6:$A$505&gt;Оплаты!$A$420)*(Ввод!$B$4+1-Оплаты!$A$6:$A$505)))))</f>
        <v/>
      </c>
      <c r="E428" s="14">
        <f>IF(A428="","",INDEX(Акты!$D$5:$D$16,B428)-SUMIFS(Оплаты!$B$6:$B$505,Оплаты!$D$6:$D$505,A428,Оплаты!$A$6:$A$505,"&lt;="&amp;Оплаты!$A$420))</f>
        <v/>
      </c>
      <c r="F428" s="14">
        <f>IF(G428="","",SUMPRODUCT(ROUND(E428*'По дням'!$L$6:$L$155/100*((((D428+'По дням'!$K$6:$K$155-ABS(D428-'По дням'!$K$6:$K$155))-(C428+'По дням'!$J$6:$J$155+ABS(C428-'По дням'!$J$6:$J$155)))/2+1)&gt;0)*(((D428+'По дням'!$K$6:$K$155-ABS(D428-'По дням'!$K$6:$K$155))-(C428+'По дням'!$J$6:$J$155+ABS(C428-'По дням'!$J$6:$J$155)))/2+1)/'По дням'!$M$6:$M$155,2)*(1-'По дням'!$N$6:$N$155)))</f>
        <v/>
      </c>
      <c r="G428">
        <f>IF(A428="","",IF(C428&gt;D428,"",B428*1000000+C428))</f>
        <v/>
      </c>
      <c r="H428" s="14">
        <f>IF(G428="","",SUMIFS(Оплаты!$B$6:$B$505,Оплаты!$D$6:$D$505,A428,Оплаты!$A$6:$A$505,D428))</f>
        <v/>
      </c>
      <c r="I428">
        <f>IF(G428="","",SUMPRODUCT((((((D428+'По дням'!$K$6:$K$155-ABS(D428-'По дням'!$K$6:$K$155))-(C428+'По дням'!$J$6:$J$155+ABS(C428-'По дням'!$J$6:$J$155)))/2+1)&gt;0)*(((D428+'По дням'!$K$6:$K$155-ABS(D428-'По дням'!$K$6:$K$155))-(C428+'По дням'!$J$6:$J$155+ABS(C428-'По дням'!$J$6:$J$155)))/2+1)&gt;0)*1))</f>
        <v/>
      </c>
    </row>
    <row r="429">
      <c r="A429">
        <f>IF(AND(Оплаты!$E$421="ок",COUNTIFS(Акты!$B$5:$B$16,Оплаты!$D$421,Акты!$H$5:$H$16,"ок")&gt;0,COUNTIFS(Оплаты!$D$6:$D$420,Оплаты!$D$421,Оплаты!$A$6:$A$420,Оплаты!$A$421)=0),Оплаты!$D$421,"")</f>
        <v/>
      </c>
      <c r="B429">
        <f>IF(A429="","",MATCH(A429,Акты!$B$5:$B$16,0))</f>
        <v/>
      </c>
      <c r="C429" s="20">
        <f>IF(A429="","",Оплаты!$A$421+1)</f>
        <v/>
      </c>
      <c r="D429" s="20">
        <f>IF(A429="","",MIN(Ввод!$B$4,Ввод!$B$4+1-SUMPRODUCT(MAX((Оплаты!$D$6:$D$505=A429)*(Оплаты!$A$6:$A$505&gt;Оплаты!$A$421)*(Ввод!$B$4+1-Оплаты!$A$6:$A$505)))))</f>
        <v/>
      </c>
      <c r="E429" s="14">
        <f>IF(A429="","",INDEX(Акты!$D$5:$D$16,B429)-SUMIFS(Оплаты!$B$6:$B$505,Оплаты!$D$6:$D$505,A429,Оплаты!$A$6:$A$505,"&lt;="&amp;Оплаты!$A$421))</f>
        <v/>
      </c>
      <c r="F429" s="14">
        <f>IF(G429="","",SUMPRODUCT(ROUND(E429*'По дням'!$L$6:$L$155/100*((((D429+'По дням'!$K$6:$K$155-ABS(D429-'По дням'!$K$6:$K$155))-(C429+'По дням'!$J$6:$J$155+ABS(C429-'По дням'!$J$6:$J$155)))/2+1)&gt;0)*(((D429+'По дням'!$K$6:$K$155-ABS(D429-'По дням'!$K$6:$K$155))-(C429+'По дням'!$J$6:$J$155+ABS(C429-'По дням'!$J$6:$J$155)))/2+1)/'По дням'!$M$6:$M$155,2)*(1-'По дням'!$N$6:$N$155)))</f>
        <v/>
      </c>
      <c r="G429">
        <f>IF(A429="","",IF(C429&gt;D429,"",B429*1000000+C429))</f>
        <v/>
      </c>
      <c r="H429" s="14">
        <f>IF(G429="","",SUMIFS(Оплаты!$B$6:$B$505,Оплаты!$D$6:$D$505,A429,Оплаты!$A$6:$A$505,D429))</f>
        <v/>
      </c>
      <c r="I429">
        <f>IF(G429="","",SUMPRODUCT((((((D429+'По дням'!$K$6:$K$155-ABS(D429-'По дням'!$K$6:$K$155))-(C429+'По дням'!$J$6:$J$155+ABS(C429-'По дням'!$J$6:$J$155)))/2+1)&gt;0)*(((D429+'По дням'!$K$6:$K$155-ABS(D429-'По дням'!$K$6:$K$155))-(C429+'По дням'!$J$6:$J$155+ABS(C429-'По дням'!$J$6:$J$155)))/2+1)&gt;0)*1))</f>
        <v/>
      </c>
    </row>
    <row r="430">
      <c r="A430">
        <f>IF(AND(Оплаты!$E$422="ок",COUNTIFS(Акты!$B$5:$B$16,Оплаты!$D$422,Акты!$H$5:$H$16,"ок")&gt;0,COUNTIFS(Оплаты!$D$6:$D$421,Оплаты!$D$422,Оплаты!$A$6:$A$421,Оплаты!$A$422)=0),Оплаты!$D$422,"")</f>
        <v/>
      </c>
      <c r="B430">
        <f>IF(A430="","",MATCH(A430,Акты!$B$5:$B$16,0))</f>
        <v/>
      </c>
      <c r="C430" s="20">
        <f>IF(A430="","",Оплаты!$A$422+1)</f>
        <v/>
      </c>
      <c r="D430" s="20">
        <f>IF(A430="","",MIN(Ввод!$B$4,Ввод!$B$4+1-SUMPRODUCT(MAX((Оплаты!$D$6:$D$505=A430)*(Оплаты!$A$6:$A$505&gt;Оплаты!$A$422)*(Ввод!$B$4+1-Оплаты!$A$6:$A$505)))))</f>
        <v/>
      </c>
      <c r="E430" s="14">
        <f>IF(A430="","",INDEX(Акты!$D$5:$D$16,B430)-SUMIFS(Оплаты!$B$6:$B$505,Оплаты!$D$6:$D$505,A430,Оплаты!$A$6:$A$505,"&lt;="&amp;Оплаты!$A$422))</f>
        <v/>
      </c>
      <c r="F430" s="14">
        <f>IF(G430="","",SUMPRODUCT(ROUND(E430*'По дням'!$L$6:$L$155/100*((((D430+'По дням'!$K$6:$K$155-ABS(D430-'По дням'!$K$6:$K$155))-(C430+'По дням'!$J$6:$J$155+ABS(C430-'По дням'!$J$6:$J$155)))/2+1)&gt;0)*(((D430+'По дням'!$K$6:$K$155-ABS(D430-'По дням'!$K$6:$K$155))-(C430+'По дням'!$J$6:$J$155+ABS(C430-'По дням'!$J$6:$J$155)))/2+1)/'По дням'!$M$6:$M$155,2)*(1-'По дням'!$N$6:$N$155)))</f>
        <v/>
      </c>
      <c r="G430">
        <f>IF(A430="","",IF(C430&gt;D430,"",B430*1000000+C430))</f>
        <v/>
      </c>
      <c r="H430" s="14">
        <f>IF(G430="","",SUMIFS(Оплаты!$B$6:$B$505,Оплаты!$D$6:$D$505,A430,Оплаты!$A$6:$A$505,D430))</f>
        <v/>
      </c>
      <c r="I430">
        <f>IF(G430="","",SUMPRODUCT((((((D430+'По дням'!$K$6:$K$155-ABS(D430-'По дням'!$K$6:$K$155))-(C430+'По дням'!$J$6:$J$155+ABS(C430-'По дням'!$J$6:$J$155)))/2+1)&gt;0)*(((D430+'По дням'!$K$6:$K$155-ABS(D430-'По дням'!$K$6:$K$155))-(C430+'По дням'!$J$6:$J$155+ABS(C430-'По дням'!$J$6:$J$155)))/2+1)&gt;0)*1))</f>
        <v/>
      </c>
    </row>
    <row r="431">
      <c r="A431">
        <f>IF(AND(Оплаты!$E$423="ок",COUNTIFS(Акты!$B$5:$B$16,Оплаты!$D$423,Акты!$H$5:$H$16,"ок")&gt;0,COUNTIFS(Оплаты!$D$6:$D$422,Оплаты!$D$423,Оплаты!$A$6:$A$422,Оплаты!$A$423)=0),Оплаты!$D$423,"")</f>
        <v/>
      </c>
      <c r="B431">
        <f>IF(A431="","",MATCH(A431,Акты!$B$5:$B$16,0))</f>
        <v/>
      </c>
      <c r="C431" s="20">
        <f>IF(A431="","",Оплаты!$A$423+1)</f>
        <v/>
      </c>
      <c r="D431" s="20">
        <f>IF(A431="","",MIN(Ввод!$B$4,Ввод!$B$4+1-SUMPRODUCT(MAX((Оплаты!$D$6:$D$505=A431)*(Оплаты!$A$6:$A$505&gt;Оплаты!$A$423)*(Ввод!$B$4+1-Оплаты!$A$6:$A$505)))))</f>
        <v/>
      </c>
      <c r="E431" s="14">
        <f>IF(A431="","",INDEX(Акты!$D$5:$D$16,B431)-SUMIFS(Оплаты!$B$6:$B$505,Оплаты!$D$6:$D$505,A431,Оплаты!$A$6:$A$505,"&lt;="&amp;Оплаты!$A$423))</f>
        <v/>
      </c>
      <c r="F431" s="14">
        <f>IF(G431="","",SUMPRODUCT(ROUND(E431*'По дням'!$L$6:$L$155/100*((((D431+'По дням'!$K$6:$K$155-ABS(D431-'По дням'!$K$6:$K$155))-(C431+'По дням'!$J$6:$J$155+ABS(C431-'По дням'!$J$6:$J$155)))/2+1)&gt;0)*(((D431+'По дням'!$K$6:$K$155-ABS(D431-'По дням'!$K$6:$K$155))-(C431+'По дням'!$J$6:$J$155+ABS(C431-'По дням'!$J$6:$J$155)))/2+1)/'По дням'!$M$6:$M$155,2)*(1-'По дням'!$N$6:$N$155)))</f>
        <v/>
      </c>
      <c r="G431">
        <f>IF(A431="","",IF(C431&gt;D431,"",B431*1000000+C431))</f>
        <v/>
      </c>
      <c r="H431" s="14">
        <f>IF(G431="","",SUMIFS(Оплаты!$B$6:$B$505,Оплаты!$D$6:$D$505,A431,Оплаты!$A$6:$A$505,D431))</f>
        <v/>
      </c>
      <c r="I431">
        <f>IF(G431="","",SUMPRODUCT((((((D431+'По дням'!$K$6:$K$155-ABS(D431-'По дням'!$K$6:$K$155))-(C431+'По дням'!$J$6:$J$155+ABS(C431-'По дням'!$J$6:$J$155)))/2+1)&gt;0)*(((D431+'По дням'!$K$6:$K$155-ABS(D431-'По дням'!$K$6:$K$155))-(C431+'По дням'!$J$6:$J$155+ABS(C431-'По дням'!$J$6:$J$155)))/2+1)&gt;0)*1))</f>
        <v/>
      </c>
    </row>
    <row r="432">
      <c r="A432">
        <f>IF(AND(Оплаты!$E$424="ок",COUNTIFS(Акты!$B$5:$B$16,Оплаты!$D$424,Акты!$H$5:$H$16,"ок")&gt;0,COUNTIFS(Оплаты!$D$6:$D$423,Оплаты!$D$424,Оплаты!$A$6:$A$423,Оплаты!$A$424)=0),Оплаты!$D$424,"")</f>
        <v/>
      </c>
      <c r="B432">
        <f>IF(A432="","",MATCH(A432,Акты!$B$5:$B$16,0))</f>
        <v/>
      </c>
      <c r="C432" s="20">
        <f>IF(A432="","",Оплаты!$A$424+1)</f>
        <v/>
      </c>
      <c r="D432" s="20">
        <f>IF(A432="","",MIN(Ввод!$B$4,Ввод!$B$4+1-SUMPRODUCT(MAX((Оплаты!$D$6:$D$505=A432)*(Оплаты!$A$6:$A$505&gt;Оплаты!$A$424)*(Ввод!$B$4+1-Оплаты!$A$6:$A$505)))))</f>
        <v/>
      </c>
      <c r="E432" s="14">
        <f>IF(A432="","",INDEX(Акты!$D$5:$D$16,B432)-SUMIFS(Оплаты!$B$6:$B$505,Оплаты!$D$6:$D$505,A432,Оплаты!$A$6:$A$505,"&lt;="&amp;Оплаты!$A$424))</f>
        <v/>
      </c>
      <c r="F432" s="14">
        <f>IF(G432="","",SUMPRODUCT(ROUND(E432*'По дням'!$L$6:$L$155/100*((((D432+'По дням'!$K$6:$K$155-ABS(D432-'По дням'!$K$6:$K$155))-(C432+'По дням'!$J$6:$J$155+ABS(C432-'По дням'!$J$6:$J$155)))/2+1)&gt;0)*(((D432+'По дням'!$K$6:$K$155-ABS(D432-'По дням'!$K$6:$K$155))-(C432+'По дням'!$J$6:$J$155+ABS(C432-'По дням'!$J$6:$J$155)))/2+1)/'По дням'!$M$6:$M$155,2)*(1-'По дням'!$N$6:$N$155)))</f>
        <v/>
      </c>
      <c r="G432">
        <f>IF(A432="","",IF(C432&gt;D432,"",B432*1000000+C432))</f>
        <v/>
      </c>
      <c r="H432" s="14">
        <f>IF(G432="","",SUMIFS(Оплаты!$B$6:$B$505,Оплаты!$D$6:$D$505,A432,Оплаты!$A$6:$A$505,D432))</f>
        <v/>
      </c>
      <c r="I432">
        <f>IF(G432="","",SUMPRODUCT((((((D432+'По дням'!$K$6:$K$155-ABS(D432-'По дням'!$K$6:$K$155))-(C432+'По дням'!$J$6:$J$155+ABS(C432-'По дням'!$J$6:$J$155)))/2+1)&gt;0)*(((D432+'По дням'!$K$6:$K$155-ABS(D432-'По дням'!$K$6:$K$155))-(C432+'По дням'!$J$6:$J$155+ABS(C432-'По дням'!$J$6:$J$155)))/2+1)&gt;0)*1))</f>
        <v/>
      </c>
    </row>
    <row r="433">
      <c r="A433">
        <f>IF(AND(Оплаты!$E$425="ок",COUNTIFS(Акты!$B$5:$B$16,Оплаты!$D$425,Акты!$H$5:$H$16,"ок")&gt;0,COUNTIFS(Оплаты!$D$6:$D$424,Оплаты!$D$425,Оплаты!$A$6:$A$424,Оплаты!$A$425)=0),Оплаты!$D$425,"")</f>
        <v/>
      </c>
      <c r="B433">
        <f>IF(A433="","",MATCH(A433,Акты!$B$5:$B$16,0))</f>
        <v/>
      </c>
      <c r="C433" s="20">
        <f>IF(A433="","",Оплаты!$A$425+1)</f>
        <v/>
      </c>
      <c r="D433" s="20">
        <f>IF(A433="","",MIN(Ввод!$B$4,Ввод!$B$4+1-SUMPRODUCT(MAX((Оплаты!$D$6:$D$505=A433)*(Оплаты!$A$6:$A$505&gt;Оплаты!$A$425)*(Ввод!$B$4+1-Оплаты!$A$6:$A$505)))))</f>
        <v/>
      </c>
      <c r="E433" s="14">
        <f>IF(A433="","",INDEX(Акты!$D$5:$D$16,B433)-SUMIFS(Оплаты!$B$6:$B$505,Оплаты!$D$6:$D$505,A433,Оплаты!$A$6:$A$505,"&lt;="&amp;Оплаты!$A$425))</f>
        <v/>
      </c>
      <c r="F433" s="14">
        <f>IF(G433="","",SUMPRODUCT(ROUND(E433*'По дням'!$L$6:$L$155/100*((((D433+'По дням'!$K$6:$K$155-ABS(D433-'По дням'!$K$6:$K$155))-(C433+'По дням'!$J$6:$J$155+ABS(C433-'По дням'!$J$6:$J$155)))/2+1)&gt;0)*(((D433+'По дням'!$K$6:$K$155-ABS(D433-'По дням'!$K$6:$K$155))-(C433+'По дням'!$J$6:$J$155+ABS(C433-'По дням'!$J$6:$J$155)))/2+1)/'По дням'!$M$6:$M$155,2)*(1-'По дням'!$N$6:$N$155)))</f>
        <v/>
      </c>
      <c r="G433">
        <f>IF(A433="","",IF(C433&gt;D433,"",B433*1000000+C433))</f>
        <v/>
      </c>
      <c r="H433" s="14">
        <f>IF(G433="","",SUMIFS(Оплаты!$B$6:$B$505,Оплаты!$D$6:$D$505,A433,Оплаты!$A$6:$A$505,D433))</f>
        <v/>
      </c>
      <c r="I433">
        <f>IF(G433="","",SUMPRODUCT((((((D433+'По дням'!$K$6:$K$155-ABS(D433-'По дням'!$K$6:$K$155))-(C433+'По дням'!$J$6:$J$155+ABS(C433-'По дням'!$J$6:$J$155)))/2+1)&gt;0)*(((D433+'По дням'!$K$6:$K$155-ABS(D433-'По дням'!$K$6:$K$155))-(C433+'По дням'!$J$6:$J$155+ABS(C433-'По дням'!$J$6:$J$155)))/2+1)&gt;0)*1))</f>
        <v/>
      </c>
    </row>
    <row r="434">
      <c r="A434">
        <f>IF(AND(Оплаты!$E$426="ок",COUNTIFS(Акты!$B$5:$B$16,Оплаты!$D$426,Акты!$H$5:$H$16,"ок")&gt;0,COUNTIFS(Оплаты!$D$6:$D$425,Оплаты!$D$426,Оплаты!$A$6:$A$425,Оплаты!$A$426)=0),Оплаты!$D$426,"")</f>
        <v/>
      </c>
      <c r="B434">
        <f>IF(A434="","",MATCH(A434,Акты!$B$5:$B$16,0))</f>
        <v/>
      </c>
      <c r="C434" s="20">
        <f>IF(A434="","",Оплаты!$A$426+1)</f>
        <v/>
      </c>
      <c r="D434" s="20">
        <f>IF(A434="","",MIN(Ввод!$B$4,Ввод!$B$4+1-SUMPRODUCT(MAX((Оплаты!$D$6:$D$505=A434)*(Оплаты!$A$6:$A$505&gt;Оплаты!$A$426)*(Ввод!$B$4+1-Оплаты!$A$6:$A$505)))))</f>
        <v/>
      </c>
      <c r="E434" s="14">
        <f>IF(A434="","",INDEX(Акты!$D$5:$D$16,B434)-SUMIFS(Оплаты!$B$6:$B$505,Оплаты!$D$6:$D$505,A434,Оплаты!$A$6:$A$505,"&lt;="&amp;Оплаты!$A$426))</f>
        <v/>
      </c>
      <c r="F434" s="14">
        <f>IF(G434="","",SUMPRODUCT(ROUND(E434*'По дням'!$L$6:$L$155/100*((((D434+'По дням'!$K$6:$K$155-ABS(D434-'По дням'!$K$6:$K$155))-(C434+'По дням'!$J$6:$J$155+ABS(C434-'По дням'!$J$6:$J$155)))/2+1)&gt;0)*(((D434+'По дням'!$K$6:$K$155-ABS(D434-'По дням'!$K$6:$K$155))-(C434+'По дням'!$J$6:$J$155+ABS(C434-'По дням'!$J$6:$J$155)))/2+1)/'По дням'!$M$6:$M$155,2)*(1-'По дням'!$N$6:$N$155)))</f>
        <v/>
      </c>
      <c r="G434">
        <f>IF(A434="","",IF(C434&gt;D434,"",B434*1000000+C434))</f>
        <v/>
      </c>
      <c r="H434" s="14">
        <f>IF(G434="","",SUMIFS(Оплаты!$B$6:$B$505,Оплаты!$D$6:$D$505,A434,Оплаты!$A$6:$A$505,D434))</f>
        <v/>
      </c>
      <c r="I434">
        <f>IF(G434="","",SUMPRODUCT((((((D434+'По дням'!$K$6:$K$155-ABS(D434-'По дням'!$K$6:$K$155))-(C434+'По дням'!$J$6:$J$155+ABS(C434-'По дням'!$J$6:$J$155)))/2+1)&gt;0)*(((D434+'По дням'!$K$6:$K$155-ABS(D434-'По дням'!$K$6:$K$155))-(C434+'По дням'!$J$6:$J$155+ABS(C434-'По дням'!$J$6:$J$155)))/2+1)&gt;0)*1))</f>
        <v/>
      </c>
    </row>
    <row r="435">
      <c r="A435">
        <f>IF(AND(Оплаты!$E$427="ок",COUNTIFS(Акты!$B$5:$B$16,Оплаты!$D$427,Акты!$H$5:$H$16,"ок")&gt;0,COUNTIFS(Оплаты!$D$6:$D$426,Оплаты!$D$427,Оплаты!$A$6:$A$426,Оплаты!$A$427)=0),Оплаты!$D$427,"")</f>
        <v/>
      </c>
      <c r="B435">
        <f>IF(A435="","",MATCH(A435,Акты!$B$5:$B$16,0))</f>
        <v/>
      </c>
      <c r="C435" s="20">
        <f>IF(A435="","",Оплаты!$A$427+1)</f>
        <v/>
      </c>
      <c r="D435" s="20">
        <f>IF(A435="","",MIN(Ввод!$B$4,Ввод!$B$4+1-SUMPRODUCT(MAX((Оплаты!$D$6:$D$505=A435)*(Оплаты!$A$6:$A$505&gt;Оплаты!$A$427)*(Ввод!$B$4+1-Оплаты!$A$6:$A$505)))))</f>
        <v/>
      </c>
      <c r="E435" s="14">
        <f>IF(A435="","",INDEX(Акты!$D$5:$D$16,B435)-SUMIFS(Оплаты!$B$6:$B$505,Оплаты!$D$6:$D$505,A435,Оплаты!$A$6:$A$505,"&lt;="&amp;Оплаты!$A$427))</f>
        <v/>
      </c>
      <c r="F435" s="14">
        <f>IF(G435="","",SUMPRODUCT(ROUND(E435*'По дням'!$L$6:$L$155/100*((((D435+'По дням'!$K$6:$K$155-ABS(D435-'По дням'!$K$6:$K$155))-(C435+'По дням'!$J$6:$J$155+ABS(C435-'По дням'!$J$6:$J$155)))/2+1)&gt;0)*(((D435+'По дням'!$K$6:$K$155-ABS(D435-'По дням'!$K$6:$K$155))-(C435+'По дням'!$J$6:$J$155+ABS(C435-'По дням'!$J$6:$J$155)))/2+1)/'По дням'!$M$6:$M$155,2)*(1-'По дням'!$N$6:$N$155)))</f>
        <v/>
      </c>
      <c r="G435">
        <f>IF(A435="","",IF(C435&gt;D435,"",B435*1000000+C435))</f>
        <v/>
      </c>
      <c r="H435" s="14">
        <f>IF(G435="","",SUMIFS(Оплаты!$B$6:$B$505,Оплаты!$D$6:$D$505,A435,Оплаты!$A$6:$A$505,D435))</f>
        <v/>
      </c>
      <c r="I435">
        <f>IF(G435="","",SUMPRODUCT((((((D435+'По дням'!$K$6:$K$155-ABS(D435-'По дням'!$K$6:$K$155))-(C435+'По дням'!$J$6:$J$155+ABS(C435-'По дням'!$J$6:$J$155)))/2+1)&gt;0)*(((D435+'По дням'!$K$6:$K$155-ABS(D435-'По дням'!$K$6:$K$155))-(C435+'По дням'!$J$6:$J$155+ABS(C435-'По дням'!$J$6:$J$155)))/2+1)&gt;0)*1))</f>
        <v/>
      </c>
    </row>
    <row r="436">
      <c r="A436">
        <f>IF(AND(Оплаты!$E$428="ок",COUNTIFS(Акты!$B$5:$B$16,Оплаты!$D$428,Акты!$H$5:$H$16,"ок")&gt;0,COUNTIFS(Оплаты!$D$6:$D$427,Оплаты!$D$428,Оплаты!$A$6:$A$427,Оплаты!$A$428)=0),Оплаты!$D$428,"")</f>
        <v/>
      </c>
      <c r="B436">
        <f>IF(A436="","",MATCH(A436,Акты!$B$5:$B$16,0))</f>
        <v/>
      </c>
      <c r="C436" s="20">
        <f>IF(A436="","",Оплаты!$A$428+1)</f>
        <v/>
      </c>
      <c r="D436" s="20">
        <f>IF(A436="","",MIN(Ввод!$B$4,Ввод!$B$4+1-SUMPRODUCT(MAX((Оплаты!$D$6:$D$505=A436)*(Оплаты!$A$6:$A$505&gt;Оплаты!$A$428)*(Ввод!$B$4+1-Оплаты!$A$6:$A$505)))))</f>
        <v/>
      </c>
      <c r="E436" s="14">
        <f>IF(A436="","",INDEX(Акты!$D$5:$D$16,B436)-SUMIFS(Оплаты!$B$6:$B$505,Оплаты!$D$6:$D$505,A436,Оплаты!$A$6:$A$505,"&lt;="&amp;Оплаты!$A$428))</f>
        <v/>
      </c>
      <c r="F436" s="14">
        <f>IF(G436="","",SUMPRODUCT(ROUND(E436*'По дням'!$L$6:$L$155/100*((((D436+'По дням'!$K$6:$K$155-ABS(D436-'По дням'!$K$6:$K$155))-(C436+'По дням'!$J$6:$J$155+ABS(C436-'По дням'!$J$6:$J$155)))/2+1)&gt;0)*(((D436+'По дням'!$K$6:$K$155-ABS(D436-'По дням'!$K$6:$K$155))-(C436+'По дням'!$J$6:$J$155+ABS(C436-'По дням'!$J$6:$J$155)))/2+1)/'По дням'!$M$6:$M$155,2)*(1-'По дням'!$N$6:$N$155)))</f>
        <v/>
      </c>
      <c r="G436">
        <f>IF(A436="","",IF(C436&gt;D436,"",B436*1000000+C436))</f>
        <v/>
      </c>
      <c r="H436" s="14">
        <f>IF(G436="","",SUMIFS(Оплаты!$B$6:$B$505,Оплаты!$D$6:$D$505,A436,Оплаты!$A$6:$A$505,D436))</f>
        <v/>
      </c>
      <c r="I436">
        <f>IF(G436="","",SUMPRODUCT((((((D436+'По дням'!$K$6:$K$155-ABS(D436-'По дням'!$K$6:$K$155))-(C436+'По дням'!$J$6:$J$155+ABS(C436-'По дням'!$J$6:$J$155)))/2+1)&gt;0)*(((D436+'По дням'!$K$6:$K$155-ABS(D436-'По дням'!$K$6:$K$155))-(C436+'По дням'!$J$6:$J$155+ABS(C436-'По дням'!$J$6:$J$155)))/2+1)&gt;0)*1))</f>
        <v/>
      </c>
    </row>
    <row r="437">
      <c r="A437">
        <f>IF(AND(Оплаты!$E$429="ок",COUNTIFS(Акты!$B$5:$B$16,Оплаты!$D$429,Акты!$H$5:$H$16,"ок")&gt;0,COUNTIFS(Оплаты!$D$6:$D$428,Оплаты!$D$429,Оплаты!$A$6:$A$428,Оплаты!$A$429)=0),Оплаты!$D$429,"")</f>
        <v/>
      </c>
      <c r="B437">
        <f>IF(A437="","",MATCH(A437,Акты!$B$5:$B$16,0))</f>
        <v/>
      </c>
      <c r="C437" s="20">
        <f>IF(A437="","",Оплаты!$A$429+1)</f>
        <v/>
      </c>
      <c r="D437" s="20">
        <f>IF(A437="","",MIN(Ввод!$B$4,Ввод!$B$4+1-SUMPRODUCT(MAX((Оплаты!$D$6:$D$505=A437)*(Оплаты!$A$6:$A$505&gt;Оплаты!$A$429)*(Ввод!$B$4+1-Оплаты!$A$6:$A$505)))))</f>
        <v/>
      </c>
      <c r="E437" s="14">
        <f>IF(A437="","",INDEX(Акты!$D$5:$D$16,B437)-SUMIFS(Оплаты!$B$6:$B$505,Оплаты!$D$6:$D$505,A437,Оплаты!$A$6:$A$505,"&lt;="&amp;Оплаты!$A$429))</f>
        <v/>
      </c>
      <c r="F437" s="14">
        <f>IF(G437="","",SUMPRODUCT(ROUND(E437*'По дням'!$L$6:$L$155/100*((((D437+'По дням'!$K$6:$K$155-ABS(D437-'По дням'!$K$6:$K$155))-(C437+'По дням'!$J$6:$J$155+ABS(C437-'По дням'!$J$6:$J$155)))/2+1)&gt;0)*(((D437+'По дням'!$K$6:$K$155-ABS(D437-'По дням'!$K$6:$K$155))-(C437+'По дням'!$J$6:$J$155+ABS(C437-'По дням'!$J$6:$J$155)))/2+1)/'По дням'!$M$6:$M$155,2)*(1-'По дням'!$N$6:$N$155)))</f>
        <v/>
      </c>
      <c r="G437">
        <f>IF(A437="","",IF(C437&gt;D437,"",B437*1000000+C437))</f>
        <v/>
      </c>
      <c r="H437" s="14">
        <f>IF(G437="","",SUMIFS(Оплаты!$B$6:$B$505,Оплаты!$D$6:$D$505,A437,Оплаты!$A$6:$A$505,D437))</f>
        <v/>
      </c>
      <c r="I437">
        <f>IF(G437="","",SUMPRODUCT((((((D437+'По дням'!$K$6:$K$155-ABS(D437-'По дням'!$K$6:$K$155))-(C437+'По дням'!$J$6:$J$155+ABS(C437-'По дням'!$J$6:$J$155)))/2+1)&gt;0)*(((D437+'По дням'!$K$6:$K$155-ABS(D437-'По дням'!$K$6:$K$155))-(C437+'По дням'!$J$6:$J$155+ABS(C437-'По дням'!$J$6:$J$155)))/2+1)&gt;0)*1))</f>
        <v/>
      </c>
    </row>
    <row r="438">
      <c r="A438">
        <f>IF(AND(Оплаты!$E$430="ок",COUNTIFS(Акты!$B$5:$B$16,Оплаты!$D$430,Акты!$H$5:$H$16,"ок")&gt;0,COUNTIFS(Оплаты!$D$6:$D$429,Оплаты!$D$430,Оплаты!$A$6:$A$429,Оплаты!$A$430)=0),Оплаты!$D$430,"")</f>
        <v/>
      </c>
      <c r="B438">
        <f>IF(A438="","",MATCH(A438,Акты!$B$5:$B$16,0))</f>
        <v/>
      </c>
      <c r="C438" s="20">
        <f>IF(A438="","",Оплаты!$A$430+1)</f>
        <v/>
      </c>
      <c r="D438" s="20">
        <f>IF(A438="","",MIN(Ввод!$B$4,Ввод!$B$4+1-SUMPRODUCT(MAX((Оплаты!$D$6:$D$505=A438)*(Оплаты!$A$6:$A$505&gt;Оплаты!$A$430)*(Ввод!$B$4+1-Оплаты!$A$6:$A$505)))))</f>
        <v/>
      </c>
      <c r="E438" s="14">
        <f>IF(A438="","",INDEX(Акты!$D$5:$D$16,B438)-SUMIFS(Оплаты!$B$6:$B$505,Оплаты!$D$6:$D$505,A438,Оплаты!$A$6:$A$505,"&lt;="&amp;Оплаты!$A$430))</f>
        <v/>
      </c>
      <c r="F438" s="14">
        <f>IF(G438="","",SUMPRODUCT(ROUND(E438*'По дням'!$L$6:$L$155/100*((((D438+'По дням'!$K$6:$K$155-ABS(D438-'По дням'!$K$6:$K$155))-(C438+'По дням'!$J$6:$J$155+ABS(C438-'По дням'!$J$6:$J$155)))/2+1)&gt;0)*(((D438+'По дням'!$K$6:$K$155-ABS(D438-'По дням'!$K$6:$K$155))-(C438+'По дням'!$J$6:$J$155+ABS(C438-'По дням'!$J$6:$J$155)))/2+1)/'По дням'!$M$6:$M$155,2)*(1-'По дням'!$N$6:$N$155)))</f>
        <v/>
      </c>
      <c r="G438">
        <f>IF(A438="","",IF(C438&gt;D438,"",B438*1000000+C438))</f>
        <v/>
      </c>
      <c r="H438" s="14">
        <f>IF(G438="","",SUMIFS(Оплаты!$B$6:$B$505,Оплаты!$D$6:$D$505,A438,Оплаты!$A$6:$A$505,D438))</f>
        <v/>
      </c>
      <c r="I438">
        <f>IF(G438="","",SUMPRODUCT((((((D438+'По дням'!$K$6:$K$155-ABS(D438-'По дням'!$K$6:$K$155))-(C438+'По дням'!$J$6:$J$155+ABS(C438-'По дням'!$J$6:$J$155)))/2+1)&gt;0)*(((D438+'По дням'!$K$6:$K$155-ABS(D438-'По дням'!$K$6:$K$155))-(C438+'По дням'!$J$6:$J$155+ABS(C438-'По дням'!$J$6:$J$155)))/2+1)&gt;0)*1))</f>
        <v/>
      </c>
    </row>
    <row r="439">
      <c r="A439">
        <f>IF(AND(Оплаты!$E$431="ок",COUNTIFS(Акты!$B$5:$B$16,Оплаты!$D$431,Акты!$H$5:$H$16,"ок")&gt;0,COUNTIFS(Оплаты!$D$6:$D$430,Оплаты!$D$431,Оплаты!$A$6:$A$430,Оплаты!$A$431)=0),Оплаты!$D$431,"")</f>
        <v/>
      </c>
      <c r="B439">
        <f>IF(A439="","",MATCH(A439,Акты!$B$5:$B$16,0))</f>
        <v/>
      </c>
      <c r="C439" s="20">
        <f>IF(A439="","",Оплаты!$A$431+1)</f>
        <v/>
      </c>
      <c r="D439" s="20">
        <f>IF(A439="","",MIN(Ввод!$B$4,Ввод!$B$4+1-SUMPRODUCT(MAX((Оплаты!$D$6:$D$505=A439)*(Оплаты!$A$6:$A$505&gt;Оплаты!$A$431)*(Ввод!$B$4+1-Оплаты!$A$6:$A$505)))))</f>
        <v/>
      </c>
      <c r="E439" s="14">
        <f>IF(A439="","",INDEX(Акты!$D$5:$D$16,B439)-SUMIFS(Оплаты!$B$6:$B$505,Оплаты!$D$6:$D$505,A439,Оплаты!$A$6:$A$505,"&lt;="&amp;Оплаты!$A$431))</f>
        <v/>
      </c>
      <c r="F439" s="14">
        <f>IF(G439="","",SUMPRODUCT(ROUND(E439*'По дням'!$L$6:$L$155/100*((((D439+'По дням'!$K$6:$K$155-ABS(D439-'По дням'!$K$6:$K$155))-(C439+'По дням'!$J$6:$J$155+ABS(C439-'По дням'!$J$6:$J$155)))/2+1)&gt;0)*(((D439+'По дням'!$K$6:$K$155-ABS(D439-'По дням'!$K$6:$K$155))-(C439+'По дням'!$J$6:$J$155+ABS(C439-'По дням'!$J$6:$J$155)))/2+1)/'По дням'!$M$6:$M$155,2)*(1-'По дням'!$N$6:$N$155)))</f>
        <v/>
      </c>
      <c r="G439">
        <f>IF(A439="","",IF(C439&gt;D439,"",B439*1000000+C439))</f>
        <v/>
      </c>
      <c r="H439" s="14">
        <f>IF(G439="","",SUMIFS(Оплаты!$B$6:$B$505,Оплаты!$D$6:$D$505,A439,Оплаты!$A$6:$A$505,D439))</f>
        <v/>
      </c>
      <c r="I439">
        <f>IF(G439="","",SUMPRODUCT((((((D439+'По дням'!$K$6:$K$155-ABS(D439-'По дням'!$K$6:$K$155))-(C439+'По дням'!$J$6:$J$155+ABS(C439-'По дням'!$J$6:$J$155)))/2+1)&gt;0)*(((D439+'По дням'!$K$6:$K$155-ABS(D439-'По дням'!$K$6:$K$155))-(C439+'По дням'!$J$6:$J$155+ABS(C439-'По дням'!$J$6:$J$155)))/2+1)&gt;0)*1))</f>
        <v/>
      </c>
    </row>
    <row r="440">
      <c r="A440">
        <f>IF(AND(Оплаты!$E$432="ок",COUNTIFS(Акты!$B$5:$B$16,Оплаты!$D$432,Акты!$H$5:$H$16,"ок")&gt;0,COUNTIFS(Оплаты!$D$6:$D$431,Оплаты!$D$432,Оплаты!$A$6:$A$431,Оплаты!$A$432)=0),Оплаты!$D$432,"")</f>
        <v/>
      </c>
      <c r="B440">
        <f>IF(A440="","",MATCH(A440,Акты!$B$5:$B$16,0))</f>
        <v/>
      </c>
      <c r="C440" s="20">
        <f>IF(A440="","",Оплаты!$A$432+1)</f>
        <v/>
      </c>
      <c r="D440" s="20">
        <f>IF(A440="","",MIN(Ввод!$B$4,Ввод!$B$4+1-SUMPRODUCT(MAX((Оплаты!$D$6:$D$505=A440)*(Оплаты!$A$6:$A$505&gt;Оплаты!$A$432)*(Ввод!$B$4+1-Оплаты!$A$6:$A$505)))))</f>
        <v/>
      </c>
      <c r="E440" s="14">
        <f>IF(A440="","",INDEX(Акты!$D$5:$D$16,B440)-SUMIFS(Оплаты!$B$6:$B$505,Оплаты!$D$6:$D$505,A440,Оплаты!$A$6:$A$505,"&lt;="&amp;Оплаты!$A$432))</f>
        <v/>
      </c>
      <c r="F440" s="14">
        <f>IF(G440="","",SUMPRODUCT(ROUND(E440*'По дням'!$L$6:$L$155/100*((((D440+'По дням'!$K$6:$K$155-ABS(D440-'По дням'!$K$6:$K$155))-(C440+'По дням'!$J$6:$J$155+ABS(C440-'По дням'!$J$6:$J$155)))/2+1)&gt;0)*(((D440+'По дням'!$K$6:$K$155-ABS(D440-'По дням'!$K$6:$K$155))-(C440+'По дням'!$J$6:$J$155+ABS(C440-'По дням'!$J$6:$J$155)))/2+1)/'По дням'!$M$6:$M$155,2)*(1-'По дням'!$N$6:$N$155)))</f>
        <v/>
      </c>
      <c r="G440">
        <f>IF(A440="","",IF(C440&gt;D440,"",B440*1000000+C440))</f>
        <v/>
      </c>
      <c r="H440" s="14">
        <f>IF(G440="","",SUMIFS(Оплаты!$B$6:$B$505,Оплаты!$D$6:$D$505,A440,Оплаты!$A$6:$A$505,D440))</f>
        <v/>
      </c>
      <c r="I440">
        <f>IF(G440="","",SUMPRODUCT((((((D440+'По дням'!$K$6:$K$155-ABS(D440-'По дням'!$K$6:$K$155))-(C440+'По дням'!$J$6:$J$155+ABS(C440-'По дням'!$J$6:$J$155)))/2+1)&gt;0)*(((D440+'По дням'!$K$6:$K$155-ABS(D440-'По дням'!$K$6:$K$155))-(C440+'По дням'!$J$6:$J$155+ABS(C440-'По дням'!$J$6:$J$155)))/2+1)&gt;0)*1))</f>
        <v/>
      </c>
    </row>
    <row r="441">
      <c r="A441">
        <f>IF(AND(Оплаты!$E$433="ок",COUNTIFS(Акты!$B$5:$B$16,Оплаты!$D$433,Акты!$H$5:$H$16,"ок")&gt;0,COUNTIFS(Оплаты!$D$6:$D$432,Оплаты!$D$433,Оплаты!$A$6:$A$432,Оплаты!$A$433)=0),Оплаты!$D$433,"")</f>
        <v/>
      </c>
      <c r="B441">
        <f>IF(A441="","",MATCH(A441,Акты!$B$5:$B$16,0))</f>
        <v/>
      </c>
      <c r="C441" s="20">
        <f>IF(A441="","",Оплаты!$A$433+1)</f>
        <v/>
      </c>
      <c r="D441" s="20">
        <f>IF(A441="","",MIN(Ввод!$B$4,Ввод!$B$4+1-SUMPRODUCT(MAX((Оплаты!$D$6:$D$505=A441)*(Оплаты!$A$6:$A$505&gt;Оплаты!$A$433)*(Ввод!$B$4+1-Оплаты!$A$6:$A$505)))))</f>
        <v/>
      </c>
      <c r="E441" s="14">
        <f>IF(A441="","",INDEX(Акты!$D$5:$D$16,B441)-SUMIFS(Оплаты!$B$6:$B$505,Оплаты!$D$6:$D$505,A441,Оплаты!$A$6:$A$505,"&lt;="&amp;Оплаты!$A$433))</f>
        <v/>
      </c>
      <c r="F441" s="14">
        <f>IF(G441="","",SUMPRODUCT(ROUND(E441*'По дням'!$L$6:$L$155/100*((((D441+'По дням'!$K$6:$K$155-ABS(D441-'По дням'!$K$6:$K$155))-(C441+'По дням'!$J$6:$J$155+ABS(C441-'По дням'!$J$6:$J$155)))/2+1)&gt;0)*(((D441+'По дням'!$K$6:$K$155-ABS(D441-'По дням'!$K$6:$K$155))-(C441+'По дням'!$J$6:$J$155+ABS(C441-'По дням'!$J$6:$J$155)))/2+1)/'По дням'!$M$6:$M$155,2)*(1-'По дням'!$N$6:$N$155)))</f>
        <v/>
      </c>
      <c r="G441">
        <f>IF(A441="","",IF(C441&gt;D441,"",B441*1000000+C441))</f>
        <v/>
      </c>
      <c r="H441" s="14">
        <f>IF(G441="","",SUMIFS(Оплаты!$B$6:$B$505,Оплаты!$D$6:$D$505,A441,Оплаты!$A$6:$A$505,D441))</f>
        <v/>
      </c>
      <c r="I441">
        <f>IF(G441="","",SUMPRODUCT((((((D441+'По дням'!$K$6:$K$155-ABS(D441-'По дням'!$K$6:$K$155))-(C441+'По дням'!$J$6:$J$155+ABS(C441-'По дням'!$J$6:$J$155)))/2+1)&gt;0)*(((D441+'По дням'!$K$6:$K$155-ABS(D441-'По дням'!$K$6:$K$155))-(C441+'По дням'!$J$6:$J$155+ABS(C441-'По дням'!$J$6:$J$155)))/2+1)&gt;0)*1))</f>
        <v/>
      </c>
    </row>
    <row r="442">
      <c r="A442">
        <f>IF(AND(Оплаты!$E$434="ок",COUNTIFS(Акты!$B$5:$B$16,Оплаты!$D$434,Акты!$H$5:$H$16,"ок")&gt;0,COUNTIFS(Оплаты!$D$6:$D$433,Оплаты!$D$434,Оплаты!$A$6:$A$433,Оплаты!$A$434)=0),Оплаты!$D$434,"")</f>
        <v/>
      </c>
      <c r="B442">
        <f>IF(A442="","",MATCH(A442,Акты!$B$5:$B$16,0))</f>
        <v/>
      </c>
      <c r="C442" s="20">
        <f>IF(A442="","",Оплаты!$A$434+1)</f>
        <v/>
      </c>
      <c r="D442" s="20">
        <f>IF(A442="","",MIN(Ввод!$B$4,Ввод!$B$4+1-SUMPRODUCT(MAX((Оплаты!$D$6:$D$505=A442)*(Оплаты!$A$6:$A$505&gt;Оплаты!$A$434)*(Ввод!$B$4+1-Оплаты!$A$6:$A$505)))))</f>
        <v/>
      </c>
      <c r="E442" s="14">
        <f>IF(A442="","",INDEX(Акты!$D$5:$D$16,B442)-SUMIFS(Оплаты!$B$6:$B$505,Оплаты!$D$6:$D$505,A442,Оплаты!$A$6:$A$505,"&lt;="&amp;Оплаты!$A$434))</f>
        <v/>
      </c>
      <c r="F442" s="14">
        <f>IF(G442="","",SUMPRODUCT(ROUND(E442*'По дням'!$L$6:$L$155/100*((((D442+'По дням'!$K$6:$K$155-ABS(D442-'По дням'!$K$6:$K$155))-(C442+'По дням'!$J$6:$J$155+ABS(C442-'По дням'!$J$6:$J$155)))/2+1)&gt;0)*(((D442+'По дням'!$K$6:$K$155-ABS(D442-'По дням'!$K$6:$K$155))-(C442+'По дням'!$J$6:$J$155+ABS(C442-'По дням'!$J$6:$J$155)))/2+1)/'По дням'!$M$6:$M$155,2)*(1-'По дням'!$N$6:$N$155)))</f>
        <v/>
      </c>
      <c r="G442">
        <f>IF(A442="","",IF(C442&gt;D442,"",B442*1000000+C442))</f>
        <v/>
      </c>
      <c r="H442" s="14">
        <f>IF(G442="","",SUMIFS(Оплаты!$B$6:$B$505,Оплаты!$D$6:$D$505,A442,Оплаты!$A$6:$A$505,D442))</f>
        <v/>
      </c>
      <c r="I442">
        <f>IF(G442="","",SUMPRODUCT((((((D442+'По дням'!$K$6:$K$155-ABS(D442-'По дням'!$K$6:$K$155))-(C442+'По дням'!$J$6:$J$155+ABS(C442-'По дням'!$J$6:$J$155)))/2+1)&gt;0)*(((D442+'По дням'!$K$6:$K$155-ABS(D442-'По дням'!$K$6:$K$155))-(C442+'По дням'!$J$6:$J$155+ABS(C442-'По дням'!$J$6:$J$155)))/2+1)&gt;0)*1))</f>
        <v/>
      </c>
    </row>
    <row r="443">
      <c r="A443">
        <f>IF(AND(Оплаты!$E$435="ок",COUNTIFS(Акты!$B$5:$B$16,Оплаты!$D$435,Акты!$H$5:$H$16,"ок")&gt;0,COUNTIFS(Оплаты!$D$6:$D$434,Оплаты!$D$435,Оплаты!$A$6:$A$434,Оплаты!$A$435)=0),Оплаты!$D$435,"")</f>
        <v/>
      </c>
      <c r="B443">
        <f>IF(A443="","",MATCH(A443,Акты!$B$5:$B$16,0))</f>
        <v/>
      </c>
      <c r="C443" s="20">
        <f>IF(A443="","",Оплаты!$A$435+1)</f>
        <v/>
      </c>
      <c r="D443" s="20">
        <f>IF(A443="","",MIN(Ввод!$B$4,Ввод!$B$4+1-SUMPRODUCT(MAX((Оплаты!$D$6:$D$505=A443)*(Оплаты!$A$6:$A$505&gt;Оплаты!$A$435)*(Ввод!$B$4+1-Оплаты!$A$6:$A$505)))))</f>
        <v/>
      </c>
      <c r="E443" s="14">
        <f>IF(A443="","",INDEX(Акты!$D$5:$D$16,B443)-SUMIFS(Оплаты!$B$6:$B$505,Оплаты!$D$6:$D$505,A443,Оплаты!$A$6:$A$505,"&lt;="&amp;Оплаты!$A$435))</f>
        <v/>
      </c>
      <c r="F443" s="14">
        <f>IF(G443="","",SUMPRODUCT(ROUND(E443*'По дням'!$L$6:$L$155/100*((((D443+'По дням'!$K$6:$K$155-ABS(D443-'По дням'!$K$6:$K$155))-(C443+'По дням'!$J$6:$J$155+ABS(C443-'По дням'!$J$6:$J$155)))/2+1)&gt;0)*(((D443+'По дням'!$K$6:$K$155-ABS(D443-'По дням'!$K$6:$K$155))-(C443+'По дням'!$J$6:$J$155+ABS(C443-'По дням'!$J$6:$J$155)))/2+1)/'По дням'!$M$6:$M$155,2)*(1-'По дням'!$N$6:$N$155)))</f>
        <v/>
      </c>
      <c r="G443">
        <f>IF(A443="","",IF(C443&gt;D443,"",B443*1000000+C443))</f>
        <v/>
      </c>
      <c r="H443" s="14">
        <f>IF(G443="","",SUMIFS(Оплаты!$B$6:$B$505,Оплаты!$D$6:$D$505,A443,Оплаты!$A$6:$A$505,D443))</f>
        <v/>
      </c>
      <c r="I443">
        <f>IF(G443="","",SUMPRODUCT((((((D443+'По дням'!$K$6:$K$155-ABS(D443-'По дням'!$K$6:$K$155))-(C443+'По дням'!$J$6:$J$155+ABS(C443-'По дням'!$J$6:$J$155)))/2+1)&gt;0)*(((D443+'По дням'!$K$6:$K$155-ABS(D443-'По дням'!$K$6:$K$155))-(C443+'По дням'!$J$6:$J$155+ABS(C443-'По дням'!$J$6:$J$155)))/2+1)&gt;0)*1))</f>
        <v/>
      </c>
    </row>
    <row r="444">
      <c r="A444">
        <f>IF(AND(Оплаты!$E$436="ок",COUNTIFS(Акты!$B$5:$B$16,Оплаты!$D$436,Акты!$H$5:$H$16,"ок")&gt;0,COUNTIFS(Оплаты!$D$6:$D$435,Оплаты!$D$436,Оплаты!$A$6:$A$435,Оплаты!$A$436)=0),Оплаты!$D$436,"")</f>
        <v/>
      </c>
      <c r="B444">
        <f>IF(A444="","",MATCH(A444,Акты!$B$5:$B$16,0))</f>
        <v/>
      </c>
      <c r="C444" s="20">
        <f>IF(A444="","",Оплаты!$A$436+1)</f>
        <v/>
      </c>
      <c r="D444" s="20">
        <f>IF(A444="","",MIN(Ввод!$B$4,Ввод!$B$4+1-SUMPRODUCT(MAX((Оплаты!$D$6:$D$505=A444)*(Оплаты!$A$6:$A$505&gt;Оплаты!$A$436)*(Ввод!$B$4+1-Оплаты!$A$6:$A$505)))))</f>
        <v/>
      </c>
      <c r="E444" s="14">
        <f>IF(A444="","",INDEX(Акты!$D$5:$D$16,B444)-SUMIFS(Оплаты!$B$6:$B$505,Оплаты!$D$6:$D$505,A444,Оплаты!$A$6:$A$505,"&lt;="&amp;Оплаты!$A$436))</f>
        <v/>
      </c>
      <c r="F444" s="14">
        <f>IF(G444="","",SUMPRODUCT(ROUND(E444*'По дням'!$L$6:$L$155/100*((((D444+'По дням'!$K$6:$K$155-ABS(D444-'По дням'!$K$6:$K$155))-(C444+'По дням'!$J$6:$J$155+ABS(C444-'По дням'!$J$6:$J$155)))/2+1)&gt;0)*(((D444+'По дням'!$K$6:$K$155-ABS(D444-'По дням'!$K$6:$K$155))-(C444+'По дням'!$J$6:$J$155+ABS(C444-'По дням'!$J$6:$J$155)))/2+1)/'По дням'!$M$6:$M$155,2)*(1-'По дням'!$N$6:$N$155)))</f>
        <v/>
      </c>
      <c r="G444">
        <f>IF(A444="","",IF(C444&gt;D444,"",B444*1000000+C444))</f>
        <v/>
      </c>
      <c r="H444" s="14">
        <f>IF(G444="","",SUMIFS(Оплаты!$B$6:$B$505,Оплаты!$D$6:$D$505,A444,Оплаты!$A$6:$A$505,D444))</f>
        <v/>
      </c>
      <c r="I444">
        <f>IF(G444="","",SUMPRODUCT((((((D444+'По дням'!$K$6:$K$155-ABS(D444-'По дням'!$K$6:$K$155))-(C444+'По дням'!$J$6:$J$155+ABS(C444-'По дням'!$J$6:$J$155)))/2+1)&gt;0)*(((D444+'По дням'!$K$6:$K$155-ABS(D444-'По дням'!$K$6:$K$155))-(C444+'По дням'!$J$6:$J$155+ABS(C444-'По дням'!$J$6:$J$155)))/2+1)&gt;0)*1))</f>
        <v/>
      </c>
    </row>
    <row r="445">
      <c r="A445">
        <f>IF(AND(Оплаты!$E$437="ок",COUNTIFS(Акты!$B$5:$B$16,Оплаты!$D$437,Акты!$H$5:$H$16,"ок")&gt;0,COUNTIFS(Оплаты!$D$6:$D$436,Оплаты!$D$437,Оплаты!$A$6:$A$436,Оплаты!$A$437)=0),Оплаты!$D$437,"")</f>
        <v/>
      </c>
      <c r="B445">
        <f>IF(A445="","",MATCH(A445,Акты!$B$5:$B$16,0))</f>
        <v/>
      </c>
      <c r="C445" s="20">
        <f>IF(A445="","",Оплаты!$A$437+1)</f>
        <v/>
      </c>
      <c r="D445" s="20">
        <f>IF(A445="","",MIN(Ввод!$B$4,Ввод!$B$4+1-SUMPRODUCT(MAX((Оплаты!$D$6:$D$505=A445)*(Оплаты!$A$6:$A$505&gt;Оплаты!$A$437)*(Ввод!$B$4+1-Оплаты!$A$6:$A$505)))))</f>
        <v/>
      </c>
      <c r="E445" s="14">
        <f>IF(A445="","",INDEX(Акты!$D$5:$D$16,B445)-SUMIFS(Оплаты!$B$6:$B$505,Оплаты!$D$6:$D$505,A445,Оплаты!$A$6:$A$505,"&lt;="&amp;Оплаты!$A$437))</f>
        <v/>
      </c>
      <c r="F445" s="14">
        <f>IF(G445="","",SUMPRODUCT(ROUND(E445*'По дням'!$L$6:$L$155/100*((((D445+'По дням'!$K$6:$K$155-ABS(D445-'По дням'!$K$6:$K$155))-(C445+'По дням'!$J$6:$J$155+ABS(C445-'По дням'!$J$6:$J$155)))/2+1)&gt;0)*(((D445+'По дням'!$K$6:$K$155-ABS(D445-'По дням'!$K$6:$K$155))-(C445+'По дням'!$J$6:$J$155+ABS(C445-'По дням'!$J$6:$J$155)))/2+1)/'По дням'!$M$6:$M$155,2)*(1-'По дням'!$N$6:$N$155)))</f>
        <v/>
      </c>
      <c r="G445">
        <f>IF(A445="","",IF(C445&gt;D445,"",B445*1000000+C445))</f>
        <v/>
      </c>
      <c r="H445" s="14">
        <f>IF(G445="","",SUMIFS(Оплаты!$B$6:$B$505,Оплаты!$D$6:$D$505,A445,Оплаты!$A$6:$A$505,D445))</f>
        <v/>
      </c>
      <c r="I445">
        <f>IF(G445="","",SUMPRODUCT((((((D445+'По дням'!$K$6:$K$155-ABS(D445-'По дням'!$K$6:$K$155))-(C445+'По дням'!$J$6:$J$155+ABS(C445-'По дням'!$J$6:$J$155)))/2+1)&gt;0)*(((D445+'По дням'!$K$6:$K$155-ABS(D445-'По дням'!$K$6:$K$155))-(C445+'По дням'!$J$6:$J$155+ABS(C445-'По дням'!$J$6:$J$155)))/2+1)&gt;0)*1))</f>
        <v/>
      </c>
    </row>
    <row r="446">
      <c r="A446">
        <f>IF(AND(Оплаты!$E$438="ок",COUNTIFS(Акты!$B$5:$B$16,Оплаты!$D$438,Акты!$H$5:$H$16,"ок")&gt;0,COUNTIFS(Оплаты!$D$6:$D$437,Оплаты!$D$438,Оплаты!$A$6:$A$437,Оплаты!$A$438)=0),Оплаты!$D$438,"")</f>
        <v/>
      </c>
      <c r="B446">
        <f>IF(A446="","",MATCH(A446,Акты!$B$5:$B$16,0))</f>
        <v/>
      </c>
      <c r="C446" s="20">
        <f>IF(A446="","",Оплаты!$A$438+1)</f>
        <v/>
      </c>
      <c r="D446" s="20">
        <f>IF(A446="","",MIN(Ввод!$B$4,Ввод!$B$4+1-SUMPRODUCT(MAX((Оплаты!$D$6:$D$505=A446)*(Оплаты!$A$6:$A$505&gt;Оплаты!$A$438)*(Ввод!$B$4+1-Оплаты!$A$6:$A$505)))))</f>
        <v/>
      </c>
      <c r="E446" s="14">
        <f>IF(A446="","",INDEX(Акты!$D$5:$D$16,B446)-SUMIFS(Оплаты!$B$6:$B$505,Оплаты!$D$6:$D$505,A446,Оплаты!$A$6:$A$505,"&lt;="&amp;Оплаты!$A$438))</f>
        <v/>
      </c>
      <c r="F446" s="14">
        <f>IF(G446="","",SUMPRODUCT(ROUND(E446*'По дням'!$L$6:$L$155/100*((((D446+'По дням'!$K$6:$K$155-ABS(D446-'По дням'!$K$6:$K$155))-(C446+'По дням'!$J$6:$J$155+ABS(C446-'По дням'!$J$6:$J$155)))/2+1)&gt;0)*(((D446+'По дням'!$K$6:$K$155-ABS(D446-'По дням'!$K$6:$K$155))-(C446+'По дням'!$J$6:$J$155+ABS(C446-'По дням'!$J$6:$J$155)))/2+1)/'По дням'!$M$6:$M$155,2)*(1-'По дням'!$N$6:$N$155)))</f>
        <v/>
      </c>
      <c r="G446">
        <f>IF(A446="","",IF(C446&gt;D446,"",B446*1000000+C446))</f>
        <v/>
      </c>
      <c r="H446" s="14">
        <f>IF(G446="","",SUMIFS(Оплаты!$B$6:$B$505,Оплаты!$D$6:$D$505,A446,Оплаты!$A$6:$A$505,D446))</f>
        <v/>
      </c>
      <c r="I446">
        <f>IF(G446="","",SUMPRODUCT((((((D446+'По дням'!$K$6:$K$155-ABS(D446-'По дням'!$K$6:$K$155))-(C446+'По дням'!$J$6:$J$155+ABS(C446-'По дням'!$J$6:$J$155)))/2+1)&gt;0)*(((D446+'По дням'!$K$6:$K$155-ABS(D446-'По дням'!$K$6:$K$155))-(C446+'По дням'!$J$6:$J$155+ABS(C446-'По дням'!$J$6:$J$155)))/2+1)&gt;0)*1))</f>
        <v/>
      </c>
    </row>
    <row r="447">
      <c r="A447">
        <f>IF(AND(Оплаты!$E$439="ок",COUNTIFS(Акты!$B$5:$B$16,Оплаты!$D$439,Акты!$H$5:$H$16,"ок")&gt;0,COUNTIFS(Оплаты!$D$6:$D$438,Оплаты!$D$439,Оплаты!$A$6:$A$438,Оплаты!$A$439)=0),Оплаты!$D$439,"")</f>
        <v/>
      </c>
      <c r="B447">
        <f>IF(A447="","",MATCH(A447,Акты!$B$5:$B$16,0))</f>
        <v/>
      </c>
      <c r="C447" s="20">
        <f>IF(A447="","",Оплаты!$A$439+1)</f>
        <v/>
      </c>
      <c r="D447" s="20">
        <f>IF(A447="","",MIN(Ввод!$B$4,Ввод!$B$4+1-SUMPRODUCT(MAX((Оплаты!$D$6:$D$505=A447)*(Оплаты!$A$6:$A$505&gt;Оплаты!$A$439)*(Ввод!$B$4+1-Оплаты!$A$6:$A$505)))))</f>
        <v/>
      </c>
      <c r="E447" s="14">
        <f>IF(A447="","",INDEX(Акты!$D$5:$D$16,B447)-SUMIFS(Оплаты!$B$6:$B$505,Оплаты!$D$6:$D$505,A447,Оплаты!$A$6:$A$505,"&lt;="&amp;Оплаты!$A$439))</f>
        <v/>
      </c>
      <c r="F447" s="14">
        <f>IF(G447="","",SUMPRODUCT(ROUND(E447*'По дням'!$L$6:$L$155/100*((((D447+'По дням'!$K$6:$K$155-ABS(D447-'По дням'!$K$6:$K$155))-(C447+'По дням'!$J$6:$J$155+ABS(C447-'По дням'!$J$6:$J$155)))/2+1)&gt;0)*(((D447+'По дням'!$K$6:$K$155-ABS(D447-'По дням'!$K$6:$K$155))-(C447+'По дням'!$J$6:$J$155+ABS(C447-'По дням'!$J$6:$J$155)))/2+1)/'По дням'!$M$6:$M$155,2)*(1-'По дням'!$N$6:$N$155)))</f>
        <v/>
      </c>
      <c r="G447">
        <f>IF(A447="","",IF(C447&gt;D447,"",B447*1000000+C447))</f>
        <v/>
      </c>
      <c r="H447" s="14">
        <f>IF(G447="","",SUMIFS(Оплаты!$B$6:$B$505,Оплаты!$D$6:$D$505,A447,Оплаты!$A$6:$A$505,D447))</f>
        <v/>
      </c>
      <c r="I447">
        <f>IF(G447="","",SUMPRODUCT((((((D447+'По дням'!$K$6:$K$155-ABS(D447-'По дням'!$K$6:$K$155))-(C447+'По дням'!$J$6:$J$155+ABS(C447-'По дням'!$J$6:$J$155)))/2+1)&gt;0)*(((D447+'По дням'!$K$6:$K$155-ABS(D447-'По дням'!$K$6:$K$155))-(C447+'По дням'!$J$6:$J$155+ABS(C447-'По дням'!$J$6:$J$155)))/2+1)&gt;0)*1))</f>
        <v/>
      </c>
    </row>
    <row r="448">
      <c r="A448">
        <f>IF(AND(Оплаты!$E$440="ок",COUNTIFS(Акты!$B$5:$B$16,Оплаты!$D$440,Акты!$H$5:$H$16,"ок")&gt;0,COUNTIFS(Оплаты!$D$6:$D$439,Оплаты!$D$440,Оплаты!$A$6:$A$439,Оплаты!$A$440)=0),Оплаты!$D$440,"")</f>
        <v/>
      </c>
      <c r="B448">
        <f>IF(A448="","",MATCH(A448,Акты!$B$5:$B$16,0))</f>
        <v/>
      </c>
      <c r="C448" s="20">
        <f>IF(A448="","",Оплаты!$A$440+1)</f>
        <v/>
      </c>
      <c r="D448" s="20">
        <f>IF(A448="","",MIN(Ввод!$B$4,Ввод!$B$4+1-SUMPRODUCT(MAX((Оплаты!$D$6:$D$505=A448)*(Оплаты!$A$6:$A$505&gt;Оплаты!$A$440)*(Ввод!$B$4+1-Оплаты!$A$6:$A$505)))))</f>
        <v/>
      </c>
      <c r="E448" s="14">
        <f>IF(A448="","",INDEX(Акты!$D$5:$D$16,B448)-SUMIFS(Оплаты!$B$6:$B$505,Оплаты!$D$6:$D$505,A448,Оплаты!$A$6:$A$505,"&lt;="&amp;Оплаты!$A$440))</f>
        <v/>
      </c>
      <c r="F448" s="14">
        <f>IF(G448="","",SUMPRODUCT(ROUND(E448*'По дням'!$L$6:$L$155/100*((((D448+'По дням'!$K$6:$K$155-ABS(D448-'По дням'!$K$6:$K$155))-(C448+'По дням'!$J$6:$J$155+ABS(C448-'По дням'!$J$6:$J$155)))/2+1)&gt;0)*(((D448+'По дням'!$K$6:$K$155-ABS(D448-'По дням'!$K$6:$K$155))-(C448+'По дням'!$J$6:$J$155+ABS(C448-'По дням'!$J$6:$J$155)))/2+1)/'По дням'!$M$6:$M$155,2)*(1-'По дням'!$N$6:$N$155)))</f>
        <v/>
      </c>
      <c r="G448">
        <f>IF(A448="","",IF(C448&gt;D448,"",B448*1000000+C448))</f>
        <v/>
      </c>
      <c r="H448" s="14">
        <f>IF(G448="","",SUMIFS(Оплаты!$B$6:$B$505,Оплаты!$D$6:$D$505,A448,Оплаты!$A$6:$A$505,D448))</f>
        <v/>
      </c>
      <c r="I448">
        <f>IF(G448="","",SUMPRODUCT((((((D448+'По дням'!$K$6:$K$155-ABS(D448-'По дням'!$K$6:$K$155))-(C448+'По дням'!$J$6:$J$155+ABS(C448-'По дням'!$J$6:$J$155)))/2+1)&gt;0)*(((D448+'По дням'!$K$6:$K$155-ABS(D448-'По дням'!$K$6:$K$155))-(C448+'По дням'!$J$6:$J$155+ABS(C448-'По дням'!$J$6:$J$155)))/2+1)&gt;0)*1))</f>
        <v/>
      </c>
    </row>
    <row r="449">
      <c r="A449">
        <f>IF(AND(Оплаты!$E$441="ок",COUNTIFS(Акты!$B$5:$B$16,Оплаты!$D$441,Акты!$H$5:$H$16,"ок")&gt;0,COUNTIFS(Оплаты!$D$6:$D$440,Оплаты!$D$441,Оплаты!$A$6:$A$440,Оплаты!$A$441)=0),Оплаты!$D$441,"")</f>
        <v/>
      </c>
      <c r="B449">
        <f>IF(A449="","",MATCH(A449,Акты!$B$5:$B$16,0))</f>
        <v/>
      </c>
      <c r="C449" s="20">
        <f>IF(A449="","",Оплаты!$A$441+1)</f>
        <v/>
      </c>
      <c r="D449" s="20">
        <f>IF(A449="","",MIN(Ввод!$B$4,Ввод!$B$4+1-SUMPRODUCT(MAX((Оплаты!$D$6:$D$505=A449)*(Оплаты!$A$6:$A$505&gt;Оплаты!$A$441)*(Ввод!$B$4+1-Оплаты!$A$6:$A$505)))))</f>
        <v/>
      </c>
      <c r="E449" s="14">
        <f>IF(A449="","",INDEX(Акты!$D$5:$D$16,B449)-SUMIFS(Оплаты!$B$6:$B$505,Оплаты!$D$6:$D$505,A449,Оплаты!$A$6:$A$505,"&lt;="&amp;Оплаты!$A$441))</f>
        <v/>
      </c>
      <c r="F449" s="14">
        <f>IF(G449="","",SUMPRODUCT(ROUND(E449*'По дням'!$L$6:$L$155/100*((((D449+'По дням'!$K$6:$K$155-ABS(D449-'По дням'!$K$6:$K$155))-(C449+'По дням'!$J$6:$J$155+ABS(C449-'По дням'!$J$6:$J$155)))/2+1)&gt;0)*(((D449+'По дням'!$K$6:$K$155-ABS(D449-'По дням'!$K$6:$K$155))-(C449+'По дням'!$J$6:$J$155+ABS(C449-'По дням'!$J$6:$J$155)))/2+1)/'По дням'!$M$6:$M$155,2)*(1-'По дням'!$N$6:$N$155)))</f>
        <v/>
      </c>
      <c r="G449">
        <f>IF(A449="","",IF(C449&gt;D449,"",B449*1000000+C449))</f>
        <v/>
      </c>
      <c r="H449" s="14">
        <f>IF(G449="","",SUMIFS(Оплаты!$B$6:$B$505,Оплаты!$D$6:$D$505,A449,Оплаты!$A$6:$A$505,D449))</f>
        <v/>
      </c>
      <c r="I449">
        <f>IF(G449="","",SUMPRODUCT((((((D449+'По дням'!$K$6:$K$155-ABS(D449-'По дням'!$K$6:$K$155))-(C449+'По дням'!$J$6:$J$155+ABS(C449-'По дням'!$J$6:$J$155)))/2+1)&gt;0)*(((D449+'По дням'!$K$6:$K$155-ABS(D449-'По дням'!$K$6:$K$155))-(C449+'По дням'!$J$6:$J$155+ABS(C449-'По дням'!$J$6:$J$155)))/2+1)&gt;0)*1))</f>
        <v/>
      </c>
    </row>
    <row r="450">
      <c r="A450">
        <f>IF(AND(Оплаты!$E$442="ок",COUNTIFS(Акты!$B$5:$B$16,Оплаты!$D$442,Акты!$H$5:$H$16,"ок")&gt;0,COUNTIFS(Оплаты!$D$6:$D$441,Оплаты!$D$442,Оплаты!$A$6:$A$441,Оплаты!$A$442)=0),Оплаты!$D$442,"")</f>
        <v/>
      </c>
      <c r="B450">
        <f>IF(A450="","",MATCH(A450,Акты!$B$5:$B$16,0))</f>
        <v/>
      </c>
      <c r="C450" s="20">
        <f>IF(A450="","",Оплаты!$A$442+1)</f>
        <v/>
      </c>
      <c r="D450" s="20">
        <f>IF(A450="","",MIN(Ввод!$B$4,Ввод!$B$4+1-SUMPRODUCT(MAX((Оплаты!$D$6:$D$505=A450)*(Оплаты!$A$6:$A$505&gt;Оплаты!$A$442)*(Ввод!$B$4+1-Оплаты!$A$6:$A$505)))))</f>
        <v/>
      </c>
      <c r="E450" s="14">
        <f>IF(A450="","",INDEX(Акты!$D$5:$D$16,B450)-SUMIFS(Оплаты!$B$6:$B$505,Оплаты!$D$6:$D$505,A450,Оплаты!$A$6:$A$505,"&lt;="&amp;Оплаты!$A$442))</f>
        <v/>
      </c>
      <c r="F450" s="14">
        <f>IF(G450="","",SUMPRODUCT(ROUND(E450*'По дням'!$L$6:$L$155/100*((((D450+'По дням'!$K$6:$K$155-ABS(D450-'По дням'!$K$6:$K$155))-(C450+'По дням'!$J$6:$J$155+ABS(C450-'По дням'!$J$6:$J$155)))/2+1)&gt;0)*(((D450+'По дням'!$K$6:$K$155-ABS(D450-'По дням'!$K$6:$K$155))-(C450+'По дням'!$J$6:$J$155+ABS(C450-'По дням'!$J$6:$J$155)))/2+1)/'По дням'!$M$6:$M$155,2)*(1-'По дням'!$N$6:$N$155)))</f>
        <v/>
      </c>
      <c r="G450">
        <f>IF(A450="","",IF(C450&gt;D450,"",B450*1000000+C450))</f>
        <v/>
      </c>
      <c r="H450" s="14">
        <f>IF(G450="","",SUMIFS(Оплаты!$B$6:$B$505,Оплаты!$D$6:$D$505,A450,Оплаты!$A$6:$A$505,D450))</f>
        <v/>
      </c>
      <c r="I450">
        <f>IF(G450="","",SUMPRODUCT((((((D450+'По дням'!$K$6:$K$155-ABS(D450-'По дням'!$K$6:$K$155))-(C450+'По дням'!$J$6:$J$155+ABS(C450-'По дням'!$J$6:$J$155)))/2+1)&gt;0)*(((D450+'По дням'!$K$6:$K$155-ABS(D450-'По дням'!$K$6:$K$155))-(C450+'По дням'!$J$6:$J$155+ABS(C450-'По дням'!$J$6:$J$155)))/2+1)&gt;0)*1))</f>
        <v/>
      </c>
    </row>
    <row r="451">
      <c r="A451">
        <f>IF(AND(Оплаты!$E$443="ок",COUNTIFS(Акты!$B$5:$B$16,Оплаты!$D$443,Акты!$H$5:$H$16,"ок")&gt;0,COUNTIFS(Оплаты!$D$6:$D$442,Оплаты!$D$443,Оплаты!$A$6:$A$442,Оплаты!$A$443)=0),Оплаты!$D$443,"")</f>
        <v/>
      </c>
      <c r="B451">
        <f>IF(A451="","",MATCH(A451,Акты!$B$5:$B$16,0))</f>
        <v/>
      </c>
      <c r="C451" s="20">
        <f>IF(A451="","",Оплаты!$A$443+1)</f>
        <v/>
      </c>
      <c r="D451" s="20">
        <f>IF(A451="","",MIN(Ввод!$B$4,Ввод!$B$4+1-SUMPRODUCT(MAX((Оплаты!$D$6:$D$505=A451)*(Оплаты!$A$6:$A$505&gt;Оплаты!$A$443)*(Ввод!$B$4+1-Оплаты!$A$6:$A$505)))))</f>
        <v/>
      </c>
      <c r="E451" s="14">
        <f>IF(A451="","",INDEX(Акты!$D$5:$D$16,B451)-SUMIFS(Оплаты!$B$6:$B$505,Оплаты!$D$6:$D$505,A451,Оплаты!$A$6:$A$505,"&lt;="&amp;Оплаты!$A$443))</f>
        <v/>
      </c>
      <c r="F451" s="14">
        <f>IF(G451="","",SUMPRODUCT(ROUND(E451*'По дням'!$L$6:$L$155/100*((((D451+'По дням'!$K$6:$K$155-ABS(D451-'По дням'!$K$6:$K$155))-(C451+'По дням'!$J$6:$J$155+ABS(C451-'По дням'!$J$6:$J$155)))/2+1)&gt;0)*(((D451+'По дням'!$K$6:$K$155-ABS(D451-'По дням'!$K$6:$K$155))-(C451+'По дням'!$J$6:$J$155+ABS(C451-'По дням'!$J$6:$J$155)))/2+1)/'По дням'!$M$6:$M$155,2)*(1-'По дням'!$N$6:$N$155)))</f>
        <v/>
      </c>
      <c r="G451">
        <f>IF(A451="","",IF(C451&gt;D451,"",B451*1000000+C451))</f>
        <v/>
      </c>
      <c r="H451" s="14">
        <f>IF(G451="","",SUMIFS(Оплаты!$B$6:$B$505,Оплаты!$D$6:$D$505,A451,Оплаты!$A$6:$A$505,D451))</f>
        <v/>
      </c>
      <c r="I451">
        <f>IF(G451="","",SUMPRODUCT((((((D451+'По дням'!$K$6:$K$155-ABS(D451-'По дням'!$K$6:$K$155))-(C451+'По дням'!$J$6:$J$155+ABS(C451-'По дням'!$J$6:$J$155)))/2+1)&gt;0)*(((D451+'По дням'!$K$6:$K$155-ABS(D451-'По дням'!$K$6:$K$155))-(C451+'По дням'!$J$6:$J$155+ABS(C451-'По дням'!$J$6:$J$155)))/2+1)&gt;0)*1))</f>
        <v/>
      </c>
    </row>
    <row r="452">
      <c r="A452">
        <f>IF(AND(Оплаты!$E$444="ок",COUNTIFS(Акты!$B$5:$B$16,Оплаты!$D$444,Акты!$H$5:$H$16,"ок")&gt;0,COUNTIFS(Оплаты!$D$6:$D$443,Оплаты!$D$444,Оплаты!$A$6:$A$443,Оплаты!$A$444)=0),Оплаты!$D$444,"")</f>
        <v/>
      </c>
      <c r="B452">
        <f>IF(A452="","",MATCH(A452,Акты!$B$5:$B$16,0))</f>
        <v/>
      </c>
      <c r="C452" s="20">
        <f>IF(A452="","",Оплаты!$A$444+1)</f>
        <v/>
      </c>
      <c r="D452" s="20">
        <f>IF(A452="","",MIN(Ввод!$B$4,Ввод!$B$4+1-SUMPRODUCT(MAX((Оплаты!$D$6:$D$505=A452)*(Оплаты!$A$6:$A$505&gt;Оплаты!$A$444)*(Ввод!$B$4+1-Оплаты!$A$6:$A$505)))))</f>
        <v/>
      </c>
      <c r="E452" s="14">
        <f>IF(A452="","",INDEX(Акты!$D$5:$D$16,B452)-SUMIFS(Оплаты!$B$6:$B$505,Оплаты!$D$6:$D$505,A452,Оплаты!$A$6:$A$505,"&lt;="&amp;Оплаты!$A$444))</f>
        <v/>
      </c>
      <c r="F452" s="14">
        <f>IF(G452="","",SUMPRODUCT(ROUND(E452*'По дням'!$L$6:$L$155/100*((((D452+'По дням'!$K$6:$K$155-ABS(D452-'По дням'!$K$6:$K$155))-(C452+'По дням'!$J$6:$J$155+ABS(C452-'По дням'!$J$6:$J$155)))/2+1)&gt;0)*(((D452+'По дням'!$K$6:$K$155-ABS(D452-'По дням'!$K$6:$K$155))-(C452+'По дням'!$J$6:$J$155+ABS(C452-'По дням'!$J$6:$J$155)))/2+1)/'По дням'!$M$6:$M$155,2)*(1-'По дням'!$N$6:$N$155)))</f>
        <v/>
      </c>
      <c r="G452">
        <f>IF(A452="","",IF(C452&gt;D452,"",B452*1000000+C452))</f>
        <v/>
      </c>
      <c r="H452" s="14">
        <f>IF(G452="","",SUMIFS(Оплаты!$B$6:$B$505,Оплаты!$D$6:$D$505,A452,Оплаты!$A$6:$A$505,D452))</f>
        <v/>
      </c>
      <c r="I452">
        <f>IF(G452="","",SUMPRODUCT((((((D452+'По дням'!$K$6:$K$155-ABS(D452-'По дням'!$K$6:$K$155))-(C452+'По дням'!$J$6:$J$155+ABS(C452-'По дням'!$J$6:$J$155)))/2+1)&gt;0)*(((D452+'По дням'!$K$6:$K$155-ABS(D452-'По дням'!$K$6:$K$155))-(C452+'По дням'!$J$6:$J$155+ABS(C452-'По дням'!$J$6:$J$155)))/2+1)&gt;0)*1))</f>
        <v/>
      </c>
    </row>
    <row r="453">
      <c r="A453">
        <f>IF(AND(Оплаты!$E$445="ок",COUNTIFS(Акты!$B$5:$B$16,Оплаты!$D$445,Акты!$H$5:$H$16,"ок")&gt;0,COUNTIFS(Оплаты!$D$6:$D$444,Оплаты!$D$445,Оплаты!$A$6:$A$444,Оплаты!$A$445)=0),Оплаты!$D$445,"")</f>
        <v/>
      </c>
      <c r="B453">
        <f>IF(A453="","",MATCH(A453,Акты!$B$5:$B$16,0))</f>
        <v/>
      </c>
      <c r="C453" s="20">
        <f>IF(A453="","",Оплаты!$A$445+1)</f>
        <v/>
      </c>
      <c r="D453" s="20">
        <f>IF(A453="","",MIN(Ввод!$B$4,Ввод!$B$4+1-SUMPRODUCT(MAX((Оплаты!$D$6:$D$505=A453)*(Оплаты!$A$6:$A$505&gt;Оплаты!$A$445)*(Ввод!$B$4+1-Оплаты!$A$6:$A$505)))))</f>
        <v/>
      </c>
      <c r="E453" s="14">
        <f>IF(A453="","",INDEX(Акты!$D$5:$D$16,B453)-SUMIFS(Оплаты!$B$6:$B$505,Оплаты!$D$6:$D$505,A453,Оплаты!$A$6:$A$505,"&lt;="&amp;Оплаты!$A$445))</f>
        <v/>
      </c>
      <c r="F453" s="14">
        <f>IF(G453="","",SUMPRODUCT(ROUND(E453*'По дням'!$L$6:$L$155/100*((((D453+'По дням'!$K$6:$K$155-ABS(D453-'По дням'!$K$6:$K$155))-(C453+'По дням'!$J$6:$J$155+ABS(C453-'По дням'!$J$6:$J$155)))/2+1)&gt;0)*(((D453+'По дням'!$K$6:$K$155-ABS(D453-'По дням'!$K$6:$K$155))-(C453+'По дням'!$J$6:$J$155+ABS(C453-'По дням'!$J$6:$J$155)))/2+1)/'По дням'!$M$6:$M$155,2)*(1-'По дням'!$N$6:$N$155)))</f>
        <v/>
      </c>
      <c r="G453">
        <f>IF(A453="","",IF(C453&gt;D453,"",B453*1000000+C453))</f>
        <v/>
      </c>
      <c r="H453" s="14">
        <f>IF(G453="","",SUMIFS(Оплаты!$B$6:$B$505,Оплаты!$D$6:$D$505,A453,Оплаты!$A$6:$A$505,D453))</f>
        <v/>
      </c>
      <c r="I453">
        <f>IF(G453="","",SUMPRODUCT((((((D453+'По дням'!$K$6:$K$155-ABS(D453-'По дням'!$K$6:$K$155))-(C453+'По дням'!$J$6:$J$155+ABS(C453-'По дням'!$J$6:$J$155)))/2+1)&gt;0)*(((D453+'По дням'!$K$6:$K$155-ABS(D453-'По дням'!$K$6:$K$155))-(C453+'По дням'!$J$6:$J$155+ABS(C453-'По дням'!$J$6:$J$155)))/2+1)&gt;0)*1))</f>
        <v/>
      </c>
    </row>
    <row r="454">
      <c r="A454">
        <f>IF(AND(Оплаты!$E$446="ок",COUNTIFS(Акты!$B$5:$B$16,Оплаты!$D$446,Акты!$H$5:$H$16,"ок")&gt;0,COUNTIFS(Оплаты!$D$6:$D$445,Оплаты!$D$446,Оплаты!$A$6:$A$445,Оплаты!$A$446)=0),Оплаты!$D$446,"")</f>
        <v/>
      </c>
      <c r="B454">
        <f>IF(A454="","",MATCH(A454,Акты!$B$5:$B$16,0))</f>
        <v/>
      </c>
      <c r="C454" s="20">
        <f>IF(A454="","",Оплаты!$A$446+1)</f>
        <v/>
      </c>
      <c r="D454" s="20">
        <f>IF(A454="","",MIN(Ввод!$B$4,Ввод!$B$4+1-SUMPRODUCT(MAX((Оплаты!$D$6:$D$505=A454)*(Оплаты!$A$6:$A$505&gt;Оплаты!$A$446)*(Ввод!$B$4+1-Оплаты!$A$6:$A$505)))))</f>
        <v/>
      </c>
      <c r="E454" s="14">
        <f>IF(A454="","",INDEX(Акты!$D$5:$D$16,B454)-SUMIFS(Оплаты!$B$6:$B$505,Оплаты!$D$6:$D$505,A454,Оплаты!$A$6:$A$505,"&lt;="&amp;Оплаты!$A$446))</f>
        <v/>
      </c>
      <c r="F454" s="14">
        <f>IF(G454="","",SUMPRODUCT(ROUND(E454*'По дням'!$L$6:$L$155/100*((((D454+'По дням'!$K$6:$K$155-ABS(D454-'По дням'!$K$6:$K$155))-(C454+'По дням'!$J$6:$J$155+ABS(C454-'По дням'!$J$6:$J$155)))/2+1)&gt;0)*(((D454+'По дням'!$K$6:$K$155-ABS(D454-'По дням'!$K$6:$K$155))-(C454+'По дням'!$J$6:$J$155+ABS(C454-'По дням'!$J$6:$J$155)))/2+1)/'По дням'!$M$6:$M$155,2)*(1-'По дням'!$N$6:$N$155)))</f>
        <v/>
      </c>
      <c r="G454">
        <f>IF(A454="","",IF(C454&gt;D454,"",B454*1000000+C454))</f>
        <v/>
      </c>
      <c r="H454" s="14">
        <f>IF(G454="","",SUMIFS(Оплаты!$B$6:$B$505,Оплаты!$D$6:$D$505,A454,Оплаты!$A$6:$A$505,D454))</f>
        <v/>
      </c>
      <c r="I454">
        <f>IF(G454="","",SUMPRODUCT((((((D454+'По дням'!$K$6:$K$155-ABS(D454-'По дням'!$K$6:$K$155))-(C454+'По дням'!$J$6:$J$155+ABS(C454-'По дням'!$J$6:$J$155)))/2+1)&gt;0)*(((D454+'По дням'!$K$6:$K$155-ABS(D454-'По дням'!$K$6:$K$155))-(C454+'По дням'!$J$6:$J$155+ABS(C454-'По дням'!$J$6:$J$155)))/2+1)&gt;0)*1))</f>
        <v/>
      </c>
    </row>
    <row r="455">
      <c r="A455">
        <f>IF(AND(Оплаты!$E$447="ок",COUNTIFS(Акты!$B$5:$B$16,Оплаты!$D$447,Акты!$H$5:$H$16,"ок")&gt;0,COUNTIFS(Оплаты!$D$6:$D$446,Оплаты!$D$447,Оплаты!$A$6:$A$446,Оплаты!$A$447)=0),Оплаты!$D$447,"")</f>
        <v/>
      </c>
      <c r="B455">
        <f>IF(A455="","",MATCH(A455,Акты!$B$5:$B$16,0))</f>
        <v/>
      </c>
      <c r="C455" s="20">
        <f>IF(A455="","",Оплаты!$A$447+1)</f>
        <v/>
      </c>
      <c r="D455" s="20">
        <f>IF(A455="","",MIN(Ввод!$B$4,Ввод!$B$4+1-SUMPRODUCT(MAX((Оплаты!$D$6:$D$505=A455)*(Оплаты!$A$6:$A$505&gt;Оплаты!$A$447)*(Ввод!$B$4+1-Оплаты!$A$6:$A$505)))))</f>
        <v/>
      </c>
      <c r="E455" s="14">
        <f>IF(A455="","",INDEX(Акты!$D$5:$D$16,B455)-SUMIFS(Оплаты!$B$6:$B$505,Оплаты!$D$6:$D$505,A455,Оплаты!$A$6:$A$505,"&lt;="&amp;Оплаты!$A$447))</f>
        <v/>
      </c>
      <c r="F455" s="14">
        <f>IF(G455="","",SUMPRODUCT(ROUND(E455*'По дням'!$L$6:$L$155/100*((((D455+'По дням'!$K$6:$K$155-ABS(D455-'По дням'!$K$6:$K$155))-(C455+'По дням'!$J$6:$J$155+ABS(C455-'По дням'!$J$6:$J$155)))/2+1)&gt;0)*(((D455+'По дням'!$K$6:$K$155-ABS(D455-'По дням'!$K$6:$K$155))-(C455+'По дням'!$J$6:$J$155+ABS(C455-'По дням'!$J$6:$J$155)))/2+1)/'По дням'!$M$6:$M$155,2)*(1-'По дням'!$N$6:$N$155)))</f>
        <v/>
      </c>
      <c r="G455">
        <f>IF(A455="","",IF(C455&gt;D455,"",B455*1000000+C455))</f>
        <v/>
      </c>
      <c r="H455" s="14">
        <f>IF(G455="","",SUMIFS(Оплаты!$B$6:$B$505,Оплаты!$D$6:$D$505,A455,Оплаты!$A$6:$A$505,D455))</f>
        <v/>
      </c>
      <c r="I455">
        <f>IF(G455="","",SUMPRODUCT((((((D455+'По дням'!$K$6:$K$155-ABS(D455-'По дням'!$K$6:$K$155))-(C455+'По дням'!$J$6:$J$155+ABS(C455-'По дням'!$J$6:$J$155)))/2+1)&gt;0)*(((D455+'По дням'!$K$6:$K$155-ABS(D455-'По дням'!$K$6:$K$155))-(C455+'По дням'!$J$6:$J$155+ABS(C455-'По дням'!$J$6:$J$155)))/2+1)&gt;0)*1))</f>
        <v/>
      </c>
    </row>
    <row r="456">
      <c r="A456">
        <f>IF(AND(Оплаты!$E$448="ок",COUNTIFS(Акты!$B$5:$B$16,Оплаты!$D$448,Акты!$H$5:$H$16,"ок")&gt;0,COUNTIFS(Оплаты!$D$6:$D$447,Оплаты!$D$448,Оплаты!$A$6:$A$447,Оплаты!$A$448)=0),Оплаты!$D$448,"")</f>
        <v/>
      </c>
      <c r="B456">
        <f>IF(A456="","",MATCH(A456,Акты!$B$5:$B$16,0))</f>
        <v/>
      </c>
      <c r="C456" s="20">
        <f>IF(A456="","",Оплаты!$A$448+1)</f>
        <v/>
      </c>
      <c r="D456" s="20">
        <f>IF(A456="","",MIN(Ввод!$B$4,Ввод!$B$4+1-SUMPRODUCT(MAX((Оплаты!$D$6:$D$505=A456)*(Оплаты!$A$6:$A$505&gt;Оплаты!$A$448)*(Ввод!$B$4+1-Оплаты!$A$6:$A$505)))))</f>
        <v/>
      </c>
      <c r="E456" s="14">
        <f>IF(A456="","",INDEX(Акты!$D$5:$D$16,B456)-SUMIFS(Оплаты!$B$6:$B$505,Оплаты!$D$6:$D$505,A456,Оплаты!$A$6:$A$505,"&lt;="&amp;Оплаты!$A$448))</f>
        <v/>
      </c>
      <c r="F456" s="14">
        <f>IF(G456="","",SUMPRODUCT(ROUND(E456*'По дням'!$L$6:$L$155/100*((((D456+'По дням'!$K$6:$K$155-ABS(D456-'По дням'!$K$6:$K$155))-(C456+'По дням'!$J$6:$J$155+ABS(C456-'По дням'!$J$6:$J$155)))/2+1)&gt;0)*(((D456+'По дням'!$K$6:$K$155-ABS(D456-'По дням'!$K$6:$K$155))-(C456+'По дням'!$J$6:$J$155+ABS(C456-'По дням'!$J$6:$J$155)))/2+1)/'По дням'!$M$6:$M$155,2)*(1-'По дням'!$N$6:$N$155)))</f>
        <v/>
      </c>
      <c r="G456">
        <f>IF(A456="","",IF(C456&gt;D456,"",B456*1000000+C456))</f>
        <v/>
      </c>
      <c r="H456" s="14">
        <f>IF(G456="","",SUMIFS(Оплаты!$B$6:$B$505,Оплаты!$D$6:$D$505,A456,Оплаты!$A$6:$A$505,D456))</f>
        <v/>
      </c>
      <c r="I456">
        <f>IF(G456="","",SUMPRODUCT((((((D456+'По дням'!$K$6:$K$155-ABS(D456-'По дням'!$K$6:$K$155))-(C456+'По дням'!$J$6:$J$155+ABS(C456-'По дням'!$J$6:$J$155)))/2+1)&gt;0)*(((D456+'По дням'!$K$6:$K$155-ABS(D456-'По дням'!$K$6:$K$155))-(C456+'По дням'!$J$6:$J$155+ABS(C456-'По дням'!$J$6:$J$155)))/2+1)&gt;0)*1))</f>
        <v/>
      </c>
    </row>
    <row r="457">
      <c r="A457">
        <f>IF(AND(Оплаты!$E$449="ок",COUNTIFS(Акты!$B$5:$B$16,Оплаты!$D$449,Акты!$H$5:$H$16,"ок")&gt;0,COUNTIFS(Оплаты!$D$6:$D$448,Оплаты!$D$449,Оплаты!$A$6:$A$448,Оплаты!$A$449)=0),Оплаты!$D$449,"")</f>
        <v/>
      </c>
      <c r="B457">
        <f>IF(A457="","",MATCH(A457,Акты!$B$5:$B$16,0))</f>
        <v/>
      </c>
      <c r="C457" s="20">
        <f>IF(A457="","",Оплаты!$A$449+1)</f>
        <v/>
      </c>
      <c r="D457" s="20">
        <f>IF(A457="","",MIN(Ввод!$B$4,Ввод!$B$4+1-SUMPRODUCT(MAX((Оплаты!$D$6:$D$505=A457)*(Оплаты!$A$6:$A$505&gt;Оплаты!$A$449)*(Ввод!$B$4+1-Оплаты!$A$6:$A$505)))))</f>
        <v/>
      </c>
      <c r="E457" s="14">
        <f>IF(A457="","",INDEX(Акты!$D$5:$D$16,B457)-SUMIFS(Оплаты!$B$6:$B$505,Оплаты!$D$6:$D$505,A457,Оплаты!$A$6:$A$505,"&lt;="&amp;Оплаты!$A$449))</f>
        <v/>
      </c>
      <c r="F457" s="14">
        <f>IF(G457="","",SUMPRODUCT(ROUND(E457*'По дням'!$L$6:$L$155/100*((((D457+'По дням'!$K$6:$K$155-ABS(D457-'По дням'!$K$6:$K$155))-(C457+'По дням'!$J$6:$J$155+ABS(C457-'По дням'!$J$6:$J$155)))/2+1)&gt;0)*(((D457+'По дням'!$K$6:$K$155-ABS(D457-'По дням'!$K$6:$K$155))-(C457+'По дням'!$J$6:$J$155+ABS(C457-'По дням'!$J$6:$J$155)))/2+1)/'По дням'!$M$6:$M$155,2)*(1-'По дням'!$N$6:$N$155)))</f>
        <v/>
      </c>
      <c r="G457">
        <f>IF(A457="","",IF(C457&gt;D457,"",B457*1000000+C457))</f>
        <v/>
      </c>
      <c r="H457" s="14">
        <f>IF(G457="","",SUMIFS(Оплаты!$B$6:$B$505,Оплаты!$D$6:$D$505,A457,Оплаты!$A$6:$A$505,D457))</f>
        <v/>
      </c>
      <c r="I457">
        <f>IF(G457="","",SUMPRODUCT((((((D457+'По дням'!$K$6:$K$155-ABS(D457-'По дням'!$K$6:$K$155))-(C457+'По дням'!$J$6:$J$155+ABS(C457-'По дням'!$J$6:$J$155)))/2+1)&gt;0)*(((D457+'По дням'!$K$6:$K$155-ABS(D457-'По дням'!$K$6:$K$155))-(C457+'По дням'!$J$6:$J$155+ABS(C457-'По дням'!$J$6:$J$155)))/2+1)&gt;0)*1))</f>
        <v/>
      </c>
    </row>
    <row r="458">
      <c r="A458">
        <f>IF(AND(Оплаты!$E$450="ок",COUNTIFS(Акты!$B$5:$B$16,Оплаты!$D$450,Акты!$H$5:$H$16,"ок")&gt;0,COUNTIFS(Оплаты!$D$6:$D$449,Оплаты!$D$450,Оплаты!$A$6:$A$449,Оплаты!$A$450)=0),Оплаты!$D$450,"")</f>
        <v/>
      </c>
      <c r="B458">
        <f>IF(A458="","",MATCH(A458,Акты!$B$5:$B$16,0))</f>
        <v/>
      </c>
      <c r="C458" s="20">
        <f>IF(A458="","",Оплаты!$A$450+1)</f>
        <v/>
      </c>
      <c r="D458" s="20">
        <f>IF(A458="","",MIN(Ввод!$B$4,Ввод!$B$4+1-SUMPRODUCT(MAX((Оплаты!$D$6:$D$505=A458)*(Оплаты!$A$6:$A$505&gt;Оплаты!$A$450)*(Ввод!$B$4+1-Оплаты!$A$6:$A$505)))))</f>
        <v/>
      </c>
      <c r="E458" s="14">
        <f>IF(A458="","",INDEX(Акты!$D$5:$D$16,B458)-SUMIFS(Оплаты!$B$6:$B$505,Оплаты!$D$6:$D$505,A458,Оплаты!$A$6:$A$505,"&lt;="&amp;Оплаты!$A$450))</f>
        <v/>
      </c>
      <c r="F458" s="14">
        <f>IF(G458="","",SUMPRODUCT(ROUND(E458*'По дням'!$L$6:$L$155/100*((((D458+'По дням'!$K$6:$K$155-ABS(D458-'По дням'!$K$6:$K$155))-(C458+'По дням'!$J$6:$J$155+ABS(C458-'По дням'!$J$6:$J$155)))/2+1)&gt;0)*(((D458+'По дням'!$K$6:$K$155-ABS(D458-'По дням'!$K$6:$K$155))-(C458+'По дням'!$J$6:$J$155+ABS(C458-'По дням'!$J$6:$J$155)))/2+1)/'По дням'!$M$6:$M$155,2)*(1-'По дням'!$N$6:$N$155)))</f>
        <v/>
      </c>
      <c r="G458">
        <f>IF(A458="","",IF(C458&gt;D458,"",B458*1000000+C458))</f>
        <v/>
      </c>
      <c r="H458" s="14">
        <f>IF(G458="","",SUMIFS(Оплаты!$B$6:$B$505,Оплаты!$D$6:$D$505,A458,Оплаты!$A$6:$A$505,D458))</f>
        <v/>
      </c>
      <c r="I458">
        <f>IF(G458="","",SUMPRODUCT((((((D458+'По дням'!$K$6:$K$155-ABS(D458-'По дням'!$K$6:$K$155))-(C458+'По дням'!$J$6:$J$155+ABS(C458-'По дням'!$J$6:$J$155)))/2+1)&gt;0)*(((D458+'По дням'!$K$6:$K$155-ABS(D458-'По дням'!$K$6:$K$155))-(C458+'По дням'!$J$6:$J$155+ABS(C458-'По дням'!$J$6:$J$155)))/2+1)&gt;0)*1))</f>
        <v/>
      </c>
    </row>
    <row r="459">
      <c r="A459">
        <f>IF(AND(Оплаты!$E$451="ок",COUNTIFS(Акты!$B$5:$B$16,Оплаты!$D$451,Акты!$H$5:$H$16,"ок")&gt;0,COUNTIFS(Оплаты!$D$6:$D$450,Оплаты!$D$451,Оплаты!$A$6:$A$450,Оплаты!$A$451)=0),Оплаты!$D$451,"")</f>
        <v/>
      </c>
      <c r="B459">
        <f>IF(A459="","",MATCH(A459,Акты!$B$5:$B$16,0))</f>
        <v/>
      </c>
      <c r="C459" s="20">
        <f>IF(A459="","",Оплаты!$A$451+1)</f>
        <v/>
      </c>
      <c r="D459" s="20">
        <f>IF(A459="","",MIN(Ввод!$B$4,Ввод!$B$4+1-SUMPRODUCT(MAX((Оплаты!$D$6:$D$505=A459)*(Оплаты!$A$6:$A$505&gt;Оплаты!$A$451)*(Ввод!$B$4+1-Оплаты!$A$6:$A$505)))))</f>
        <v/>
      </c>
      <c r="E459" s="14">
        <f>IF(A459="","",INDEX(Акты!$D$5:$D$16,B459)-SUMIFS(Оплаты!$B$6:$B$505,Оплаты!$D$6:$D$505,A459,Оплаты!$A$6:$A$505,"&lt;="&amp;Оплаты!$A$451))</f>
        <v/>
      </c>
      <c r="F459" s="14">
        <f>IF(G459="","",SUMPRODUCT(ROUND(E459*'По дням'!$L$6:$L$155/100*((((D459+'По дням'!$K$6:$K$155-ABS(D459-'По дням'!$K$6:$K$155))-(C459+'По дням'!$J$6:$J$155+ABS(C459-'По дням'!$J$6:$J$155)))/2+1)&gt;0)*(((D459+'По дням'!$K$6:$K$155-ABS(D459-'По дням'!$K$6:$K$155))-(C459+'По дням'!$J$6:$J$155+ABS(C459-'По дням'!$J$6:$J$155)))/2+1)/'По дням'!$M$6:$M$155,2)*(1-'По дням'!$N$6:$N$155)))</f>
        <v/>
      </c>
      <c r="G459">
        <f>IF(A459="","",IF(C459&gt;D459,"",B459*1000000+C459))</f>
        <v/>
      </c>
      <c r="H459" s="14">
        <f>IF(G459="","",SUMIFS(Оплаты!$B$6:$B$505,Оплаты!$D$6:$D$505,A459,Оплаты!$A$6:$A$505,D459))</f>
        <v/>
      </c>
      <c r="I459">
        <f>IF(G459="","",SUMPRODUCT((((((D459+'По дням'!$K$6:$K$155-ABS(D459-'По дням'!$K$6:$K$155))-(C459+'По дням'!$J$6:$J$155+ABS(C459-'По дням'!$J$6:$J$155)))/2+1)&gt;0)*(((D459+'По дням'!$K$6:$K$155-ABS(D459-'По дням'!$K$6:$K$155))-(C459+'По дням'!$J$6:$J$155+ABS(C459-'По дням'!$J$6:$J$155)))/2+1)&gt;0)*1))</f>
        <v/>
      </c>
    </row>
    <row r="460">
      <c r="A460">
        <f>IF(AND(Оплаты!$E$452="ок",COUNTIFS(Акты!$B$5:$B$16,Оплаты!$D$452,Акты!$H$5:$H$16,"ок")&gt;0,COUNTIFS(Оплаты!$D$6:$D$451,Оплаты!$D$452,Оплаты!$A$6:$A$451,Оплаты!$A$452)=0),Оплаты!$D$452,"")</f>
        <v/>
      </c>
      <c r="B460">
        <f>IF(A460="","",MATCH(A460,Акты!$B$5:$B$16,0))</f>
        <v/>
      </c>
      <c r="C460" s="20">
        <f>IF(A460="","",Оплаты!$A$452+1)</f>
        <v/>
      </c>
      <c r="D460" s="20">
        <f>IF(A460="","",MIN(Ввод!$B$4,Ввод!$B$4+1-SUMPRODUCT(MAX((Оплаты!$D$6:$D$505=A460)*(Оплаты!$A$6:$A$505&gt;Оплаты!$A$452)*(Ввод!$B$4+1-Оплаты!$A$6:$A$505)))))</f>
        <v/>
      </c>
      <c r="E460" s="14">
        <f>IF(A460="","",INDEX(Акты!$D$5:$D$16,B460)-SUMIFS(Оплаты!$B$6:$B$505,Оплаты!$D$6:$D$505,A460,Оплаты!$A$6:$A$505,"&lt;="&amp;Оплаты!$A$452))</f>
        <v/>
      </c>
      <c r="F460" s="14">
        <f>IF(G460="","",SUMPRODUCT(ROUND(E460*'По дням'!$L$6:$L$155/100*((((D460+'По дням'!$K$6:$K$155-ABS(D460-'По дням'!$K$6:$K$155))-(C460+'По дням'!$J$6:$J$155+ABS(C460-'По дням'!$J$6:$J$155)))/2+1)&gt;0)*(((D460+'По дням'!$K$6:$K$155-ABS(D460-'По дням'!$K$6:$K$155))-(C460+'По дням'!$J$6:$J$155+ABS(C460-'По дням'!$J$6:$J$155)))/2+1)/'По дням'!$M$6:$M$155,2)*(1-'По дням'!$N$6:$N$155)))</f>
        <v/>
      </c>
      <c r="G460">
        <f>IF(A460="","",IF(C460&gt;D460,"",B460*1000000+C460))</f>
        <v/>
      </c>
      <c r="H460" s="14">
        <f>IF(G460="","",SUMIFS(Оплаты!$B$6:$B$505,Оплаты!$D$6:$D$505,A460,Оплаты!$A$6:$A$505,D460))</f>
        <v/>
      </c>
      <c r="I460">
        <f>IF(G460="","",SUMPRODUCT((((((D460+'По дням'!$K$6:$K$155-ABS(D460-'По дням'!$K$6:$K$155))-(C460+'По дням'!$J$6:$J$155+ABS(C460-'По дням'!$J$6:$J$155)))/2+1)&gt;0)*(((D460+'По дням'!$K$6:$K$155-ABS(D460-'По дням'!$K$6:$K$155))-(C460+'По дням'!$J$6:$J$155+ABS(C460-'По дням'!$J$6:$J$155)))/2+1)&gt;0)*1))</f>
        <v/>
      </c>
    </row>
    <row r="461">
      <c r="A461">
        <f>IF(AND(Оплаты!$E$453="ок",COUNTIFS(Акты!$B$5:$B$16,Оплаты!$D$453,Акты!$H$5:$H$16,"ок")&gt;0,COUNTIFS(Оплаты!$D$6:$D$452,Оплаты!$D$453,Оплаты!$A$6:$A$452,Оплаты!$A$453)=0),Оплаты!$D$453,"")</f>
        <v/>
      </c>
      <c r="B461">
        <f>IF(A461="","",MATCH(A461,Акты!$B$5:$B$16,0))</f>
        <v/>
      </c>
      <c r="C461" s="20">
        <f>IF(A461="","",Оплаты!$A$453+1)</f>
        <v/>
      </c>
      <c r="D461" s="20">
        <f>IF(A461="","",MIN(Ввод!$B$4,Ввод!$B$4+1-SUMPRODUCT(MAX((Оплаты!$D$6:$D$505=A461)*(Оплаты!$A$6:$A$505&gt;Оплаты!$A$453)*(Ввод!$B$4+1-Оплаты!$A$6:$A$505)))))</f>
        <v/>
      </c>
      <c r="E461" s="14">
        <f>IF(A461="","",INDEX(Акты!$D$5:$D$16,B461)-SUMIFS(Оплаты!$B$6:$B$505,Оплаты!$D$6:$D$505,A461,Оплаты!$A$6:$A$505,"&lt;="&amp;Оплаты!$A$453))</f>
        <v/>
      </c>
      <c r="F461" s="14">
        <f>IF(G461="","",SUMPRODUCT(ROUND(E461*'По дням'!$L$6:$L$155/100*((((D461+'По дням'!$K$6:$K$155-ABS(D461-'По дням'!$K$6:$K$155))-(C461+'По дням'!$J$6:$J$155+ABS(C461-'По дням'!$J$6:$J$155)))/2+1)&gt;0)*(((D461+'По дням'!$K$6:$K$155-ABS(D461-'По дням'!$K$6:$K$155))-(C461+'По дням'!$J$6:$J$155+ABS(C461-'По дням'!$J$6:$J$155)))/2+1)/'По дням'!$M$6:$M$155,2)*(1-'По дням'!$N$6:$N$155)))</f>
        <v/>
      </c>
      <c r="G461">
        <f>IF(A461="","",IF(C461&gt;D461,"",B461*1000000+C461))</f>
        <v/>
      </c>
      <c r="H461" s="14">
        <f>IF(G461="","",SUMIFS(Оплаты!$B$6:$B$505,Оплаты!$D$6:$D$505,A461,Оплаты!$A$6:$A$505,D461))</f>
        <v/>
      </c>
      <c r="I461">
        <f>IF(G461="","",SUMPRODUCT((((((D461+'По дням'!$K$6:$K$155-ABS(D461-'По дням'!$K$6:$K$155))-(C461+'По дням'!$J$6:$J$155+ABS(C461-'По дням'!$J$6:$J$155)))/2+1)&gt;0)*(((D461+'По дням'!$K$6:$K$155-ABS(D461-'По дням'!$K$6:$K$155))-(C461+'По дням'!$J$6:$J$155+ABS(C461-'По дням'!$J$6:$J$155)))/2+1)&gt;0)*1))</f>
        <v/>
      </c>
    </row>
    <row r="462">
      <c r="A462">
        <f>IF(AND(Оплаты!$E$454="ок",COUNTIFS(Акты!$B$5:$B$16,Оплаты!$D$454,Акты!$H$5:$H$16,"ок")&gt;0,COUNTIFS(Оплаты!$D$6:$D$453,Оплаты!$D$454,Оплаты!$A$6:$A$453,Оплаты!$A$454)=0),Оплаты!$D$454,"")</f>
        <v/>
      </c>
      <c r="B462">
        <f>IF(A462="","",MATCH(A462,Акты!$B$5:$B$16,0))</f>
        <v/>
      </c>
      <c r="C462" s="20">
        <f>IF(A462="","",Оплаты!$A$454+1)</f>
        <v/>
      </c>
      <c r="D462" s="20">
        <f>IF(A462="","",MIN(Ввод!$B$4,Ввод!$B$4+1-SUMPRODUCT(MAX((Оплаты!$D$6:$D$505=A462)*(Оплаты!$A$6:$A$505&gt;Оплаты!$A$454)*(Ввод!$B$4+1-Оплаты!$A$6:$A$505)))))</f>
        <v/>
      </c>
      <c r="E462" s="14">
        <f>IF(A462="","",INDEX(Акты!$D$5:$D$16,B462)-SUMIFS(Оплаты!$B$6:$B$505,Оплаты!$D$6:$D$505,A462,Оплаты!$A$6:$A$505,"&lt;="&amp;Оплаты!$A$454))</f>
        <v/>
      </c>
      <c r="F462" s="14">
        <f>IF(G462="","",SUMPRODUCT(ROUND(E462*'По дням'!$L$6:$L$155/100*((((D462+'По дням'!$K$6:$K$155-ABS(D462-'По дням'!$K$6:$K$155))-(C462+'По дням'!$J$6:$J$155+ABS(C462-'По дням'!$J$6:$J$155)))/2+1)&gt;0)*(((D462+'По дням'!$K$6:$K$155-ABS(D462-'По дням'!$K$6:$K$155))-(C462+'По дням'!$J$6:$J$155+ABS(C462-'По дням'!$J$6:$J$155)))/2+1)/'По дням'!$M$6:$M$155,2)*(1-'По дням'!$N$6:$N$155)))</f>
        <v/>
      </c>
      <c r="G462">
        <f>IF(A462="","",IF(C462&gt;D462,"",B462*1000000+C462))</f>
        <v/>
      </c>
      <c r="H462" s="14">
        <f>IF(G462="","",SUMIFS(Оплаты!$B$6:$B$505,Оплаты!$D$6:$D$505,A462,Оплаты!$A$6:$A$505,D462))</f>
        <v/>
      </c>
      <c r="I462">
        <f>IF(G462="","",SUMPRODUCT((((((D462+'По дням'!$K$6:$K$155-ABS(D462-'По дням'!$K$6:$K$155))-(C462+'По дням'!$J$6:$J$155+ABS(C462-'По дням'!$J$6:$J$155)))/2+1)&gt;0)*(((D462+'По дням'!$K$6:$K$155-ABS(D462-'По дням'!$K$6:$K$155))-(C462+'По дням'!$J$6:$J$155+ABS(C462-'По дням'!$J$6:$J$155)))/2+1)&gt;0)*1))</f>
        <v/>
      </c>
    </row>
    <row r="463">
      <c r="A463">
        <f>IF(AND(Оплаты!$E$455="ок",COUNTIFS(Акты!$B$5:$B$16,Оплаты!$D$455,Акты!$H$5:$H$16,"ок")&gt;0,COUNTIFS(Оплаты!$D$6:$D$454,Оплаты!$D$455,Оплаты!$A$6:$A$454,Оплаты!$A$455)=0),Оплаты!$D$455,"")</f>
        <v/>
      </c>
      <c r="B463">
        <f>IF(A463="","",MATCH(A463,Акты!$B$5:$B$16,0))</f>
        <v/>
      </c>
      <c r="C463" s="20">
        <f>IF(A463="","",Оплаты!$A$455+1)</f>
        <v/>
      </c>
      <c r="D463" s="20">
        <f>IF(A463="","",MIN(Ввод!$B$4,Ввод!$B$4+1-SUMPRODUCT(MAX((Оплаты!$D$6:$D$505=A463)*(Оплаты!$A$6:$A$505&gt;Оплаты!$A$455)*(Ввод!$B$4+1-Оплаты!$A$6:$A$505)))))</f>
        <v/>
      </c>
      <c r="E463" s="14">
        <f>IF(A463="","",INDEX(Акты!$D$5:$D$16,B463)-SUMIFS(Оплаты!$B$6:$B$505,Оплаты!$D$6:$D$505,A463,Оплаты!$A$6:$A$505,"&lt;="&amp;Оплаты!$A$455))</f>
        <v/>
      </c>
      <c r="F463" s="14">
        <f>IF(G463="","",SUMPRODUCT(ROUND(E463*'По дням'!$L$6:$L$155/100*((((D463+'По дням'!$K$6:$K$155-ABS(D463-'По дням'!$K$6:$K$155))-(C463+'По дням'!$J$6:$J$155+ABS(C463-'По дням'!$J$6:$J$155)))/2+1)&gt;0)*(((D463+'По дням'!$K$6:$K$155-ABS(D463-'По дням'!$K$6:$K$155))-(C463+'По дням'!$J$6:$J$155+ABS(C463-'По дням'!$J$6:$J$155)))/2+1)/'По дням'!$M$6:$M$155,2)*(1-'По дням'!$N$6:$N$155)))</f>
        <v/>
      </c>
      <c r="G463">
        <f>IF(A463="","",IF(C463&gt;D463,"",B463*1000000+C463))</f>
        <v/>
      </c>
      <c r="H463" s="14">
        <f>IF(G463="","",SUMIFS(Оплаты!$B$6:$B$505,Оплаты!$D$6:$D$505,A463,Оплаты!$A$6:$A$505,D463))</f>
        <v/>
      </c>
      <c r="I463">
        <f>IF(G463="","",SUMPRODUCT((((((D463+'По дням'!$K$6:$K$155-ABS(D463-'По дням'!$K$6:$K$155))-(C463+'По дням'!$J$6:$J$155+ABS(C463-'По дням'!$J$6:$J$155)))/2+1)&gt;0)*(((D463+'По дням'!$K$6:$K$155-ABS(D463-'По дням'!$K$6:$K$155))-(C463+'По дням'!$J$6:$J$155+ABS(C463-'По дням'!$J$6:$J$155)))/2+1)&gt;0)*1))</f>
        <v/>
      </c>
    </row>
    <row r="464">
      <c r="A464">
        <f>IF(AND(Оплаты!$E$456="ок",COUNTIFS(Акты!$B$5:$B$16,Оплаты!$D$456,Акты!$H$5:$H$16,"ок")&gt;0,COUNTIFS(Оплаты!$D$6:$D$455,Оплаты!$D$456,Оплаты!$A$6:$A$455,Оплаты!$A$456)=0),Оплаты!$D$456,"")</f>
        <v/>
      </c>
      <c r="B464">
        <f>IF(A464="","",MATCH(A464,Акты!$B$5:$B$16,0))</f>
        <v/>
      </c>
      <c r="C464" s="20">
        <f>IF(A464="","",Оплаты!$A$456+1)</f>
        <v/>
      </c>
      <c r="D464" s="20">
        <f>IF(A464="","",MIN(Ввод!$B$4,Ввод!$B$4+1-SUMPRODUCT(MAX((Оплаты!$D$6:$D$505=A464)*(Оплаты!$A$6:$A$505&gt;Оплаты!$A$456)*(Ввод!$B$4+1-Оплаты!$A$6:$A$505)))))</f>
        <v/>
      </c>
      <c r="E464" s="14">
        <f>IF(A464="","",INDEX(Акты!$D$5:$D$16,B464)-SUMIFS(Оплаты!$B$6:$B$505,Оплаты!$D$6:$D$505,A464,Оплаты!$A$6:$A$505,"&lt;="&amp;Оплаты!$A$456))</f>
        <v/>
      </c>
      <c r="F464" s="14">
        <f>IF(G464="","",SUMPRODUCT(ROUND(E464*'По дням'!$L$6:$L$155/100*((((D464+'По дням'!$K$6:$K$155-ABS(D464-'По дням'!$K$6:$K$155))-(C464+'По дням'!$J$6:$J$155+ABS(C464-'По дням'!$J$6:$J$155)))/2+1)&gt;0)*(((D464+'По дням'!$K$6:$K$155-ABS(D464-'По дням'!$K$6:$K$155))-(C464+'По дням'!$J$6:$J$155+ABS(C464-'По дням'!$J$6:$J$155)))/2+1)/'По дням'!$M$6:$M$155,2)*(1-'По дням'!$N$6:$N$155)))</f>
        <v/>
      </c>
      <c r="G464">
        <f>IF(A464="","",IF(C464&gt;D464,"",B464*1000000+C464))</f>
        <v/>
      </c>
      <c r="H464" s="14">
        <f>IF(G464="","",SUMIFS(Оплаты!$B$6:$B$505,Оплаты!$D$6:$D$505,A464,Оплаты!$A$6:$A$505,D464))</f>
        <v/>
      </c>
      <c r="I464">
        <f>IF(G464="","",SUMPRODUCT((((((D464+'По дням'!$K$6:$K$155-ABS(D464-'По дням'!$K$6:$K$155))-(C464+'По дням'!$J$6:$J$155+ABS(C464-'По дням'!$J$6:$J$155)))/2+1)&gt;0)*(((D464+'По дням'!$K$6:$K$155-ABS(D464-'По дням'!$K$6:$K$155))-(C464+'По дням'!$J$6:$J$155+ABS(C464-'По дням'!$J$6:$J$155)))/2+1)&gt;0)*1))</f>
        <v/>
      </c>
    </row>
    <row r="465">
      <c r="A465">
        <f>IF(AND(Оплаты!$E$457="ок",COUNTIFS(Акты!$B$5:$B$16,Оплаты!$D$457,Акты!$H$5:$H$16,"ок")&gt;0,COUNTIFS(Оплаты!$D$6:$D$456,Оплаты!$D$457,Оплаты!$A$6:$A$456,Оплаты!$A$457)=0),Оплаты!$D$457,"")</f>
        <v/>
      </c>
      <c r="B465">
        <f>IF(A465="","",MATCH(A465,Акты!$B$5:$B$16,0))</f>
        <v/>
      </c>
      <c r="C465" s="20">
        <f>IF(A465="","",Оплаты!$A$457+1)</f>
        <v/>
      </c>
      <c r="D465" s="20">
        <f>IF(A465="","",MIN(Ввод!$B$4,Ввод!$B$4+1-SUMPRODUCT(MAX((Оплаты!$D$6:$D$505=A465)*(Оплаты!$A$6:$A$505&gt;Оплаты!$A$457)*(Ввод!$B$4+1-Оплаты!$A$6:$A$505)))))</f>
        <v/>
      </c>
      <c r="E465" s="14">
        <f>IF(A465="","",INDEX(Акты!$D$5:$D$16,B465)-SUMIFS(Оплаты!$B$6:$B$505,Оплаты!$D$6:$D$505,A465,Оплаты!$A$6:$A$505,"&lt;="&amp;Оплаты!$A$457))</f>
        <v/>
      </c>
      <c r="F465" s="14">
        <f>IF(G465="","",SUMPRODUCT(ROUND(E465*'По дням'!$L$6:$L$155/100*((((D465+'По дням'!$K$6:$K$155-ABS(D465-'По дням'!$K$6:$K$155))-(C465+'По дням'!$J$6:$J$155+ABS(C465-'По дням'!$J$6:$J$155)))/2+1)&gt;0)*(((D465+'По дням'!$K$6:$K$155-ABS(D465-'По дням'!$K$6:$K$155))-(C465+'По дням'!$J$6:$J$155+ABS(C465-'По дням'!$J$6:$J$155)))/2+1)/'По дням'!$M$6:$M$155,2)*(1-'По дням'!$N$6:$N$155)))</f>
        <v/>
      </c>
      <c r="G465">
        <f>IF(A465="","",IF(C465&gt;D465,"",B465*1000000+C465))</f>
        <v/>
      </c>
      <c r="H465" s="14">
        <f>IF(G465="","",SUMIFS(Оплаты!$B$6:$B$505,Оплаты!$D$6:$D$505,A465,Оплаты!$A$6:$A$505,D465))</f>
        <v/>
      </c>
      <c r="I465">
        <f>IF(G465="","",SUMPRODUCT((((((D465+'По дням'!$K$6:$K$155-ABS(D465-'По дням'!$K$6:$K$155))-(C465+'По дням'!$J$6:$J$155+ABS(C465-'По дням'!$J$6:$J$155)))/2+1)&gt;0)*(((D465+'По дням'!$K$6:$K$155-ABS(D465-'По дням'!$K$6:$K$155))-(C465+'По дням'!$J$6:$J$155+ABS(C465-'По дням'!$J$6:$J$155)))/2+1)&gt;0)*1))</f>
        <v/>
      </c>
    </row>
    <row r="466">
      <c r="A466">
        <f>IF(AND(Оплаты!$E$458="ок",COUNTIFS(Акты!$B$5:$B$16,Оплаты!$D$458,Акты!$H$5:$H$16,"ок")&gt;0,COUNTIFS(Оплаты!$D$6:$D$457,Оплаты!$D$458,Оплаты!$A$6:$A$457,Оплаты!$A$458)=0),Оплаты!$D$458,"")</f>
        <v/>
      </c>
      <c r="B466">
        <f>IF(A466="","",MATCH(A466,Акты!$B$5:$B$16,0))</f>
        <v/>
      </c>
      <c r="C466" s="20">
        <f>IF(A466="","",Оплаты!$A$458+1)</f>
        <v/>
      </c>
      <c r="D466" s="20">
        <f>IF(A466="","",MIN(Ввод!$B$4,Ввод!$B$4+1-SUMPRODUCT(MAX((Оплаты!$D$6:$D$505=A466)*(Оплаты!$A$6:$A$505&gt;Оплаты!$A$458)*(Ввод!$B$4+1-Оплаты!$A$6:$A$505)))))</f>
        <v/>
      </c>
      <c r="E466" s="14">
        <f>IF(A466="","",INDEX(Акты!$D$5:$D$16,B466)-SUMIFS(Оплаты!$B$6:$B$505,Оплаты!$D$6:$D$505,A466,Оплаты!$A$6:$A$505,"&lt;="&amp;Оплаты!$A$458))</f>
        <v/>
      </c>
      <c r="F466" s="14">
        <f>IF(G466="","",SUMPRODUCT(ROUND(E466*'По дням'!$L$6:$L$155/100*((((D466+'По дням'!$K$6:$K$155-ABS(D466-'По дням'!$K$6:$K$155))-(C466+'По дням'!$J$6:$J$155+ABS(C466-'По дням'!$J$6:$J$155)))/2+1)&gt;0)*(((D466+'По дням'!$K$6:$K$155-ABS(D466-'По дням'!$K$6:$K$155))-(C466+'По дням'!$J$6:$J$155+ABS(C466-'По дням'!$J$6:$J$155)))/2+1)/'По дням'!$M$6:$M$155,2)*(1-'По дням'!$N$6:$N$155)))</f>
        <v/>
      </c>
      <c r="G466">
        <f>IF(A466="","",IF(C466&gt;D466,"",B466*1000000+C466))</f>
        <v/>
      </c>
      <c r="H466" s="14">
        <f>IF(G466="","",SUMIFS(Оплаты!$B$6:$B$505,Оплаты!$D$6:$D$505,A466,Оплаты!$A$6:$A$505,D466))</f>
        <v/>
      </c>
      <c r="I466">
        <f>IF(G466="","",SUMPRODUCT((((((D466+'По дням'!$K$6:$K$155-ABS(D466-'По дням'!$K$6:$K$155))-(C466+'По дням'!$J$6:$J$155+ABS(C466-'По дням'!$J$6:$J$155)))/2+1)&gt;0)*(((D466+'По дням'!$K$6:$K$155-ABS(D466-'По дням'!$K$6:$K$155))-(C466+'По дням'!$J$6:$J$155+ABS(C466-'По дням'!$J$6:$J$155)))/2+1)&gt;0)*1))</f>
        <v/>
      </c>
    </row>
    <row r="467">
      <c r="A467">
        <f>IF(AND(Оплаты!$E$459="ок",COUNTIFS(Акты!$B$5:$B$16,Оплаты!$D$459,Акты!$H$5:$H$16,"ок")&gt;0,COUNTIFS(Оплаты!$D$6:$D$458,Оплаты!$D$459,Оплаты!$A$6:$A$458,Оплаты!$A$459)=0),Оплаты!$D$459,"")</f>
        <v/>
      </c>
      <c r="B467">
        <f>IF(A467="","",MATCH(A467,Акты!$B$5:$B$16,0))</f>
        <v/>
      </c>
      <c r="C467" s="20">
        <f>IF(A467="","",Оплаты!$A$459+1)</f>
        <v/>
      </c>
      <c r="D467" s="20">
        <f>IF(A467="","",MIN(Ввод!$B$4,Ввод!$B$4+1-SUMPRODUCT(MAX((Оплаты!$D$6:$D$505=A467)*(Оплаты!$A$6:$A$505&gt;Оплаты!$A$459)*(Ввод!$B$4+1-Оплаты!$A$6:$A$505)))))</f>
        <v/>
      </c>
      <c r="E467" s="14">
        <f>IF(A467="","",INDEX(Акты!$D$5:$D$16,B467)-SUMIFS(Оплаты!$B$6:$B$505,Оплаты!$D$6:$D$505,A467,Оплаты!$A$6:$A$505,"&lt;="&amp;Оплаты!$A$459))</f>
        <v/>
      </c>
      <c r="F467" s="14">
        <f>IF(G467="","",SUMPRODUCT(ROUND(E467*'По дням'!$L$6:$L$155/100*((((D467+'По дням'!$K$6:$K$155-ABS(D467-'По дням'!$K$6:$K$155))-(C467+'По дням'!$J$6:$J$155+ABS(C467-'По дням'!$J$6:$J$155)))/2+1)&gt;0)*(((D467+'По дням'!$K$6:$K$155-ABS(D467-'По дням'!$K$6:$K$155))-(C467+'По дням'!$J$6:$J$155+ABS(C467-'По дням'!$J$6:$J$155)))/2+1)/'По дням'!$M$6:$M$155,2)*(1-'По дням'!$N$6:$N$155)))</f>
        <v/>
      </c>
      <c r="G467">
        <f>IF(A467="","",IF(C467&gt;D467,"",B467*1000000+C467))</f>
        <v/>
      </c>
      <c r="H467" s="14">
        <f>IF(G467="","",SUMIFS(Оплаты!$B$6:$B$505,Оплаты!$D$6:$D$505,A467,Оплаты!$A$6:$A$505,D467))</f>
        <v/>
      </c>
      <c r="I467">
        <f>IF(G467="","",SUMPRODUCT((((((D467+'По дням'!$K$6:$K$155-ABS(D467-'По дням'!$K$6:$K$155))-(C467+'По дням'!$J$6:$J$155+ABS(C467-'По дням'!$J$6:$J$155)))/2+1)&gt;0)*(((D467+'По дням'!$K$6:$K$155-ABS(D467-'По дням'!$K$6:$K$155))-(C467+'По дням'!$J$6:$J$155+ABS(C467-'По дням'!$J$6:$J$155)))/2+1)&gt;0)*1))</f>
        <v/>
      </c>
    </row>
    <row r="468">
      <c r="A468">
        <f>IF(AND(Оплаты!$E$460="ок",COUNTIFS(Акты!$B$5:$B$16,Оплаты!$D$460,Акты!$H$5:$H$16,"ок")&gt;0,COUNTIFS(Оплаты!$D$6:$D$459,Оплаты!$D$460,Оплаты!$A$6:$A$459,Оплаты!$A$460)=0),Оплаты!$D$460,"")</f>
        <v/>
      </c>
      <c r="B468">
        <f>IF(A468="","",MATCH(A468,Акты!$B$5:$B$16,0))</f>
        <v/>
      </c>
      <c r="C468" s="20">
        <f>IF(A468="","",Оплаты!$A$460+1)</f>
        <v/>
      </c>
      <c r="D468" s="20">
        <f>IF(A468="","",MIN(Ввод!$B$4,Ввод!$B$4+1-SUMPRODUCT(MAX((Оплаты!$D$6:$D$505=A468)*(Оплаты!$A$6:$A$505&gt;Оплаты!$A$460)*(Ввод!$B$4+1-Оплаты!$A$6:$A$505)))))</f>
        <v/>
      </c>
      <c r="E468" s="14">
        <f>IF(A468="","",INDEX(Акты!$D$5:$D$16,B468)-SUMIFS(Оплаты!$B$6:$B$505,Оплаты!$D$6:$D$505,A468,Оплаты!$A$6:$A$505,"&lt;="&amp;Оплаты!$A$460))</f>
        <v/>
      </c>
      <c r="F468" s="14">
        <f>IF(G468="","",SUMPRODUCT(ROUND(E468*'По дням'!$L$6:$L$155/100*((((D468+'По дням'!$K$6:$K$155-ABS(D468-'По дням'!$K$6:$K$155))-(C468+'По дням'!$J$6:$J$155+ABS(C468-'По дням'!$J$6:$J$155)))/2+1)&gt;0)*(((D468+'По дням'!$K$6:$K$155-ABS(D468-'По дням'!$K$6:$K$155))-(C468+'По дням'!$J$6:$J$155+ABS(C468-'По дням'!$J$6:$J$155)))/2+1)/'По дням'!$M$6:$M$155,2)*(1-'По дням'!$N$6:$N$155)))</f>
        <v/>
      </c>
      <c r="G468">
        <f>IF(A468="","",IF(C468&gt;D468,"",B468*1000000+C468))</f>
        <v/>
      </c>
      <c r="H468" s="14">
        <f>IF(G468="","",SUMIFS(Оплаты!$B$6:$B$505,Оплаты!$D$6:$D$505,A468,Оплаты!$A$6:$A$505,D468))</f>
        <v/>
      </c>
      <c r="I468">
        <f>IF(G468="","",SUMPRODUCT((((((D468+'По дням'!$K$6:$K$155-ABS(D468-'По дням'!$K$6:$K$155))-(C468+'По дням'!$J$6:$J$155+ABS(C468-'По дням'!$J$6:$J$155)))/2+1)&gt;0)*(((D468+'По дням'!$K$6:$K$155-ABS(D468-'По дням'!$K$6:$K$155))-(C468+'По дням'!$J$6:$J$155+ABS(C468-'По дням'!$J$6:$J$155)))/2+1)&gt;0)*1))</f>
        <v/>
      </c>
    </row>
    <row r="469">
      <c r="A469">
        <f>IF(AND(Оплаты!$E$461="ок",COUNTIFS(Акты!$B$5:$B$16,Оплаты!$D$461,Акты!$H$5:$H$16,"ок")&gt;0,COUNTIFS(Оплаты!$D$6:$D$460,Оплаты!$D$461,Оплаты!$A$6:$A$460,Оплаты!$A$461)=0),Оплаты!$D$461,"")</f>
        <v/>
      </c>
      <c r="B469">
        <f>IF(A469="","",MATCH(A469,Акты!$B$5:$B$16,0))</f>
        <v/>
      </c>
      <c r="C469" s="20">
        <f>IF(A469="","",Оплаты!$A$461+1)</f>
        <v/>
      </c>
      <c r="D469" s="20">
        <f>IF(A469="","",MIN(Ввод!$B$4,Ввод!$B$4+1-SUMPRODUCT(MAX((Оплаты!$D$6:$D$505=A469)*(Оплаты!$A$6:$A$505&gt;Оплаты!$A$461)*(Ввод!$B$4+1-Оплаты!$A$6:$A$505)))))</f>
        <v/>
      </c>
      <c r="E469" s="14">
        <f>IF(A469="","",INDEX(Акты!$D$5:$D$16,B469)-SUMIFS(Оплаты!$B$6:$B$505,Оплаты!$D$6:$D$505,A469,Оплаты!$A$6:$A$505,"&lt;="&amp;Оплаты!$A$461))</f>
        <v/>
      </c>
      <c r="F469" s="14">
        <f>IF(G469="","",SUMPRODUCT(ROUND(E469*'По дням'!$L$6:$L$155/100*((((D469+'По дням'!$K$6:$K$155-ABS(D469-'По дням'!$K$6:$K$155))-(C469+'По дням'!$J$6:$J$155+ABS(C469-'По дням'!$J$6:$J$155)))/2+1)&gt;0)*(((D469+'По дням'!$K$6:$K$155-ABS(D469-'По дням'!$K$6:$K$155))-(C469+'По дням'!$J$6:$J$155+ABS(C469-'По дням'!$J$6:$J$155)))/2+1)/'По дням'!$M$6:$M$155,2)*(1-'По дням'!$N$6:$N$155)))</f>
        <v/>
      </c>
      <c r="G469">
        <f>IF(A469="","",IF(C469&gt;D469,"",B469*1000000+C469))</f>
        <v/>
      </c>
      <c r="H469" s="14">
        <f>IF(G469="","",SUMIFS(Оплаты!$B$6:$B$505,Оплаты!$D$6:$D$505,A469,Оплаты!$A$6:$A$505,D469))</f>
        <v/>
      </c>
      <c r="I469">
        <f>IF(G469="","",SUMPRODUCT((((((D469+'По дням'!$K$6:$K$155-ABS(D469-'По дням'!$K$6:$K$155))-(C469+'По дням'!$J$6:$J$155+ABS(C469-'По дням'!$J$6:$J$155)))/2+1)&gt;0)*(((D469+'По дням'!$K$6:$K$155-ABS(D469-'По дням'!$K$6:$K$155))-(C469+'По дням'!$J$6:$J$155+ABS(C469-'По дням'!$J$6:$J$155)))/2+1)&gt;0)*1))</f>
        <v/>
      </c>
    </row>
    <row r="470">
      <c r="A470">
        <f>IF(AND(Оплаты!$E$462="ок",COUNTIFS(Акты!$B$5:$B$16,Оплаты!$D$462,Акты!$H$5:$H$16,"ок")&gt;0,COUNTIFS(Оплаты!$D$6:$D$461,Оплаты!$D$462,Оплаты!$A$6:$A$461,Оплаты!$A$462)=0),Оплаты!$D$462,"")</f>
        <v/>
      </c>
      <c r="B470">
        <f>IF(A470="","",MATCH(A470,Акты!$B$5:$B$16,0))</f>
        <v/>
      </c>
      <c r="C470" s="20">
        <f>IF(A470="","",Оплаты!$A$462+1)</f>
        <v/>
      </c>
      <c r="D470" s="20">
        <f>IF(A470="","",MIN(Ввод!$B$4,Ввод!$B$4+1-SUMPRODUCT(MAX((Оплаты!$D$6:$D$505=A470)*(Оплаты!$A$6:$A$505&gt;Оплаты!$A$462)*(Ввод!$B$4+1-Оплаты!$A$6:$A$505)))))</f>
        <v/>
      </c>
      <c r="E470" s="14">
        <f>IF(A470="","",INDEX(Акты!$D$5:$D$16,B470)-SUMIFS(Оплаты!$B$6:$B$505,Оплаты!$D$6:$D$505,A470,Оплаты!$A$6:$A$505,"&lt;="&amp;Оплаты!$A$462))</f>
        <v/>
      </c>
      <c r="F470" s="14">
        <f>IF(G470="","",SUMPRODUCT(ROUND(E470*'По дням'!$L$6:$L$155/100*((((D470+'По дням'!$K$6:$K$155-ABS(D470-'По дням'!$K$6:$K$155))-(C470+'По дням'!$J$6:$J$155+ABS(C470-'По дням'!$J$6:$J$155)))/2+1)&gt;0)*(((D470+'По дням'!$K$6:$K$155-ABS(D470-'По дням'!$K$6:$K$155))-(C470+'По дням'!$J$6:$J$155+ABS(C470-'По дням'!$J$6:$J$155)))/2+1)/'По дням'!$M$6:$M$155,2)*(1-'По дням'!$N$6:$N$155)))</f>
        <v/>
      </c>
      <c r="G470">
        <f>IF(A470="","",IF(C470&gt;D470,"",B470*1000000+C470))</f>
        <v/>
      </c>
      <c r="H470" s="14">
        <f>IF(G470="","",SUMIFS(Оплаты!$B$6:$B$505,Оплаты!$D$6:$D$505,A470,Оплаты!$A$6:$A$505,D470))</f>
        <v/>
      </c>
      <c r="I470">
        <f>IF(G470="","",SUMPRODUCT((((((D470+'По дням'!$K$6:$K$155-ABS(D470-'По дням'!$K$6:$K$155))-(C470+'По дням'!$J$6:$J$155+ABS(C470-'По дням'!$J$6:$J$155)))/2+1)&gt;0)*(((D470+'По дням'!$K$6:$K$155-ABS(D470-'По дням'!$K$6:$K$155))-(C470+'По дням'!$J$6:$J$155+ABS(C470-'По дням'!$J$6:$J$155)))/2+1)&gt;0)*1))</f>
        <v/>
      </c>
    </row>
    <row r="471">
      <c r="A471">
        <f>IF(AND(Оплаты!$E$463="ок",COUNTIFS(Акты!$B$5:$B$16,Оплаты!$D$463,Акты!$H$5:$H$16,"ок")&gt;0,COUNTIFS(Оплаты!$D$6:$D$462,Оплаты!$D$463,Оплаты!$A$6:$A$462,Оплаты!$A$463)=0),Оплаты!$D$463,"")</f>
        <v/>
      </c>
      <c r="B471">
        <f>IF(A471="","",MATCH(A471,Акты!$B$5:$B$16,0))</f>
        <v/>
      </c>
      <c r="C471" s="20">
        <f>IF(A471="","",Оплаты!$A$463+1)</f>
        <v/>
      </c>
      <c r="D471" s="20">
        <f>IF(A471="","",MIN(Ввод!$B$4,Ввод!$B$4+1-SUMPRODUCT(MAX((Оплаты!$D$6:$D$505=A471)*(Оплаты!$A$6:$A$505&gt;Оплаты!$A$463)*(Ввод!$B$4+1-Оплаты!$A$6:$A$505)))))</f>
        <v/>
      </c>
      <c r="E471" s="14">
        <f>IF(A471="","",INDEX(Акты!$D$5:$D$16,B471)-SUMIFS(Оплаты!$B$6:$B$505,Оплаты!$D$6:$D$505,A471,Оплаты!$A$6:$A$505,"&lt;="&amp;Оплаты!$A$463))</f>
        <v/>
      </c>
      <c r="F471" s="14">
        <f>IF(G471="","",SUMPRODUCT(ROUND(E471*'По дням'!$L$6:$L$155/100*((((D471+'По дням'!$K$6:$K$155-ABS(D471-'По дням'!$K$6:$K$155))-(C471+'По дням'!$J$6:$J$155+ABS(C471-'По дням'!$J$6:$J$155)))/2+1)&gt;0)*(((D471+'По дням'!$K$6:$K$155-ABS(D471-'По дням'!$K$6:$K$155))-(C471+'По дням'!$J$6:$J$155+ABS(C471-'По дням'!$J$6:$J$155)))/2+1)/'По дням'!$M$6:$M$155,2)*(1-'По дням'!$N$6:$N$155)))</f>
        <v/>
      </c>
      <c r="G471">
        <f>IF(A471="","",IF(C471&gt;D471,"",B471*1000000+C471))</f>
        <v/>
      </c>
      <c r="H471" s="14">
        <f>IF(G471="","",SUMIFS(Оплаты!$B$6:$B$505,Оплаты!$D$6:$D$505,A471,Оплаты!$A$6:$A$505,D471))</f>
        <v/>
      </c>
      <c r="I471">
        <f>IF(G471="","",SUMPRODUCT((((((D471+'По дням'!$K$6:$K$155-ABS(D471-'По дням'!$K$6:$K$155))-(C471+'По дням'!$J$6:$J$155+ABS(C471-'По дням'!$J$6:$J$155)))/2+1)&gt;0)*(((D471+'По дням'!$K$6:$K$155-ABS(D471-'По дням'!$K$6:$K$155))-(C471+'По дням'!$J$6:$J$155+ABS(C471-'По дням'!$J$6:$J$155)))/2+1)&gt;0)*1))</f>
        <v/>
      </c>
    </row>
    <row r="472">
      <c r="A472">
        <f>IF(AND(Оплаты!$E$464="ок",COUNTIFS(Акты!$B$5:$B$16,Оплаты!$D$464,Акты!$H$5:$H$16,"ок")&gt;0,COUNTIFS(Оплаты!$D$6:$D$463,Оплаты!$D$464,Оплаты!$A$6:$A$463,Оплаты!$A$464)=0),Оплаты!$D$464,"")</f>
        <v/>
      </c>
      <c r="B472">
        <f>IF(A472="","",MATCH(A472,Акты!$B$5:$B$16,0))</f>
        <v/>
      </c>
      <c r="C472" s="20">
        <f>IF(A472="","",Оплаты!$A$464+1)</f>
        <v/>
      </c>
      <c r="D472" s="20">
        <f>IF(A472="","",MIN(Ввод!$B$4,Ввод!$B$4+1-SUMPRODUCT(MAX((Оплаты!$D$6:$D$505=A472)*(Оплаты!$A$6:$A$505&gt;Оплаты!$A$464)*(Ввод!$B$4+1-Оплаты!$A$6:$A$505)))))</f>
        <v/>
      </c>
      <c r="E472" s="14">
        <f>IF(A472="","",INDEX(Акты!$D$5:$D$16,B472)-SUMIFS(Оплаты!$B$6:$B$505,Оплаты!$D$6:$D$505,A472,Оплаты!$A$6:$A$505,"&lt;="&amp;Оплаты!$A$464))</f>
        <v/>
      </c>
      <c r="F472" s="14">
        <f>IF(G472="","",SUMPRODUCT(ROUND(E472*'По дням'!$L$6:$L$155/100*((((D472+'По дням'!$K$6:$K$155-ABS(D472-'По дням'!$K$6:$K$155))-(C472+'По дням'!$J$6:$J$155+ABS(C472-'По дням'!$J$6:$J$155)))/2+1)&gt;0)*(((D472+'По дням'!$K$6:$K$155-ABS(D472-'По дням'!$K$6:$K$155))-(C472+'По дням'!$J$6:$J$155+ABS(C472-'По дням'!$J$6:$J$155)))/2+1)/'По дням'!$M$6:$M$155,2)*(1-'По дням'!$N$6:$N$155)))</f>
        <v/>
      </c>
      <c r="G472">
        <f>IF(A472="","",IF(C472&gt;D472,"",B472*1000000+C472))</f>
        <v/>
      </c>
      <c r="H472" s="14">
        <f>IF(G472="","",SUMIFS(Оплаты!$B$6:$B$505,Оплаты!$D$6:$D$505,A472,Оплаты!$A$6:$A$505,D472))</f>
        <v/>
      </c>
      <c r="I472">
        <f>IF(G472="","",SUMPRODUCT((((((D472+'По дням'!$K$6:$K$155-ABS(D472-'По дням'!$K$6:$K$155))-(C472+'По дням'!$J$6:$J$155+ABS(C472-'По дням'!$J$6:$J$155)))/2+1)&gt;0)*(((D472+'По дням'!$K$6:$K$155-ABS(D472-'По дням'!$K$6:$K$155))-(C472+'По дням'!$J$6:$J$155+ABS(C472-'По дням'!$J$6:$J$155)))/2+1)&gt;0)*1))</f>
        <v/>
      </c>
    </row>
    <row r="473">
      <c r="A473">
        <f>IF(AND(Оплаты!$E$465="ок",COUNTIFS(Акты!$B$5:$B$16,Оплаты!$D$465,Акты!$H$5:$H$16,"ок")&gt;0,COUNTIFS(Оплаты!$D$6:$D$464,Оплаты!$D$465,Оплаты!$A$6:$A$464,Оплаты!$A$465)=0),Оплаты!$D$465,"")</f>
        <v/>
      </c>
      <c r="B473">
        <f>IF(A473="","",MATCH(A473,Акты!$B$5:$B$16,0))</f>
        <v/>
      </c>
      <c r="C473" s="20">
        <f>IF(A473="","",Оплаты!$A$465+1)</f>
        <v/>
      </c>
      <c r="D473" s="20">
        <f>IF(A473="","",MIN(Ввод!$B$4,Ввод!$B$4+1-SUMPRODUCT(MAX((Оплаты!$D$6:$D$505=A473)*(Оплаты!$A$6:$A$505&gt;Оплаты!$A$465)*(Ввод!$B$4+1-Оплаты!$A$6:$A$505)))))</f>
        <v/>
      </c>
      <c r="E473" s="14">
        <f>IF(A473="","",INDEX(Акты!$D$5:$D$16,B473)-SUMIFS(Оплаты!$B$6:$B$505,Оплаты!$D$6:$D$505,A473,Оплаты!$A$6:$A$505,"&lt;="&amp;Оплаты!$A$465))</f>
        <v/>
      </c>
      <c r="F473" s="14">
        <f>IF(G473="","",SUMPRODUCT(ROUND(E473*'По дням'!$L$6:$L$155/100*((((D473+'По дням'!$K$6:$K$155-ABS(D473-'По дням'!$K$6:$K$155))-(C473+'По дням'!$J$6:$J$155+ABS(C473-'По дням'!$J$6:$J$155)))/2+1)&gt;0)*(((D473+'По дням'!$K$6:$K$155-ABS(D473-'По дням'!$K$6:$K$155))-(C473+'По дням'!$J$6:$J$155+ABS(C473-'По дням'!$J$6:$J$155)))/2+1)/'По дням'!$M$6:$M$155,2)*(1-'По дням'!$N$6:$N$155)))</f>
        <v/>
      </c>
      <c r="G473">
        <f>IF(A473="","",IF(C473&gt;D473,"",B473*1000000+C473))</f>
        <v/>
      </c>
      <c r="H473" s="14">
        <f>IF(G473="","",SUMIFS(Оплаты!$B$6:$B$505,Оплаты!$D$6:$D$505,A473,Оплаты!$A$6:$A$505,D473))</f>
        <v/>
      </c>
      <c r="I473">
        <f>IF(G473="","",SUMPRODUCT((((((D473+'По дням'!$K$6:$K$155-ABS(D473-'По дням'!$K$6:$K$155))-(C473+'По дням'!$J$6:$J$155+ABS(C473-'По дням'!$J$6:$J$155)))/2+1)&gt;0)*(((D473+'По дням'!$K$6:$K$155-ABS(D473-'По дням'!$K$6:$K$155))-(C473+'По дням'!$J$6:$J$155+ABS(C473-'По дням'!$J$6:$J$155)))/2+1)&gt;0)*1))</f>
        <v/>
      </c>
    </row>
    <row r="474">
      <c r="A474">
        <f>IF(AND(Оплаты!$E$466="ок",COUNTIFS(Акты!$B$5:$B$16,Оплаты!$D$466,Акты!$H$5:$H$16,"ок")&gt;0,COUNTIFS(Оплаты!$D$6:$D$465,Оплаты!$D$466,Оплаты!$A$6:$A$465,Оплаты!$A$466)=0),Оплаты!$D$466,"")</f>
        <v/>
      </c>
      <c r="B474">
        <f>IF(A474="","",MATCH(A474,Акты!$B$5:$B$16,0))</f>
        <v/>
      </c>
      <c r="C474" s="20">
        <f>IF(A474="","",Оплаты!$A$466+1)</f>
        <v/>
      </c>
      <c r="D474" s="20">
        <f>IF(A474="","",MIN(Ввод!$B$4,Ввод!$B$4+1-SUMPRODUCT(MAX((Оплаты!$D$6:$D$505=A474)*(Оплаты!$A$6:$A$505&gt;Оплаты!$A$466)*(Ввод!$B$4+1-Оплаты!$A$6:$A$505)))))</f>
        <v/>
      </c>
      <c r="E474" s="14">
        <f>IF(A474="","",INDEX(Акты!$D$5:$D$16,B474)-SUMIFS(Оплаты!$B$6:$B$505,Оплаты!$D$6:$D$505,A474,Оплаты!$A$6:$A$505,"&lt;="&amp;Оплаты!$A$466))</f>
        <v/>
      </c>
      <c r="F474" s="14">
        <f>IF(G474="","",SUMPRODUCT(ROUND(E474*'По дням'!$L$6:$L$155/100*((((D474+'По дням'!$K$6:$K$155-ABS(D474-'По дням'!$K$6:$K$155))-(C474+'По дням'!$J$6:$J$155+ABS(C474-'По дням'!$J$6:$J$155)))/2+1)&gt;0)*(((D474+'По дням'!$K$6:$K$155-ABS(D474-'По дням'!$K$6:$K$155))-(C474+'По дням'!$J$6:$J$155+ABS(C474-'По дням'!$J$6:$J$155)))/2+1)/'По дням'!$M$6:$M$155,2)*(1-'По дням'!$N$6:$N$155)))</f>
        <v/>
      </c>
      <c r="G474">
        <f>IF(A474="","",IF(C474&gt;D474,"",B474*1000000+C474))</f>
        <v/>
      </c>
      <c r="H474" s="14">
        <f>IF(G474="","",SUMIFS(Оплаты!$B$6:$B$505,Оплаты!$D$6:$D$505,A474,Оплаты!$A$6:$A$505,D474))</f>
        <v/>
      </c>
      <c r="I474">
        <f>IF(G474="","",SUMPRODUCT((((((D474+'По дням'!$K$6:$K$155-ABS(D474-'По дням'!$K$6:$K$155))-(C474+'По дням'!$J$6:$J$155+ABS(C474-'По дням'!$J$6:$J$155)))/2+1)&gt;0)*(((D474+'По дням'!$K$6:$K$155-ABS(D474-'По дням'!$K$6:$K$155))-(C474+'По дням'!$J$6:$J$155+ABS(C474-'По дням'!$J$6:$J$155)))/2+1)&gt;0)*1))</f>
        <v/>
      </c>
    </row>
    <row r="475">
      <c r="A475">
        <f>IF(AND(Оплаты!$E$467="ок",COUNTIFS(Акты!$B$5:$B$16,Оплаты!$D$467,Акты!$H$5:$H$16,"ок")&gt;0,COUNTIFS(Оплаты!$D$6:$D$466,Оплаты!$D$467,Оплаты!$A$6:$A$466,Оплаты!$A$467)=0),Оплаты!$D$467,"")</f>
        <v/>
      </c>
      <c r="B475">
        <f>IF(A475="","",MATCH(A475,Акты!$B$5:$B$16,0))</f>
        <v/>
      </c>
      <c r="C475" s="20">
        <f>IF(A475="","",Оплаты!$A$467+1)</f>
        <v/>
      </c>
      <c r="D475" s="20">
        <f>IF(A475="","",MIN(Ввод!$B$4,Ввод!$B$4+1-SUMPRODUCT(MAX((Оплаты!$D$6:$D$505=A475)*(Оплаты!$A$6:$A$505&gt;Оплаты!$A$467)*(Ввод!$B$4+1-Оплаты!$A$6:$A$505)))))</f>
        <v/>
      </c>
      <c r="E475" s="14">
        <f>IF(A475="","",INDEX(Акты!$D$5:$D$16,B475)-SUMIFS(Оплаты!$B$6:$B$505,Оплаты!$D$6:$D$505,A475,Оплаты!$A$6:$A$505,"&lt;="&amp;Оплаты!$A$467))</f>
        <v/>
      </c>
      <c r="F475" s="14">
        <f>IF(G475="","",SUMPRODUCT(ROUND(E475*'По дням'!$L$6:$L$155/100*((((D475+'По дням'!$K$6:$K$155-ABS(D475-'По дням'!$K$6:$K$155))-(C475+'По дням'!$J$6:$J$155+ABS(C475-'По дням'!$J$6:$J$155)))/2+1)&gt;0)*(((D475+'По дням'!$K$6:$K$155-ABS(D475-'По дням'!$K$6:$K$155))-(C475+'По дням'!$J$6:$J$155+ABS(C475-'По дням'!$J$6:$J$155)))/2+1)/'По дням'!$M$6:$M$155,2)*(1-'По дням'!$N$6:$N$155)))</f>
        <v/>
      </c>
      <c r="G475">
        <f>IF(A475="","",IF(C475&gt;D475,"",B475*1000000+C475))</f>
        <v/>
      </c>
      <c r="H475" s="14">
        <f>IF(G475="","",SUMIFS(Оплаты!$B$6:$B$505,Оплаты!$D$6:$D$505,A475,Оплаты!$A$6:$A$505,D475))</f>
        <v/>
      </c>
      <c r="I475">
        <f>IF(G475="","",SUMPRODUCT((((((D475+'По дням'!$K$6:$K$155-ABS(D475-'По дням'!$K$6:$K$155))-(C475+'По дням'!$J$6:$J$155+ABS(C475-'По дням'!$J$6:$J$155)))/2+1)&gt;0)*(((D475+'По дням'!$K$6:$K$155-ABS(D475-'По дням'!$K$6:$K$155))-(C475+'По дням'!$J$6:$J$155+ABS(C475-'По дням'!$J$6:$J$155)))/2+1)&gt;0)*1))</f>
        <v/>
      </c>
    </row>
    <row r="476">
      <c r="A476">
        <f>IF(AND(Оплаты!$E$468="ок",COUNTIFS(Акты!$B$5:$B$16,Оплаты!$D$468,Акты!$H$5:$H$16,"ок")&gt;0,COUNTIFS(Оплаты!$D$6:$D$467,Оплаты!$D$468,Оплаты!$A$6:$A$467,Оплаты!$A$468)=0),Оплаты!$D$468,"")</f>
        <v/>
      </c>
      <c r="B476">
        <f>IF(A476="","",MATCH(A476,Акты!$B$5:$B$16,0))</f>
        <v/>
      </c>
      <c r="C476" s="20">
        <f>IF(A476="","",Оплаты!$A$468+1)</f>
        <v/>
      </c>
      <c r="D476" s="20">
        <f>IF(A476="","",MIN(Ввод!$B$4,Ввод!$B$4+1-SUMPRODUCT(MAX((Оплаты!$D$6:$D$505=A476)*(Оплаты!$A$6:$A$505&gt;Оплаты!$A$468)*(Ввод!$B$4+1-Оплаты!$A$6:$A$505)))))</f>
        <v/>
      </c>
      <c r="E476" s="14">
        <f>IF(A476="","",INDEX(Акты!$D$5:$D$16,B476)-SUMIFS(Оплаты!$B$6:$B$505,Оплаты!$D$6:$D$505,A476,Оплаты!$A$6:$A$505,"&lt;="&amp;Оплаты!$A$468))</f>
        <v/>
      </c>
      <c r="F476" s="14">
        <f>IF(G476="","",SUMPRODUCT(ROUND(E476*'По дням'!$L$6:$L$155/100*((((D476+'По дням'!$K$6:$K$155-ABS(D476-'По дням'!$K$6:$K$155))-(C476+'По дням'!$J$6:$J$155+ABS(C476-'По дням'!$J$6:$J$155)))/2+1)&gt;0)*(((D476+'По дням'!$K$6:$K$155-ABS(D476-'По дням'!$K$6:$K$155))-(C476+'По дням'!$J$6:$J$155+ABS(C476-'По дням'!$J$6:$J$155)))/2+1)/'По дням'!$M$6:$M$155,2)*(1-'По дням'!$N$6:$N$155)))</f>
        <v/>
      </c>
      <c r="G476">
        <f>IF(A476="","",IF(C476&gt;D476,"",B476*1000000+C476))</f>
        <v/>
      </c>
      <c r="H476" s="14">
        <f>IF(G476="","",SUMIFS(Оплаты!$B$6:$B$505,Оплаты!$D$6:$D$505,A476,Оплаты!$A$6:$A$505,D476))</f>
        <v/>
      </c>
      <c r="I476">
        <f>IF(G476="","",SUMPRODUCT((((((D476+'По дням'!$K$6:$K$155-ABS(D476-'По дням'!$K$6:$K$155))-(C476+'По дням'!$J$6:$J$155+ABS(C476-'По дням'!$J$6:$J$155)))/2+1)&gt;0)*(((D476+'По дням'!$K$6:$K$155-ABS(D476-'По дням'!$K$6:$K$155))-(C476+'По дням'!$J$6:$J$155+ABS(C476-'По дням'!$J$6:$J$155)))/2+1)&gt;0)*1))</f>
        <v/>
      </c>
    </row>
    <row r="477">
      <c r="A477">
        <f>IF(AND(Оплаты!$E$469="ок",COUNTIFS(Акты!$B$5:$B$16,Оплаты!$D$469,Акты!$H$5:$H$16,"ок")&gt;0,COUNTIFS(Оплаты!$D$6:$D$468,Оплаты!$D$469,Оплаты!$A$6:$A$468,Оплаты!$A$469)=0),Оплаты!$D$469,"")</f>
        <v/>
      </c>
      <c r="B477">
        <f>IF(A477="","",MATCH(A477,Акты!$B$5:$B$16,0))</f>
        <v/>
      </c>
      <c r="C477" s="20">
        <f>IF(A477="","",Оплаты!$A$469+1)</f>
        <v/>
      </c>
      <c r="D477" s="20">
        <f>IF(A477="","",MIN(Ввод!$B$4,Ввод!$B$4+1-SUMPRODUCT(MAX((Оплаты!$D$6:$D$505=A477)*(Оплаты!$A$6:$A$505&gt;Оплаты!$A$469)*(Ввод!$B$4+1-Оплаты!$A$6:$A$505)))))</f>
        <v/>
      </c>
      <c r="E477" s="14">
        <f>IF(A477="","",INDEX(Акты!$D$5:$D$16,B477)-SUMIFS(Оплаты!$B$6:$B$505,Оплаты!$D$6:$D$505,A477,Оплаты!$A$6:$A$505,"&lt;="&amp;Оплаты!$A$469))</f>
        <v/>
      </c>
      <c r="F477" s="14">
        <f>IF(G477="","",SUMPRODUCT(ROUND(E477*'По дням'!$L$6:$L$155/100*((((D477+'По дням'!$K$6:$K$155-ABS(D477-'По дням'!$K$6:$K$155))-(C477+'По дням'!$J$6:$J$155+ABS(C477-'По дням'!$J$6:$J$155)))/2+1)&gt;0)*(((D477+'По дням'!$K$6:$K$155-ABS(D477-'По дням'!$K$6:$K$155))-(C477+'По дням'!$J$6:$J$155+ABS(C477-'По дням'!$J$6:$J$155)))/2+1)/'По дням'!$M$6:$M$155,2)*(1-'По дням'!$N$6:$N$155)))</f>
        <v/>
      </c>
      <c r="G477">
        <f>IF(A477="","",IF(C477&gt;D477,"",B477*1000000+C477))</f>
        <v/>
      </c>
      <c r="H477" s="14">
        <f>IF(G477="","",SUMIFS(Оплаты!$B$6:$B$505,Оплаты!$D$6:$D$505,A477,Оплаты!$A$6:$A$505,D477))</f>
        <v/>
      </c>
      <c r="I477">
        <f>IF(G477="","",SUMPRODUCT((((((D477+'По дням'!$K$6:$K$155-ABS(D477-'По дням'!$K$6:$K$155))-(C477+'По дням'!$J$6:$J$155+ABS(C477-'По дням'!$J$6:$J$155)))/2+1)&gt;0)*(((D477+'По дням'!$K$6:$K$155-ABS(D477-'По дням'!$K$6:$K$155))-(C477+'По дням'!$J$6:$J$155+ABS(C477-'По дням'!$J$6:$J$155)))/2+1)&gt;0)*1))</f>
        <v/>
      </c>
    </row>
    <row r="478">
      <c r="A478">
        <f>IF(AND(Оплаты!$E$470="ок",COUNTIFS(Акты!$B$5:$B$16,Оплаты!$D$470,Акты!$H$5:$H$16,"ок")&gt;0,COUNTIFS(Оплаты!$D$6:$D$469,Оплаты!$D$470,Оплаты!$A$6:$A$469,Оплаты!$A$470)=0),Оплаты!$D$470,"")</f>
        <v/>
      </c>
      <c r="B478">
        <f>IF(A478="","",MATCH(A478,Акты!$B$5:$B$16,0))</f>
        <v/>
      </c>
      <c r="C478" s="20">
        <f>IF(A478="","",Оплаты!$A$470+1)</f>
        <v/>
      </c>
      <c r="D478" s="20">
        <f>IF(A478="","",MIN(Ввод!$B$4,Ввод!$B$4+1-SUMPRODUCT(MAX((Оплаты!$D$6:$D$505=A478)*(Оплаты!$A$6:$A$505&gt;Оплаты!$A$470)*(Ввод!$B$4+1-Оплаты!$A$6:$A$505)))))</f>
        <v/>
      </c>
      <c r="E478" s="14">
        <f>IF(A478="","",INDEX(Акты!$D$5:$D$16,B478)-SUMIFS(Оплаты!$B$6:$B$505,Оплаты!$D$6:$D$505,A478,Оплаты!$A$6:$A$505,"&lt;="&amp;Оплаты!$A$470))</f>
        <v/>
      </c>
      <c r="F478" s="14">
        <f>IF(G478="","",SUMPRODUCT(ROUND(E478*'По дням'!$L$6:$L$155/100*((((D478+'По дням'!$K$6:$K$155-ABS(D478-'По дням'!$K$6:$K$155))-(C478+'По дням'!$J$6:$J$155+ABS(C478-'По дням'!$J$6:$J$155)))/2+1)&gt;0)*(((D478+'По дням'!$K$6:$K$155-ABS(D478-'По дням'!$K$6:$K$155))-(C478+'По дням'!$J$6:$J$155+ABS(C478-'По дням'!$J$6:$J$155)))/2+1)/'По дням'!$M$6:$M$155,2)*(1-'По дням'!$N$6:$N$155)))</f>
        <v/>
      </c>
      <c r="G478">
        <f>IF(A478="","",IF(C478&gt;D478,"",B478*1000000+C478))</f>
        <v/>
      </c>
      <c r="H478" s="14">
        <f>IF(G478="","",SUMIFS(Оплаты!$B$6:$B$505,Оплаты!$D$6:$D$505,A478,Оплаты!$A$6:$A$505,D478))</f>
        <v/>
      </c>
      <c r="I478">
        <f>IF(G478="","",SUMPRODUCT((((((D478+'По дням'!$K$6:$K$155-ABS(D478-'По дням'!$K$6:$K$155))-(C478+'По дням'!$J$6:$J$155+ABS(C478-'По дням'!$J$6:$J$155)))/2+1)&gt;0)*(((D478+'По дням'!$K$6:$K$155-ABS(D478-'По дням'!$K$6:$K$155))-(C478+'По дням'!$J$6:$J$155+ABS(C478-'По дням'!$J$6:$J$155)))/2+1)&gt;0)*1))</f>
        <v/>
      </c>
    </row>
    <row r="479">
      <c r="A479">
        <f>IF(AND(Оплаты!$E$471="ок",COUNTIFS(Акты!$B$5:$B$16,Оплаты!$D$471,Акты!$H$5:$H$16,"ок")&gt;0,COUNTIFS(Оплаты!$D$6:$D$470,Оплаты!$D$471,Оплаты!$A$6:$A$470,Оплаты!$A$471)=0),Оплаты!$D$471,"")</f>
        <v/>
      </c>
      <c r="B479">
        <f>IF(A479="","",MATCH(A479,Акты!$B$5:$B$16,0))</f>
        <v/>
      </c>
      <c r="C479" s="20">
        <f>IF(A479="","",Оплаты!$A$471+1)</f>
        <v/>
      </c>
      <c r="D479" s="20">
        <f>IF(A479="","",MIN(Ввод!$B$4,Ввод!$B$4+1-SUMPRODUCT(MAX((Оплаты!$D$6:$D$505=A479)*(Оплаты!$A$6:$A$505&gt;Оплаты!$A$471)*(Ввод!$B$4+1-Оплаты!$A$6:$A$505)))))</f>
        <v/>
      </c>
      <c r="E479" s="14">
        <f>IF(A479="","",INDEX(Акты!$D$5:$D$16,B479)-SUMIFS(Оплаты!$B$6:$B$505,Оплаты!$D$6:$D$505,A479,Оплаты!$A$6:$A$505,"&lt;="&amp;Оплаты!$A$471))</f>
        <v/>
      </c>
      <c r="F479" s="14">
        <f>IF(G479="","",SUMPRODUCT(ROUND(E479*'По дням'!$L$6:$L$155/100*((((D479+'По дням'!$K$6:$K$155-ABS(D479-'По дням'!$K$6:$K$155))-(C479+'По дням'!$J$6:$J$155+ABS(C479-'По дням'!$J$6:$J$155)))/2+1)&gt;0)*(((D479+'По дням'!$K$6:$K$155-ABS(D479-'По дням'!$K$6:$K$155))-(C479+'По дням'!$J$6:$J$155+ABS(C479-'По дням'!$J$6:$J$155)))/2+1)/'По дням'!$M$6:$M$155,2)*(1-'По дням'!$N$6:$N$155)))</f>
        <v/>
      </c>
      <c r="G479">
        <f>IF(A479="","",IF(C479&gt;D479,"",B479*1000000+C479))</f>
        <v/>
      </c>
      <c r="H479" s="14">
        <f>IF(G479="","",SUMIFS(Оплаты!$B$6:$B$505,Оплаты!$D$6:$D$505,A479,Оплаты!$A$6:$A$505,D479))</f>
        <v/>
      </c>
      <c r="I479">
        <f>IF(G479="","",SUMPRODUCT((((((D479+'По дням'!$K$6:$K$155-ABS(D479-'По дням'!$K$6:$K$155))-(C479+'По дням'!$J$6:$J$155+ABS(C479-'По дням'!$J$6:$J$155)))/2+1)&gt;0)*(((D479+'По дням'!$K$6:$K$155-ABS(D479-'По дням'!$K$6:$K$155))-(C479+'По дням'!$J$6:$J$155+ABS(C479-'По дням'!$J$6:$J$155)))/2+1)&gt;0)*1))</f>
        <v/>
      </c>
    </row>
    <row r="480">
      <c r="A480">
        <f>IF(AND(Оплаты!$E$472="ок",COUNTIFS(Акты!$B$5:$B$16,Оплаты!$D$472,Акты!$H$5:$H$16,"ок")&gt;0,COUNTIFS(Оплаты!$D$6:$D$471,Оплаты!$D$472,Оплаты!$A$6:$A$471,Оплаты!$A$472)=0),Оплаты!$D$472,"")</f>
        <v/>
      </c>
      <c r="B480">
        <f>IF(A480="","",MATCH(A480,Акты!$B$5:$B$16,0))</f>
        <v/>
      </c>
      <c r="C480" s="20">
        <f>IF(A480="","",Оплаты!$A$472+1)</f>
        <v/>
      </c>
      <c r="D480" s="20">
        <f>IF(A480="","",MIN(Ввод!$B$4,Ввод!$B$4+1-SUMPRODUCT(MAX((Оплаты!$D$6:$D$505=A480)*(Оплаты!$A$6:$A$505&gt;Оплаты!$A$472)*(Ввод!$B$4+1-Оплаты!$A$6:$A$505)))))</f>
        <v/>
      </c>
      <c r="E480" s="14">
        <f>IF(A480="","",INDEX(Акты!$D$5:$D$16,B480)-SUMIFS(Оплаты!$B$6:$B$505,Оплаты!$D$6:$D$505,A480,Оплаты!$A$6:$A$505,"&lt;="&amp;Оплаты!$A$472))</f>
        <v/>
      </c>
      <c r="F480" s="14">
        <f>IF(G480="","",SUMPRODUCT(ROUND(E480*'По дням'!$L$6:$L$155/100*((((D480+'По дням'!$K$6:$K$155-ABS(D480-'По дням'!$K$6:$K$155))-(C480+'По дням'!$J$6:$J$155+ABS(C480-'По дням'!$J$6:$J$155)))/2+1)&gt;0)*(((D480+'По дням'!$K$6:$K$155-ABS(D480-'По дням'!$K$6:$K$155))-(C480+'По дням'!$J$6:$J$155+ABS(C480-'По дням'!$J$6:$J$155)))/2+1)/'По дням'!$M$6:$M$155,2)*(1-'По дням'!$N$6:$N$155)))</f>
        <v/>
      </c>
      <c r="G480">
        <f>IF(A480="","",IF(C480&gt;D480,"",B480*1000000+C480))</f>
        <v/>
      </c>
      <c r="H480" s="14">
        <f>IF(G480="","",SUMIFS(Оплаты!$B$6:$B$505,Оплаты!$D$6:$D$505,A480,Оплаты!$A$6:$A$505,D480))</f>
        <v/>
      </c>
      <c r="I480">
        <f>IF(G480="","",SUMPRODUCT((((((D480+'По дням'!$K$6:$K$155-ABS(D480-'По дням'!$K$6:$K$155))-(C480+'По дням'!$J$6:$J$155+ABS(C480-'По дням'!$J$6:$J$155)))/2+1)&gt;0)*(((D480+'По дням'!$K$6:$K$155-ABS(D480-'По дням'!$K$6:$K$155))-(C480+'По дням'!$J$6:$J$155+ABS(C480-'По дням'!$J$6:$J$155)))/2+1)&gt;0)*1))</f>
        <v/>
      </c>
    </row>
    <row r="481">
      <c r="A481">
        <f>IF(AND(Оплаты!$E$473="ок",COUNTIFS(Акты!$B$5:$B$16,Оплаты!$D$473,Акты!$H$5:$H$16,"ок")&gt;0,COUNTIFS(Оплаты!$D$6:$D$472,Оплаты!$D$473,Оплаты!$A$6:$A$472,Оплаты!$A$473)=0),Оплаты!$D$473,"")</f>
        <v/>
      </c>
      <c r="B481">
        <f>IF(A481="","",MATCH(A481,Акты!$B$5:$B$16,0))</f>
        <v/>
      </c>
      <c r="C481" s="20">
        <f>IF(A481="","",Оплаты!$A$473+1)</f>
        <v/>
      </c>
      <c r="D481" s="20">
        <f>IF(A481="","",MIN(Ввод!$B$4,Ввод!$B$4+1-SUMPRODUCT(MAX((Оплаты!$D$6:$D$505=A481)*(Оплаты!$A$6:$A$505&gt;Оплаты!$A$473)*(Ввод!$B$4+1-Оплаты!$A$6:$A$505)))))</f>
        <v/>
      </c>
      <c r="E481" s="14">
        <f>IF(A481="","",INDEX(Акты!$D$5:$D$16,B481)-SUMIFS(Оплаты!$B$6:$B$505,Оплаты!$D$6:$D$505,A481,Оплаты!$A$6:$A$505,"&lt;="&amp;Оплаты!$A$473))</f>
        <v/>
      </c>
      <c r="F481" s="14">
        <f>IF(G481="","",SUMPRODUCT(ROUND(E481*'По дням'!$L$6:$L$155/100*((((D481+'По дням'!$K$6:$K$155-ABS(D481-'По дням'!$K$6:$K$155))-(C481+'По дням'!$J$6:$J$155+ABS(C481-'По дням'!$J$6:$J$155)))/2+1)&gt;0)*(((D481+'По дням'!$K$6:$K$155-ABS(D481-'По дням'!$K$6:$K$155))-(C481+'По дням'!$J$6:$J$155+ABS(C481-'По дням'!$J$6:$J$155)))/2+1)/'По дням'!$M$6:$M$155,2)*(1-'По дням'!$N$6:$N$155)))</f>
        <v/>
      </c>
      <c r="G481">
        <f>IF(A481="","",IF(C481&gt;D481,"",B481*1000000+C481))</f>
        <v/>
      </c>
      <c r="H481" s="14">
        <f>IF(G481="","",SUMIFS(Оплаты!$B$6:$B$505,Оплаты!$D$6:$D$505,A481,Оплаты!$A$6:$A$505,D481))</f>
        <v/>
      </c>
      <c r="I481">
        <f>IF(G481="","",SUMPRODUCT((((((D481+'По дням'!$K$6:$K$155-ABS(D481-'По дням'!$K$6:$K$155))-(C481+'По дням'!$J$6:$J$155+ABS(C481-'По дням'!$J$6:$J$155)))/2+1)&gt;0)*(((D481+'По дням'!$K$6:$K$155-ABS(D481-'По дням'!$K$6:$K$155))-(C481+'По дням'!$J$6:$J$155+ABS(C481-'По дням'!$J$6:$J$155)))/2+1)&gt;0)*1))</f>
        <v/>
      </c>
    </row>
    <row r="482">
      <c r="A482">
        <f>IF(AND(Оплаты!$E$474="ок",COUNTIFS(Акты!$B$5:$B$16,Оплаты!$D$474,Акты!$H$5:$H$16,"ок")&gt;0,COUNTIFS(Оплаты!$D$6:$D$473,Оплаты!$D$474,Оплаты!$A$6:$A$473,Оплаты!$A$474)=0),Оплаты!$D$474,"")</f>
        <v/>
      </c>
      <c r="B482">
        <f>IF(A482="","",MATCH(A482,Акты!$B$5:$B$16,0))</f>
        <v/>
      </c>
      <c r="C482" s="20">
        <f>IF(A482="","",Оплаты!$A$474+1)</f>
        <v/>
      </c>
      <c r="D482" s="20">
        <f>IF(A482="","",MIN(Ввод!$B$4,Ввод!$B$4+1-SUMPRODUCT(MAX((Оплаты!$D$6:$D$505=A482)*(Оплаты!$A$6:$A$505&gt;Оплаты!$A$474)*(Ввод!$B$4+1-Оплаты!$A$6:$A$505)))))</f>
        <v/>
      </c>
      <c r="E482" s="14">
        <f>IF(A482="","",INDEX(Акты!$D$5:$D$16,B482)-SUMIFS(Оплаты!$B$6:$B$505,Оплаты!$D$6:$D$505,A482,Оплаты!$A$6:$A$505,"&lt;="&amp;Оплаты!$A$474))</f>
        <v/>
      </c>
      <c r="F482" s="14">
        <f>IF(G482="","",SUMPRODUCT(ROUND(E482*'По дням'!$L$6:$L$155/100*((((D482+'По дням'!$K$6:$K$155-ABS(D482-'По дням'!$K$6:$K$155))-(C482+'По дням'!$J$6:$J$155+ABS(C482-'По дням'!$J$6:$J$155)))/2+1)&gt;0)*(((D482+'По дням'!$K$6:$K$155-ABS(D482-'По дням'!$K$6:$K$155))-(C482+'По дням'!$J$6:$J$155+ABS(C482-'По дням'!$J$6:$J$155)))/2+1)/'По дням'!$M$6:$M$155,2)*(1-'По дням'!$N$6:$N$155)))</f>
        <v/>
      </c>
      <c r="G482">
        <f>IF(A482="","",IF(C482&gt;D482,"",B482*1000000+C482))</f>
        <v/>
      </c>
      <c r="H482" s="14">
        <f>IF(G482="","",SUMIFS(Оплаты!$B$6:$B$505,Оплаты!$D$6:$D$505,A482,Оплаты!$A$6:$A$505,D482))</f>
        <v/>
      </c>
      <c r="I482">
        <f>IF(G482="","",SUMPRODUCT((((((D482+'По дням'!$K$6:$K$155-ABS(D482-'По дням'!$K$6:$K$155))-(C482+'По дням'!$J$6:$J$155+ABS(C482-'По дням'!$J$6:$J$155)))/2+1)&gt;0)*(((D482+'По дням'!$K$6:$K$155-ABS(D482-'По дням'!$K$6:$K$155))-(C482+'По дням'!$J$6:$J$155+ABS(C482-'По дням'!$J$6:$J$155)))/2+1)&gt;0)*1))</f>
        <v/>
      </c>
    </row>
    <row r="483">
      <c r="A483">
        <f>IF(AND(Оплаты!$E$475="ок",COUNTIFS(Акты!$B$5:$B$16,Оплаты!$D$475,Акты!$H$5:$H$16,"ок")&gt;0,COUNTIFS(Оплаты!$D$6:$D$474,Оплаты!$D$475,Оплаты!$A$6:$A$474,Оплаты!$A$475)=0),Оплаты!$D$475,"")</f>
        <v/>
      </c>
      <c r="B483">
        <f>IF(A483="","",MATCH(A483,Акты!$B$5:$B$16,0))</f>
        <v/>
      </c>
      <c r="C483" s="20">
        <f>IF(A483="","",Оплаты!$A$475+1)</f>
        <v/>
      </c>
      <c r="D483" s="20">
        <f>IF(A483="","",MIN(Ввод!$B$4,Ввод!$B$4+1-SUMPRODUCT(MAX((Оплаты!$D$6:$D$505=A483)*(Оплаты!$A$6:$A$505&gt;Оплаты!$A$475)*(Ввод!$B$4+1-Оплаты!$A$6:$A$505)))))</f>
        <v/>
      </c>
      <c r="E483" s="14">
        <f>IF(A483="","",INDEX(Акты!$D$5:$D$16,B483)-SUMIFS(Оплаты!$B$6:$B$505,Оплаты!$D$6:$D$505,A483,Оплаты!$A$6:$A$505,"&lt;="&amp;Оплаты!$A$475))</f>
        <v/>
      </c>
      <c r="F483" s="14">
        <f>IF(G483="","",SUMPRODUCT(ROUND(E483*'По дням'!$L$6:$L$155/100*((((D483+'По дням'!$K$6:$K$155-ABS(D483-'По дням'!$K$6:$K$155))-(C483+'По дням'!$J$6:$J$155+ABS(C483-'По дням'!$J$6:$J$155)))/2+1)&gt;0)*(((D483+'По дням'!$K$6:$K$155-ABS(D483-'По дням'!$K$6:$K$155))-(C483+'По дням'!$J$6:$J$155+ABS(C483-'По дням'!$J$6:$J$155)))/2+1)/'По дням'!$M$6:$M$155,2)*(1-'По дням'!$N$6:$N$155)))</f>
        <v/>
      </c>
      <c r="G483">
        <f>IF(A483="","",IF(C483&gt;D483,"",B483*1000000+C483))</f>
        <v/>
      </c>
      <c r="H483" s="14">
        <f>IF(G483="","",SUMIFS(Оплаты!$B$6:$B$505,Оплаты!$D$6:$D$505,A483,Оплаты!$A$6:$A$505,D483))</f>
        <v/>
      </c>
      <c r="I483">
        <f>IF(G483="","",SUMPRODUCT((((((D483+'По дням'!$K$6:$K$155-ABS(D483-'По дням'!$K$6:$K$155))-(C483+'По дням'!$J$6:$J$155+ABS(C483-'По дням'!$J$6:$J$155)))/2+1)&gt;0)*(((D483+'По дням'!$K$6:$K$155-ABS(D483-'По дням'!$K$6:$K$155))-(C483+'По дням'!$J$6:$J$155+ABS(C483-'По дням'!$J$6:$J$155)))/2+1)&gt;0)*1))</f>
        <v/>
      </c>
    </row>
    <row r="484">
      <c r="A484">
        <f>IF(AND(Оплаты!$E$476="ок",COUNTIFS(Акты!$B$5:$B$16,Оплаты!$D$476,Акты!$H$5:$H$16,"ок")&gt;0,COUNTIFS(Оплаты!$D$6:$D$475,Оплаты!$D$476,Оплаты!$A$6:$A$475,Оплаты!$A$476)=0),Оплаты!$D$476,"")</f>
        <v/>
      </c>
      <c r="B484">
        <f>IF(A484="","",MATCH(A484,Акты!$B$5:$B$16,0))</f>
        <v/>
      </c>
      <c r="C484" s="20">
        <f>IF(A484="","",Оплаты!$A$476+1)</f>
        <v/>
      </c>
      <c r="D484" s="20">
        <f>IF(A484="","",MIN(Ввод!$B$4,Ввод!$B$4+1-SUMPRODUCT(MAX((Оплаты!$D$6:$D$505=A484)*(Оплаты!$A$6:$A$505&gt;Оплаты!$A$476)*(Ввод!$B$4+1-Оплаты!$A$6:$A$505)))))</f>
        <v/>
      </c>
      <c r="E484" s="14">
        <f>IF(A484="","",INDEX(Акты!$D$5:$D$16,B484)-SUMIFS(Оплаты!$B$6:$B$505,Оплаты!$D$6:$D$505,A484,Оплаты!$A$6:$A$505,"&lt;="&amp;Оплаты!$A$476))</f>
        <v/>
      </c>
      <c r="F484" s="14">
        <f>IF(G484="","",SUMPRODUCT(ROUND(E484*'По дням'!$L$6:$L$155/100*((((D484+'По дням'!$K$6:$K$155-ABS(D484-'По дням'!$K$6:$K$155))-(C484+'По дням'!$J$6:$J$155+ABS(C484-'По дням'!$J$6:$J$155)))/2+1)&gt;0)*(((D484+'По дням'!$K$6:$K$155-ABS(D484-'По дням'!$K$6:$K$155))-(C484+'По дням'!$J$6:$J$155+ABS(C484-'По дням'!$J$6:$J$155)))/2+1)/'По дням'!$M$6:$M$155,2)*(1-'По дням'!$N$6:$N$155)))</f>
        <v/>
      </c>
      <c r="G484">
        <f>IF(A484="","",IF(C484&gt;D484,"",B484*1000000+C484))</f>
        <v/>
      </c>
      <c r="H484" s="14">
        <f>IF(G484="","",SUMIFS(Оплаты!$B$6:$B$505,Оплаты!$D$6:$D$505,A484,Оплаты!$A$6:$A$505,D484))</f>
        <v/>
      </c>
      <c r="I484">
        <f>IF(G484="","",SUMPRODUCT((((((D484+'По дням'!$K$6:$K$155-ABS(D484-'По дням'!$K$6:$K$155))-(C484+'По дням'!$J$6:$J$155+ABS(C484-'По дням'!$J$6:$J$155)))/2+1)&gt;0)*(((D484+'По дням'!$K$6:$K$155-ABS(D484-'По дням'!$K$6:$K$155))-(C484+'По дням'!$J$6:$J$155+ABS(C484-'По дням'!$J$6:$J$155)))/2+1)&gt;0)*1))</f>
        <v/>
      </c>
    </row>
    <row r="485">
      <c r="A485">
        <f>IF(AND(Оплаты!$E$477="ок",COUNTIFS(Акты!$B$5:$B$16,Оплаты!$D$477,Акты!$H$5:$H$16,"ок")&gt;0,COUNTIFS(Оплаты!$D$6:$D$476,Оплаты!$D$477,Оплаты!$A$6:$A$476,Оплаты!$A$477)=0),Оплаты!$D$477,"")</f>
        <v/>
      </c>
      <c r="B485">
        <f>IF(A485="","",MATCH(A485,Акты!$B$5:$B$16,0))</f>
        <v/>
      </c>
      <c r="C485" s="20">
        <f>IF(A485="","",Оплаты!$A$477+1)</f>
        <v/>
      </c>
      <c r="D485" s="20">
        <f>IF(A485="","",MIN(Ввод!$B$4,Ввод!$B$4+1-SUMPRODUCT(MAX((Оплаты!$D$6:$D$505=A485)*(Оплаты!$A$6:$A$505&gt;Оплаты!$A$477)*(Ввод!$B$4+1-Оплаты!$A$6:$A$505)))))</f>
        <v/>
      </c>
      <c r="E485" s="14">
        <f>IF(A485="","",INDEX(Акты!$D$5:$D$16,B485)-SUMIFS(Оплаты!$B$6:$B$505,Оплаты!$D$6:$D$505,A485,Оплаты!$A$6:$A$505,"&lt;="&amp;Оплаты!$A$477))</f>
        <v/>
      </c>
      <c r="F485" s="14">
        <f>IF(G485="","",SUMPRODUCT(ROUND(E485*'По дням'!$L$6:$L$155/100*((((D485+'По дням'!$K$6:$K$155-ABS(D485-'По дням'!$K$6:$K$155))-(C485+'По дням'!$J$6:$J$155+ABS(C485-'По дням'!$J$6:$J$155)))/2+1)&gt;0)*(((D485+'По дням'!$K$6:$K$155-ABS(D485-'По дням'!$K$6:$K$155))-(C485+'По дням'!$J$6:$J$155+ABS(C485-'По дням'!$J$6:$J$155)))/2+1)/'По дням'!$M$6:$M$155,2)*(1-'По дням'!$N$6:$N$155)))</f>
        <v/>
      </c>
      <c r="G485">
        <f>IF(A485="","",IF(C485&gt;D485,"",B485*1000000+C485))</f>
        <v/>
      </c>
      <c r="H485" s="14">
        <f>IF(G485="","",SUMIFS(Оплаты!$B$6:$B$505,Оплаты!$D$6:$D$505,A485,Оплаты!$A$6:$A$505,D485))</f>
        <v/>
      </c>
      <c r="I485">
        <f>IF(G485="","",SUMPRODUCT((((((D485+'По дням'!$K$6:$K$155-ABS(D485-'По дням'!$K$6:$K$155))-(C485+'По дням'!$J$6:$J$155+ABS(C485-'По дням'!$J$6:$J$155)))/2+1)&gt;0)*(((D485+'По дням'!$K$6:$K$155-ABS(D485-'По дням'!$K$6:$K$155))-(C485+'По дням'!$J$6:$J$155+ABS(C485-'По дням'!$J$6:$J$155)))/2+1)&gt;0)*1))</f>
        <v/>
      </c>
    </row>
    <row r="486">
      <c r="A486">
        <f>IF(AND(Оплаты!$E$478="ок",COUNTIFS(Акты!$B$5:$B$16,Оплаты!$D$478,Акты!$H$5:$H$16,"ок")&gt;0,COUNTIFS(Оплаты!$D$6:$D$477,Оплаты!$D$478,Оплаты!$A$6:$A$477,Оплаты!$A$478)=0),Оплаты!$D$478,"")</f>
        <v/>
      </c>
      <c r="B486">
        <f>IF(A486="","",MATCH(A486,Акты!$B$5:$B$16,0))</f>
        <v/>
      </c>
      <c r="C486" s="20">
        <f>IF(A486="","",Оплаты!$A$478+1)</f>
        <v/>
      </c>
      <c r="D486" s="20">
        <f>IF(A486="","",MIN(Ввод!$B$4,Ввод!$B$4+1-SUMPRODUCT(MAX((Оплаты!$D$6:$D$505=A486)*(Оплаты!$A$6:$A$505&gt;Оплаты!$A$478)*(Ввод!$B$4+1-Оплаты!$A$6:$A$505)))))</f>
        <v/>
      </c>
      <c r="E486" s="14">
        <f>IF(A486="","",INDEX(Акты!$D$5:$D$16,B486)-SUMIFS(Оплаты!$B$6:$B$505,Оплаты!$D$6:$D$505,A486,Оплаты!$A$6:$A$505,"&lt;="&amp;Оплаты!$A$478))</f>
        <v/>
      </c>
      <c r="F486" s="14">
        <f>IF(G486="","",SUMPRODUCT(ROUND(E486*'По дням'!$L$6:$L$155/100*((((D486+'По дням'!$K$6:$K$155-ABS(D486-'По дням'!$K$6:$K$155))-(C486+'По дням'!$J$6:$J$155+ABS(C486-'По дням'!$J$6:$J$155)))/2+1)&gt;0)*(((D486+'По дням'!$K$6:$K$155-ABS(D486-'По дням'!$K$6:$K$155))-(C486+'По дням'!$J$6:$J$155+ABS(C486-'По дням'!$J$6:$J$155)))/2+1)/'По дням'!$M$6:$M$155,2)*(1-'По дням'!$N$6:$N$155)))</f>
        <v/>
      </c>
      <c r="G486">
        <f>IF(A486="","",IF(C486&gt;D486,"",B486*1000000+C486))</f>
        <v/>
      </c>
      <c r="H486" s="14">
        <f>IF(G486="","",SUMIFS(Оплаты!$B$6:$B$505,Оплаты!$D$6:$D$505,A486,Оплаты!$A$6:$A$505,D486))</f>
        <v/>
      </c>
      <c r="I486">
        <f>IF(G486="","",SUMPRODUCT((((((D486+'По дням'!$K$6:$K$155-ABS(D486-'По дням'!$K$6:$K$155))-(C486+'По дням'!$J$6:$J$155+ABS(C486-'По дням'!$J$6:$J$155)))/2+1)&gt;0)*(((D486+'По дням'!$K$6:$K$155-ABS(D486-'По дням'!$K$6:$K$155))-(C486+'По дням'!$J$6:$J$155+ABS(C486-'По дням'!$J$6:$J$155)))/2+1)&gt;0)*1))</f>
        <v/>
      </c>
    </row>
    <row r="487">
      <c r="A487">
        <f>IF(AND(Оплаты!$E$479="ок",COUNTIFS(Акты!$B$5:$B$16,Оплаты!$D$479,Акты!$H$5:$H$16,"ок")&gt;0,COUNTIFS(Оплаты!$D$6:$D$478,Оплаты!$D$479,Оплаты!$A$6:$A$478,Оплаты!$A$479)=0),Оплаты!$D$479,"")</f>
        <v/>
      </c>
      <c r="B487">
        <f>IF(A487="","",MATCH(A487,Акты!$B$5:$B$16,0))</f>
        <v/>
      </c>
      <c r="C487" s="20">
        <f>IF(A487="","",Оплаты!$A$479+1)</f>
        <v/>
      </c>
      <c r="D487" s="20">
        <f>IF(A487="","",MIN(Ввод!$B$4,Ввод!$B$4+1-SUMPRODUCT(MAX((Оплаты!$D$6:$D$505=A487)*(Оплаты!$A$6:$A$505&gt;Оплаты!$A$479)*(Ввод!$B$4+1-Оплаты!$A$6:$A$505)))))</f>
        <v/>
      </c>
      <c r="E487" s="14">
        <f>IF(A487="","",INDEX(Акты!$D$5:$D$16,B487)-SUMIFS(Оплаты!$B$6:$B$505,Оплаты!$D$6:$D$505,A487,Оплаты!$A$6:$A$505,"&lt;="&amp;Оплаты!$A$479))</f>
        <v/>
      </c>
      <c r="F487" s="14">
        <f>IF(G487="","",SUMPRODUCT(ROUND(E487*'По дням'!$L$6:$L$155/100*((((D487+'По дням'!$K$6:$K$155-ABS(D487-'По дням'!$K$6:$K$155))-(C487+'По дням'!$J$6:$J$155+ABS(C487-'По дням'!$J$6:$J$155)))/2+1)&gt;0)*(((D487+'По дням'!$K$6:$K$155-ABS(D487-'По дням'!$K$6:$K$155))-(C487+'По дням'!$J$6:$J$155+ABS(C487-'По дням'!$J$6:$J$155)))/2+1)/'По дням'!$M$6:$M$155,2)*(1-'По дням'!$N$6:$N$155)))</f>
        <v/>
      </c>
      <c r="G487">
        <f>IF(A487="","",IF(C487&gt;D487,"",B487*1000000+C487))</f>
        <v/>
      </c>
      <c r="H487" s="14">
        <f>IF(G487="","",SUMIFS(Оплаты!$B$6:$B$505,Оплаты!$D$6:$D$505,A487,Оплаты!$A$6:$A$505,D487))</f>
        <v/>
      </c>
      <c r="I487">
        <f>IF(G487="","",SUMPRODUCT((((((D487+'По дням'!$K$6:$K$155-ABS(D487-'По дням'!$K$6:$K$155))-(C487+'По дням'!$J$6:$J$155+ABS(C487-'По дням'!$J$6:$J$155)))/2+1)&gt;0)*(((D487+'По дням'!$K$6:$K$155-ABS(D487-'По дням'!$K$6:$K$155))-(C487+'По дням'!$J$6:$J$155+ABS(C487-'По дням'!$J$6:$J$155)))/2+1)&gt;0)*1))</f>
        <v/>
      </c>
    </row>
    <row r="488">
      <c r="A488">
        <f>IF(AND(Оплаты!$E$480="ок",COUNTIFS(Акты!$B$5:$B$16,Оплаты!$D$480,Акты!$H$5:$H$16,"ок")&gt;0,COUNTIFS(Оплаты!$D$6:$D$479,Оплаты!$D$480,Оплаты!$A$6:$A$479,Оплаты!$A$480)=0),Оплаты!$D$480,"")</f>
        <v/>
      </c>
      <c r="B488">
        <f>IF(A488="","",MATCH(A488,Акты!$B$5:$B$16,0))</f>
        <v/>
      </c>
      <c r="C488" s="20">
        <f>IF(A488="","",Оплаты!$A$480+1)</f>
        <v/>
      </c>
      <c r="D488" s="20">
        <f>IF(A488="","",MIN(Ввод!$B$4,Ввод!$B$4+1-SUMPRODUCT(MAX((Оплаты!$D$6:$D$505=A488)*(Оплаты!$A$6:$A$505&gt;Оплаты!$A$480)*(Ввод!$B$4+1-Оплаты!$A$6:$A$505)))))</f>
        <v/>
      </c>
      <c r="E488" s="14">
        <f>IF(A488="","",INDEX(Акты!$D$5:$D$16,B488)-SUMIFS(Оплаты!$B$6:$B$505,Оплаты!$D$6:$D$505,A488,Оплаты!$A$6:$A$505,"&lt;="&amp;Оплаты!$A$480))</f>
        <v/>
      </c>
      <c r="F488" s="14">
        <f>IF(G488="","",SUMPRODUCT(ROUND(E488*'По дням'!$L$6:$L$155/100*((((D488+'По дням'!$K$6:$K$155-ABS(D488-'По дням'!$K$6:$K$155))-(C488+'По дням'!$J$6:$J$155+ABS(C488-'По дням'!$J$6:$J$155)))/2+1)&gt;0)*(((D488+'По дням'!$K$6:$K$155-ABS(D488-'По дням'!$K$6:$K$155))-(C488+'По дням'!$J$6:$J$155+ABS(C488-'По дням'!$J$6:$J$155)))/2+1)/'По дням'!$M$6:$M$155,2)*(1-'По дням'!$N$6:$N$155)))</f>
        <v/>
      </c>
      <c r="G488">
        <f>IF(A488="","",IF(C488&gt;D488,"",B488*1000000+C488))</f>
        <v/>
      </c>
      <c r="H488" s="14">
        <f>IF(G488="","",SUMIFS(Оплаты!$B$6:$B$505,Оплаты!$D$6:$D$505,A488,Оплаты!$A$6:$A$505,D488))</f>
        <v/>
      </c>
      <c r="I488">
        <f>IF(G488="","",SUMPRODUCT((((((D488+'По дням'!$K$6:$K$155-ABS(D488-'По дням'!$K$6:$K$155))-(C488+'По дням'!$J$6:$J$155+ABS(C488-'По дням'!$J$6:$J$155)))/2+1)&gt;0)*(((D488+'По дням'!$K$6:$K$155-ABS(D488-'По дням'!$K$6:$K$155))-(C488+'По дням'!$J$6:$J$155+ABS(C488-'По дням'!$J$6:$J$155)))/2+1)&gt;0)*1))</f>
        <v/>
      </c>
    </row>
    <row r="489">
      <c r="A489">
        <f>IF(AND(Оплаты!$E$481="ок",COUNTIFS(Акты!$B$5:$B$16,Оплаты!$D$481,Акты!$H$5:$H$16,"ок")&gt;0,COUNTIFS(Оплаты!$D$6:$D$480,Оплаты!$D$481,Оплаты!$A$6:$A$480,Оплаты!$A$481)=0),Оплаты!$D$481,"")</f>
        <v/>
      </c>
      <c r="B489">
        <f>IF(A489="","",MATCH(A489,Акты!$B$5:$B$16,0))</f>
        <v/>
      </c>
      <c r="C489" s="20">
        <f>IF(A489="","",Оплаты!$A$481+1)</f>
        <v/>
      </c>
      <c r="D489" s="20">
        <f>IF(A489="","",MIN(Ввод!$B$4,Ввод!$B$4+1-SUMPRODUCT(MAX((Оплаты!$D$6:$D$505=A489)*(Оплаты!$A$6:$A$505&gt;Оплаты!$A$481)*(Ввод!$B$4+1-Оплаты!$A$6:$A$505)))))</f>
        <v/>
      </c>
      <c r="E489" s="14">
        <f>IF(A489="","",INDEX(Акты!$D$5:$D$16,B489)-SUMIFS(Оплаты!$B$6:$B$505,Оплаты!$D$6:$D$505,A489,Оплаты!$A$6:$A$505,"&lt;="&amp;Оплаты!$A$481))</f>
        <v/>
      </c>
      <c r="F489" s="14">
        <f>IF(G489="","",SUMPRODUCT(ROUND(E489*'По дням'!$L$6:$L$155/100*((((D489+'По дням'!$K$6:$K$155-ABS(D489-'По дням'!$K$6:$K$155))-(C489+'По дням'!$J$6:$J$155+ABS(C489-'По дням'!$J$6:$J$155)))/2+1)&gt;0)*(((D489+'По дням'!$K$6:$K$155-ABS(D489-'По дням'!$K$6:$K$155))-(C489+'По дням'!$J$6:$J$155+ABS(C489-'По дням'!$J$6:$J$155)))/2+1)/'По дням'!$M$6:$M$155,2)*(1-'По дням'!$N$6:$N$155)))</f>
        <v/>
      </c>
      <c r="G489">
        <f>IF(A489="","",IF(C489&gt;D489,"",B489*1000000+C489))</f>
        <v/>
      </c>
      <c r="H489" s="14">
        <f>IF(G489="","",SUMIFS(Оплаты!$B$6:$B$505,Оплаты!$D$6:$D$505,A489,Оплаты!$A$6:$A$505,D489))</f>
        <v/>
      </c>
      <c r="I489">
        <f>IF(G489="","",SUMPRODUCT((((((D489+'По дням'!$K$6:$K$155-ABS(D489-'По дням'!$K$6:$K$155))-(C489+'По дням'!$J$6:$J$155+ABS(C489-'По дням'!$J$6:$J$155)))/2+1)&gt;0)*(((D489+'По дням'!$K$6:$K$155-ABS(D489-'По дням'!$K$6:$K$155))-(C489+'По дням'!$J$6:$J$155+ABS(C489-'По дням'!$J$6:$J$155)))/2+1)&gt;0)*1))</f>
        <v/>
      </c>
    </row>
    <row r="490">
      <c r="A490">
        <f>IF(AND(Оплаты!$E$482="ок",COUNTIFS(Акты!$B$5:$B$16,Оплаты!$D$482,Акты!$H$5:$H$16,"ок")&gt;0,COUNTIFS(Оплаты!$D$6:$D$481,Оплаты!$D$482,Оплаты!$A$6:$A$481,Оплаты!$A$482)=0),Оплаты!$D$482,"")</f>
        <v/>
      </c>
      <c r="B490">
        <f>IF(A490="","",MATCH(A490,Акты!$B$5:$B$16,0))</f>
        <v/>
      </c>
      <c r="C490" s="20">
        <f>IF(A490="","",Оплаты!$A$482+1)</f>
        <v/>
      </c>
      <c r="D490" s="20">
        <f>IF(A490="","",MIN(Ввод!$B$4,Ввод!$B$4+1-SUMPRODUCT(MAX((Оплаты!$D$6:$D$505=A490)*(Оплаты!$A$6:$A$505&gt;Оплаты!$A$482)*(Ввод!$B$4+1-Оплаты!$A$6:$A$505)))))</f>
        <v/>
      </c>
      <c r="E490" s="14">
        <f>IF(A490="","",INDEX(Акты!$D$5:$D$16,B490)-SUMIFS(Оплаты!$B$6:$B$505,Оплаты!$D$6:$D$505,A490,Оплаты!$A$6:$A$505,"&lt;="&amp;Оплаты!$A$482))</f>
        <v/>
      </c>
      <c r="F490" s="14">
        <f>IF(G490="","",SUMPRODUCT(ROUND(E490*'По дням'!$L$6:$L$155/100*((((D490+'По дням'!$K$6:$K$155-ABS(D490-'По дням'!$K$6:$K$155))-(C490+'По дням'!$J$6:$J$155+ABS(C490-'По дням'!$J$6:$J$155)))/2+1)&gt;0)*(((D490+'По дням'!$K$6:$K$155-ABS(D490-'По дням'!$K$6:$K$155))-(C490+'По дням'!$J$6:$J$155+ABS(C490-'По дням'!$J$6:$J$155)))/2+1)/'По дням'!$M$6:$M$155,2)*(1-'По дням'!$N$6:$N$155)))</f>
        <v/>
      </c>
      <c r="G490">
        <f>IF(A490="","",IF(C490&gt;D490,"",B490*1000000+C490))</f>
        <v/>
      </c>
      <c r="H490" s="14">
        <f>IF(G490="","",SUMIFS(Оплаты!$B$6:$B$505,Оплаты!$D$6:$D$505,A490,Оплаты!$A$6:$A$505,D490))</f>
        <v/>
      </c>
      <c r="I490">
        <f>IF(G490="","",SUMPRODUCT((((((D490+'По дням'!$K$6:$K$155-ABS(D490-'По дням'!$K$6:$K$155))-(C490+'По дням'!$J$6:$J$155+ABS(C490-'По дням'!$J$6:$J$155)))/2+1)&gt;0)*(((D490+'По дням'!$K$6:$K$155-ABS(D490-'По дням'!$K$6:$K$155))-(C490+'По дням'!$J$6:$J$155+ABS(C490-'По дням'!$J$6:$J$155)))/2+1)&gt;0)*1))</f>
        <v/>
      </c>
    </row>
    <row r="491">
      <c r="A491">
        <f>IF(AND(Оплаты!$E$483="ок",COUNTIFS(Акты!$B$5:$B$16,Оплаты!$D$483,Акты!$H$5:$H$16,"ок")&gt;0,COUNTIFS(Оплаты!$D$6:$D$482,Оплаты!$D$483,Оплаты!$A$6:$A$482,Оплаты!$A$483)=0),Оплаты!$D$483,"")</f>
        <v/>
      </c>
      <c r="B491">
        <f>IF(A491="","",MATCH(A491,Акты!$B$5:$B$16,0))</f>
        <v/>
      </c>
      <c r="C491" s="20">
        <f>IF(A491="","",Оплаты!$A$483+1)</f>
        <v/>
      </c>
      <c r="D491" s="20">
        <f>IF(A491="","",MIN(Ввод!$B$4,Ввод!$B$4+1-SUMPRODUCT(MAX((Оплаты!$D$6:$D$505=A491)*(Оплаты!$A$6:$A$505&gt;Оплаты!$A$483)*(Ввод!$B$4+1-Оплаты!$A$6:$A$505)))))</f>
        <v/>
      </c>
      <c r="E491" s="14">
        <f>IF(A491="","",INDEX(Акты!$D$5:$D$16,B491)-SUMIFS(Оплаты!$B$6:$B$505,Оплаты!$D$6:$D$505,A491,Оплаты!$A$6:$A$505,"&lt;="&amp;Оплаты!$A$483))</f>
        <v/>
      </c>
      <c r="F491" s="14">
        <f>IF(G491="","",SUMPRODUCT(ROUND(E491*'По дням'!$L$6:$L$155/100*((((D491+'По дням'!$K$6:$K$155-ABS(D491-'По дням'!$K$6:$K$155))-(C491+'По дням'!$J$6:$J$155+ABS(C491-'По дням'!$J$6:$J$155)))/2+1)&gt;0)*(((D491+'По дням'!$K$6:$K$155-ABS(D491-'По дням'!$K$6:$K$155))-(C491+'По дням'!$J$6:$J$155+ABS(C491-'По дням'!$J$6:$J$155)))/2+1)/'По дням'!$M$6:$M$155,2)*(1-'По дням'!$N$6:$N$155)))</f>
        <v/>
      </c>
      <c r="G491">
        <f>IF(A491="","",IF(C491&gt;D491,"",B491*1000000+C491))</f>
        <v/>
      </c>
      <c r="H491" s="14">
        <f>IF(G491="","",SUMIFS(Оплаты!$B$6:$B$505,Оплаты!$D$6:$D$505,A491,Оплаты!$A$6:$A$505,D491))</f>
        <v/>
      </c>
      <c r="I491">
        <f>IF(G491="","",SUMPRODUCT((((((D491+'По дням'!$K$6:$K$155-ABS(D491-'По дням'!$K$6:$K$155))-(C491+'По дням'!$J$6:$J$155+ABS(C491-'По дням'!$J$6:$J$155)))/2+1)&gt;0)*(((D491+'По дням'!$K$6:$K$155-ABS(D491-'По дням'!$K$6:$K$155))-(C491+'По дням'!$J$6:$J$155+ABS(C491-'По дням'!$J$6:$J$155)))/2+1)&gt;0)*1))</f>
        <v/>
      </c>
    </row>
    <row r="492">
      <c r="A492">
        <f>IF(AND(Оплаты!$E$484="ок",COUNTIFS(Акты!$B$5:$B$16,Оплаты!$D$484,Акты!$H$5:$H$16,"ок")&gt;0,COUNTIFS(Оплаты!$D$6:$D$483,Оплаты!$D$484,Оплаты!$A$6:$A$483,Оплаты!$A$484)=0),Оплаты!$D$484,"")</f>
        <v/>
      </c>
      <c r="B492">
        <f>IF(A492="","",MATCH(A492,Акты!$B$5:$B$16,0))</f>
        <v/>
      </c>
      <c r="C492" s="20">
        <f>IF(A492="","",Оплаты!$A$484+1)</f>
        <v/>
      </c>
      <c r="D492" s="20">
        <f>IF(A492="","",MIN(Ввод!$B$4,Ввод!$B$4+1-SUMPRODUCT(MAX((Оплаты!$D$6:$D$505=A492)*(Оплаты!$A$6:$A$505&gt;Оплаты!$A$484)*(Ввод!$B$4+1-Оплаты!$A$6:$A$505)))))</f>
        <v/>
      </c>
      <c r="E492" s="14">
        <f>IF(A492="","",INDEX(Акты!$D$5:$D$16,B492)-SUMIFS(Оплаты!$B$6:$B$505,Оплаты!$D$6:$D$505,A492,Оплаты!$A$6:$A$505,"&lt;="&amp;Оплаты!$A$484))</f>
        <v/>
      </c>
      <c r="F492" s="14">
        <f>IF(G492="","",SUMPRODUCT(ROUND(E492*'По дням'!$L$6:$L$155/100*((((D492+'По дням'!$K$6:$K$155-ABS(D492-'По дням'!$K$6:$K$155))-(C492+'По дням'!$J$6:$J$155+ABS(C492-'По дням'!$J$6:$J$155)))/2+1)&gt;0)*(((D492+'По дням'!$K$6:$K$155-ABS(D492-'По дням'!$K$6:$K$155))-(C492+'По дням'!$J$6:$J$155+ABS(C492-'По дням'!$J$6:$J$155)))/2+1)/'По дням'!$M$6:$M$155,2)*(1-'По дням'!$N$6:$N$155)))</f>
        <v/>
      </c>
      <c r="G492">
        <f>IF(A492="","",IF(C492&gt;D492,"",B492*1000000+C492))</f>
        <v/>
      </c>
      <c r="H492" s="14">
        <f>IF(G492="","",SUMIFS(Оплаты!$B$6:$B$505,Оплаты!$D$6:$D$505,A492,Оплаты!$A$6:$A$505,D492))</f>
        <v/>
      </c>
      <c r="I492">
        <f>IF(G492="","",SUMPRODUCT((((((D492+'По дням'!$K$6:$K$155-ABS(D492-'По дням'!$K$6:$K$155))-(C492+'По дням'!$J$6:$J$155+ABS(C492-'По дням'!$J$6:$J$155)))/2+1)&gt;0)*(((D492+'По дням'!$K$6:$K$155-ABS(D492-'По дням'!$K$6:$K$155))-(C492+'По дням'!$J$6:$J$155+ABS(C492-'По дням'!$J$6:$J$155)))/2+1)&gt;0)*1))</f>
        <v/>
      </c>
    </row>
    <row r="493">
      <c r="A493">
        <f>IF(AND(Оплаты!$E$485="ок",COUNTIFS(Акты!$B$5:$B$16,Оплаты!$D$485,Акты!$H$5:$H$16,"ок")&gt;0,COUNTIFS(Оплаты!$D$6:$D$484,Оплаты!$D$485,Оплаты!$A$6:$A$484,Оплаты!$A$485)=0),Оплаты!$D$485,"")</f>
        <v/>
      </c>
      <c r="B493">
        <f>IF(A493="","",MATCH(A493,Акты!$B$5:$B$16,0))</f>
        <v/>
      </c>
      <c r="C493" s="20">
        <f>IF(A493="","",Оплаты!$A$485+1)</f>
        <v/>
      </c>
      <c r="D493" s="20">
        <f>IF(A493="","",MIN(Ввод!$B$4,Ввод!$B$4+1-SUMPRODUCT(MAX((Оплаты!$D$6:$D$505=A493)*(Оплаты!$A$6:$A$505&gt;Оплаты!$A$485)*(Ввод!$B$4+1-Оплаты!$A$6:$A$505)))))</f>
        <v/>
      </c>
      <c r="E493" s="14">
        <f>IF(A493="","",INDEX(Акты!$D$5:$D$16,B493)-SUMIFS(Оплаты!$B$6:$B$505,Оплаты!$D$6:$D$505,A493,Оплаты!$A$6:$A$505,"&lt;="&amp;Оплаты!$A$485))</f>
        <v/>
      </c>
      <c r="F493" s="14">
        <f>IF(G493="","",SUMPRODUCT(ROUND(E493*'По дням'!$L$6:$L$155/100*((((D493+'По дням'!$K$6:$K$155-ABS(D493-'По дням'!$K$6:$K$155))-(C493+'По дням'!$J$6:$J$155+ABS(C493-'По дням'!$J$6:$J$155)))/2+1)&gt;0)*(((D493+'По дням'!$K$6:$K$155-ABS(D493-'По дням'!$K$6:$K$155))-(C493+'По дням'!$J$6:$J$155+ABS(C493-'По дням'!$J$6:$J$155)))/2+1)/'По дням'!$M$6:$M$155,2)*(1-'По дням'!$N$6:$N$155)))</f>
        <v/>
      </c>
      <c r="G493">
        <f>IF(A493="","",IF(C493&gt;D493,"",B493*1000000+C493))</f>
        <v/>
      </c>
      <c r="H493" s="14">
        <f>IF(G493="","",SUMIFS(Оплаты!$B$6:$B$505,Оплаты!$D$6:$D$505,A493,Оплаты!$A$6:$A$505,D493))</f>
        <v/>
      </c>
      <c r="I493">
        <f>IF(G493="","",SUMPRODUCT((((((D493+'По дням'!$K$6:$K$155-ABS(D493-'По дням'!$K$6:$K$155))-(C493+'По дням'!$J$6:$J$155+ABS(C493-'По дням'!$J$6:$J$155)))/2+1)&gt;0)*(((D493+'По дням'!$K$6:$K$155-ABS(D493-'По дням'!$K$6:$K$155))-(C493+'По дням'!$J$6:$J$155+ABS(C493-'По дням'!$J$6:$J$155)))/2+1)&gt;0)*1))</f>
        <v/>
      </c>
    </row>
    <row r="494">
      <c r="A494">
        <f>IF(AND(Оплаты!$E$486="ок",COUNTIFS(Акты!$B$5:$B$16,Оплаты!$D$486,Акты!$H$5:$H$16,"ок")&gt;0,COUNTIFS(Оплаты!$D$6:$D$485,Оплаты!$D$486,Оплаты!$A$6:$A$485,Оплаты!$A$486)=0),Оплаты!$D$486,"")</f>
        <v/>
      </c>
      <c r="B494">
        <f>IF(A494="","",MATCH(A494,Акты!$B$5:$B$16,0))</f>
        <v/>
      </c>
      <c r="C494" s="20">
        <f>IF(A494="","",Оплаты!$A$486+1)</f>
        <v/>
      </c>
      <c r="D494" s="20">
        <f>IF(A494="","",MIN(Ввод!$B$4,Ввод!$B$4+1-SUMPRODUCT(MAX((Оплаты!$D$6:$D$505=A494)*(Оплаты!$A$6:$A$505&gt;Оплаты!$A$486)*(Ввод!$B$4+1-Оплаты!$A$6:$A$505)))))</f>
        <v/>
      </c>
      <c r="E494" s="14">
        <f>IF(A494="","",INDEX(Акты!$D$5:$D$16,B494)-SUMIFS(Оплаты!$B$6:$B$505,Оплаты!$D$6:$D$505,A494,Оплаты!$A$6:$A$505,"&lt;="&amp;Оплаты!$A$486))</f>
        <v/>
      </c>
      <c r="F494" s="14">
        <f>IF(G494="","",SUMPRODUCT(ROUND(E494*'По дням'!$L$6:$L$155/100*((((D494+'По дням'!$K$6:$K$155-ABS(D494-'По дням'!$K$6:$K$155))-(C494+'По дням'!$J$6:$J$155+ABS(C494-'По дням'!$J$6:$J$155)))/2+1)&gt;0)*(((D494+'По дням'!$K$6:$K$155-ABS(D494-'По дням'!$K$6:$K$155))-(C494+'По дням'!$J$6:$J$155+ABS(C494-'По дням'!$J$6:$J$155)))/2+1)/'По дням'!$M$6:$M$155,2)*(1-'По дням'!$N$6:$N$155)))</f>
        <v/>
      </c>
      <c r="G494">
        <f>IF(A494="","",IF(C494&gt;D494,"",B494*1000000+C494))</f>
        <v/>
      </c>
      <c r="H494" s="14">
        <f>IF(G494="","",SUMIFS(Оплаты!$B$6:$B$505,Оплаты!$D$6:$D$505,A494,Оплаты!$A$6:$A$505,D494))</f>
        <v/>
      </c>
      <c r="I494">
        <f>IF(G494="","",SUMPRODUCT((((((D494+'По дням'!$K$6:$K$155-ABS(D494-'По дням'!$K$6:$K$155))-(C494+'По дням'!$J$6:$J$155+ABS(C494-'По дням'!$J$6:$J$155)))/2+1)&gt;0)*(((D494+'По дням'!$K$6:$K$155-ABS(D494-'По дням'!$K$6:$K$155))-(C494+'По дням'!$J$6:$J$155+ABS(C494-'По дням'!$J$6:$J$155)))/2+1)&gt;0)*1))</f>
        <v/>
      </c>
    </row>
    <row r="495">
      <c r="A495">
        <f>IF(AND(Оплаты!$E$487="ок",COUNTIFS(Акты!$B$5:$B$16,Оплаты!$D$487,Акты!$H$5:$H$16,"ок")&gt;0,COUNTIFS(Оплаты!$D$6:$D$486,Оплаты!$D$487,Оплаты!$A$6:$A$486,Оплаты!$A$487)=0),Оплаты!$D$487,"")</f>
        <v/>
      </c>
      <c r="B495">
        <f>IF(A495="","",MATCH(A495,Акты!$B$5:$B$16,0))</f>
        <v/>
      </c>
      <c r="C495" s="20">
        <f>IF(A495="","",Оплаты!$A$487+1)</f>
        <v/>
      </c>
      <c r="D495" s="20">
        <f>IF(A495="","",MIN(Ввод!$B$4,Ввод!$B$4+1-SUMPRODUCT(MAX((Оплаты!$D$6:$D$505=A495)*(Оплаты!$A$6:$A$505&gt;Оплаты!$A$487)*(Ввод!$B$4+1-Оплаты!$A$6:$A$505)))))</f>
        <v/>
      </c>
      <c r="E495" s="14">
        <f>IF(A495="","",INDEX(Акты!$D$5:$D$16,B495)-SUMIFS(Оплаты!$B$6:$B$505,Оплаты!$D$6:$D$505,A495,Оплаты!$A$6:$A$505,"&lt;="&amp;Оплаты!$A$487))</f>
        <v/>
      </c>
      <c r="F495" s="14">
        <f>IF(G495="","",SUMPRODUCT(ROUND(E495*'По дням'!$L$6:$L$155/100*((((D495+'По дням'!$K$6:$K$155-ABS(D495-'По дням'!$K$6:$K$155))-(C495+'По дням'!$J$6:$J$155+ABS(C495-'По дням'!$J$6:$J$155)))/2+1)&gt;0)*(((D495+'По дням'!$K$6:$K$155-ABS(D495-'По дням'!$K$6:$K$155))-(C495+'По дням'!$J$6:$J$155+ABS(C495-'По дням'!$J$6:$J$155)))/2+1)/'По дням'!$M$6:$M$155,2)*(1-'По дням'!$N$6:$N$155)))</f>
        <v/>
      </c>
      <c r="G495">
        <f>IF(A495="","",IF(C495&gt;D495,"",B495*1000000+C495))</f>
        <v/>
      </c>
      <c r="H495" s="14">
        <f>IF(G495="","",SUMIFS(Оплаты!$B$6:$B$505,Оплаты!$D$6:$D$505,A495,Оплаты!$A$6:$A$505,D495))</f>
        <v/>
      </c>
      <c r="I495">
        <f>IF(G495="","",SUMPRODUCT((((((D495+'По дням'!$K$6:$K$155-ABS(D495-'По дням'!$K$6:$K$155))-(C495+'По дням'!$J$6:$J$155+ABS(C495-'По дням'!$J$6:$J$155)))/2+1)&gt;0)*(((D495+'По дням'!$K$6:$K$155-ABS(D495-'По дням'!$K$6:$K$155))-(C495+'По дням'!$J$6:$J$155+ABS(C495-'По дням'!$J$6:$J$155)))/2+1)&gt;0)*1))</f>
        <v/>
      </c>
    </row>
    <row r="496">
      <c r="A496">
        <f>IF(AND(Оплаты!$E$488="ок",COUNTIFS(Акты!$B$5:$B$16,Оплаты!$D$488,Акты!$H$5:$H$16,"ок")&gt;0,COUNTIFS(Оплаты!$D$6:$D$487,Оплаты!$D$488,Оплаты!$A$6:$A$487,Оплаты!$A$488)=0),Оплаты!$D$488,"")</f>
        <v/>
      </c>
      <c r="B496">
        <f>IF(A496="","",MATCH(A496,Акты!$B$5:$B$16,0))</f>
        <v/>
      </c>
      <c r="C496" s="20">
        <f>IF(A496="","",Оплаты!$A$488+1)</f>
        <v/>
      </c>
      <c r="D496" s="20">
        <f>IF(A496="","",MIN(Ввод!$B$4,Ввод!$B$4+1-SUMPRODUCT(MAX((Оплаты!$D$6:$D$505=A496)*(Оплаты!$A$6:$A$505&gt;Оплаты!$A$488)*(Ввод!$B$4+1-Оплаты!$A$6:$A$505)))))</f>
        <v/>
      </c>
      <c r="E496" s="14">
        <f>IF(A496="","",INDEX(Акты!$D$5:$D$16,B496)-SUMIFS(Оплаты!$B$6:$B$505,Оплаты!$D$6:$D$505,A496,Оплаты!$A$6:$A$505,"&lt;="&amp;Оплаты!$A$488))</f>
        <v/>
      </c>
      <c r="F496" s="14">
        <f>IF(G496="","",SUMPRODUCT(ROUND(E496*'По дням'!$L$6:$L$155/100*((((D496+'По дням'!$K$6:$K$155-ABS(D496-'По дням'!$K$6:$K$155))-(C496+'По дням'!$J$6:$J$155+ABS(C496-'По дням'!$J$6:$J$155)))/2+1)&gt;0)*(((D496+'По дням'!$K$6:$K$155-ABS(D496-'По дням'!$K$6:$K$155))-(C496+'По дням'!$J$6:$J$155+ABS(C496-'По дням'!$J$6:$J$155)))/2+1)/'По дням'!$M$6:$M$155,2)*(1-'По дням'!$N$6:$N$155)))</f>
        <v/>
      </c>
      <c r="G496">
        <f>IF(A496="","",IF(C496&gt;D496,"",B496*1000000+C496))</f>
        <v/>
      </c>
      <c r="H496" s="14">
        <f>IF(G496="","",SUMIFS(Оплаты!$B$6:$B$505,Оплаты!$D$6:$D$505,A496,Оплаты!$A$6:$A$505,D496))</f>
        <v/>
      </c>
      <c r="I496">
        <f>IF(G496="","",SUMPRODUCT((((((D496+'По дням'!$K$6:$K$155-ABS(D496-'По дням'!$K$6:$K$155))-(C496+'По дням'!$J$6:$J$155+ABS(C496-'По дням'!$J$6:$J$155)))/2+1)&gt;0)*(((D496+'По дням'!$K$6:$K$155-ABS(D496-'По дням'!$K$6:$K$155))-(C496+'По дням'!$J$6:$J$155+ABS(C496-'По дням'!$J$6:$J$155)))/2+1)&gt;0)*1))</f>
        <v/>
      </c>
    </row>
    <row r="497">
      <c r="A497">
        <f>IF(AND(Оплаты!$E$489="ок",COUNTIFS(Акты!$B$5:$B$16,Оплаты!$D$489,Акты!$H$5:$H$16,"ок")&gt;0,COUNTIFS(Оплаты!$D$6:$D$488,Оплаты!$D$489,Оплаты!$A$6:$A$488,Оплаты!$A$489)=0),Оплаты!$D$489,"")</f>
        <v/>
      </c>
      <c r="B497">
        <f>IF(A497="","",MATCH(A497,Акты!$B$5:$B$16,0))</f>
        <v/>
      </c>
      <c r="C497" s="20">
        <f>IF(A497="","",Оплаты!$A$489+1)</f>
        <v/>
      </c>
      <c r="D497" s="20">
        <f>IF(A497="","",MIN(Ввод!$B$4,Ввод!$B$4+1-SUMPRODUCT(MAX((Оплаты!$D$6:$D$505=A497)*(Оплаты!$A$6:$A$505&gt;Оплаты!$A$489)*(Ввод!$B$4+1-Оплаты!$A$6:$A$505)))))</f>
        <v/>
      </c>
      <c r="E497" s="14">
        <f>IF(A497="","",INDEX(Акты!$D$5:$D$16,B497)-SUMIFS(Оплаты!$B$6:$B$505,Оплаты!$D$6:$D$505,A497,Оплаты!$A$6:$A$505,"&lt;="&amp;Оплаты!$A$489))</f>
        <v/>
      </c>
      <c r="F497" s="14">
        <f>IF(G497="","",SUMPRODUCT(ROUND(E497*'По дням'!$L$6:$L$155/100*((((D497+'По дням'!$K$6:$K$155-ABS(D497-'По дням'!$K$6:$K$155))-(C497+'По дням'!$J$6:$J$155+ABS(C497-'По дням'!$J$6:$J$155)))/2+1)&gt;0)*(((D497+'По дням'!$K$6:$K$155-ABS(D497-'По дням'!$K$6:$K$155))-(C497+'По дням'!$J$6:$J$155+ABS(C497-'По дням'!$J$6:$J$155)))/2+1)/'По дням'!$M$6:$M$155,2)*(1-'По дням'!$N$6:$N$155)))</f>
        <v/>
      </c>
      <c r="G497">
        <f>IF(A497="","",IF(C497&gt;D497,"",B497*1000000+C497))</f>
        <v/>
      </c>
      <c r="H497" s="14">
        <f>IF(G497="","",SUMIFS(Оплаты!$B$6:$B$505,Оплаты!$D$6:$D$505,A497,Оплаты!$A$6:$A$505,D497))</f>
        <v/>
      </c>
      <c r="I497">
        <f>IF(G497="","",SUMPRODUCT((((((D497+'По дням'!$K$6:$K$155-ABS(D497-'По дням'!$K$6:$K$155))-(C497+'По дням'!$J$6:$J$155+ABS(C497-'По дням'!$J$6:$J$155)))/2+1)&gt;0)*(((D497+'По дням'!$K$6:$K$155-ABS(D497-'По дням'!$K$6:$K$155))-(C497+'По дням'!$J$6:$J$155+ABS(C497-'По дням'!$J$6:$J$155)))/2+1)&gt;0)*1))</f>
        <v/>
      </c>
    </row>
    <row r="498">
      <c r="A498">
        <f>IF(AND(Оплаты!$E$490="ок",COUNTIFS(Акты!$B$5:$B$16,Оплаты!$D$490,Акты!$H$5:$H$16,"ок")&gt;0,COUNTIFS(Оплаты!$D$6:$D$489,Оплаты!$D$490,Оплаты!$A$6:$A$489,Оплаты!$A$490)=0),Оплаты!$D$490,"")</f>
        <v/>
      </c>
      <c r="B498">
        <f>IF(A498="","",MATCH(A498,Акты!$B$5:$B$16,0))</f>
        <v/>
      </c>
      <c r="C498" s="20">
        <f>IF(A498="","",Оплаты!$A$490+1)</f>
        <v/>
      </c>
      <c r="D498" s="20">
        <f>IF(A498="","",MIN(Ввод!$B$4,Ввод!$B$4+1-SUMPRODUCT(MAX((Оплаты!$D$6:$D$505=A498)*(Оплаты!$A$6:$A$505&gt;Оплаты!$A$490)*(Ввод!$B$4+1-Оплаты!$A$6:$A$505)))))</f>
        <v/>
      </c>
      <c r="E498" s="14">
        <f>IF(A498="","",INDEX(Акты!$D$5:$D$16,B498)-SUMIFS(Оплаты!$B$6:$B$505,Оплаты!$D$6:$D$505,A498,Оплаты!$A$6:$A$505,"&lt;="&amp;Оплаты!$A$490))</f>
        <v/>
      </c>
      <c r="F498" s="14">
        <f>IF(G498="","",SUMPRODUCT(ROUND(E498*'По дням'!$L$6:$L$155/100*((((D498+'По дням'!$K$6:$K$155-ABS(D498-'По дням'!$K$6:$K$155))-(C498+'По дням'!$J$6:$J$155+ABS(C498-'По дням'!$J$6:$J$155)))/2+1)&gt;0)*(((D498+'По дням'!$K$6:$K$155-ABS(D498-'По дням'!$K$6:$K$155))-(C498+'По дням'!$J$6:$J$155+ABS(C498-'По дням'!$J$6:$J$155)))/2+1)/'По дням'!$M$6:$M$155,2)*(1-'По дням'!$N$6:$N$155)))</f>
        <v/>
      </c>
      <c r="G498">
        <f>IF(A498="","",IF(C498&gt;D498,"",B498*1000000+C498))</f>
        <v/>
      </c>
      <c r="H498" s="14">
        <f>IF(G498="","",SUMIFS(Оплаты!$B$6:$B$505,Оплаты!$D$6:$D$505,A498,Оплаты!$A$6:$A$505,D498))</f>
        <v/>
      </c>
      <c r="I498">
        <f>IF(G498="","",SUMPRODUCT((((((D498+'По дням'!$K$6:$K$155-ABS(D498-'По дням'!$K$6:$K$155))-(C498+'По дням'!$J$6:$J$155+ABS(C498-'По дням'!$J$6:$J$155)))/2+1)&gt;0)*(((D498+'По дням'!$K$6:$K$155-ABS(D498-'По дням'!$K$6:$K$155))-(C498+'По дням'!$J$6:$J$155+ABS(C498-'По дням'!$J$6:$J$155)))/2+1)&gt;0)*1))</f>
        <v/>
      </c>
    </row>
    <row r="499">
      <c r="A499">
        <f>IF(AND(Оплаты!$E$491="ок",COUNTIFS(Акты!$B$5:$B$16,Оплаты!$D$491,Акты!$H$5:$H$16,"ок")&gt;0,COUNTIFS(Оплаты!$D$6:$D$490,Оплаты!$D$491,Оплаты!$A$6:$A$490,Оплаты!$A$491)=0),Оплаты!$D$491,"")</f>
        <v/>
      </c>
      <c r="B499">
        <f>IF(A499="","",MATCH(A499,Акты!$B$5:$B$16,0))</f>
        <v/>
      </c>
      <c r="C499" s="20">
        <f>IF(A499="","",Оплаты!$A$491+1)</f>
        <v/>
      </c>
      <c r="D499" s="20">
        <f>IF(A499="","",MIN(Ввод!$B$4,Ввод!$B$4+1-SUMPRODUCT(MAX((Оплаты!$D$6:$D$505=A499)*(Оплаты!$A$6:$A$505&gt;Оплаты!$A$491)*(Ввод!$B$4+1-Оплаты!$A$6:$A$505)))))</f>
        <v/>
      </c>
      <c r="E499" s="14">
        <f>IF(A499="","",INDEX(Акты!$D$5:$D$16,B499)-SUMIFS(Оплаты!$B$6:$B$505,Оплаты!$D$6:$D$505,A499,Оплаты!$A$6:$A$505,"&lt;="&amp;Оплаты!$A$491))</f>
        <v/>
      </c>
      <c r="F499" s="14">
        <f>IF(G499="","",SUMPRODUCT(ROUND(E499*'По дням'!$L$6:$L$155/100*((((D499+'По дням'!$K$6:$K$155-ABS(D499-'По дням'!$K$6:$K$155))-(C499+'По дням'!$J$6:$J$155+ABS(C499-'По дням'!$J$6:$J$155)))/2+1)&gt;0)*(((D499+'По дням'!$K$6:$K$155-ABS(D499-'По дням'!$K$6:$K$155))-(C499+'По дням'!$J$6:$J$155+ABS(C499-'По дням'!$J$6:$J$155)))/2+1)/'По дням'!$M$6:$M$155,2)*(1-'По дням'!$N$6:$N$155)))</f>
        <v/>
      </c>
      <c r="G499">
        <f>IF(A499="","",IF(C499&gt;D499,"",B499*1000000+C499))</f>
        <v/>
      </c>
      <c r="H499" s="14">
        <f>IF(G499="","",SUMIFS(Оплаты!$B$6:$B$505,Оплаты!$D$6:$D$505,A499,Оплаты!$A$6:$A$505,D499))</f>
        <v/>
      </c>
      <c r="I499">
        <f>IF(G499="","",SUMPRODUCT((((((D499+'По дням'!$K$6:$K$155-ABS(D499-'По дням'!$K$6:$K$155))-(C499+'По дням'!$J$6:$J$155+ABS(C499-'По дням'!$J$6:$J$155)))/2+1)&gt;0)*(((D499+'По дням'!$K$6:$K$155-ABS(D499-'По дням'!$K$6:$K$155))-(C499+'По дням'!$J$6:$J$155+ABS(C499-'По дням'!$J$6:$J$155)))/2+1)&gt;0)*1))</f>
        <v/>
      </c>
    </row>
    <row r="500">
      <c r="A500">
        <f>IF(AND(Оплаты!$E$492="ок",COUNTIFS(Акты!$B$5:$B$16,Оплаты!$D$492,Акты!$H$5:$H$16,"ок")&gt;0,COUNTIFS(Оплаты!$D$6:$D$491,Оплаты!$D$492,Оплаты!$A$6:$A$491,Оплаты!$A$492)=0),Оплаты!$D$492,"")</f>
        <v/>
      </c>
      <c r="B500">
        <f>IF(A500="","",MATCH(A500,Акты!$B$5:$B$16,0))</f>
        <v/>
      </c>
      <c r="C500" s="20">
        <f>IF(A500="","",Оплаты!$A$492+1)</f>
        <v/>
      </c>
      <c r="D500" s="20">
        <f>IF(A500="","",MIN(Ввод!$B$4,Ввод!$B$4+1-SUMPRODUCT(MAX((Оплаты!$D$6:$D$505=A500)*(Оплаты!$A$6:$A$505&gt;Оплаты!$A$492)*(Ввод!$B$4+1-Оплаты!$A$6:$A$505)))))</f>
        <v/>
      </c>
      <c r="E500" s="14">
        <f>IF(A500="","",INDEX(Акты!$D$5:$D$16,B500)-SUMIFS(Оплаты!$B$6:$B$505,Оплаты!$D$6:$D$505,A500,Оплаты!$A$6:$A$505,"&lt;="&amp;Оплаты!$A$492))</f>
        <v/>
      </c>
      <c r="F500" s="14">
        <f>IF(G500="","",SUMPRODUCT(ROUND(E500*'По дням'!$L$6:$L$155/100*((((D500+'По дням'!$K$6:$K$155-ABS(D500-'По дням'!$K$6:$K$155))-(C500+'По дням'!$J$6:$J$155+ABS(C500-'По дням'!$J$6:$J$155)))/2+1)&gt;0)*(((D500+'По дням'!$K$6:$K$155-ABS(D500-'По дням'!$K$6:$K$155))-(C500+'По дням'!$J$6:$J$155+ABS(C500-'По дням'!$J$6:$J$155)))/2+1)/'По дням'!$M$6:$M$155,2)*(1-'По дням'!$N$6:$N$155)))</f>
        <v/>
      </c>
      <c r="G500">
        <f>IF(A500="","",IF(C500&gt;D500,"",B500*1000000+C500))</f>
        <v/>
      </c>
      <c r="H500" s="14">
        <f>IF(G500="","",SUMIFS(Оплаты!$B$6:$B$505,Оплаты!$D$6:$D$505,A500,Оплаты!$A$6:$A$505,D500))</f>
        <v/>
      </c>
      <c r="I500">
        <f>IF(G500="","",SUMPRODUCT((((((D500+'По дням'!$K$6:$K$155-ABS(D500-'По дням'!$K$6:$K$155))-(C500+'По дням'!$J$6:$J$155+ABS(C500-'По дням'!$J$6:$J$155)))/2+1)&gt;0)*(((D500+'По дням'!$K$6:$K$155-ABS(D500-'По дням'!$K$6:$K$155))-(C500+'По дням'!$J$6:$J$155+ABS(C500-'По дням'!$J$6:$J$155)))/2+1)&gt;0)*1))</f>
        <v/>
      </c>
    </row>
    <row r="501">
      <c r="A501">
        <f>IF(AND(Оплаты!$E$493="ок",COUNTIFS(Акты!$B$5:$B$16,Оплаты!$D$493,Акты!$H$5:$H$16,"ок")&gt;0,COUNTIFS(Оплаты!$D$6:$D$492,Оплаты!$D$493,Оплаты!$A$6:$A$492,Оплаты!$A$493)=0),Оплаты!$D$493,"")</f>
        <v/>
      </c>
      <c r="B501">
        <f>IF(A501="","",MATCH(A501,Акты!$B$5:$B$16,0))</f>
        <v/>
      </c>
      <c r="C501" s="20">
        <f>IF(A501="","",Оплаты!$A$493+1)</f>
        <v/>
      </c>
      <c r="D501" s="20">
        <f>IF(A501="","",MIN(Ввод!$B$4,Ввод!$B$4+1-SUMPRODUCT(MAX((Оплаты!$D$6:$D$505=A501)*(Оплаты!$A$6:$A$505&gt;Оплаты!$A$493)*(Ввод!$B$4+1-Оплаты!$A$6:$A$505)))))</f>
        <v/>
      </c>
      <c r="E501" s="14">
        <f>IF(A501="","",INDEX(Акты!$D$5:$D$16,B501)-SUMIFS(Оплаты!$B$6:$B$505,Оплаты!$D$6:$D$505,A501,Оплаты!$A$6:$A$505,"&lt;="&amp;Оплаты!$A$493))</f>
        <v/>
      </c>
      <c r="F501" s="14">
        <f>IF(G501="","",SUMPRODUCT(ROUND(E501*'По дням'!$L$6:$L$155/100*((((D501+'По дням'!$K$6:$K$155-ABS(D501-'По дням'!$K$6:$K$155))-(C501+'По дням'!$J$6:$J$155+ABS(C501-'По дням'!$J$6:$J$155)))/2+1)&gt;0)*(((D501+'По дням'!$K$6:$K$155-ABS(D501-'По дням'!$K$6:$K$155))-(C501+'По дням'!$J$6:$J$155+ABS(C501-'По дням'!$J$6:$J$155)))/2+1)/'По дням'!$M$6:$M$155,2)*(1-'По дням'!$N$6:$N$155)))</f>
        <v/>
      </c>
      <c r="G501">
        <f>IF(A501="","",IF(C501&gt;D501,"",B501*1000000+C501))</f>
        <v/>
      </c>
      <c r="H501" s="14">
        <f>IF(G501="","",SUMIFS(Оплаты!$B$6:$B$505,Оплаты!$D$6:$D$505,A501,Оплаты!$A$6:$A$505,D501))</f>
        <v/>
      </c>
      <c r="I501">
        <f>IF(G501="","",SUMPRODUCT((((((D501+'По дням'!$K$6:$K$155-ABS(D501-'По дням'!$K$6:$K$155))-(C501+'По дням'!$J$6:$J$155+ABS(C501-'По дням'!$J$6:$J$155)))/2+1)&gt;0)*(((D501+'По дням'!$K$6:$K$155-ABS(D501-'По дням'!$K$6:$K$155))-(C501+'По дням'!$J$6:$J$155+ABS(C501-'По дням'!$J$6:$J$155)))/2+1)&gt;0)*1))</f>
        <v/>
      </c>
    </row>
    <row r="502">
      <c r="A502">
        <f>IF(AND(Оплаты!$E$494="ок",COUNTIFS(Акты!$B$5:$B$16,Оплаты!$D$494,Акты!$H$5:$H$16,"ок")&gt;0,COUNTIFS(Оплаты!$D$6:$D$493,Оплаты!$D$494,Оплаты!$A$6:$A$493,Оплаты!$A$494)=0),Оплаты!$D$494,"")</f>
        <v/>
      </c>
      <c r="B502">
        <f>IF(A502="","",MATCH(A502,Акты!$B$5:$B$16,0))</f>
        <v/>
      </c>
      <c r="C502" s="20">
        <f>IF(A502="","",Оплаты!$A$494+1)</f>
        <v/>
      </c>
      <c r="D502" s="20">
        <f>IF(A502="","",MIN(Ввод!$B$4,Ввод!$B$4+1-SUMPRODUCT(MAX((Оплаты!$D$6:$D$505=A502)*(Оплаты!$A$6:$A$505&gt;Оплаты!$A$494)*(Ввод!$B$4+1-Оплаты!$A$6:$A$505)))))</f>
        <v/>
      </c>
      <c r="E502" s="14">
        <f>IF(A502="","",INDEX(Акты!$D$5:$D$16,B502)-SUMIFS(Оплаты!$B$6:$B$505,Оплаты!$D$6:$D$505,A502,Оплаты!$A$6:$A$505,"&lt;="&amp;Оплаты!$A$494))</f>
        <v/>
      </c>
      <c r="F502" s="14">
        <f>IF(G502="","",SUMPRODUCT(ROUND(E502*'По дням'!$L$6:$L$155/100*((((D502+'По дням'!$K$6:$K$155-ABS(D502-'По дням'!$K$6:$K$155))-(C502+'По дням'!$J$6:$J$155+ABS(C502-'По дням'!$J$6:$J$155)))/2+1)&gt;0)*(((D502+'По дням'!$K$6:$K$155-ABS(D502-'По дням'!$K$6:$K$155))-(C502+'По дням'!$J$6:$J$155+ABS(C502-'По дням'!$J$6:$J$155)))/2+1)/'По дням'!$M$6:$M$155,2)*(1-'По дням'!$N$6:$N$155)))</f>
        <v/>
      </c>
      <c r="G502">
        <f>IF(A502="","",IF(C502&gt;D502,"",B502*1000000+C502))</f>
        <v/>
      </c>
      <c r="H502" s="14">
        <f>IF(G502="","",SUMIFS(Оплаты!$B$6:$B$505,Оплаты!$D$6:$D$505,A502,Оплаты!$A$6:$A$505,D502))</f>
        <v/>
      </c>
      <c r="I502">
        <f>IF(G502="","",SUMPRODUCT((((((D502+'По дням'!$K$6:$K$155-ABS(D502-'По дням'!$K$6:$K$155))-(C502+'По дням'!$J$6:$J$155+ABS(C502-'По дням'!$J$6:$J$155)))/2+1)&gt;0)*(((D502+'По дням'!$K$6:$K$155-ABS(D502-'По дням'!$K$6:$K$155))-(C502+'По дням'!$J$6:$J$155+ABS(C502-'По дням'!$J$6:$J$155)))/2+1)&gt;0)*1))</f>
        <v/>
      </c>
    </row>
    <row r="503">
      <c r="A503">
        <f>IF(AND(Оплаты!$E$495="ок",COUNTIFS(Акты!$B$5:$B$16,Оплаты!$D$495,Акты!$H$5:$H$16,"ок")&gt;0,COUNTIFS(Оплаты!$D$6:$D$494,Оплаты!$D$495,Оплаты!$A$6:$A$494,Оплаты!$A$495)=0),Оплаты!$D$495,"")</f>
        <v/>
      </c>
      <c r="B503">
        <f>IF(A503="","",MATCH(A503,Акты!$B$5:$B$16,0))</f>
        <v/>
      </c>
      <c r="C503" s="20">
        <f>IF(A503="","",Оплаты!$A$495+1)</f>
        <v/>
      </c>
      <c r="D503" s="20">
        <f>IF(A503="","",MIN(Ввод!$B$4,Ввод!$B$4+1-SUMPRODUCT(MAX((Оплаты!$D$6:$D$505=A503)*(Оплаты!$A$6:$A$505&gt;Оплаты!$A$495)*(Ввод!$B$4+1-Оплаты!$A$6:$A$505)))))</f>
        <v/>
      </c>
      <c r="E503" s="14">
        <f>IF(A503="","",INDEX(Акты!$D$5:$D$16,B503)-SUMIFS(Оплаты!$B$6:$B$505,Оплаты!$D$6:$D$505,A503,Оплаты!$A$6:$A$505,"&lt;="&amp;Оплаты!$A$495))</f>
        <v/>
      </c>
      <c r="F503" s="14">
        <f>IF(G503="","",SUMPRODUCT(ROUND(E503*'По дням'!$L$6:$L$155/100*((((D503+'По дням'!$K$6:$K$155-ABS(D503-'По дням'!$K$6:$K$155))-(C503+'По дням'!$J$6:$J$155+ABS(C503-'По дням'!$J$6:$J$155)))/2+1)&gt;0)*(((D503+'По дням'!$K$6:$K$155-ABS(D503-'По дням'!$K$6:$K$155))-(C503+'По дням'!$J$6:$J$155+ABS(C503-'По дням'!$J$6:$J$155)))/2+1)/'По дням'!$M$6:$M$155,2)*(1-'По дням'!$N$6:$N$155)))</f>
        <v/>
      </c>
      <c r="G503">
        <f>IF(A503="","",IF(C503&gt;D503,"",B503*1000000+C503))</f>
        <v/>
      </c>
      <c r="H503" s="14">
        <f>IF(G503="","",SUMIFS(Оплаты!$B$6:$B$505,Оплаты!$D$6:$D$505,A503,Оплаты!$A$6:$A$505,D503))</f>
        <v/>
      </c>
      <c r="I503">
        <f>IF(G503="","",SUMPRODUCT((((((D503+'По дням'!$K$6:$K$155-ABS(D503-'По дням'!$K$6:$K$155))-(C503+'По дням'!$J$6:$J$155+ABS(C503-'По дням'!$J$6:$J$155)))/2+1)&gt;0)*(((D503+'По дням'!$K$6:$K$155-ABS(D503-'По дням'!$K$6:$K$155))-(C503+'По дням'!$J$6:$J$155+ABS(C503-'По дням'!$J$6:$J$155)))/2+1)&gt;0)*1))</f>
        <v/>
      </c>
    </row>
    <row r="504">
      <c r="A504">
        <f>IF(AND(Оплаты!$E$496="ок",COUNTIFS(Акты!$B$5:$B$16,Оплаты!$D$496,Акты!$H$5:$H$16,"ок")&gt;0,COUNTIFS(Оплаты!$D$6:$D$495,Оплаты!$D$496,Оплаты!$A$6:$A$495,Оплаты!$A$496)=0),Оплаты!$D$496,"")</f>
        <v/>
      </c>
      <c r="B504">
        <f>IF(A504="","",MATCH(A504,Акты!$B$5:$B$16,0))</f>
        <v/>
      </c>
      <c r="C504" s="20">
        <f>IF(A504="","",Оплаты!$A$496+1)</f>
        <v/>
      </c>
      <c r="D504" s="20">
        <f>IF(A504="","",MIN(Ввод!$B$4,Ввод!$B$4+1-SUMPRODUCT(MAX((Оплаты!$D$6:$D$505=A504)*(Оплаты!$A$6:$A$505&gt;Оплаты!$A$496)*(Ввод!$B$4+1-Оплаты!$A$6:$A$505)))))</f>
        <v/>
      </c>
      <c r="E504" s="14">
        <f>IF(A504="","",INDEX(Акты!$D$5:$D$16,B504)-SUMIFS(Оплаты!$B$6:$B$505,Оплаты!$D$6:$D$505,A504,Оплаты!$A$6:$A$505,"&lt;="&amp;Оплаты!$A$496))</f>
        <v/>
      </c>
      <c r="F504" s="14">
        <f>IF(G504="","",SUMPRODUCT(ROUND(E504*'По дням'!$L$6:$L$155/100*((((D504+'По дням'!$K$6:$K$155-ABS(D504-'По дням'!$K$6:$K$155))-(C504+'По дням'!$J$6:$J$155+ABS(C504-'По дням'!$J$6:$J$155)))/2+1)&gt;0)*(((D504+'По дням'!$K$6:$K$155-ABS(D504-'По дням'!$K$6:$K$155))-(C504+'По дням'!$J$6:$J$155+ABS(C504-'По дням'!$J$6:$J$155)))/2+1)/'По дням'!$M$6:$M$155,2)*(1-'По дням'!$N$6:$N$155)))</f>
        <v/>
      </c>
      <c r="G504">
        <f>IF(A504="","",IF(C504&gt;D504,"",B504*1000000+C504))</f>
        <v/>
      </c>
      <c r="H504" s="14">
        <f>IF(G504="","",SUMIFS(Оплаты!$B$6:$B$505,Оплаты!$D$6:$D$505,A504,Оплаты!$A$6:$A$505,D504))</f>
        <v/>
      </c>
      <c r="I504">
        <f>IF(G504="","",SUMPRODUCT((((((D504+'По дням'!$K$6:$K$155-ABS(D504-'По дням'!$K$6:$K$155))-(C504+'По дням'!$J$6:$J$155+ABS(C504-'По дням'!$J$6:$J$155)))/2+1)&gt;0)*(((D504+'По дням'!$K$6:$K$155-ABS(D504-'По дням'!$K$6:$K$155))-(C504+'По дням'!$J$6:$J$155+ABS(C504-'По дням'!$J$6:$J$155)))/2+1)&gt;0)*1))</f>
        <v/>
      </c>
    </row>
    <row r="505">
      <c r="A505">
        <f>IF(AND(Оплаты!$E$497="ок",COUNTIFS(Акты!$B$5:$B$16,Оплаты!$D$497,Акты!$H$5:$H$16,"ок")&gt;0,COUNTIFS(Оплаты!$D$6:$D$496,Оплаты!$D$497,Оплаты!$A$6:$A$496,Оплаты!$A$497)=0),Оплаты!$D$497,"")</f>
        <v/>
      </c>
      <c r="B505">
        <f>IF(A505="","",MATCH(A505,Акты!$B$5:$B$16,0))</f>
        <v/>
      </c>
      <c r="C505" s="20">
        <f>IF(A505="","",Оплаты!$A$497+1)</f>
        <v/>
      </c>
      <c r="D505" s="20">
        <f>IF(A505="","",MIN(Ввод!$B$4,Ввод!$B$4+1-SUMPRODUCT(MAX((Оплаты!$D$6:$D$505=A505)*(Оплаты!$A$6:$A$505&gt;Оплаты!$A$497)*(Ввод!$B$4+1-Оплаты!$A$6:$A$505)))))</f>
        <v/>
      </c>
      <c r="E505" s="14">
        <f>IF(A505="","",INDEX(Акты!$D$5:$D$16,B505)-SUMIFS(Оплаты!$B$6:$B$505,Оплаты!$D$6:$D$505,A505,Оплаты!$A$6:$A$505,"&lt;="&amp;Оплаты!$A$497))</f>
        <v/>
      </c>
      <c r="F505" s="14">
        <f>IF(G505="","",SUMPRODUCT(ROUND(E505*'По дням'!$L$6:$L$155/100*((((D505+'По дням'!$K$6:$K$155-ABS(D505-'По дням'!$K$6:$K$155))-(C505+'По дням'!$J$6:$J$155+ABS(C505-'По дням'!$J$6:$J$155)))/2+1)&gt;0)*(((D505+'По дням'!$K$6:$K$155-ABS(D505-'По дням'!$K$6:$K$155))-(C505+'По дням'!$J$6:$J$155+ABS(C505-'По дням'!$J$6:$J$155)))/2+1)/'По дням'!$M$6:$M$155,2)*(1-'По дням'!$N$6:$N$155)))</f>
        <v/>
      </c>
      <c r="G505">
        <f>IF(A505="","",IF(C505&gt;D505,"",B505*1000000+C505))</f>
        <v/>
      </c>
      <c r="H505" s="14">
        <f>IF(G505="","",SUMIFS(Оплаты!$B$6:$B$505,Оплаты!$D$6:$D$505,A505,Оплаты!$A$6:$A$505,D505))</f>
        <v/>
      </c>
      <c r="I505">
        <f>IF(G505="","",SUMPRODUCT((((((D505+'По дням'!$K$6:$K$155-ABS(D505-'По дням'!$K$6:$K$155))-(C505+'По дням'!$J$6:$J$155+ABS(C505-'По дням'!$J$6:$J$155)))/2+1)&gt;0)*(((D505+'По дням'!$K$6:$K$155-ABS(D505-'По дням'!$K$6:$K$155))-(C505+'По дням'!$J$6:$J$155+ABS(C505-'По дням'!$J$6:$J$155)))/2+1)&gt;0)*1))</f>
        <v/>
      </c>
    </row>
    <row r="506">
      <c r="A506">
        <f>IF(AND(Оплаты!$E$498="ок",COUNTIFS(Акты!$B$5:$B$16,Оплаты!$D$498,Акты!$H$5:$H$16,"ок")&gt;0,COUNTIFS(Оплаты!$D$6:$D$497,Оплаты!$D$498,Оплаты!$A$6:$A$497,Оплаты!$A$498)=0),Оплаты!$D$498,"")</f>
        <v/>
      </c>
      <c r="B506">
        <f>IF(A506="","",MATCH(A506,Акты!$B$5:$B$16,0))</f>
        <v/>
      </c>
      <c r="C506" s="20">
        <f>IF(A506="","",Оплаты!$A$498+1)</f>
        <v/>
      </c>
      <c r="D506" s="20">
        <f>IF(A506="","",MIN(Ввод!$B$4,Ввод!$B$4+1-SUMPRODUCT(MAX((Оплаты!$D$6:$D$505=A506)*(Оплаты!$A$6:$A$505&gt;Оплаты!$A$498)*(Ввод!$B$4+1-Оплаты!$A$6:$A$505)))))</f>
        <v/>
      </c>
      <c r="E506" s="14">
        <f>IF(A506="","",INDEX(Акты!$D$5:$D$16,B506)-SUMIFS(Оплаты!$B$6:$B$505,Оплаты!$D$6:$D$505,A506,Оплаты!$A$6:$A$505,"&lt;="&amp;Оплаты!$A$498))</f>
        <v/>
      </c>
      <c r="F506" s="14">
        <f>IF(G506="","",SUMPRODUCT(ROUND(E506*'По дням'!$L$6:$L$155/100*((((D506+'По дням'!$K$6:$K$155-ABS(D506-'По дням'!$K$6:$K$155))-(C506+'По дням'!$J$6:$J$155+ABS(C506-'По дням'!$J$6:$J$155)))/2+1)&gt;0)*(((D506+'По дням'!$K$6:$K$155-ABS(D506-'По дням'!$K$6:$K$155))-(C506+'По дням'!$J$6:$J$155+ABS(C506-'По дням'!$J$6:$J$155)))/2+1)/'По дням'!$M$6:$M$155,2)*(1-'По дням'!$N$6:$N$155)))</f>
        <v/>
      </c>
      <c r="G506">
        <f>IF(A506="","",IF(C506&gt;D506,"",B506*1000000+C506))</f>
        <v/>
      </c>
      <c r="H506" s="14">
        <f>IF(G506="","",SUMIFS(Оплаты!$B$6:$B$505,Оплаты!$D$6:$D$505,A506,Оплаты!$A$6:$A$505,D506))</f>
        <v/>
      </c>
      <c r="I506">
        <f>IF(G506="","",SUMPRODUCT((((((D506+'По дням'!$K$6:$K$155-ABS(D506-'По дням'!$K$6:$K$155))-(C506+'По дням'!$J$6:$J$155+ABS(C506-'По дням'!$J$6:$J$155)))/2+1)&gt;0)*(((D506+'По дням'!$K$6:$K$155-ABS(D506-'По дням'!$K$6:$K$155))-(C506+'По дням'!$J$6:$J$155+ABS(C506-'По дням'!$J$6:$J$155)))/2+1)&gt;0)*1))</f>
        <v/>
      </c>
    </row>
    <row r="507">
      <c r="A507">
        <f>IF(AND(Оплаты!$E$499="ок",COUNTIFS(Акты!$B$5:$B$16,Оплаты!$D$499,Акты!$H$5:$H$16,"ок")&gt;0,COUNTIFS(Оплаты!$D$6:$D$498,Оплаты!$D$499,Оплаты!$A$6:$A$498,Оплаты!$A$499)=0),Оплаты!$D$499,"")</f>
        <v/>
      </c>
      <c r="B507">
        <f>IF(A507="","",MATCH(A507,Акты!$B$5:$B$16,0))</f>
        <v/>
      </c>
      <c r="C507" s="20">
        <f>IF(A507="","",Оплаты!$A$499+1)</f>
        <v/>
      </c>
      <c r="D507" s="20">
        <f>IF(A507="","",MIN(Ввод!$B$4,Ввод!$B$4+1-SUMPRODUCT(MAX((Оплаты!$D$6:$D$505=A507)*(Оплаты!$A$6:$A$505&gt;Оплаты!$A$499)*(Ввод!$B$4+1-Оплаты!$A$6:$A$505)))))</f>
        <v/>
      </c>
      <c r="E507" s="14">
        <f>IF(A507="","",INDEX(Акты!$D$5:$D$16,B507)-SUMIFS(Оплаты!$B$6:$B$505,Оплаты!$D$6:$D$505,A507,Оплаты!$A$6:$A$505,"&lt;="&amp;Оплаты!$A$499))</f>
        <v/>
      </c>
      <c r="F507" s="14">
        <f>IF(G507="","",SUMPRODUCT(ROUND(E507*'По дням'!$L$6:$L$155/100*((((D507+'По дням'!$K$6:$K$155-ABS(D507-'По дням'!$K$6:$K$155))-(C507+'По дням'!$J$6:$J$155+ABS(C507-'По дням'!$J$6:$J$155)))/2+1)&gt;0)*(((D507+'По дням'!$K$6:$K$155-ABS(D507-'По дням'!$K$6:$K$155))-(C507+'По дням'!$J$6:$J$155+ABS(C507-'По дням'!$J$6:$J$155)))/2+1)/'По дням'!$M$6:$M$155,2)*(1-'По дням'!$N$6:$N$155)))</f>
        <v/>
      </c>
      <c r="G507">
        <f>IF(A507="","",IF(C507&gt;D507,"",B507*1000000+C507))</f>
        <v/>
      </c>
      <c r="H507" s="14">
        <f>IF(G507="","",SUMIFS(Оплаты!$B$6:$B$505,Оплаты!$D$6:$D$505,A507,Оплаты!$A$6:$A$505,D507))</f>
        <v/>
      </c>
      <c r="I507">
        <f>IF(G507="","",SUMPRODUCT((((((D507+'По дням'!$K$6:$K$155-ABS(D507-'По дням'!$K$6:$K$155))-(C507+'По дням'!$J$6:$J$155+ABS(C507-'По дням'!$J$6:$J$155)))/2+1)&gt;0)*(((D507+'По дням'!$K$6:$K$155-ABS(D507-'По дням'!$K$6:$K$155))-(C507+'По дням'!$J$6:$J$155+ABS(C507-'По дням'!$J$6:$J$155)))/2+1)&gt;0)*1))</f>
        <v/>
      </c>
    </row>
    <row r="508">
      <c r="A508">
        <f>IF(AND(Оплаты!$E$500="ок",COUNTIFS(Акты!$B$5:$B$16,Оплаты!$D$500,Акты!$H$5:$H$16,"ок")&gt;0,COUNTIFS(Оплаты!$D$6:$D$499,Оплаты!$D$500,Оплаты!$A$6:$A$499,Оплаты!$A$500)=0),Оплаты!$D$500,"")</f>
        <v/>
      </c>
      <c r="B508">
        <f>IF(A508="","",MATCH(A508,Акты!$B$5:$B$16,0))</f>
        <v/>
      </c>
      <c r="C508" s="20">
        <f>IF(A508="","",Оплаты!$A$500+1)</f>
        <v/>
      </c>
      <c r="D508" s="20">
        <f>IF(A508="","",MIN(Ввод!$B$4,Ввод!$B$4+1-SUMPRODUCT(MAX((Оплаты!$D$6:$D$505=A508)*(Оплаты!$A$6:$A$505&gt;Оплаты!$A$500)*(Ввод!$B$4+1-Оплаты!$A$6:$A$505)))))</f>
        <v/>
      </c>
      <c r="E508" s="14">
        <f>IF(A508="","",INDEX(Акты!$D$5:$D$16,B508)-SUMIFS(Оплаты!$B$6:$B$505,Оплаты!$D$6:$D$505,A508,Оплаты!$A$6:$A$505,"&lt;="&amp;Оплаты!$A$500))</f>
        <v/>
      </c>
      <c r="F508" s="14">
        <f>IF(G508="","",SUMPRODUCT(ROUND(E508*'По дням'!$L$6:$L$155/100*((((D508+'По дням'!$K$6:$K$155-ABS(D508-'По дням'!$K$6:$K$155))-(C508+'По дням'!$J$6:$J$155+ABS(C508-'По дням'!$J$6:$J$155)))/2+1)&gt;0)*(((D508+'По дням'!$K$6:$K$155-ABS(D508-'По дням'!$K$6:$K$155))-(C508+'По дням'!$J$6:$J$155+ABS(C508-'По дням'!$J$6:$J$155)))/2+1)/'По дням'!$M$6:$M$155,2)*(1-'По дням'!$N$6:$N$155)))</f>
        <v/>
      </c>
      <c r="G508">
        <f>IF(A508="","",IF(C508&gt;D508,"",B508*1000000+C508))</f>
        <v/>
      </c>
      <c r="H508" s="14">
        <f>IF(G508="","",SUMIFS(Оплаты!$B$6:$B$505,Оплаты!$D$6:$D$505,A508,Оплаты!$A$6:$A$505,D508))</f>
        <v/>
      </c>
      <c r="I508">
        <f>IF(G508="","",SUMPRODUCT((((((D508+'По дням'!$K$6:$K$155-ABS(D508-'По дням'!$K$6:$K$155))-(C508+'По дням'!$J$6:$J$155+ABS(C508-'По дням'!$J$6:$J$155)))/2+1)&gt;0)*(((D508+'По дням'!$K$6:$K$155-ABS(D508-'По дням'!$K$6:$K$155))-(C508+'По дням'!$J$6:$J$155+ABS(C508-'По дням'!$J$6:$J$155)))/2+1)&gt;0)*1))</f>
        <v/>
      </c>
    </row>
    <row r="509">
      <c r="A509">
        <f>IF(AND(Оплаты!$E$501="ок",COUNTIFS(Акты!$B$5:$B$16,Оплаты!$D$501,Акты!$H$5:$H$16,"ок")&gt;0,COUNTIFS(Оплаты!$D$6:$D$500,Оплаты!$D$501,Оплаты!$A$6:$A$500,Оплаты!$A$501)=0),Оплаты!$D$501,"")</f>
        <v/>
      </c>
      <c r="B509">
        <f>IF(A509="","",MATCH(A509,Акты!$B$5:$B$16,0))</f>
        <v/>
      </c>
      <c r="C509" s="20">
        <f>IF(A509="","",Оплаты!$A$501+1)</f>
        <v/>
      </c>
      <c r="D509" s="20">
        <f>IF(A509="","",MIN(Ввод!$B$4,Ввод!$B$4+1-SUMPRODUCT(MAX((Оплаты!$D$6:$D$505=A509)*(Оплаты!$A$6:$A$505&gt;Оплаты!$A$501)*(Ввод!$B$4+1-Оплаты!$A$6:$A$505)))))</f>
        <v/>
      </c>
      <c r="E509" s="14">
        <f>IF(A509="","",INDEX(Акты!$D$5:$D$16,B509)-SUMIFS(Оплаты!$B$6:$B$505,Оплаты!$D$6:$D$505,A509,Оплаты!$A$6:$A$505,"&lt;="&amp;Оплаты!$A$501))</f>
        <v/>
      </c>
      <c r="F509" s="14">
        <f>IF(G509="","",SUMPRODUCT(ROUND(E509*'По дням'!$L$6:$L$155/100*((((D509+'По дням'!$K$6:$K$155-ABS(D509-'По дням'!$K$6:$K$155))-(C509+'По дням'!$J$6:$J$155+ABS(C509-'По дням'!$J$6:$J$155)))/2+1)&gt;0)*(((D509+'По дням'!$K$6:$K$155-ABS(D509-'По дням'!$K$6:$K$155))-(C509+'По дням'!$J$6:$J$155+ABS(C509-'По дням'!$J$6:$J$155)))/2+1)/'По дням'!$M$6:$M$155,2)*(1-'По дням'!$N$6:$N$155)))</f>
        <v/>
      </c>
      <c r="G509">
        <f>IF(A509="","",IF(C509&gt;D509,"",B509*1000000+C509))</f>
        <v/>
      </c>
      <c r="H509" s="14">
        <f>IF(G509="","",SUMIFS(Оплаты!$B$6:$B$505,Оплаты!$D$6:$D$505,A509,Оплаты!$A$6:$A$505,D509))</f>
        <v/>
      </c>
      <c r="I509">
        <f>IF(G509="","",SUMPRODUCT((((((D509+'По дням'!$K$6:$K$155-ABS(D509-'По дням'!$K$6:$K$155))-(C509+'По дням'!$J$6:$J$155+ABS(C509-'По дням'!$J$6:$J$155)))/2+1)&gt;0)*(((D509+'По дням'!$K$6:$K$155-ABS(D509-'По дням'!$K$6:$K$155))-(C509+'По дням'!$J$6:$J$155+ABS(C509-'По дням'!$J$6:$J$155)))/2+1)&gt;0)*1))</f>
        <v/>
      </c>
    </row>
    <row r="510">
      <c r="A510">
        <f>IF(AND(Оплаты!$E$502="ок",COUNTIFS(Акты!$B$5:$B$16,Оплаты!$D$502,Акты!$H$5:$H$16,"ок")&gt;0,COUNTIFS(Оплаты!$D$6:$D$501,Оплаты!$D$502,Оплаты!$A$6:$A$501,Оплаты!$A$502)=0),Оплаты!$D$502,"")</f>
        <v/>
      </c>
      <c r="B510">
        <f>IF(A510="","",MATCH(A510,Акты!$B$5:$B$16,0))</f>
        <v/>
      </c>
      <c r="C510" s="20">
        <f>IF(A510="","",Оплаты!$A$502+1)</f>
        <v/>
      </c>
      <c r="D510" s="20">
        <f>IF(A510="","",MIN(Ввод!$B$4,Ввод!$B$4+1-SUMPRODUCT(MAX((Оплаты!$D$6:$D$505=A510)*(Оплаты!$A$6:$A$505&gt;Оплаты!$A$502)*(Ввод!$B$4+1-Оплаты!$A$6:$A$505)))))</f>
        <v/>
      </c>
      <c r="E510" s="14">
        <f>IF(A510="","",INDEX(Акты!$D$5:$D$16,B510)-SUMIFS(Оплаты!$B$6:$B$505,Оплаты!$D$6:$D$505,A510,Оплаты!$A$6:$A$505,"&lt;="&amp;Оплаты!$A$502))</f>
        <v/>
      </c>
      <c r="F510" s="14">
        <f>IF(G510="","",SUMPRODUCT(ROUND(E510*'По дням'!$L$6:$L$155/100*((((D510+'По дням'!$K$6:$K$155-ABS(D510-'По дням'!$K$6:$K$155))-(C510+'По дням'!$J$6:$J$155+ABS(C510-'По дням'!$J$6:$J$155)))/2+1)&gt;0)*(((D510+'По дням'!$K$6:$K$155-ABS(D510-'По дням'!$K$6:$K$155))-(C510+'По дням'!$J$6:$J$155+ABS(C510-'По дням'!$J$6:$J$155)))/2+1)/'По дням'!$M$6:$M$155,2)*(1-'По дням'!$N$6:$N$155)))</f>
        <v/>
      </c>
      <c r="G510">
        <f>IF(A510="","",IF(C510&gt;D510,"",B510*1000000+C510))</f>
        <v/>
      </c>
      <c r="H510" s="14">
        <f>IF(G510="","",SUMIFS(Оплаты!$B$6:$B$505,Оплаты!$D$6:$D$505,A510,Оплаты!$A$6:$A$505,D510))</f>
        <v/>
      </c>
      <c r="I510">
        <f>IF(G510="","",SUMPRODUCT((((((D510+'По дням'!$K$6:$K$155-ABS(D510-'По дням'!$K$6:$K$155))-(C510+'По дням'!$J$6:$J$155+ABS(C510-'По дням'!$J$6:$J$155)))/2+1)&gt;0)*(((D510+'По дням'!$K$6:$K$155-ABS(D510-'По дням'!$K$6:$K$155))-(C510+'По дням'!$J$6:$J$155+ABS(C510-'По дням'!$J$6:$J$155)))/2+1)&gt;0)*1))</f>
        <v/>
      </c>
    </row>
    <row r="511">
      <c r="A511">
        <f>IF(AND(Оплаты!$E$503="ок",COUNTIFS(Акты!$B$5:$B$16,Оплаты!$D$503,Акты!$H$5:$H$16,"ок")&gt;0,COUNTIFS(Оплаты!$D$6:$D$502,Оплаты!$D$503,Оплаты!$A$6:$A$502,Оплаты!$A$503)=0),Оплаты!$D$503,"")</f>
        <v/>
      </c>
      <c r="B511">
        <f>IF(A511="","",MATCH(A511,Акты!$B$5:$B$16,0))</f>
        <v/>
      </c>
      <c r="C511" s="20">
        <f>IF(A511="","",Оплаты!$A$503+1)</f>
        <v/>
      </c>
      <c r="D511" s="20">
        <f>IF(A511="","",MIN(Ввод!$B$4,Ввод!$B$4+1-SUMPRODUCT(MAX((Оплаты!$D$6:$D$505=A511)*(Оплаты!$A$6:$A$505&gt;Оплаты!$A$503)*(Ввод!$B$4+1-Оплаты!$A$6:$A$505)))))</f>
        <v/>
      </c>
      <c r="E511" s="14">
        <f>IF(A511="","",INDEX(Акты!$D$5:$D$16,B511)-SUMIFS(Оплаты!$B$6:$B$505,Оплаты!$D$6:$D$505,A511,Оплаты!$A$6:$A$505,"&lt;="&amp;Оплаты!$A$503))</f>
        <v/>
      </c>
      <c r="F511" s="14">
        <f>IF(G511="","",SUMPRODUCT(ROUND(E511*'По дням'!$L$6:$L$155/100*((((D511+'По дням'!$K$6:$K$155-ABS(D511-'По дням'!$K$6:$K$155))-(C511+'По дням'!$J$6:$J$155+ABS(C511-'По дням'!$J$6:$J$155)))/2+1)&gt;0)*(((D511+'По дням'!$K$6:$K$155-ABS(D511-'По дням'!$K$6:$K$155))-(C511+'По дням'!$J$6:$J$155+ABS(C511-'По дням'!$J$6:$J$155)))/2+1)/'По дням'!$M$6:$M$155,2)*(1-'По дням'!$N$6:$N$155)))</f>
        <v/>
      </c>
      <c r="G511">
        <f>IF(A511="","",IF(C511&gt;D511,"",B511*1000000+C511))</f>
        <v/>
      </c>
      <c r="H511" s="14">
        <f>IF(G511="","",SUMIFS(Оплаты!$B$6:$B$505,Оплаты!$D$6:$D$505,A511,Оплаты!$A$6:$A$505,D511))</f>
        <v/>
      </c>
      <c r="I511">
        <f>IF(G511="","",SUMPRODUCT((((((D511+'По дням'!$K$6:$K$155-ABS(D511-'По дням'!$K$6:$K$155))-(C511+'По дням'!$J$6:$J$155+ABS(C511-'По дням'!$J$6:$J$155)))/2+1)&gt;0)*(((D511+'По дням'!$K$6:$K$155-ABS(D511-'По дням'!$K$6:$K$155))-(C511+'По дням'!$J$6:$J$155+ABS(C511-'По дням'!$J$6:$J$155)))/2+1)&gt;0)*1))</f>
        <v/>
      </c>
    </row>
    <row r="512">
      <c r="A512">
        <f>IF(AND(Оплаты!$E$504="ок",COUNTIFS(Акты!$B$5:$B$16,Оплаты!$D$504,Акты!$H$5:$H$16,"ок")&gt;0,COUNTIFS(Оплаты!$D$6:$D$503,Оплаты!$D$504,Оплаты!$A$6:$A$503,Оплаты!$A$504)=0),Оплаты!$D$504,"")</f>
        <v/>
      </c>
      <c r="B512">
        <f>IF(A512="","",MATCH(A512,Акты!$B$5:$B$16,0))</f>
        <v/>
      </c>
      <c r="C512" s="20">
        <f>IF(A512="","",Оплаты!$A$504+1)</f>
        <v/>
      </c>
      <c r="D512" s="20">
        <f>IF(A512="","",MIN(Ввод!$B$4,Ввод!$B$4+1-SUMPRODUCT(MAX((Оплаты!$D$6:$D$505=A512)*(Оплаты!$A$6:$A$505&gt;Оплаты!$A$504)*(Ввод!$B$4+1-Оплаты!$A$6:$A$505)))))</f>
        <v/>
      </c>
      <c r="E512" s="14">
        <f>IF(A512="","",INDEX(Акты!$D$5:$D$16,B512)-SUMIFS(Оплаты!$B$6:$B$505,Оплаты!$D$6:$D$505,A512,Оплаты!$A$6:$A$505,"&lt;="&amp;Оплаты!$A$504))</f>
        <v/>
      </c>
      <c r="F512" s="14">
        <f>IF(G512="","",SUMPRODUCT(ROUND(E512*'По дням'!$L$6:$L$155/100*((((D512+'По дням'!$K$6:$K$155-ABS(D512-'По дням'!$K$6:$K$155))-(C512+'По дням'!$J$6:$J$155+ABS(C512-'По дням'!$J$6:$J$155)))/2+1)&gt;0)*(((D512+'По дням'!$K$6:$K$155-ABS(D512-'По дням'!$K$6:$K$155))-(C512+'По дням'!$J$6:$J$155+ABS(C512-'По дням'!$J$6:$J$155)))/2+1)/'По дням'!$M$6:$M$155,2)*(1-'По дням'!$N$6:$N$155)))</f>
        <v/>
      </c>
      <c r="G512">
        <f>IF(A512="","",IF(C512&gt;D512,"",B512*1000000+C512))</f>
        <v/>
      </c>
      <c r="H512" s="14">
        <f>IF(G512="","",SUMIFS(Оплаты!$B$6:$B$505,Оплаты!$D$6:$D$505,A512,Оплаты!$A$6:$A$505,D512))</f>
        <v/>
      </c>
      <c r="I512">
        <f>IF(G512="","",SUMPRODUCT((((((D512+'По дням'!$K$6:$K$155-ABS(D512-'По дням'!$K$6:$K$155))-(C512+'По дням'!$J$6:$J$155+ABS(C512-'По дням'!$J$6:$J$155)))/2+1)&gt;0)*(((D512+'По дням'!$K$6:$K$155-ABS(D512-'По дням'!$K$6:$K$155))-(C512+'По дням'!$J$6:$J$155+ABS(C512-'По дням'!$J$6:$J$155)))/2+1)&gt;0)*1))</f>
        <v/>
      </c>
    </row>
    <row r="513">
      <c r="A513">
        <f>IF(AND(Оплаты!$E$505="ок",COUNTIFS(Акты!$B$5:$B$16,Оплаты!$D$505,Акты!$H$5:$H$16,"ок")&gt;0,COUNTIFS(Оплаты!$D$6:$D$504,Оплаты!$D$505,Оплаты!$A$6:$A$504,Оплаты!$A$505)=0),Оплаты!$D$505,"")</f>
        <v/>
      </c>
      <c r="B513">
        <f>IF(A513="","",MATCH(A513,Акты!$B$5:$B$16,0))</f>
        <v/>
      </c>
      <c r="C513" s="20">
        <f>IF(A513="","",Оплаты!$A$505+1)</f>
        <v/>
      </c>
      <c r="D513" s="20">
        <f>IF(A513="","",MIN(Ввод!$B$4,Ввод!$B$4+1-SUMPRODUCT(MAX((Оплаты!$D$6:$D$505=A513)*(Оплаты!$A$6:$A$505&gt;Оплаты!$A$505)*(Ввод!$B$4+1-Оплаты!$A$6:$A$505)))))</f>
        <v/>
      </c>
      <c r="E513" s="14">
        <f>IF(A513="","",INDEX(Акты!$D$5:$D$16,B513)-SUMIFS(Оплаты!$B$6:$B$505,Оплаты!$D$6:$D$505,A513,Оплаты!$A$6:$A$505,"&lt;="&amp;Оплаты!$A$505))</f>
        <v/>
      </c>
      <c r="F513" s="14">
        <f>IF(G513="","",SUMPRODUCT(ROUND(E513*'По дням'!$L$6:$L$155/100*((((D513+'По дням'!$K$6:$K$155-ABS(D513-'По дням'!$K$6:$K$155))-(C513+'По дням'!$J$6:$J$155+ABS(C513-'По дням'!$J$6:$J$155)))/2+1)&gt;0)*(((D513+'По дням'!$K$6:$K$155-ABS(D513-'По дням'!$K$6:$K$155))-(C513+'По дням'!$J$6:$J$155+ABS(C513-'По дням'!$J$6:$J$155)))/2+1)/'По дням'!$M$6:$M$155,2)*(1-'По дням'!$N$6:$N$155)))</f>
        <v/>
      </c>
      <c r="G513">
        <f>IF(A513="","",IF(C513&gt;D513,"",B513*1000000+C513))</f>
        <v/>
      </c>
      <c r="H513" s="14">
        <f>IF(G513="","",SUMIFS(Оплаты!$B$6:$B$505,Оплаты!$D$6:$D$505,A513,Оплаты!$A$6:$A$505,D513))</f>
        <v/>
      </c>
      <c r="I513">
        <f>IF(G513="","",SUMPRODUCT((((((D513+'По дням'!$K$6:$K$155-ABS(D513-'По дням'!$K$6:$K$155))-(C513+'По дням'!$J$6:$J$155+ABS(C513-'По дням'!$J$6:$J$155)))/2+1)&gt;0)*(((D513+'По дням'!$K$6:$K$155-ABS(D513-'По дням'!$K$6:$K$155))-(C513+'По дням'!$J$6:$J$155+ABS(C513-'По дням'!$J$6:$J$155)))/2+1)&gt;0)*1))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4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0" customWidth="1" min="5" max="5"/>
    <col width="2" customWidth="1" min="6" max="6"/>
    <col width="10" customWidth="1" min="7" max="7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4" t="inlineStr">
        <is>
          <t>Дата</t>
        </is>
      </c>
      <c r="B1" s="4" t="inlineStr">
        <is>
          <t>Ставка, %</t>
        </is>
      </c>
      <c r="C1" s="4" t="inlineStr">
        <is>
          <t>Дней в году</t>
        </is>
      </c>
      <c r="D1" s="4" t="inlineStr">
        <is>
          <t>Долг на день (все акты, справочно)</t>
        </is>
      </c>
      <c r="E1" s="4" t="inlineStr">
        <is>
          <t>Исключён</t>
        </is>
      </c>
      <c r="F1" s="4" t="inlineStr"/>
      <c r="G1" s="4" t="inlineStr">
        <is>
          <t>Период ставки</t>
        </is>
      </c>
      <c r="I1" s="2" t="inlineStr">
        <is>
          <t>Служебный лист. Одна строка — один календарный день, не больше 3999 дней. Период ставки — непрерывные дни с одной ставкой, одним числом дней в году и одним признаком исключения; по ним лист «Интервалы» делит расчёт каждого акта.</t>
        </is>
      </c>
    </row>
    <row r="2">
      <c r="A2" s="20">
        <f>IF(OR($J$3="",NOT(ISNUMBER(Ввод!$B$4))),"",IF($J$3&gt;Ввод!$B$4,"",$J$3))</f>
        <v/>
      </c>
      <c r="B2">
        <f>IF(A2="","",IFERROR(INDEX(Ввод!$B$12:$B$71,MATCH(A2,Ввод!$D$12:$D$71,1)),""))</f>
        <v/>
      </c>
      <c r="C2">
        <f>IF(A2="","",DATE(YEAR(A2),12,31)-DATE(YEAR(A2),1,1)+1)</f>
        <v/>
      </c>
      <c r="D2">
        <f>IF(A2="","",SUMIFS(Акты!$D$5:$D$16,Акты!$E$5:$E$16,"&lt;="&amp;A2)-SUMIFS(Оплаты!$B$6:$B$505,Оплаты!$A$6:$A$505,"&lt;"&amp;A2,Оплаты!$D$6:$D$505,"&lt;&gt;"))</f>
        <v/>
      </c>
      <c r="E2">
        <f>IF(A2="","",IF(SUMPRODUCT((Ввод!$F$12:$F$31&lt;&gt;"")*(Ввод!$F$12:$F$31&lt;=A2)*(Ввод!$G$12:$G$31&gt;=A2))&gt;0,1,0))</f>
        <v/>
      </c>
      <c r="G2">
        <f>IF(A2="","",1)</f>
        <v/>
      </c>
    </row>
    <row r="3">
      <c r="A3" s="20">
        <f>IF(A2="","",IF(A2+1&gt;Ввод!$B$4,"",A2+1))</f>
        <v/>
      </c>
      <c r="B3">
        <f>IF(A3="","",IFERROR(INDEX(Ввод!$B$12:$B$71,MATCH(A3,Ввод!$D$12:$D$71,1)),""))</f>
        <v/>
      </c>
      <c r="C3">
        <f>IF(A3="","",DATE(YEAR(A3),12,31)-DATE(YEAR(A3),1,1)+1)</f>
        <v/>
      </c>
      <c r="D3">
        <f>IF(A3="","",SUMIFS(Акты!$D$5:$D$16,Акты!$E$5:$E$16,"&lt;="&amp;A3)-SUMIFS(Оплаты!$B$6:$B$505,Оплаты!$A$6:$A$505,"&lt;"&amp;A3,Оплаты!$D$6:$D$505,"&lt;&gt;"))</f>
        <v/>
      </c>
      <c r="E3">
        <f>IF(A3="","",IF(SUMPRODUCT((Ввод!$F$12:$F$31&lt;&gt;"")*(Ввод!$F$12:$F$31&lt;=A3)*(Ввод!$G$12:$G$31&gt;=A3))&gt;0,1,0))</f>
        <v/>
      </c>
      <c r="G3">
        <f>IF(A3="","",IF(OR(B3&lt;&gt;B2,C3&lt;&gt;C2,E3&lt;&gt;E2),G2+1,G2))</f>
        <v/>
      </c>
      <c r="I3" t="inlineStr">
        <is>
          <t>Первый день просрочки самого раннего акта</t>
        </is>
      </c>
      <c r="J3" s="20">
        <f>IF(COUNT(Акты!$E$5:$E$16)=0,"",MIN(Акты!$E$5:$E$16))</f>
        <v/>
      </c>
    </row>
    <row r="4">
      <c r="A4" s="20">
        <f>IF(A3="","",IF(A3+1&gt;Ввод!$B$4,"",A3+1))</f>
        <v/>
      </c>
      <c r="B4">
        <f>IF(A4="","",IFERROR(INDEX(Ввод!$B$12:$B$71,MATCH(A4,Ввод!$D$12:$D$71,1)),""))</f>
        <v/>
      </c>
      <c r="C4">
        <f>IF(A4="","",DATE(YEAR(A4),12,31)-DATE(YEAR(A4),1,1)+1)</f>
        <v/>
      </c>
      <c r="D4">
        <f>IF(A4="","",SUMIFS(Акты!$D$5:$D$16,Акты!$E$5:$E$16,"&lt;="&amp;A4)-SUMIFS(Оплаты!$B$6:$B$505,Оплаты!$A$6:$A$505,"&lt;"&amp;A4,Оплаты!$D$6:$D$505,"&lt;&gt;"))</f>
        <v/>
      </c>
      <c r="E4">
        <f>IF(A4="","",IF(SUMPRODUCT((Ввод!$F$12:$F$31&lt;&gt;"")*(Ввод!$F$12:$F$31&lt;=A4)*(Ввод!$G$12:$G$31&gt;=A4))&gt;0,1,0))</f>
        <v/>
      </c>
      <c r="G4">
        <f>IF(A4="","",IF(OR(B4&lt;&gt;B3,C4&lt;&gt;C3,E4&lt;&gt;E3),G3+1,G3))</f>
        <v/>
      </c>
    </row>
    <row r="5">
      <c r="A5" s="20">
        <f>IF(A4="","",IF(A4+1&gt;Ввод!$B$4,"",A4+1))</f>
        <v/>
      </c>
      <c r="B5">
        <f>IF(A5="","",IFERROR(INDEX(Ввод!$B$12:$B$71,MATCH(A5,Ввод!$D$12:$D$71,1)),""))</f>
        <v/>
      </c>
      <c r="C5">
        <f>IF(A5="","",DATE(YEAR(A5),12,31)-DATE(YEAR(A5),1,1)+1)</f>
        <v/>
      </c>
      <c r="D5">
        <f>IF(A5="","",SUMIFS(Акты!$D$5:$D$16,Акты!$E$5:$E$16,"&lt;="&amp;A5)-SUMIFS(Оплаты!$B$6:$B$505,Оплаты!$A$6:$A$505,"&lt;"&amp;A5,Оплаты!$D$6:$D$505,"&lt;&gt;"))</f>
        <v/>
      </c>
      <c r="E5">
        <f>IF(A5="","",IF(SUMPRODUCT((Ввод!$F$12:$F$31&lt;&gt;"")*(Ввод!$F$12:$F$31&lt;=A5)*(Ввод!$G$12:$G$31&gt;=A5))&gt;0,1,0))</f>
        <v/>
      </c>
      <c r="G5">
        <f>IF(A5="","",IF(OR(B5&lt;&gt;B4,C5&lt;&gt;C4,E5&lt;&gt;E4),G4+1,G4))</f>
        <v/>
      </c>
      <c r="I5" s="4" t="inlineStr">
        <is>
          <t>Период ставки №</t>
        </is>
      </c>
      <c r="J5" s="4" t="inlineStr">
        <is>
          <t>С</t>
        </is>
      </c>
      <c r="K5" s="4" t="inlineStr">
        <is>
          <t>По</t>
        </is>
      </c>
      <c r="L5" s="4" t="inlineStr">
        <is>
          <t>Ставка, %</t>
        </is>
      </c>
      <c r="M5" s="4" t="inlineStr">
        <is>
          <t>Дней в году</t>
        </is>
      </c>
      <c r="N5" s="4" t="inlineStr">
        <is>
          <t>Без начисления</t>
        </is>
      </c>
    </row>
    <row r="6">
      <c r="A6" s="20">
        <f>IF(A5="","",IF(A5+1&gt;Ввод!$B$4,"",A5+1))</f>
        <v/>
      </c>
      <c r="B6">
        <f>IF(A6="","",IFERROR(INDEX(Ввод!$B$12:$B$71,MATCH(A6,Ввод!$D$12:$D$71,1)),""))</f>
        <v/>
      </c>
      <c r="C6">
        <f>IF(A6="","",DATE(YEAR(A6),12,31)-DATE(YEAR(A6),1,1)+1)</f>
        <v/>
      </c>
      <c r="D6">
        <f>IF(A6="","",SUMIFS(Акты!$D$5:$D$16,Акты!$E$5:$E$16,"&lt;="&amp;A6)-SUMIFS(Оплаты!$B$6:$B$505,Оплаты!$A$6:$A$505,"&lt;"&amp;A6,Оплаты!$D$6:$D$505,"&lt;&gt;"))</f>
        <v/>
      </c>
      <c r="E6">
        <f>IF(A6="","",IF(SUMPRODUCT((Ввод!$F$12:$F$31&lt;&gt;"")*(Ввод!$F$12:$F$31&lt;=A6)*(Ввод!$G$12:$G$31&gt;=A6))&gt;0,1,0))</f>
        <v/>
      </c>
      <c r="G6">
        <f>IF(A6="","",IF(OR(B6&lt;&gt;B5,C6&lt;&gt;C5,E6&lt;&gt;E5),G5+1,G5))</f>
        <v/>
      </c>
      <c r="I6" t="n">
        <v>1</v>
      </c>
      <c r="J6" s="21">
        <f>IFERROR(INDEX('По дням'!$A$2:$A$4000,MATCH(1,'По дням'!$G$2:$G$4000,0)),0)</f>
        <v/>
      </c>
      <c r="K6" s="21">
        <f>IF(J6=0,0,J6+COUNTIF('По дням'!$G$2:$G$4000,1)-1)</f>
        <v/>
      </c>
      <c r="L6" s="22">
        <f>IF(J6=0,0,N(INDEX('По дням'!$B$2:$B$4000,MATCH(1,'По дням'!$G$2:$G$4000,0))))</f>
        <v/>
      </c>
      <c r="M6" s="23">
        <f>IF(J6=0,1,N(INDEX('По дням'!$C$2:$C$4000,MATCH(1,'По дням'!$G$2:$G$4000,0))))</f>
        <v/>
      </c>
      <c r="N6" s="24">
        <f>IF(J6=0,0,N(INDEX('По дням'!$E$2:$E$4000,MATCH(1,'По дням'!$G$2:$G$4000,0))))</f>
        <v/>
      </c>
    </row>
    <row r="7">
      <c r="A7" s="20">
        <f>IF(A6="","",IF(A6+1&gt;Ввод!$B$4,"",A6+1))</f>
        <v/>
      </c>
      <c r="B7">
        <f>IF(A7="","",IFERROR(INDEX(Ввод!$B$12:$B$71,MATCH(A7,Ввод!$D$12:$D$71,1)),""))</f>
        <v/>
      </c>
      <c r="C7">
        <f>IF(A7="","",DATE(YEAR(A7),12,31)-DATE(YEAR(A7),1,1)+1)</f>
        <v/>
      </c>
      <c r="D7">
        <f>IF(A7="","",SUMIFS(Акты!$D$5:$D$16,Акты!$E$5:$E$16,"&lt;="&amp;A7)-SUMIFS(Оплаты!$B$6:$B$505,Оплаты!$A$6:$A$505,"&lt;"&amp;A7,Оплаты!$D$6:$D$505,"&lt;&gt;"))</f>
        <v/>
      </c>
      <c r="E7">
        <f>IF(A7="","",IF(SUMPRODUCT((Ввод!$F$12:$F$31&lt;&gt;"")*(Ввод!$F$12:$F$31&lt;=A7)*(Ввод!$G$12:$G$31&gt;=A7))&gt;0,1,0))</f>
        <v/>
      </c>
      <c r="G7">
        <f>IF(A7="","",IF(OR(B7&lt;&gt;B6,C7&lt;&gt;C6,E7&lt;&gt;E6),G6+1,G6))</f>
        <v/>
      </c>
      <c r="I7" t="n">
        <v>2</v>
      </c>
      <c r="J7" s="21">
        <f>IFERROR(INDEX('По дням'!$A$2:$A$4000,MATCH(2,'По дням'!$G$2:$G$4000,0)),0)</f>
        <v/>
      </c>
      <c r="K7" s="21">
        <f>IF(J7=0,0,J7+COUNTIF('По дням'!$G$2:$G$4000,2)-1)</f>
        <v/>
      </c>
      <c r="L7" s="22">
        <f>IF(J7=0,0,N(INDEX('По дням'!$B$2:$B$4000,MATCH(2,'По дням'!$G$2:$G$4000,0))))</f>
        <v/>
      </c>
      <c r="M7" s="23">
        <f>IF(J7=0,1,N(INDEX('По дням'!$C$2:$C$4000,MATCH(2,'По дням'!$G$2:$G$4000,0))))</f>
        <v/>
      </c>
      <c r="N7" s="24">
        <f>IF(J7=0,0,N(INDEX('По дням'!$E$2:$E$4000,MATCH(2,'По дням'!$G$2:$G$4000,0))))</f>
        <v/>
      </c>
    </row>
    <row r="8">
      <c r="A8" s="20">
        <f>IF(A7="","",IF(A7+1&gt;Ввод!$B$4,"",A7+1))</f>
        <v/>
      </c>
      <c r="B8">
        <f>IF(A8="","",IFERROR(INDEX(Ввод!$B$12:$B$71,MATCH(A8,Ввод!$D$12:$D$71,1)),""))</f>
        <v/>
      </c>
      <c r="C8">
        <f>IF(A8="","",DATE(YEAR(A8),12,31)-DATE(YEAR(A8),1,1)+1)</f>
        <v/>
      </c>
      <c r="D8">
        <f>IF(A8="","",SUMIFS(Акты!$D$5:$D$16,Акты!$E$5:$E$16,"&lt;="&amp;A8)-SUMIFS(Оплаты!$B$6:$B$505,Оплаты!$A$6:$A$505,"&lt;"&amp;A8,Оплаты!$D$6:$D$505,"&lt;&gt;"))</f>
        <v/>
      </c>
      <c r="E8">
        <f>IF(A8="","",IF(SUMPRODUCT((Ввод!$F$12:$F$31&lt;&gt;"")*(Ввод!$F$12:$F$31&lt;=A8)*(Ввод!$G$12:$G$31&gt;=A8))&gt;0,1,0))</f>
        <v/>
      </c>
      <c r="G8">
        <f>IF(A8="","",IF(OR(B8&lt;&gt;B7,C8&lt;&gt;C7,E8&lt;&gt;E7),G7+1,G7))</f>
        <v/>
      </c>
      <c r="I8" t="n">
        <v>3</v>
      </c>
      <c r="J8" s="21">
        <f>IFERROR(INDEX('По дням'!$A$2:$A$4000,MATCH(3,'По дням'!$G$2:$G$4000,0)),0)</f>
        <v/>
      </c>
      <c r="K8" s="21">
        <f>IF(J8=0,0,J8+COUNTIF('По дням'!$G$2:$G$4000,3)-1)</f>
        <v/>
      </c>
      <c r="L8" s="22">
        <f>IF(J8=0,0,N(INDEX('По дням'!$B$2:$B$4000,MATCH(3,'По дням'!$G$2:$G$4000,0))))</f>
        <v/>
      </c>
      <c r="M8" s="23">
        <f>IF(J8=0,1,N(INDEX('По дням'!$C$2:$C$4000,MATCH(3,'По дням'!$G$2:$G$4000,0))))</f>
        <v/>
      </c>
      <c r="N8" s="24">
        <f>IF(J8=0,0,N(INDEX('По дням'!$E$2:$E$4000,MATCH(3,'По дням'!$G$2:$G$4000,0))))</f>
        <v/>
      </c>
    </row>
    <row r="9">
      <c r="A9" s="20">
        <f>IF(A8="","",IF(A8+1&gt;Ввод!$B$4,"",A8+1))</f>
        <v/>
      </c>
      <c r="B9">
        <f>IF(A9="","",IFERROR(INDEX(Ввод!$B$12:$B$71,MATCH(A9,Ввод!$D$12:$D$71,1)),""))</f>
        <v/>
      </c>
      <c r="C9">
        <f>IF(A9="","",DATE(YEAR(A9),12,31)-DATE(YEAR(A9),1,1)+1)</f>
        <v/>
      </c>
      <c r="D9">
        <f>IF(A9="","",SUMIFS(Акты!$D$5:$D$16,Акты!$E$5:$E$16,"&lt;="&amp;A9)-SUMIFS(Оплаты!$B$6:$B$505,Оплаты!$A$6:$A$505,"&lt;"&amp;A9,Оплаты!$D$6:$D$505,"&lt;&gt;"))</f>
        <v/>
      </c>
      <c r="E9">
        <f>IF(A9="","",IF(SUMPRODUCT((Ввод!$F$12:$F$31&lt;&gt;"")*(Ввод!$F$12:$F$31&lt;=A9)*(Ввод!$G$12:$G$31&gt;=A9))&gt;0,1,0))</f>
        <v/>
      </c>
      <c r="G9">
        <f>IF(A9="","",IF(OR(B9&lt;&gt;B8,C9&lt;&gt;C8,E9&lt;&gt;E8),G8+1,G8))</f>
        <v/>
      </c>
      <c r="I9" t="n">
        <v>4</v>
      </c>
      <c r="J9" s="21">
        <f>IFERROR(INDEX('По дням'!$A$2:$A$4000,MATCH(4,'По дням'!$G$2:$G$4000,0)),0)</f>
        <v/>
      </c>
      <c r="K9" s="21">
        <f>IF(J9=0,0,J9+COUNTIF('По дням'!$G$2:$G$4000,4)-1)</f>
        <v/>
      </c>
      <c r="L9" s="22">
        <f>IF(J9=0,0,N(INDEX('По дням'!$B$2:$B$4000,MATCH(4,'По дням'!$G$2:$G$4000,0))))</f>
        <v/>
      </c>
      <c r="M9" s="23">
        <f>IF(J9=0,1,N(INDEX('По дням'!$C$2:$C$4000,MATCH(4,'По дням'!$G$2:$G$4000,0))))</f>
        <v/>
      </c>
      <c r="N9" s="24">
        <f>IF(J9=0,0,N(INDEX('По дням'!$E$2:$E$4000,MATCH(4,'По дням'!$G$2:$G$4000,0))))</f>
        <v/>
      </c>
    </row>
    <row r="10">
      <c r="A10" s="20">
        <f>IF(A9="","",IF(A9+1&gt;Ввод!$B$4,"",A9+1))</f>
        <v/>
      </c>
      <c r="B10">
        <f>IF(A10="","",IFERROR(INDEX(Ввод!$B$12:$B$71,MATCH(A10,Ввод!$D$12:$D$71,1)),""))</f>
        <v/>
      </c>
      <c r="C10">
        <f>IF(A10="","",DATE(YEAR(A10),12,31)-DATE(YEAR(A10),1,1)+1)</f>
        <v/>
      </c>
      <c r="D10">
        <f>IF(A10="","",SUMIFS(Акты!$D$5:$D$16,Акты!$E$5:$E$16,"&lt;="&amp;A10)-SUMIFS(Оплаты!$B$6:$B$505,Оплаты!$A$6:$A$505,"&lt;"&amp;A10,Оплаты!$D$6:$D$505,"&lt;&gt;"))</f>
        <v/>
      </c>
      <c r="E10">
        <f>IF(A10="","",IF(SUMPRODUCT((Ввод!$F$12:$F$31&lt;&gt;"")*(Ввод!$F$12:$F$31&lt;=A10)*(Ввод!$G$12:$G$31&gt;=A10))&gt;0,1,0))</f>
        <v/>
      </c>
      <c r="G10">
        <f>IF(A10="","",IF(OR(B10&lt;&gt;B9,C10&lt;&gt;C9,E10&lt;&gt;E9),G9+1,G9))</f>
        <v/>
      </c>
      <c r="I10" t="n">
        <v>5</v>
      </c>
      <c r="J10" s="21">
        <f>IFERROR(INDEX('По дням'!$A$2:$A$4000,MATCH(5,'По дням'!$G$2:$G$4000,0)),0)</f>
        <v/>
      </c>
      <c r="K10" s="21">
        <f>IF(J10=0,0,J10+COUNTIF('По дням'!$G$2:$G$4000,5)-1)</f>
        <v/>
      </c>
      <c r="L10" s="22">
        <f>IF(J10=0,0,N(INDEX('По дням'!$B$2:$B$4000,MATCH(5,'По дням'!$G$2:$G$4000,0))))</f>
        <v/>
      </c>
      <c r="M10" s="23">
        <f>IF(J10=0,1,N(INDEX('По дням'!$C$2:$C$4000,MATCH(5,'По дням'!$G$2:$G$4000,0))))</f>
        <v/>
      </c>
      <c r="N10" s="24">
        <f>IF(J10=0,0,N(INDEX('По дням'!$E$2:$E$4000,MATCH(5,'По дням'!$G$2:$G$4000,0))))</f>
        <v/>
      </c>
    </row>
    <row r="11">
      <c r="A11" s="20">
        <f>IF(A10="","",IF(A10+1&gt;Ввод!$B$4,"",A10+1))</f>
        <v/>
      </c>
      <c r="B11">
        <f>IF(A11="","",IFERROR(INDEX(Ввод!$B$12:$B$71,MATCH(A11,Ввод!$D$12:$D$71,1)),""))</f>
        <v/>
      </c>
      <c r="C11">
        <f>IF(A11="","",DATE(YEAR(A11),12,31)-DATE(YEAR(A11),1,1)+1)</f>
        <v/>
      </c>
      <c r="D11">
        <f>IF(A11="","",SUMIFS(Акты!$D$5:$D$16,Акты!$E$5:$E$16,"&lt;="&amp;A11)-SUMIFS(Оплаты!$B$6:$B$505,Оплаты!$A$6:$A$505,"&lt;"&amp;A11,Оплаты!$D$6:$D$505,"&lt;&gt;"))</f>
        <v/>
      </c>
      <c r="E11">
        <f>IF(A11="","",IF(SUMPRODUCT((Ввод!$F$12:$F$31&lt;&gt;"")*(Ввод!$F$12:$F$31&lt;=A11)*(Ввод!$G$12:$G$31&gt;=A11))&gt;0,1,0))</f>
        <v/>
      </c>
      <c r="G11">
        <f>IF(A11="","",IF(OR(B11&lt;&gt;B10,C11&lt;&gt;C10,E11&lt;&gt;E10),G10+1,G10))</f>
        <v/>
      </c>
      <c r="I11" t="n">
        <v>6</v>
      </c>
      <c r="J11" s="21">
        <f>IFERROR(INDEX('По дням'!$A$2:$A$4000,MATCH(6,'По дням'!$G$2:$G$4000,0)),0)</f>
        <v/>
      </c>
      <c r="K11" s="21">
        <f>IF(J11=0,0,J11+COUNTIF('По дням'!$G$2:$G$4000,6)-1)</f>
        <v/>
      </c>
      <c r="L11" s="22">
        <f>IF(J11=0,0,N(INDEX('По дням'!$B$2:$B$4000,MATCH(6,'По дням'!$G$2:$G$4000,0))))</f>
        <v/>
      </c>
      <c r="M11" s="23">
        <f>IF(J11=0,1,N(INDEX('По дням'!$C$2:$C$4000,MATCH(6,'По дням'!$G$2:$G$4000,0))))</f>
        <v/>
      </c>
      <c r="N11" s="24">
        <f>IF(J11=0,0,N(INDEX('По дням'!$E$2:$E$4000,MATCH(6,'По дням'!$G$2:$G$4000,0))))</f>
        <v/>
      </c>
    </row>
    <row r="12">
      <c r="A12" s="20">
        <f>IF(A11="","",IF(A11+1&gt;Ввод!$B$4,"",A11+1))</f>
        <v/>
      </c>
      <c r="B12">
        <f>IF(A12="","",IFERROR(INDEX(Ввод!$B$12:$B$71,MATCH(A12,Ввод!$D$12:$D$71,1)),""))</f>
        <v/>
      </c>
      <c r="C12">
        <f>IF(A12="","",DATE(YEAR(A12),12,31)-DATE(YEAR(A12),1,1)+1)</f>
        <v/>
      </c>
      <c r="D12">
        <f>IF(A12="","",SUMIFS(Акты!$D$5:$D$16,Акты!$E$5:$E$16,"&lt;="&amp;A12)-SUMIFS(Оплаты!$B$6:$B$505,Оплаты!$A$6:$A$505,"&lt;"&amp;A12,Оплаты!$D$6:$D$505,"&lt;&gt;"))</f>
        <v/>
      </c>
      <c r="E12">
        <f>IF(A12="","",IF(SUMPRODUCT((Ввод!$F$12:$F$31&lt;&gt;"")*(Ввод!$F$12:$F$31&lt;=A12)*(Ввод!$G$12:$G$31&gt;=A12))&gt;0,1,0))</f>
        <v/>
      </c>
      <c r="G12">
        <f>IF(A12="","",IF(OR(B12&lt;&gt;B11,C12&lt;&gt;C11,E12&lt;&gt;E11),G11+1,G11))</f>
        <v/>
      </c>
      <c r="I12" t="n">
        <v>7</v>
      </c>
      <c r="J12" s="21">
        <f>IFERROR(INDEX('По дням'!$A$2:$A$4000,MATCH(7,'По дням'!$G$2:$G$4000,0)),0)</f>
        <v/>
      </c>
      <c r="K12" s="21">
        <f>IF(J12=0,0,J12+COUNTIF('По дням'!$G$2:$G$4000,7)-1)</f>
        <v/>
      </c>
      <c r="L12" s="22">
        <f>IF(J12=0,0,N(INDEX('По дням'!$B$2:$B$4000,MATCH(7,'По дням'!$G$2:$G$4000,0))))</f>
        <v/>
      </c>
      <c r="M12" s="23">
        <f>IF(J12=0,1,N(INDEX('По дням'!$C$2:$C$4000,MATCH(7,'По дням'!$G$2:$G$4000,0))))</f>
        <v/>
      </c>
      <c r="N12" s="24">
        <f>IF(J12=0,0,N(INDEX('По дням'!$E$2:$E$4000,MATCH(7,'По дням'!$G$2:$G$4000,0))))</f>
        <v/>
      </c>
    </row>
    <row r="13">
      <c r="A13" s="20">
        <f>IF(A12="","",IF(A12+1&gt;Ввод!$B$4,"",A12+1))</f>
        <v/>
      </c>
      <c r="B13">
        <f>IF(A13="","",IFERROR(INDEX(Ввод!$B$12:$B$71,MATCH(A13,Ввод!$D$12:$D$71,1)),""))</f>
        <v/>
      </c>
      <c r="C13">
        <f>IF(A13="","",DATE(YEAR(A13),12,31)-DATE(YEAR(A13),1,1)+1)</f>
        <v/>
      </c>
      <c r="D13">
        <f>IF(A13="","",SUMIFS(Акты!$D$5:$D$16,Акты!$E$5:$E$16,"&lt;="&amp;A13)-SUMIFS(Оплаты!$B$6:$B$505,Оплаты!$A$6:$A$505,"&lt;"&amp;A13,Оплаты!$D$6:$D$505,"&lt;&gt;"))</f>
        <v/>
      </c>
      <c r="E13">
        <f>IF(A13="","",IF(SUMPRODUCT((Ввод!$F$12:$F$31&lt;&gt;"")*(Ввод!$F$12:$F$31&lt;=A13)*(Ввод!$G$12:$G$31&gt;=A13))&gt;0,1,0))</f>
        <v/>
      </c>
      <c r="G13">
        <f>IF(A13="","",IF(OR(B13&lt;&gt;B12,C13&lt;&gt;C12,E13&lt;&gt;E12),G12+1,G12))</f>
        <v/>
      </c>
      <c r="I13" t="n">
        <v>8</v>
      </c>
      <c r="J13" s="21">
        <f>IFERROR(INDEX('По дням'!$A$2:$A$4000,MATCH(8,'По дням'!$G$2:$G$4000,0)),0)</f>
        <v/>
      </c>
      <c r="K13" s="21">
        <f>IF(J13=0,0,J13+COUNTIF('По дням'!$G$2:$G$4000,8)-1)</f>
        <v/>
      </c>
      <c r="L13" s="22">
        <f>IF(J13=0,0,N(INDEX('По дням'!$B$2:$B$4000,MATCH(8,'По дням'!$G$2:$G$4000,0))))</f>
        <v/>
      </c>
      <c r="M13" s="23">
        <f>IF(J13=0,1,N(INDEX('По дням'!$C$2:$C$4000,MATCH(8,'По дням'!$G$2:$G$4000,0))))</f>
        <v/>
      </c>
      <c r="N13" s="24">
        <f>IF(J13=0,0,N(INDEX('По дням'!$E$2:$E$4000,MATCH(8,'По дням'!$G$2:$G$4000,0))))</f>
        <v/>
      </c>
    </row>
    <row r="14">
      <c r="A14" s="20">
        <f>IF(A13="","",IF(A13+1&gt;Ввод!$B$4,"",A13+1))</f>
        <v/>
      </c>
      <c r="B14">
        <f>IF(A14="","",IFERROR(INDEX(Ввод!$B$12:$B$71,MATCH(A14,Ввод!$D$12:$D$71,1)),""))</f>
        <v/>
      </c>
      <c r="C14">
        <f>IF(A14="","",DATE(YEAR(A14),12,31)-DATE(YEAR(A14),1,1)+1)</f>
        <v/>
      </c>
      <c r="D14">
        <f>IF(A14="","",SUMIFS(Акты!$D$5:$D$16,Акты!$E$5:$E$16,"&lt;="&amp;A14)-SUMIFS(Оплаты!$B$6:$B$505,Оплаты!$A$6:$A$505,"&lt;"&amp;A14,Оплаты!$D$6:$D$505,"&lt;&gt;"))</f>
        <v/>
      </c>
      <c r="E14">
        <f>IF(A14="","",IF(SUMPRODUCT((Ввод!$F$12:$F$31&lt;&gt;"")*(Ввод!$F$12:$F$31&lt;=A14)*(Ввод!$G$12:$G$31&gt;=A14))&gt;0,1,0))</f>
        <v/>
      </c>
      <c r="G14">
        <f>IF(A14="","",IF(OR(B14&lt;&gt;B13,C14&lt;&gt;C13,E14&lt;&gt;E13),G13+1,G13))</f>
        <v/>
      </c>
      <c r="I14" t="n">
        <v>9</v>
      </c>
      <c r="J14" s="21">
        <f>IFERROR(INDEX('По дням'!$A$2:$A$4000,MATCH(9,'По дням'!$G$2:$G$4000,0)),0)</f>
        <v/>
      </c>
      <c r="K14" s="21">
        <f>IF(J14=0,0,J14+COUNTIF('По дням'!$G$2:$G$4000,9)-1)</f>
        <v/>
      </c>
      <c r="L14" s="22">
        <f>IF(J14=0,0,N(INDEX('По дням'!$B$2:$B$4000,MATCH(9,'По дням'!$G$2:$G$4000,0))))</f>
        <v/>
      </c>
      <c r="M14" s="23">
        <f>IF(J14=0,1,N(INDEX('По дням'!$C$2:$C$4000,MATCH(9,'По дням'!$G$2:$G$4000,0))))</f>
        <v/>
      </c>
      <c r="N14" s="24">
        <f>IF(J14=0,0,N(INDEX('По дням'!$E$2:$E$4000,MATCH(9,'По дням'!$G$2:$G$4000,0))))</f>
        <v/>
      </c>
    </row>
    <row r="15">
      <c r="A15" s="20">
        <f>IF(A14="","",IF(A14+1&gt;Ввод!$B$4,"",A14+1))</f>
        <v/>
      </c>
      <c r="B15">
        <f>IF(A15="","",IFERROR(INDEX(Ввод!$B$12:$B$71,MATCH(A15,Ввод!$D$12:$D$71,1)),""))</f>
        <v/>
      </c>
      <c r="C15">
        <f>IF(A15="","",DATE(YEAR(A15),12,31)-DATE(YEAR(A15),1,1)+1)</f>
        <v/>
      </c>
      <c r="D15">
        <f>IF(A15="","",SUMIFS(Акты!$D$5:$D$16,Акты!$E$5:$E$16,"&lt;="&amp;A15)-SUMIFS(Оплаты!$B$6:$B$505,Оплаты!$A$6:$A$505,"&lt;"&amp;A15,Оплаты!$D$6:$D$505,"&lt;&gt;"))</f>
        <v/>
      </c>
      <c r="E15">
        <f>IF(A15="","",IF(SUMPRODUCT((Ввод!$F$12:$F$31&lt;&gt;"")*(Ввод!$F$12:$F$31&lt;=A15)*(Ввод!$G$12:$G$31&gt;=A15))&gt;0,1,0))</f>
        <v/>
      </c>
      <c r="G15">
        <f>IF(A15="","",IF(OR(B15&lt;&gt;B14,C15&lt;&gt;C14,E15&lt;&gt;E14),G14+1,G14))</f>
        <v/>
      </c>
      <c r="I15" t="n">
        <v>10</v>
      </c>
      <c r="J15" s="21">
        <f>IFERROR(INDEX('По дням'!$A$2:$A$4000,MATCH(10,'По дням'!$G$2:$G$4000,0)),0)</f>
        <v/>
      </c>
      <c r="K15" s="21">
        <f>IF(J15=0,0,J15+COUNTIF('По дням'!$G$2:$G$4000,10)-1)</f>
        <v/>
      </c>
      <c r="L15" s="22">
        <f>IF(J15=0,0,N(INDEX('По дням'!$B$2:$B$4000,MATCH(10,'По дням'!$G$2:$G$4000,0))))</f>
        <v/>
      </c>
      <c r="M15" s="23">
        <f>IF(J15=0,1,N(INDEX('По дням'!$C$2:$C$4000,MATCH(10,'По дням'!$G$2:$G$4000,0))))</f>
        <v/>
      </c>
      <c r="N15" s="24">
        <f>IF(J15=0,0,N(INDEX('По дням'!$E$2:$E$4000,MATCH(10,'По дням'!$G$2:$G$4000,0))))</f>
        <v/>
      </c>
    </row>
    <row r="16">
      <c r="A16" s="20">
        <f>IF(A15="","",IF(A15+1&gt;Ввод!$B$4,"",A15+1))</f>
        <v/>
      </c>
      <c r="B16">
        <f>IF(A16="","",IFERROR(INDEX(Ввод!$B$12:$B$71,MATCH(A16,Ввод!$D$12:$D$71,1)),""))</f>
        <v/>
      </c>
      <c r="C16">
        <f>IF(A16="","",DATE(YEAR(A16),12,31)-DATE(YEAR(A16),1,1)+1)</f>
        <v/>
      </c>
      <c r="D16">
        <f>IF(A16="","",SUMIFS(Акты!$D$5:$D$16,Акты!$E$5:$E$16,"&lt;="&amp;A16)-SUMIFS(Оплаты!$B$6:$B$505,Оплаты!$A$6:$A$505,"&lt;"&amp;A16,Оплаты!$D$6:$D$505,"&lt;&gt;"))</f>
        <v/>
      </c>
      <c r="E16">
        <f>IF(A16="","",IF(SUMPRODUCT((Ввод!$F$12:$F$31&lt;&gt;"")*(Ввод!$F$12:$F$31&lt;=A16)*(Ввод!$G$12:$G$31&gt;=A16))&gt;0,1,0))</f>
        <v/>
      </c>
      <c r="G16">
        <f>IF(A16="","",IF(OR(B16&lt;&gt;B15,C16&lt;&gt;C15,E16&lt;&gt;E15),G15+1,G15))</f>
        <v/>
      </c>
      <c r="I16" t="n">
        <v>11</v>
      </c>
      <c r="J16" s="21">
        <f>IFERROR(INDEX('По дням'!$A$2:$A$4000,MATCH(11,'По дням'!$G$2:$G$4000,0)),0)</f>
        <v/>
      </c>
      <c r="K16" s="21">
        <f>IF(J16=0,0,J16+COUNTIF('По дням'!$G$2:$G$4000,11)-1)</f>
        <v/>
      </c>
      <c r="L16" s="22">
        <f>IF(J16=0,0,N(INDEX('По дням'!$B$2:$B$4000,MATCH(11,'По дням'!$G$2:$G$4000,0))))</f>
        <v/>
      </c>
      <c r="M16" s="23">
        <f>IF(J16=0,1,N(INDEX('По дням'!$C$2:$C$4000,MATCH(11,'По дням'!$G$2:$G$4000,0))))</f>
        <v/>
      </c>
      <c r="N16" s="24">
        <f>IF(J16=0,0,N(INDEX('По дням'!$E$2:$E$4000,MATCH(11,'По дням'!$G$2:$G$4000,0))))</f>
        <v/>
      </c>
    </row>
    <row r="17">
      <c r="A17" s="20">
        <f>IF(A16="","",IF(A16+1&gt;Ввод!$B$4,"",A16+1))</f>
        <v/>
      </c>
      <c r="B17">
        <f>IF(A17="","",IFERROR(INDEX(Ввод!$B$12:$B$71,MATCH(A17,Ввод!$D$12:$D$71,1)),""))</f>
        <v/>
      </c>
      <c r="C17">
        <f>IF(A17="","",DATE(YEAR(A17),12,31)-DATE(YEAR(A17),1,1)+1)</f>
        <v/>
      </c>
      <c r="D17">
        <f>IF(A17="","",SUMIFS(Акты!$D$5:$D$16,Акты!$E$5:$E$16,"&lt;="&amp;A17)-SUMIFS(Оплаты!$B$6:$B$505,Оплаты!$A$6:$A$505,"&lt;"&amp;A17,Оплаты!$D$6:$D$505,"&lt;&gt;"))</f>
        <v/>
      </c>
      <c r="E17">
        <f>IF(A17="","",IF(SUMPRODUCT((Ввод!$F$12:$F$31&lt;&gt;"")*(Ввод!$F$12:$F$31&lt;=A17)*(Ввод!$G$12:$G$31&gt;=A17))&gt;0,1,0))</f>
        <v/>
      </c>
      <c r="G17">
        <f>IF(A17="","",IF(OR(B17&lt;&gt;B16,C17&lt;&gt;C16,E17&lt;&gt;E16),G16+1,G16))</f>
        <v/>
      </c>
      <c r="I17" t="n">
        <v>12</v>
      </c>
      <c r="J17" s="21">
        <f>IFERROR(INDEX('По дням'!$A$2:$A$4000,MATCH(12,'По дням'!$G$2:$G$4000,0)),0)</f>
        <v/>
      </c>
      <c r="K17" s="21">
        <f>IF(J17=0,0,J17+COUNTIF('По дням'!$G$2:$G$4000,12)-1)</f>
        <v/>
      </c>
      <c r="L17" s="22">
        <f>IF(J17=0,0,N(INDEX('По дням'!$B$2:$B$4000,MATCH(12,'По дням'!$G$2:$G$4000,0))))</f>
        <v/>
      </c>
      <c r="M17" s="23">
        <f>IF(J17=0,1,N(INDEX('По дням'!$C$2:$C$4000,MATCH(12,'По дням'!$G$2:$G$4000,0))))</f>
        <v/>
      </c>
      <c r="N17" s="24">
        <f>IF(J17=0,0,N(INDEX('По дням'!$E$2:$E$4000,MATCH(12,'По дням'!$G$2:$G$4000,0))))</f>
        <v/>
      </c>
    </row>
    <row r="18">
      <c r="A18" s="20">
        <f>IF(A17="","",IF(A17+1&gt;Ввод!$B$4,"",A17+1))</f>
        <v/>
      </c>
      <c r="B18">
        <f>IF(A18="","",IFERROR(INDEX(Ввод!$B$12:$B$71,MATCH(A18,Ввод!$D$12:$D$71,1)),""))</f>
        <v/>
      </c>
      <c r="C18">
        <f>IF(A18="","",DATE(YEAR(A18),12,31)-DATE(YEAR(A18),1,1)+1)</f>
        <v/>
      </c>
      <c r="D18">
        <f>IF(A18="","",SUMIFS(Акты!$D$5:$D$16,Акты!$E$5:$E$16,"&lt;="&amp;A18)-SUMIFS(Оплаты!$B$6:$B$505,Оплаты!$A$6:$A$505,"&lt;"&amp;A18,Оплаты!$D$6:$D$505,"&lt;&gt;"))</f>
        <v/>
      </c>
      <c r="E18">
        <f>IF(A18="","",IF(SUMPRODUCT((Ввод!$F$12:$F$31&lt;&gt;"")*(Ввод!$F$12:$F$31&lt;=A18)*(Ввод!$G$12:$G$31&gt;=A18))&gt;0,1,0))</f>
        <v/>
      </c>
      <c r="G18">
        <f>IF(A18="","",IF(OR(B18&lt;&gt;B17,C18&lt;&gt;C17,E18&lt;&gt;E17),G17+1,G17))</f>
        <v/>
      </c>
      <c r="I18" t="n">
        <v>13</v>
      </c>
      <c r="J18" s="21">
        <f>IFERROR(INDEX('По дням'!$A$2:$A$4000,MATCH(13,'По дням'!$G$2:$G$4000,0)),0)</f>
        <v/>
      </c>
      <c r="K18" s="21">
        <f>IF(J18=0,0,J18+COUNTIF('По дням'!$G$2:$G$4000,13)-1)</f>
        <v/>
      </c>
      <c r="L18" s="22">
        <f>IF(J18=0,0,N(INDEX('По дням'!$B$2:$B$4000,MATCH(13,'По дням'!$G$2:$G$4000,0))))</f>
        <v/>
      </c>
      <c r="M18" s="23">
        <f>IF(J18=0,1,N(INDEX('По дням'!$C$2:$C$4000,MATCH(13,'По дням'!$G$2:$G$4000,0))))</f>
        <v/>
      </c>
      <c r="N18" s="24">
        <f>IF(J18=0,0,N(INDEX('По дням'!$E$2:$E$4000,MATCH(13,'По дням'!$G$2:$G$4000,0))))</f>
        <v/>
      </c>
    </row>
    <row r="19">
      <c r="A19" s="20">
        <f>IF(A18="","",IF(A18+1&gt;Ввод!$B$4,"",A18+1))</f>
        <v/>
      </c>
      <c r="B19">
        <f>IF(A19="","",IFERROR(INDEX(Ввод!$B$12:$B$71,MATCH(A19,Ввод!$D$12:$D$71,1)),""))</f>
        <v/>
      </c>
      <c r="C19">
        <f>IF(A19="","",DATE(YEAR(A19),12,31)-DATE(YEAR(A19),1,1)+1)</f>
        <v/>
      </c>
      <c r="D19">
        <f>IF(A19="","",SUMIFS(Акты!$D$5:$D$16,Акты!$E$5:$E$16,"&lt;="&amp;A19)-SUMIFS(Оплаты!$B$6:$B$505,Оплаты!$A$6:$A$505,"&lt;"&amp;A19,Оплаты!$D$6:$D$505,"&lt;&gt;"))</f>
        <v/>
      </c>
      <c r="E19">
        <f>IF(A19="","",IF(SUMPRODUCT((Ввод!$F$12:$F$31&lt;&gt;"")*(Ввод!$F$12:$F$31&lt;=A19)*(Ввод!$G$12:$G$31&gt;=A19))&gt;0,1,0))</f>
        <v/>
      </c>
      <c r="G19">
        <f>IF(A19="","",IF(OR(B19&lt;&gt;B18,C19&lt;&gt;C18,E19&lt;&gt;E18),G18+1,G18))</f>
        <v/>
      </c>
      <c r="I19" t="n">
        <v>14</v>
      </c>
      <c r="J19" s="21">
        <f>IFERROR(INDEX('По дням'!$A$2:$A$4000,MATCH(14,'По дням'!$G$2:$G$4000,0)),0)</f>
        <v/>
      </c>
      <c r="K19" s="21">
        <f>IF(J19=0,0,J19+COUNTIF('По дням'!$G$2:$G$4000,14)-1)</f>
        <v/>
      </c>
      <c r="L19" s="22">
        <f>IF(J19=0,0,N(INDEX('По дням'!$B$2:$B$4000,MATCH(14,'По дням'!$G$2:$G$4000,0))))</f>
        <v/>
      </c>
      <c r="M19" s="23">
        <f>IF(J19=0,1,N(INDEX('По дням'!$C$2:$C$4000,MATCH(14,'По дням'!$G$2:$G$4000,0))))</f>
        <v/>
      </c>
      <c r="N19" s="24">
        <f>IF(J19=0,0,N(INDEX('По дням'!$E$2:$E$4000,MATCH(14,'По дням'!$G$2:$G$4000,0))))</f>
        <v/>
      </c>
    </row>
    <row r="20">
      <c r="A20" s="20">
        <f>IF(A19="","",IF(A19+1&gt;Ввод!$B$4,"",A19+1))</f>
        <v/>
      </c>
      <c r="B20">
        <f>IF(A20="","",IFERROR(INDEX(Ввод!$B$12:$B$71,MATCH(A20,Ввод!$D$12:$D$71,1)),""))</f>
        <v/>
      </c>
      <c r="C20">
        <f>IF(A20="","",DATE(YEAR(A20),12,31)-DATE(YEAR(A20),1,1)+1)</f>
        <v/>
      </c>
      <c r="D20">
        <f>IF(A20="","",SUMIFS(Акты!$D$5:$D$16,Акты!$E$5:$E$16,"&lt;="&amp;A20)-SUMIFS(Оплаты!$B$6:$B$505,Оплаты!$A$6:$A$505,"&lt;"&amp;A20,Оплаты!$D$6:$D$505,"&lt;&gt;"))</f>
        <v/>
      </c>
      <c r="E20">
        <f>IF(A20="","",IF(SUMPRODUCT((Ввод!$F$12:$F$31&lt;&gt;"")*(Ввод!$F$12:$F$31&lt;=A20)*(Ввод!$G$12:$G$31&gt;=A20))&gt;0,1,0))</f>
        <v/>
      </c>
      <c r="G20">
        <f>IF(A20="","",IF(OR(B20&lt;&gt;B19,C20&lt;&gt;C19,E20&lt;&gt;E19),G19+1,G19))</f>
        <v/>
      </c>
      <c r="I20" t="n">
        <v>15</v>
      </c>
      <c r="J20" s="21">
        <f>IFERROR(INDEX('По дням'!$A$2:$A$4000,MATCH(15,'По дням'!$G$2:$G$4000,0)),0)</f>
        <v/>
      </c>
      <c r="K20" s="21">
        <f>IF(J20=0,0,J20+COUNTIF('По дням'!$G$2:$G$4000,15)-1)</f>
        <v/>
      </c>
      <c r="L20" s="22">
        <f>IF(J20=0,0,N(INDEX('По дням'!$B$2:$B$4000,MATCH(15,'По дням'!$G$2:$G$4000,0))))</f>
        <v/>
      </c>
      <c r="M20" s="23">
        <f>IF(J20=0,1,N(INDEX('По дням'!$C$2:$C$4000,MATCH(15,'По дням'!$G$2:$G$4000,0))))</f>
        <v/>
      </c>
      <c r="N20" s="24">
        <f>IF(J20=0,0,N(INDEX('По дням'!$E$2:$E$4000,MATCH(15,'По дням'!$G$2:$G$4000,0))))</f>
        <v/>
      </c>
    </row>
    <row r="21">
      <c r="A21" s="20">
        <f>IF(A20="","",IF(A20+1&gt;Ввод!$B$4,"",A20+1))</f>
        <v/>
      </c>
      <c r="B21">
        <f>IF(A21="","",IFERROR(INDEX(Ввод!$B$12:$B$71,MATCH(A21,Ввод!$D$12:$D$71,1)),""))</f>
        <v/>
      </c>
      <c r="C21">
        <f>IF(A21="","",DATE(YEAR(A21),12,31)-DATE(YEAR(A21),1,1)+1)</f>
        <v/>
      </c>
      <c r="D21">
        <f>IF(A21="","",SUMIFS(Акты!$D$5:$D$16,Акты!$E$5:$E$16,"&lt;="&amp;A21)-SUMIFS(Оплаты!$B$6:$B$505,Оплаты!$A$6:$A$505,"&lt;"&amp;A21,Оплаты!$D$6:$D$505,"&lt;&gt;"))</f>
        <v/>
      </c>
      <c r="E21">
        <f>IF(A21="","",IF(SUMPRODUCT((Ввод!$F$12:$F$31&lt;&gt;"")*(Ввод!$F$12:$F$31&lt;=A21)*(Ввод!$G$12:$G$31&gt;=A21))&gt;0,1,0))</f>
        <v/>
      </c>
      <c r="G21">
        <f>IF(A21="","",IF(OR(B21&lt;&gt;B20,C21&lt;&gt;C20,E21&lt;&gt;E20),G20+1,G20))</f>
        <v/>
      </c>
      <c r="I21" t="n">
        <v>16</v>
      </c>
      <c r="J21" s="21">
        <f>IFERROR(INDEX('По дням'!$A$2:$A$4000,MATCH(16,'По дням'!$G$2:$G$4000,0)),0)</f>
        <v/>
      </c>
      <c r="K21" s="21">
        <f>IF(J21=0,0,J21+COUNTIF('По дням'!$G$2:$G$4000,16)-1)</f>
        <v/>
      </c>
      <c r="L21" s="22">
        <f>IF(J21=0,0,N(INDEX('По дням'!$B$2:$B$4000,MATCH(16,'По дням'!$G$2:$G$4000,0))))</f>
        <v/>
      </c>
      <c r="M21" s="23">
        <f>IF(J21=0,1,N(INDEX('По дням'!$C$2:$C$4000,MATCH(16,'По дням'!$G$2:$G$4000,0))))</f>
        <v/>
      </c>
      <c r="N21" s="24">
        <f>IF(J21=0,0,N(INDEX('По дням'!$E$2:$E$4000,MATCH(16,'По дням'!$G$2:$G$4000,0))))</f>
        <v/>
      </c>
    </row>
    <row r="22">
      <c r="A22" s="20">
        <f>IF(A21="","",IF(A21+1&gt;Ввод!$B$4,"",A21+1))</f>
        <v/>
      </c>
      <c r="B22">
        <f>IF(A22="","",IFERROR(INDEX(Ввод!$B$12:$B$71,MATCH(A22,Ввод!$D$12:$D$71,1)),""))</f>
        <v/>
      </c>
      <c r="C22">
        <f>IF(A22="","",DATE(YEAR(A22),12,31)-DATE(YEAR(A22),1,1)+1)</f>
        <v/>
      </c>
      <c r="D22">
        <f>IF(A22="","",SUMIFS(Акты!$D$5:$D$16,Акты!$E$5:$E$16,"&lt;="&amp;A22)-SUMIFS(Оплаты!$B$6:$B$505,Оплаты!$A$6:$A$505,"&lt;"&amp;A22,Оплаты!$D$6:$D$505,"&lt;&gt;"))</f>
        <v/>
      </c>
      <c r="E22">
        <f>IF(A22="","",IF(SUMPRODUCT((Ввод!$F$12:$F$31&lt;&gt;"")*(Ввод!$F$12:$F$31&lt;=A22)*(Ввод!$G$12:$G$31&gt;=A22))&gt;0,1,0))</f>
        <v/>
      </c>
      <c r="G22">
        <f>IF(A22="","",IF(OR(B22&lt;&gt;B21,C22&lt;&gt;C21,E22&lt;&gt;E21),G21+1,G21))</f>
        <v/>
      </c>
      <c r="I22" t="n">
        <v>17</v>
      </c>
      <c r="J22" s="21">
        <f>IFERROR(INDEX('По дням'!$A$2:$A$4000,MATCH(17,'По дням'!$G$2:$G$4000,0)),0)</f>
        <v/>
      </c>
      <c r="K22" s="21">
        <f>IF(J22=0,0,J22+COUNTIF('По дням'!$G$2:$G$4000,17)-1)</f>
        <v/>
      </c>
      <c r="L22" s="22">
        <f>IF(J22=0,0,N(INDEX('По дням'!$B$2:$B$4000,MATCH(17,'По дням'!$G$2:$G$4000,0))))</f>
        <v/>
      </c>
      <c r="M22" s="23">
        <f>IF(J22=0,1,N(INDEX('По дням'!$C$2:$C$4000,MATCH(17,'По дням'!$G$2:$G$4000,0))))</f>
        <v/>
      </c>
      <c r="N22" s="24">
        <f>IF(J22=0,0,N(INDEX('По дням'!$E$2:$E$4000,MATCH(17,'По дням'!$G$2:$G$4000,0))))</f>
        <v/>
      </c>
    </row>
    <row r="23">
      <c r="A23" s="20">
        <f>IF(A22="","",IF(A22+1&gt;Ввод!$B$4,"",A22+1))</f>
        <v/>
      </c>
      <c r="B23">
        <f>IF(A23="","",IFERROR(INDEX(Ввод!$B$12:$B$71,MATCH(A23,Ввод!$D$12:$D$71,1)),""))</f>
        <v/>
      </c>
      <c r="C23">
        <f>IF(A23="","",DATE(YEAR(A23),12,31)-DATE(YEAR(A23),1,1)+1)</f>
        <v/>
      </c>
      <c r="D23">
        <f>IF(A23="","",SUMIFS(Акты!$D$5:$D$16,Акты!$E$5:$E$16,"&lt;="&amp;A23)-SUMIFS(Оплаты!$B$6:$B$505,Оплаты!$A$6:$A$505,"&lt;"&amp;A23,Оплаты!$D$6:$D$505,"&lt;&gt;"))</f>
        <v/>
      </c>
      <c r="E23">
        <f>IF(A23="","",IF(SUMPRODUCT((Ввод!$F$12:$F$31&lt;&gt;"")*(Ввод!$F$12:$F$31&lt;=A23)*(Ввод!$G$12:$G$31&gt;=A23))&gt;0,1,0))</f>
        <v/>
      </c>
      <c r="G23">
        <f>IF(A23="","",IF(OR(B23&lt;&gt;B22,C23&lt;&gt;C22,E23&lt;&gt;E22),G22+1,G22))</f>
        <v/>
      </c>
      <c r="I23" t="n">
        <v>18</v>
      </c>
      <c r="J23" s="21">
        <f>IFERROR(INDEX('По дням'!$A$2:$A$4000,MATCH(18,'По дням'!$G$2:$G$4000,0)),0)</f>
        <v/>
      </c>
      <c r="K23" s="21">
        <f>IF(J23=0,0,J23+COUNTIF('По дням'!$G$2:$G$4000,18)-1)</f>
        <v/>
      </c>
      <c r="L23" s="22">
        <f>IF(J23=0,0,N(INDEX('По дням'!$B$2:$B$4000,MATCH(18,'По дням'!$G$2:$G$4000,0))))</f>
        <v/>
      </c>
      <c r="M23" s="23">
        <f>IF(J23=0,1,N(INDEX('По дням'!$C$2:$C$4000,MATCH(18,'По дням'!$G$2:$G$4000,0))))</f>
        <v/>
      </c>
      <c r="N23" s="24">
        <f>IF(J23=0,0,N(INDEX('По дням'!$E$2:$E$4000,MATCH(18,'По дням'!$G$2:$G$4000,0))))</f>
        <v/>
      </c>
    </row>
    <row r="24">
      <c r="A24" s="20">
        <f>IF(A23="","",IF(A23+1&gt;Ввод!$B$4,"",A23+1))</f>
        <v/>
      </c>
      <c r="B24">
        <f>IF(A24="","",IFERROR(INDEX(Ввод!$B$12:$B$71,MATCH(A24,Ввод!$D$12:$D$71,1)),""))</f>
        <v/>
      </c>
      <c r="C24">
        <f>IF(A24="","",DATE(YEAR(A24),12,31)-DATE(YEAR(A24),1,1)+1)</f>
        <v/>
      </c>
      <c r="D24">
        <f>IF(A24="","",SUMIFS(Акты!$D$5:$D$16,Акты!$E$5:$E$16,"&lt;="&amp;A24)-SUMIFS(Оплаты!$B$6:$B$505,Оплаты!$A$6:$A$505,"&lt;"&amp;A24,Оплаты!$D$6:$D$505,"&lt;&gt;"))</f>
        <v/>
      </c>
      <c r="E24">
        <f>IF(A24="","",IF(SUMPRODUCT((Ввод!$F$12:$F$31&lt;&gt;"")*(Ввод!$F$12:$F$31&lt;=A24)*(Ввод!$G$12:$G$31&gt;=A24))&gt;0,1,0))</f>
        <v/>
      </c>
      <c r="G24">
        <f>IF(A24="","",IF(OR(B24&lt;&gt;B23,C24&lt;&gt;C23,E24&lt;&gt;E23),G23+1,G23))</f>
        <v/>
      </c>
      <c r="I24" t="n">
        <v>19</v>
      </c>
      <c r="J24" s="21">
        <f>IFERROR(INDEX('По дням'!$A$2:$A$4000,MATCH(19,'По дням'!$G$2:$G$4000,0)),0)</f>
        <v/>
      </c>
      <c r="K24" s="21">
        <f>IF(J24=0,0,J24+COUNTIF('По дням'!$G$2:$G$4000,19)-1)</f>
        <v/>
      </c>
      <c r="L24" s="22">
        <f>IF(J24=0,0,N(INDEX('По дням'!$B$2:$B$4000,MATCH(19,'По дням'!$G$2:$G$4000,0))))</f>
        <v/>
      </c>
      <c r="M24" s="23">
        <f>IF(J24=0,1,N(INDEX('По дням'!$C$2:$C$4000,MATCH(19,'По дням'!$G$2:$G$4000,0))))</f>
        <v/>
      </c>
      <c r="N24" s="24">
        <f>IF(J24=0,0,N(INDEX('По дням'!$E$2:$E$4000,MATCH(19,'По дням'!$G$2:$G$4000,0))))</f>
        <v/>
      </c>
    </row>
    <row r="25">
      <c r="A25" s="20">
        <f>IF(A24="","",IF(A24+1&gt;Ввод!$B$4,"",A24+1))</f>
        <v/>
      </c>
      <c r="B25">
        <f>IF(A25="","",IFERROR(INDEX(Ввод!$B$12:$B$71,MATCH(A25,Ввод!$D$12:$D$71,1)),""))</f>
        <v/>
      </c>
      <c r="C25">
        <f>IF(A25="","",DATE(YEAR(A25),12,31)-DATE(YEAR(A25),1,1)+1)</f>
        <v/>
      </c>
      <c r="D25">
        <f>IF(A25="","",SUMIFS(Акты!$D$5:$D$16,Акты!$E$5:$E$16,"&lt;="&amp;A25)-SUMIFS(Оплаты!$B$6:$B$505,Оплаты!$A$6:$A$505,"&lt;"&amp;A25,Оплаты!$D$6:$D$505,"&lt;&gt;"))</f>
        <v/>
      </c>
      <c r="E25">
        <f>IF(A25="","",IF(SUMPRODUCT((Ввод!$F$12:$F$31&lt;&gt;"")*(Ввод!$F$12:$F$31&lt;=A25)*(Ввод!$G$12:$G$31&gt;=A25))&gt;0,1,0))</f>
        <v/>
      </c>
      <c r="G25">
        <f>IF(A25="","",IF(OR(B25&lt;&gt;B24,C25&lt;&gt;C24,E25&lt;&gt;E24),G24+1,G24))</f>
        <v/>
      </c>
      <c r="I25" t="n">
        <v>20</v>
      </c>
      <c r="J25" s="21">
        <f>IFERROR(INDEX('По дням'!$A$2:$A$4000,MATCH(20,'По дням'!$G$2:$G$4000,0)),0)</f>
        <v/>
      </c>
      <c r="K25" s="21">
        <f>IF(J25=0,0,J25+COUNTIF('По дням'!$G$2:$G$4000,20)-1)</f>
        <v/>
      </c>
      <c r="L25" s="22">
        <f>IF(J25=0,0,N(INDEX('По дням'!$B$2:$B$4000,MATCH(20,'По дням'!$G$2:$G$4000,0))))</f>
        <v/>
      </c>
      <c r="M25" s="23">
        <f>IF(J25=0,1,N(INDEX('По дням'!$C$2:$C$4000,MATCH(20,'По дням'!$G$2:$G$4000,0))))</f>
        <v/>
      </c>
      <c r="N25" s="24">
        <f>IF(J25=0,0,N(INDEX('По дням'!$E$2:$E$4000,MATCH(20,'По дням'!$G$2:$G$4000,0))))</f>
        <v/>
      </c>
    </row>
    <row r="26">
      <c r="A26" s="20">
        <f>IF(A25="","",IF(A25+1&gt;Ввод!$B$4,"",A25+1))</f>
        <v/>
      </c>
      <c r="B26">
        <f>IF(A26="","",IFERROR(INDEX(Ввод!$B$12:$B$71,MATCH(A26,Ввод!$D$12:$D$71,1)),""))</f>
        <v/>
      </c>
      <c r="C26">
        <f>IF(A26="","",DATE(YEAR(A26),12,31)-DATE(YEAR(A26),1,1)+1)</f>
        <v/>
      </c>
      <c r="D26">
        <f>IF(A26="","",SUMIFS(Акты!$D$5:$D$16,Акты!$E$5:$E$16,"&lt;="&amp;A26)-SUMIFS(Оплаты!$B$6:$B$505,Оплаты!$A$6:$A$505,"&lt;"&amp;A26,Оплаты!$D$6:$D$505,"&lt;&gt;"))</f>
        <v/>
      </c>
      <c r="E26">
        <f>IF(A26="","",IF(SUMPRODUCT((Ввод!$F$12:$F$31&lt;&gt;"")*(Ввод!$F$12:$F$31&lt;=A26)*(Ввод!$G$12:$G$31&gt;=A26))&gt;0,1,0))</f>
        <v/>
      </c>
      <c r="G26">
        <f>IF(A26="","",IF(OR(B26&lt;&gt;B25,C26&lt;&gt;C25,E26&lt;&gt;E25),G25+1,G25))</f>
        <v/>
      </c>
      <c r="I26" t="n">
        <v>21</v>
      </c>
      <c r="J26" s="21">
        <f>IFERROR(INDEX('По дням'!$A$2:$A$4000,MATCH(21,'По дням'!$G$2:$G$4000,0)),0)</f>
        <v/>
      </c>
      <c r="K26" s="21">
        <f>IF(J26=0,0,J26+COUNTIF('По дням'!$G$2:$G$4000,21)-1)</f>
        <v/>
      </c>
      <c r="L26" s="22">
        <f>IF(J26=0,0,N(INDEX('По дням'!$B$2:$B$4000,MATCH(21,'По дням'!$G$2:$G$4000,0))))</f>
        <v/>
      </c>
      <c r="M26" s="23">
        <f>IF(J26=0,1,N(INDEX('По дням'!$C$2:$C$4000,MATCH(21,'По дням'!$G$2:$G$4000,0))))</f>
        <v/>
      </c>
      <c r="N26" s="24">
        <f>IF(J26=0,0,N(INDEX('По дням'!$E$2:$E$4000,MATCH(21,'По дням'!$G$2:$G$4000,0))))</f>
        <v/>
      </c>
    </row>
    <row r="27">
      <c r="A27" s="20">
        <f>IF(A26="","",IF(A26+1&gt;Ввод!$B$4,"",A26+1))</f>
        <v/>
      </c>
      <c r="B27">
        <f>IF(A27="","",IFERROR(INDEX(Ввод!$B$12:$B$71,MATCH(A27,Ввод!$D$12:$D$71,1)),""))</f>
        <v/>
      </c>
      <c r="C27">
        <f>IF(A27="","",DATE(YEAR(A27),12,31)-DATE(YEAR(A27),1,1)+1)</f>
        <v/>
      </c>
      <c r="D27">
        <f>IF(A27="","",SUMIFS(Акты!$D$5:$D$16,Акты!$E$5:$E$16,"&lt;="&amp;A27)-SUMIFS(Оплаты!$B$6:$B$505,Оплаты!$A$6:$A$505,"&lt;"&amp;A27,Оплаты!$D$6:$D$505,"&lt;&gt;"))</f>
        <v/>
      </c>
      <c r="E27">
        <f>IF(A27="","",IF(SUMPRODUCT((Ввод!$F$12:$F$31&lt;&gt;"")*(Ввод!$F$12:$F$31&lt;=A27)*(Ввод!$G$12:$G$31&gt;=A27))&gt;0,1,0))</f>
        <v/>
      </c>
      <c r="G27">
        <f>IF(A27="","",IF(OR(B27&lt;&gt;B26,C27&lt;&gt;C26,E27&lt;&gt;E26),G26+1,G26))</f>
        <v/>
      </c>
      <c r="I27" t="n">
        <v>22</v>
      </c>
      <c r="J27" s="21">
        <f>IFERROR(INDEX('По дням'!$A$2:$A$4000,MATCH(22,'По дням'!$G$2:$G$4000,0)),0)</f>
        <v/>
      </c>
      <c r="K27" s="21">
        <f>IF(J27=0,0,J27+COUNTIF('По дням'!$G$2:$G$4000,22)-1)</f>
        <v/>
      </c>
      <c r="L27" s="22">
        <f>IF(J27=0,0,N(INDEX('По дням'!$B$2:$B$4000,MATCH(22,'По дням'!$G$2:$G$4000,0))))</f>
        <v/>
      </c>
      <c r="M27" s="23">
        <f>IF(J27=0,1,N(INDEX('По дням'!$C$2:$C$4000,MATCH(22,'По дням'!$G$2:$G$4000,0))))</f>
        <v/>
      </c>
      <c r="N27" s="24">
        <f>IF(J27=0,0,N(INDEX('По дням'!$E$2:$E$4000,MATCH(22,'По дням'!$G$2:$G$4000,0))))</f>
        <v/>
      </c>
    </row>
    <row r="28">
      <c r="A28" s="20">
        <f>IF(A27="","",IF(A27+1&gt;Ввод!$B$4,"",A27+1))</f>
        <v/>
      </c>
      <c r="B28">
        <f>IF(A28="","",IFERROR(INDEX(Ввод!$B$12:$B$71,MATCH(A28,Ввод!$D$12:$D$71,1)),""))</f>
        <v/>
      </c>
      <c r="C28">
        <f>IF(A28="","",DATE(YEAR(A28),12,31)-DATE(YEAR(A28),1,1)+1)</f>
        <v/>
      </c>
      <c r="D28">
        <f>IF(A28="","",SUMIFS(Акты!$D$5:$D$16,Акты!$E$5:$E$16,"&lt;="&amp;A28)-SUMIFS(Оплаты!$B$6:$B$505,Оплаты!$A$6:$A$505,"&lt;"&amp;A28,Оплаты!$D$6:$D$505,"&lt;&gt;"))</f>
        <v/>
      </c>
      <c r="E28">
        <f>IF(A28="","",IF(SUMPRODUCT((Ввод!$F$12:$F$31&lt;&gt;"")*(Ввод!$F$12:$F$31&lt;=A28)*(Ввод!$G$12:$G$31&gt;=A28))&gt;0,1,0))</f>
        <v/>
      </c>
      <c r="G28">
        <f>IF(A28="","",IF(OR(B28&lt;&gt;B27,C28&lt;&gt;C27,E28&lt;&gt;E27),G27+1,G27))</f>
        <v/>
      </c>
      <c r="I28" t="n">
        <v>23</v>
      </c>
      <c r="J28" s="21">
        <f>IFERROR(INDEX('По дням'!$A$2:$A$4000,MATCH(23,'По дням'!$G$2:$G$4000,0)),0)</f>
        <v/>
      </c>
      <c r="K28" s="21">
        <f>IF(J28=0,0,J28+COUNTIF('По дням'!$G$2:$G$4000,23)-1)</f>
        <v/>
      </c>
      <c r="L28" s="22">
        <f>IF(J28=0,0,N(INDEX('По дням'!$B$2:$B$4000,MATCH(23,'По дням'!$G$2:$G$4000,0))))</f>
        <v/>
      </c>
      <c r="M28" s="23">
        <f>IF(J28=0,1,N(INDEX('По дням'!$C$2:$C$4000,MATCH(23,'По дням'!$G$2:$G$4000,0))))</f>
        <v/>
      </c>
      <c r="N28" s="24">
        <f>IF(J28=0,0,N(INDEX('По дням'!$E$2:$E$4000,MATCH(23,'По дням'!$G$2:$G$4000,0))))</f>
        <v/>
      </c>
    </row>
    <row r="29">
      <c r="A29" s="20">
        <f>IF(A28="","",IF(A28+1&gt;Ввод!$B$4,"",A28+1))</f>
        <v/>
      </c>
      <c r="B29">
        <f>IF(A29="","",IFERROR(INDEX(Ввод!$B$12:$B$71,MATCH(A29,Ввод!$D$12:$D$71,1)),""))</f>
        <v/>
      </c>
      <c r="C29">
        <f>IF(A29="","",DATE(YEAR(A29),12,31)-DATE(YEAR(A29),1,1)+1)</f>
        <v/>
      </c>
      <c r="D29">
        <f>IF(A29="","",SUMIFS(Акты!$D$5:$D$16,Акты!$E$5:$E$16,"&lt;="&amp;A29)-SUMIFS(Оплаты!$B$6:$B$505,Оплаты!$A$6:$A$505,"&lt;"&amp;A29,Оплаты!$D$6:$D$505,"&lt;&gt;"))</f>
        <v/>
      </c>
      <c r="E29">
        <f>IF(A29="","",IF(SUMPRODUCT((Ввод!$F$12:$F$31&lt;&gt;"")*(Ввод!$F$12:$F$31&lt;=A29)*(Ввод!$G$12:$G$31&gt;=A29))&gt;0,1,0))</f>
        <v/>
      </c>
      <c r="G29">
        <f>IF(A29="","",IF(OR(B29&lt;&gt;B28,C29&lt;&gt;C28,E29&lt;&gt;E28),G28+1,G28))</f>
        <v/>
      </c>
      <c r="I29" t="n">
        <v>24</v>
      </c>
      <c r="J29" s="21">
        <f>IFERROR(INDEX('По дням'!$A$2:$A$4000,MATCH(24,'По дням'!$G$2:$G$4000,0)),0)</f>
        <v/>
      </c>
      <c r="K29" s="21">
        <f>IF(J29=0,0,J29+COUNTIF('По дням'!$G$2:$G$4000,24)-1)</f>
        <v/>
      </c>
      <c r="L29" s="22">
        <f>IF(J29=0,0,N(INDEX('По дням'!$B$2:$B$4000,MATCH(24,'По дням'!$G$2:$G$4000,0))))</f>
        <v/>
      </c>
      <c r="M29" s="23">
        <f>IF(J29=0,1,N(INDEX('По дням'!$C$2:$C$4000,MATCH(24,'По дням'!$G$2:$G$4000,0))))</f>
        <v/>
      </c>
      <c r="N29" s="24">
        <f>IF(J29=0,0,N(INDEX('По дням'!$E$2:$E$4000,MATCH(24,'По дням'!$G$2:$G$4000,0))))</f>
        <v/>
      </c>
    </row>
    <row r="30">
      <c r="A30" s="20">
        <f>IF(A29="","",IF(A29+1&gt;Ввод!$B$4,"",A29+1))</f>
        <v/>
      </c>
      <c r="B30">
        <f>IF(A30="","",IFERROR(INDEX(Ввод!$B$12:$B$71,MATCH(A30,Ввод!$D$12:$D$71,1)),""))</f>
        <v/>
      </c>
      <c r="C30">
        <f>IF(A30="","",DATE(YEAR(A30),12,31)-DATE(YEAR(A30),1,1)+1)</f>
        <v/>
      </c>
      <c r="D30">
        <f>IF(A30="","",SUMIFS(Акты!$D$5:$D$16,Акты!$E$5:$E$16,"&lt;="&amp;A30)-SUMIFS(Оплаты!$B$6:$B$505,Оплаты!$A$6:$A$505,"&lt;"&amp;A30,Оплаты!$D$6:$D$505,"&lt;&gt;"))</f>
        <v/>
      </c>
      <c r="E30">
        <f>IF(A30="","",IF(SUMPRODUCT((Ввод!$F$12:$F$31&lt;&gt;"")*(Ввод!$F$12:$F$31&lt;=A30)*(Ввод!$G$12:$G$31&gt;=A30))&gt;0,1,0))</f>
        <v/>
      </c>
      <c r="G30">
        <f>IF(A30="","",IF(OR(B30&lt;&gt;B29,C30&lt;&gt;C29,E30&lt;&gt;E29),G29+1,G29))</f>
        <v/>
      </c>
      <c r="I30" t="n">
        <v>25</v>
      </c>
      <c r="J30" s="21">
        <f>IFERROR(INDEX('По дням'!$A$2:$A$4000,MATCH(25,'По дням'!$G$2:$G$4000,0)),0)</f>
        <v/>
      </c>
      <c r="K30" s="21">
        <f>IF(J30=0,0,J30+COUNTIF('По дням'!$G$2:$G$4000,25)-1)</f>
        <v/>
      </c>
      <c r="L30" s="22">
        <f>IF(J30=0,0,N(INDEX('По дням'!$B$2:$B$4000,MATCH(25,'По дням'!$G$2:$G$4000,0))))</f>
        <v/>
      </c>
      <c r="M30" s="23">
        <f>IF(J30=0,1,N(INDEX('По дням'!$C$2:$C$4000,MATCH(25,'По дням'!$G$2:$G$4000,0))))</f>
        <v/>
      </c>
      <c r="N30" s="24">
        <f>IF(J30=0,0,N(INDEX('По дням'!$E$2:$E$4000,MATCH(25,'По дням'!$G$2:$G$4000,0))))</f>
        <v/>
      </c>
    </row>
    <row r="31">
      <c r="A31" s="20">
        <f>IF(A30="","",IF(A30+1&gt;Ввод!$B$4,"",A30+1))</f>
        <v/>
      </c>
      <c r="B31">
        <f>IF(A31="","",IFERROR(INDEX(Ввод!$B$12:$B$71,MATCH(A31,Ввод!$D$12:$D$71,1)),""))</f>
        <v/>
      </c>
      <c r="C31">
        <f>IF(A31="","",DATE(YEAR(A31),12,31)-DATE(YEAR(A31),1,1)+1)</f>
        <v/>
      </c>
      <c r="D31">
        <f>IF(A31="","",SUMIFS(Акты!$D$5:$D$16,Акты!$E$5:$E$16,"&lt;="&amp;A31)-SUMIFS(Оплаты!$B$6:$B$505,Оплаты!$A$6:$A$505,"&lt;"&amp;A31,Оплаты!$D$6:$D$505,"&lt;&gt;"))</f>
        <v/>
      </c>
      <c r="E31">
        <f>IF(A31="","",IF(SUMPRODUCT((Ввод!$F$12:$F$31&lt;&gt;"")*(Ввод!$F$12:$F$31&lt;=A31)*(Ввод!$G$12:$G$31&gt;=A31))&gt;0,1,0))</f>
        <v/>
      </c>
      <c r="G31">
        <f>IF(A31="","",IF(OR(B31&lt;&gt;B30,C31&lt;&gt;C30,E31&lt;&gt;E30),G30+1,G30))</f>
        <v/>
      </c>
      <c r="I31" t="n">
        <v>26</v>
      </c>
      <c r="J31" s="21">
        <f>IFERROR(INDEX('По дням'!$A$2:$A$4000,MATCH(26,'По дням'!$G$2:$G$4000,0)),0)</f>
        <v/>
      </c>
      <c r="K31" s="21">
        <f>IF(J31=0,0,J31+COUNTIF('По дням'!$G$2:$G$4000,26)-1)</f>
        <v/>
      </c>
      <c r="L31" s="22">
        <f>IF(J31=0,0,N(INDEX('По дням'!$B$2:$B$4000,MATCH(26,'По дням'!$G$2:$G$4000,0))))</f>
        <v/>
      </c>
      <c r="M31" s="23">
        <f>IF(J31=0,1,N(INDEX('По дням'!$C$2:$C$4000,MATCH(26,'По дням'!$G$2:$G$4000,0))))</f>
        <v/>
      </c>
      <c r="N31" s="24">
        <f>IF(J31=0,0,N(INDEX('По дням'!$E$2:$E$4000,MATCH(26,'По дням'!$G$2:$G$4000,0))))</f>
        <v/>
      </c>
    </row>
    <row r="32">
      <c r="A32" s="20">
        <f>IF(A31="","",IF(A31+1&gt;Ввод!$B$4,"",A31+1))</f>
        <v/>
      </c>
      <c r="B32">
        <f>IF(A32="","",IFERROR(INDEX(Ввод!$B$12:$B$71,MATCH(A32,Ввод!$D$12:$D$71,1)),""))</f>
        <v/>
      </c>
      <c r="C32">
        <f>IF(A32="","",DATE(YEAR(A32),12,31)-DATE(YEAR(A32),1,1)+1)</f>
        <v/>
      </c>
      <c r="D32">
        <f>IF(A32="","",SUMIFS(Акты!$D$5:$D$16,Акты!$E$5:$E$16,"&lt;="&amp;A32)-SUMIFS(Оплаты!$B$6:$B$505,Оплаты!$A$6:$A$505,"&lt;"&amp;A32,Оплаты!$D$6:$D$505,"&lt;&gt;"))</f>
        <v/>
      </c>
      <c r="E32">
        <f>IF(A32="","",IF(SUMPRODUCT((Ввод!$F$12:$F$31&lt;&gt;"")*(Ввод!$F$12:$F$31&lt;=A32)*(Ввод!$G$12:$G$31&gt;=A32))&gt;0,1,0))</f>
        <v/>
      </c>
      <c r="G32">
        <f>IF(A32="","",IF(OR(B32&lt;&gt;B31,C32&lt;&gt;C31,E32&lt;&gt;E31),G31+1,G31))</f>
        <v/>
      </c>
      <c r="I32" t="n">
        <v>27</v>
      </c>
      <c r="J32" s="21">
        <f>IFERROR(INDEX('По дням'!$A$2:$A$4000,MATCH(27,'По дням'!$G$2:$G$4000,0)),0)</f>
        <v/>
      </c>
      <c r="K32" s="21">
        <f>IF(J32=0,0,J32+COUNTIF('По дням'!$G$2:$G$4000,27)-1)</f>
        <v/>
      </c>
      <c r="L32" s="22">
        <f>IF(J32=0,0,N(INDEX('По дням'!$B$2:$B$4000,MATCH(27,'По дням'!$G$2:$G$4000,0))))</f>
        <v/>
      </c>
      <c r="M32" s="23">
        <f>IF(J32=0,1,N(INDEX('По дням'!$C$2:$C$4000,MATCH(27,'По дням'!$G$2:$G$4000,0))))</f>
        <v/>
      </c>
      <c r="N32" s="24">
        <f>IF(J32=0,0,N(INDEX('По дням'!$E$2:$E$4000,MATCH(27,'По дням'!$G$2:$G$4000,0))))</f>
        <v/>
      </c>
    </row>
    <row r="33">
      <c r="A33" s="20">
        <f>IF(A32="","",IF(A32+1&gt;Ввод!$B$4,"",A32+1))</f>
        <v/>
      </c>
      <c r="B33">
        <f>IF(A33="","",IFERROR(INDEX(Ввод!$B$12:$B$71,MATCH(A33,Ввод!$D$12:$D$71,1)),""))</f>
        <v/>
      </c>
      <c r="C33">
        <f>IF(A33="","",DATE(YEAR(A33),12,31)-DATE(YEAR(A33),1,1)+1)</f>
        <v/>
      </c>
      <c r="D33">
        <f>IF(A33="","",SUMIFS(Акты!$D$5:$D$16,Акты!$E$5:$E$16,"&lt;="&amp;A33)-SUMIFS(Оплаты!$B$6:$B$505,Оплаты!$A$6:$A$505,"&lt;"&amp;A33,Оплаты!$D$6:$D$505,"&lt;&gt;"))</f>
        <v/>
      </c>
      <c r="E33">
        <f>IF(A33="","",IF(SUMPRODUCT((Ввод!$F$12:$F$31&lt;&gt;"")*(Ввод!$F$12:$F$31&lt;=A33)*(Ввод!$G$12:$G$31&gt;=A33))&gt;0,1,0))</f>
        <v/>
      </c>
      <c r="G33">
        <f>IF(A33="","",IF(OR(B33&lt;&gt;B32,C33&lt;&gt;C32,E33&lt;&gt;E32),G32+1,G32))</f>
        <v/>
      </c>
      <c r="I33" t="n">
        <v>28</v>
      </c>
      <c r="J33" s="21">
        <f>IFERROR(INDEX('По дням'!$A$2:$A$4000,MATCH(28,'По дням'!$G$2:$G$4000,0)),0)</f>
        <v/>
      </c>
      <c r="K33" s="21">
        <f>IF(J33=0,0,J33+COUNTIF('По дням'!$G$2:$G$4000,28)-1)</f>
        <v/>
      </c>
      <c r="L33" s="22">
        <f>IF(J33=0,0,N(INDEX('По дням'!$B$2:$B$4000,MATCH(28,'По дням'!$G$2:$G$4000,0))))</f>
        <v/>
      </c>
      <c r="M33" s="23">
        <f>IF(J33=0,1,N(INDEX('По дням'!$C$2:$C$4000,MATCH(28,'По дням'!$G$2:$G$4000,0))))</f>
        <v/>
      </c>
      <c r="N33" s="24">
        <f>IF(J33=0,0,N(INDEX('По дням'!$E$2:$E$4000,MATCH(28,'По дням'!$G$2:$G$4000,0))))</f>
        <v/>
      </c>
    </row>
    <row r="34">
      <c r="A34" s="20">
        <f>IF(A33="","",IF(A33+1&gt;Ввод!$B$4,"",A33+1))</f>
        <v/>
      </c>
      <c r="B34">
        <f>IF(A34="","",IFERROR(INDEX(Ввод!$B$12:$B$71,MATCH(A34,Ввод!$D$12:$D$71,1)),""))</f>
        <v/>
      </c>
      <c r="C34">
        <f>IF(A34="","",DATE(YEAR(A34),12,31)-DATE(YEAR(A34),1,1)+1)</f>
        <v/>
      </c>
      <c r="D34">
        <f>IF(A34="","",SUMIFS(Акты!$D$5:$D$16,Акты!$E$5:$E$16,"&lt;="&amp;A34)-SUMIFS(Оплаты!$B$6:$B$505,Оплаты!$A$6:$A$505,"&lt;"&amp;A34,Оплаты!$D$6:$D$505,"&lt;&gt;"))</f>
        <v/>
      </c>
      <c r="E34">
        <f>IF(A34="","",IF(SUMPRODUCT((Ввод!$F$12:$F$31&lt;&gt;"")*(Ввод!$F$12:$F$31&lt;=A34)*(Ввод!$G$12:$G$31&gt;=A34))&gt;0,1,0))</f>
        <v/>
      </c>
      <c r="G34">
        <f>IF(A34="","",IF(OR(B34&lt;&gt;B33,C34&lt;&gt;C33,E34&lt;&gt;E33),G33+1,G33))</f>
        <v/>
      </c>
      <c r="I34" t="n">
        <v>29</v>
      </c>
      <c r="J34" s="21">
        <f>IFERROR(INDEX('По дням'!$A$2:$A$4000,MATCH(29,'По дням'!$G$2:$G$4000,0)),0)</f>
        <v/>
      </c>
      <c r="K34" s="21">
        <f>IF(J34=0,0,J34+COUNTIF('По дням'!$G$2:$G$4000,29)-1)</f>
        <v/>
      </c>
      <c r="L34" s="22">
        <f>IF(J34=0,0,N(INDEX('По дням'!$B$2:$B$4000,MATCH(29,'По дням'!$G$2:$G$4000,0))))</f>
        <v/>
      </c>
      <c r="M34" s="23">
        <f>IF(J34=0,1,N(INDEX('По дням'!$C$2:$C$4000,MATCH(29,'По дням'!$G$2:$G$4000,0))))</f>
        <v/>
      </c>
      <c r="N34" s="24">
        <f>IF(J34=0,0,N(INDEX('По дням'!$E$2:$E$4000,MATCH(29,'По дням'!$G$2:$G$4000,0))))</f>
        <v/>
      </c>
    </row>
    <row r="35">
      <c r="A35" s="20">
        <f>IF(A34="","",IF(A34+1&gt;Ввод!$B$4,"",A34+1))</f>
        <v/>
      </c>
      <c r="B35">
        <f>IF(A35="","",IFERROR(INDEX(Ввод!$B$12:$B$71,MATCH(A35,Ввод!$D$12:$D$71,1)),""))</f>
        <v/>
      </c>
      <c r="C35">
        <f>IF(A35="","",DATE(YEAR(A35),12,31)-DATE(YEAR(A35),1,1)+1)</f>
        <v/>
      </c>
      <c r="D35">
        <f>IF(A35="","",SUMIFS(Акты!$D$5:$D$16,Акты!$E$5:$E$16,"&lt;="&amp;A35)-SUMIFS(Оплаты!$B$6:$B$505,Оплаты!$A$6:$A$505,"&lt;"&amp;A35,Оплаты!$D$6:$D$505,"&lt;&gt;"))</f>
        <v/>
      </c>
      <c r="E35">
        <f>IF(A35="","",IF(SUMPRODUCT((Ввод!$F$12:$F$31&lt;&gt;"")*(Ввод!$F$12:$F$31&lt;=A35)*(Ввод!$G$12:$G$31&gt;=A35))&gt;0,1,0))</f>
        <v/>
      </c>
      <c r="G35">
        <f>IF(A35="","",IF(OR(B35&lt;&gt;B34,C35&lt;&gt;C34,E35&lt;&gt;E34),G34+1,G34))</f>
        <v/>
      </c>
      <c r="I35" t="n">
        <v>30</v>
      </c>
      <c r="J35" s="21">
        <f>IFERROR(INDEX('По дням'!$A$2:$A$4000,MATCH(30,'По дням'!$G$2:$G$4000,0)),0)</f>
        <v/>
      </c>
      <c r="K35" s="21">
        <f>IF(J35=0,0,J35+COUNTIF('По дням'!$G$2:$G$4000,30)-1)</f>
        <v/>
      </c>
      <c r="L35" s="22">
        <f>IF(J35=0,0,N(INDEX('По дням'!$B$2:$B$4000,MATCH(30,'По дням'!$G$2:$G$4000,0))))</f>
        <v/>
      </c>
      <c r="M35" s="23">
        <f>IF(J35=0,1,N(INDEX('По дням'!$C$2:$C$4000,MATCH(30,'По дням'!$G$2:$G$4000,0))))</f>
        <v/>
      </c>
      <c r="N35" s="24">
        <f>IF(J35=0,0,N(INDEX('По дням'!$E$2:$E$4000,MATCH(30,'По дням'!$G$2:$G$4000,0))))</f>
        <v/>
      </c>
    </row>
    <row r="36">
      <c r="A36" s="20">
        <f>IF(A35="","",IF(A35+1&gt;Ввод!$B$4,"",A35+1))</f>
        <v/>
      </c>
      <c r="B36">
        <f>IF(A36="","",IFERROR(INDEX(Ввод!$B$12:$B$71,MATCH(A36,Ввод!$D$12:$D$71,1)),""))</f>
        <v/>
      </c>
      <c r="C36">
        <f>IF(A36="","",DATE(YEAR(A36),12,31)-DATE(YEAR(A36),1,1)+1)</f>
        <v/>
      </c>
      <c r="D36">
        <f>IF(A36="","",SUMIFS(Акты!$D$5:$D$16,Акты!$E$5:$E$16,"&lt;="&amp;A36)-SUMIFS(Оплаты!$B$6:$B$505,Оплаты!$A$6:$A$505,"&lt;"&amp;A36,Оплаты!$D$6:$D$505,"&lt;&gt;"))</f>
        <v/>
      </c>
      <c r="E36">
        <f>IF(A36="","",IF(SUMPRODUCT((Ввод!$F$12:$F$31&lt;&gt;"")*(Ввод!$F$12:$F$31&lt;=A36)*(Ввод!$G$12:$G$31&gt;=A36))&gt;0,1,0))</f>
        <v/>
      </c>
      <c r="G36">
        <f>IF(A36="","",IF(OR(B36&lt;&gt;B35,C36&lt;&gt;C35,E36&lt;&gt;E35),G35+1,G35))</f>
        <v/>
      </c>
      <c r="I36" t="n">
        <v>31</v>
      </c>
      <c r="J36" s="21">
        <f>IFERROR(INDEX('По дням'!$A$2:$A$4000,MATCH(31,'По дням'!$G$2:$G$4000,0)),0)</f>
        <v/>
      </c>
      <c r="K36" s="21">
        <f>IF(J36=0,0,J36+COUNTIF('По дням'!$G$2:$G$4000,31)-1)</f>
        <v/>
      </c>
      <c r="L36" s="22">
        <f>IF(J36=0,0,N(INDEX('По дням'!$B$2:$B$4000,MATCH(31,'По дням'!$G$2:$G$4000,0))))</f>
        <v/>
      </c>
      <c r="M36" s="23">
        <f>IF(J36=0,1,N(INDEX('По дням'!$C$2:$C$4000,MATCH(31,'По дням'!$G$2:$G$4000,0))))</f>
        <v/>
      </c>
      <c r="N36" s="24">
        <f>IF(J36=0,0,N(INDEX('По дням'!$E$2:$E$4000,MATCH(31,'По дням'!$G$2:$G$4000,0))))</f>
        <v/>
      </c>
    </row>
    <row r="37">
      <c r="A37" s="20">
        <f>IF(A36="","",IF(A36+1&gt;Ввод!$B$4,"",A36+1))</f>
        <v/>
      </c>
      <c r="B37">
        <f>IF(A37="","",IFERROR(INDEX(Ввод!$B$12:$B$71,MATCH(A37,Ввод!$D$12:$D$71,1)),""))</f>
        <v/>
      </c>
      <c r="C37">
        <f>IF(A37="","",DATE(YEAR(A37),12,31)-DATE(YEAR(A37),1,1)+1)</f>
        <v/>
      </c>
      <c r="D37">
        <f>IF(A37="","",SUMIFS(Акты!$D$5:$D$16,Акты!$E$5:$E$16,"&lt;="&amp;A37)-SUMIFS(Оплаты!$B$6:$B$505,Оплаты!$A$6:$A$505,"&lt;"&amp;A37,Оплаты!$D$6:$D$505,"&lt;&gt;"))</f>
        <v/>
      </c>
      <c r="E37">
        <f>IF(A37="","",IF(SUMPRODUCT((Ввод!$F$12:$F$31&lt;&gt;"")*(Ввод!$F$12:$F$31&lt;=A37)*(Ввод!$G$12:$G$31&gt;=A37))&gt;0,1,0))</f>
        <v/>
      </c>
      <c r="G37">
        <f>IF(A37="","",IF(OR(B37&lt;&gt;B36,C37&lt;&gt;C36,E37&lt;&gt;E36),G36+1,G36))</f>
        <v/>
      </c>
      <c r="I37" t="n">
        <v>32</v>
      </c>
      <c r="J37" s="21">
        <f>IFERROR(INDEX('По дням'!$A$2:$A$4000,MATCH(32,'По дням'!$G$2:$G$4000,0)),0)</f>
        <v/>
      </c>
      <c r="K37" s="21">
        <f>IF(J37=0,0,J37+COUNTIF('По дням'!$G$2:$G$4000,32)-1)</f>
        <v/>
      </c>
      <c r="L37" s="22">
        <f>IF(J37=0,0,N(INDEX('По дням'!$B$2:$B$4000,MATCH(32,'По дням'!$G$2:$G$4000,0))))</f>
        <v/>
      </c>
      <c r="M37" s="23">
        <f>IF(J37=0,1,N(INDEX('По дням'!$C$2:$C$4000,MATCH(32,'По дням'!$G$2:$G$4000,0))))</f>
        <v/>
      </c>
      <c r="N37" s="24">
        <f>IF(J37=0,0,N(INDEX('По дням'!$E$2:$E$4000,MATCH(32,'По дням'!$G$2:$G$4000,0))))</f>
        <v/>
      </c>
    </row>
    <row r="38">
      <c r="A38" s="20">
        <f>IF(A37="","",IF(A37+1&gt;Ввод!$B$4,"",A37+1))</f>
        <v/>
      </c>
      <c r="B38">
        <f>IF(A38="","",IFERROR(INDEX(Ввод!$B$12:$B$71,MATCH(A38,Ввод!$D$12:$D$71,1)),""))</f>
        <v/>
      </c>
      <c r="C38">
        <f>IF(A38="","",DATE(YEAR(A38),12,31)-DATE(YEAR(A38),1,1)+1)</f>
        <v/>
      </c>
      <c r="D38">
        <f>IF(A38="","",SUMIFS(Акты!$D$5:$D$16,Акты!$E$5:$E$16,"&lt;="&amp;A38)-SUMIFS(Оплаты!$B$6:$B$505,Оплаты!$A$6:$A$505,"&lt;"&amp;A38,Оплаты!$D$6:$D$505,"&lt;&gt;"))</f>
        <v/>
      </c>
      <c r="E38">
        <f>IF(A38="","",IF(SUMPRODUCT((Ввод!$F$12:$F$31&lt;&gt;"")*(Ввод!$F$12:$F$31&lt;=A38)*(Ввод!$G$12:$G$31&gt;=A38))&gt;0,1,0))</f>
        <v/>
      </c>
      <c r="G38">
        <f>IF(A38="","",IF(OR(B38&lt;&gt;B37,C38&lt;&gt;C37,E38&lt;&gt;E37),G37+1,G37))</f>
        <v/>
      </c>
      <c r="I38" t="n">
        <v>33</v>
      </c>
      <c r="J38" s="21">
        <f>IFERROR(INDEX('По дням'!$A$2:$A$4000,MATCH(33,'По дням'!$G$2:$G$4000,0)),0)</f>
        <v/>
      </c>
      <c r="K38" s="21">
        <f>IF(J38=0,0,J38+COUNTIF('По дням'!$G$2:$G$4000,33)-1)</f>
        <v/>
      </c>
      <c r="L38" s="22">
        <f>IF(J38=0,0,N(INDEX('По дням'!$B$2:$B$4000,MATCH(33,'По дням'!$G$2:$G$4000,0))))</f>
        <v/>
      </c>
      <c r="M38" s="23">
        <f>IF(J38=0,1,N(INDEX('По дням'!$C$2:$C$4000,MATCH(33,'По дням'!$G$2:$G$4000,0))))</f>
        <v/>
      </c>
      <c r="N38" s="24">
        <f>IF(J38=0,0,N(INDEX('По дням'!$E$2:$E$4000,MATCH(33,'По дням'!$G$2:$G$4000,0))))</f>
        <v/>
      </c>
    </row>
    <row r="39">
      <c r="A39" s="20">
        <f>IF(A38="","",IF(A38+1&gt;Ввод!$B$4,"",A38+1))</f>
        <v/>
      </c>
      <c r="B39">
        <f>IF(A39="","",IFERROR(INDEX(Ввод!$B$12:$B$71,MATCH(A39,Ввод!$D$12:$D$71,1)),""))</f>
        <v/>
      </c>
      <c r="C39">
        <f>IF(A39="","",DATE(YEAR(A39),12,31)-DATE(YEAR(A39),1,1)+1)</f>
        <v/>
      </c>
      <c r="D39">
        <f>IF(A39="","",SUMIFS(Акты!$D$5:$D$16,Акты!$E$5:$E$16,"&lt;="&amp;A39)-SUMIFS(Оплаты!$B$6:$B$505,Оплаты!$A$6:$A$505,"&lt;"&amp;A39,Оплаты!$D$6:$D$505,"&lt;&gt;"))</f>
        <v/>
      </c>
      <c r="E39">
        <f>IF(A39="","",IF(SUMPRODUCT((Ввод!$F$12:$F$31&lt;&gt;"")*(Ввод!$F$12:$F$31&lt;=A39)*(Ввод!$G$12:$G$31&gt;=A39))&gt;0,1,0))</f>
        <v/>
      </c>
      <c r="G39">
        <f>IF(A39="","",IF(OR(B39&lt;&gt;B38,C39&lt;&gt;C38,E39&lt;&gt;E38),G38+1,G38))</f>
        <v/>
      </c>
      <c r="I39" t="n">
        <v>34</v>
      </c>
      <c r="J39" s="21">
        <f>IFERROR(INDEX('По дням'!$A$2:$A$4000,MATCH(34,'По дням'!$G$2:$G$4000,0)),0)</f>
        <v/>
      </c>
      <c r="K39" s="21">
        <f>IF(J39=0,0,J39+COUNTIF('По дням'!$G$2:$G$4000,34)-1)</f>
        <v/>
      </c>
      <c r="L39" s="22">
        <f>IF(J39=0,0,N(INDEX('По дням'!$B$2:$B$4000,MATCH(34,'По дням'!$G$2:$G$4000,0))))</f>
        <v/>
      </c>
      <c r="M39" s="23">
        <f>IF(J39=0,1,N(INDEX('По дням'!$C$2:$C$4000,MATCH(34,'По дням'!$G$2:$G$4000,0))))</f>
        <v/>
      </c>
      <c r="N39" s="24">
        <f>IF(J39=0,0,N(INDEX('По дням'!$E$2:$E$4000,MATCH(34,'По дням'!$G$2:$G$4000,0))))</f>
        <v/>
      </c>
    </row>
    <row r="40">
      <c r="A40" s="20">
        <f>IF(A39="","",IF(A39+1&gt;Ввод!$B$4,"",A39+1))</f>
        <v/>
      </c>
      <c r="B40">
        <f>IF(A40="","",IFERROR(INDEX(Ввод!$B$12:$B$71,MATCH(A40,Ввод!$D$12:$D$71,1)),""))</f>
        <v/>
      </c>
      <c r="C40">
        <f>IF(A40="","",DATE(YEAR(A40),12,31)-DATE(YEAR(A40),1,1)+1)</f>
        <v/>
      </c>
      <c r="D40">
        <f>IF(A40="","",SUMIFS(Акты!$D$5:$D$16,Акты!$E$5:$E$16,"&lt;="&amp;A40)-SUMIFS(Оплаты!$B$6:$B$505,Оплаты!$A$6:$A$505,"&lt;"&amp;A40,Оплаты!$D$6:$D$505,"&lt;&gt;"))</f>
        <v/>
      </c>
      <c r="E40">
        <f>IF(A40="","",IF(SUMPRODUCT((Ввод!$F$12:$F$31&lt;&gt;"")*(Ввод!$F$12:$F$31&lt;=A40)*(Ввод!$G$12:$G$31&gt;=A40))&gt;0,1,0))</f>
        <v/>
      </c>
      <c r="G40">
        <f>IF(A40="","",IF(OR(B40&lt;&gt;B39,C40&lt;&gt;C39,E40&lt;&gt;E39),G39+1,G39))</f>
        <v/>
      </c>
      <c r="I40" t="n">
        <v>35</v>
      </c>
      <c r="J40" s="21">
        <f>IFERROR(INDEX('По дням'!$A$2:$A$4000,MATCH(35,'По дням'!$G$2:$G$4000,0)),0)</f>
        <v/>
      </c>
      <c r="K40" s="21">
        <f>IF(J40=0,0,J40+COUNTIF('По дням'!$G$2:$G$4000,35)-1)</f>
        <v/>
      </c>
      <c r="L40" s="22">
        <f>IF(J40=0,0,N(INDEX('По дням'!$B$2:$B$4000,MATCH(35,'По дням'!$G$2:$G$4000,0))))</f>
        <v/>
      </c>
      <c r="M40" s="23">
        <f>IF(J40=0,1,N(INDEX('По дням'!$C$2:$C$4000,MATCH(35,'По дням'!$G$2:$G$4000,0))))</f>
        <v/>
      </c>
      <c r="N40" s="24">
        <f>IF(J40=0,0,N(INDEX('По дням'!$E$2:$E$4000,MATCH(35,'По дням'!$G$2:$G$4000,0))))</f>
        <v/>
      </c>
    </row>
    <row r="41">
      <c r="A41" s="20">
        <f>IF(A40="","",IF(A40+1&gt;Ввод!$B$4,"",A40+1))</f>
        <v/>
      </c>
      <c r="B41">
        <f>IF(A41="","",IFERROR(INDEX(Ввод!$B$12:$B$71,MATCH(A41,Ввод!$D$12:$D$71,1)),""))</f>
        <v/>
      </c>
      <c r="C41">
        <f>IF(A41="","",DATE(YEAR(A41),12,31)-DATE(YEAR(A41),1,1)+1)</f>
        <v/>
      </c>
      <c r="D41">
        <f>IF(A41="","",SUMIFS(Акты!$D$5:$D$16,Акты!$E$5:$E$16,"&lt;="&amp;A41)-SUMIFS(Оплаты!$B$6:$B$505,Оплаты!$A$6:$A$505,"&lt;"&amp;A41,Оплаты!$D$6:$D$505,"&lt;&gt;"))</f>
        <v/>
      </c>
      <c r="E41">
        <f>IF(A41="","",IF(SUMPRODUCT((Ввод!$F$12:$F$31&lt;&gt;"")*(Ввод!$F$12:$F$31&lt;=A41)*(Ввод!$G$12:$G$31&gt;=A41))&gt;0,1,0))</f>
        <v/>
      </c>
      <c r="G41">
        <f>IF(A41="","",IF(OR(B41&lt;&gt;B40,C41&lt;&gt;C40,E41&lt;&gt;E40),G40+1,G40))</f>
        <v/>
      </c>
      <c r="I41" t="n">
        <v>36</v>
      </c>
      <c r="J41" s="21">
        <f>IFERROR(INDEX('По дням'!$A$2:$A$4000,MATCH(36,'По дням'!$G$2:$G$4000,0)),0)</f>
        <v/>
      </c>
      <c r="K41" s="21">
        <f>IF(J41=0,0,J41+COUNTIF('По дням'!$G$2:$G$4000,36)-1)</f>
        <v/>
      </c>
      <c r="L41" s="22">
        <f>IF(J41=0,0,N(INDEX('По дням'!$B$2:$B$4000,MATCH(36,'По дням'!$G$2:$G$4000,0))))</f>
        <v/>
      </c>
      <c r="M41" s="23">
        <f>IF(J41=0,1,N(INDEX('По дням'!$C$2:$C$4000,MATCH(36,'По дням'!$G$2:$G$4000,0))))</f>
        <v/>
      </c>
      <c r="N41" s="24">
        <f>IF(J41=0,0,N(INDEX('По дням'!$E$2:$E$4000,MATCH(36,'По дням'!$G$2:$G$4000,0))))</f>
        <v/>
      </c>
    </row>
    <row r="42">
      <c r="A42" s="20">
        <f>IF(A41="","",IF(A41+1&gt;Ввод!$B$4,"",A41+1))</f>
        <v/>
      </c>
      <c r="B42">
        <f>IF(A42="","",IFERROR(INDEX(Ввод!$B$12:$B$71,MATCH(A42,Ввод!$D$12:$D$71,1)),""))</f>
        <v/>
      </c>
      <c r="C42">
        <f>IF(A42="","",DATE(YEAR(A42),12,31)-DATE(YEAR(A42),1,1)+1)</f>
        <v/>
      </c>
      <c r="D42">
        <f>IF(A42="","",SUMIFS(Акты!$D$5:$D$16,Акты!$E$5:$E$16,"&lt;="&amp;A42)-SUMIFS(Оплаты!$B$6:$B$505,Оплаты!$A$6:$A$505,"&lt;"&amp;A42,Оплаты!$D$6:$D$505,"&lt;&gt;"))</f>
        <v/>
      </c>
      <c r="E42">
        <f>IF(A42="","",IF(SUMPRODUCT((Ввод!$F$12:$F$31&lt;&gt;"")*(Ввод!$F$12:$F$31&lt;=A42)*(Ввод!$G$12:$G$31&gt;=A42))&gt;0,1,0))</f>
        <v/>
      </c>
      <c r="G42">
        <f>IF(A42="","",IF(OR(B42&lt;&gt;B41,C42&lt;&gt;C41,E42&lt;&gt;E41),G41+1,G41))</f>
        <v/>
      </c>
      <c r="I42" t="n">
        <v>37</v>
      </c>
      <c r="J42" s="21">
        <f>IFERROR(INDEX('По дням'!$A$2:$A$4000,MATCH(37,'По дням'!$G$2:$G$4000,0)),0)</f>
        <v/>
      </c>
      <c r="K42" s="21">
        <f>IF(J42=0,0,J42+COUNTIF('По дням'!$G$2:$G$4000,37)-1)</f>
        <v/>
      </c>
      <c r="L42" s="22">
        <f>IF(J42=0,0,N(INDEX('По дням'!$B$2:$B$4000,MATCH(37,'По дням'!$G$2:$G$4000,0))))</f>
        <v/>
      </c>
      <c r="M42" s="23">
        <f>IF(J42=0,1,N(INDEX('По дням'!$C$2:$C$4000,MATCH(37,'По дням'!$G$2:$G$4000,0))))</f>
        <v/>
      </c>
      <c r="N42" s="24">
        <f>IF(J42=0,0,N(INDEX('По дням'!$E$2:$E$4000,MATCH(37,'По дням'!$G$2:$G$4000,0))))</f>
        <v/>
      </c>
    </row>
    <row r="43">
      <c r="A43" s="20">
        <f>IF(A42="","",IF(A42+1&gt;Ввод!$B$4,"",A42+1))</f>
        <v/>
      </c>
      <c r="B43">
        <f>IF(A43="","",IFERROR(INDEX(Ввод!$B$12:$B$71,MATCH(A43,Ввод!$D$12:$D$71,1)),""))</f>
        <v/>
      </c>
      <c r="C43">
        <f>IF(A43="","",DATE(YEAR(A43),12,31)-DATE(YEAR(A43),1,1)+1)</f>
        <v/>
      </c>
      <c r="D43">
        <f>IF(A43="","",SUMIFS(Акты!$D$5:$D$16,Акты!$E$5:$E$16,"&lt;="&amp;A43)-SUMIFS(Оплаты!$B$6:$B$505,Оплаты!$A$6:$A$505,"&lt;"&amp;A43,Оплаты!$D$6:$D$505,"&lt;&gt;"))</f>
        <v/>
      </c>
      <c r="E43">
        <f>IF(A43="","",IF(SUMPRODUCT((Ввод!$F$12:$F$31&lt;&gt;"")*(Ввод!$F$12:$F$31&lt;=A43)*(Ввод!$G$12:$G$31&gt;=A43))&gt;0,1,0))</f>
        <v/>
      </c>
      <c r="G43">
        <f>IF(A43="","",IF(OR(B43&lt;&gt;B42,C43&lt;&gt;C42,E43&lt;&gt;E42),G42+1,G42))</f>
        <v/>
      </c>
      <c r="I43" t="n">
        <v>38</v>
      </c>
      <c r="J43" s="21">
        <f>IFERROR(INDEX('По дням'!$A$2:$A$4000,MATCH(38,'По дням'!$G$2:$G$4000,0)),0)</f>
        <v/>
      </c>
      <c r="K43" s="21">
        <f>IF(J43=0,0,J43+COUNTIF('По дням'!$G$2:$G$4000,38)-1)</f>
        <v/>
      </c>
      <c r="L43" s="22">
        <f>IF(J43=0,0,N(INDEX('По дням'!$B$2:$B$4000,MATCH(38,'По дням'!$G$2:$G$4000,0))))</f>
        <v/>
      </c>
      <c r="M43" s="23">
        <f>IF(J43=0,1,N(INDEX('По дням'!$C$2:$C$4000,MATCH(38,'По дням'!$G$2:$G$4000,0))))</f>
        <v/>
      </c>
      <c r="N43" s="24">
        <f>IF(J43=0,0,N(INDEX('По дням'!$E$2:$E$4000,MATCH(38,'По дням'!$G$2:$G$4000,0))))</f>
        <v/>
      </c>
    </row>
    <row r="44">
      <c r="A44" s="20">
        <f>IF(A43="","",IF(A43+1&gt;Ввод!$B$4,"",A43+1))</f>
        <v/>
      </c>
      <c r="B44">
        <f>IF(A44="","",IFERROR(INDEX(Ввод!$B$12:$B$71,MATCH(A44,Ввод!$D$12:$D$71,1)),""))</f>
        <v/>
      </c>
      <c r="C44">
        <f>IF(A44="","",DATE(YEAR(A44),12,31)-DATE(YEAR(A44),1,1)+1)</f>
        <v/>
      </c>
      <c r="D44">
        <f>IF(A44="","",SUMIFS(Акты!$D$5:$D$16,Акты!$E$5:$E$16,"&lt;="&amp;A44)-SUMIFS(Оплаты!$B$6:$B$505,Оплаты!$A$6:$A$505,"&lt;"&amp;A44,Оплаты!$D$6:$D$505,"&lt;&gt;"))</f>
        <v/>
      </c>
      <c r="E44">
        <f>IF(A44="","",IF(SUMPRODUCT((Ввод!$F$12:$F$31&lt;&gt;"")*(Ввод!$F$12:$F$31&lt;=A44)*(Ввод!$G$12:$G$31&gt;=A44))&gt;0,1,0))</f>
        <v/>
      </c>
      <c r="G44">
        <f>IF(A44="","",IF(OR(B44&lt;&gt;B43,C44&lt;&gt;C43,E44&lt;&gt;E43),G43+1,G43))</f>
        <v/>
      </c>
      <c r="I44" t="n">
        <v>39</v>
      </c>
      <c r="J44" s="21">
        <f>IFERROR(INDEX('По дням'!$A$2:$A$4000,MATCH(39,'По дням'!$G$2:$G$4000,0)),0)</f>
        <v/>
      </c>
      <c r="K44" s="21">
        <f>IF(J44=0,0,J44+COUNTIF('По дням'!$G$2:$G$4000,39)-1)</f>
        <v/>
      </c>
      <c r="L44" s="22">
        <f>IF(J44=0,0,N(INDEX('По дням'!$B$2:$B$4000,MATCH(39,'По дням'!$G$2:$G$4000,0))))</f>
        <v/>
      </c>
      <c r="M44" s="23">
        <f>IF(J44=0,1,N(INDEX('По дням'!$C$2:$C$4000,MATCH(39,'По дням'!$G$2:$G$4000,0))))</f>
        <v/>
      </c>
      <c r="N44" s="24">
        <f>IF(J44=0,0,N(INDEX('По дням'!$E$2:$E$4000,MATCH(39,'По дням'!$G$2:$G$4000,0))))</f>
        <v/>
      </c>
    </row>
    <row r="45">
      <c r="A45" s="20">
        <f>IF(A44="","",IF(A44+1&gt;Ввод!$B$4,"",A44+1))</f>
        <v/>
      </c>
      <c r="B45">
        <f>IF(A45="","",IFERROR(INDEX(Ввод!$B$12:$B$71,MATCH(A45,Ввод!$D$12:$D$71,1)),""))</f>
        <v/>
      </c>
      <c r="C45">
        <f>IF(A45="","",DATE(YEAR(A45),12,31)-DATE(YEAR(A45),1,1)+1)</f>
        <v/>
      </c>
      <c r="D45">
        <f>IF(A45="","",SUMIFS(Акты!$D$5:$D$16,Акты!$E$5:$E$16,"&lt;="&amp;A45)-SUMIFS(Оплаты!$B$6:$B$505,Оплаты!$A$6:$A$505,"&lt;"&amp;A45,Оплаты!$D$6:$D$505,"&lt;&gt;"))</f>
        <v/>
      </c>
      <c r="E45">
        <f>IF(A45="","",IF(SUMPRODUCT((Ввод!$F$12:$F$31&lt;&gt;"")*(Ввод!$F$12:$F$31&lt;=A45)*(Ввод!$G$12:$G$31&gt;=A45))&gt;0,1,0))</f>
        <v/>
      </c>
      <c r="G45">
        <f>IF(A45="","",IF(OR(B45&lt;&gt;B44,C45&lt;&gt;C44,E45&lt;&gt;E44),G44+1,G44))</f>
        <v/>
      </c>
      <c r="I45" t="n">
        <v>40</v>
      </c>
      <c r="J45" s="21">
        <f>IFERROR(INDEX('По дням'!$A$2:$A$4000,MATCH(40,'По дням'!$G$2:$G$4000,0)),0)</f>
        <v/>
      </c>
      <c r="K45" s="21">
        <f>IF(J45=0,0,J45+COUNTIF('По дням'!$G$2:$G$4000,40)-1)</f>
        <v/>
      </c>
      <c r="L45" s="22">
        <f>IF(J45=0,0,N(INDEX('По дням'!$B$2:$B$4000,MATCH(40,'По дням'!$G$2:$G$4000,0))))</f>
        <v/>
      </c>
      <c r="M45" s="23">
        <f>IF(J45=0,1,N(INDEX('По дням'!$C$2:$C$4000,MATCH(40,'По дням'!$G$2:$G$4000,0))))</f>
        <v/>
      </c>
      <c r="N45" s="24">
        <f>IF(J45=0,0,N(INDEX('По дням'!$E$2:$E$4000,MATCH(40,'По дням'!$G$2:$G$4000,0))))</f>
        <v/>
      </c>
    </row>
    <row r="46">
      <c r="A46" s="20">
        <f>IF(A45="","",IF(A45+1&gt;Ввод!$B$4,"",A45+1))</f>
        <v/>
      </c>
      <c r="B46">
        <f>IF(A46="","",IFERROR(INDEX(Ввод!$B$12:$B$71,MATCH(A46,Ввод!$D$12:$D$71,1)),""))</f>
        <v/>
      </c>
      <c r="C46">
        <f>IF(A46="","",DATE(YEAR(A46),12,31)-DATE(YEAR(A46),1,1)+1)</f>
        <v/>
      </c>
      <c r="D46">
        <f>IF(A46="","",SUMIFS(Акты!$D$5:$D$16,Акты!$E$5:$E$16,"&lt;="&amp;A46)-SUMIFS(Оплаты!$B$6:$B$505,Оплаты!$A$6:$A$505,"&lt;"&amp;A46,Оплаты!$D$6:$D$505,"&lt;&gt;"))</f>
        <v/>
      </c>
      <c r="E46">
        <f>IF(A46="","",IF(SUMPRODUCT((Ввод!$F$12:$F$31&lt;&gt;"")*(Ввод!$F$12:$F$31&lt;=A46)*(Ввод!$G$12:$G$31&gt;=A46))&gt;0,1,0))</f>
        <v/>
      </c>
      <c r="G46">
        <f>IF(A46="","",IF(OR(B46&lt;&gt;B45,C46&lt;&gt;C45,E46&lt;&gt;E45),G45+1,G45))</f>
        <v/>
      </c>
      <c r="I46" t="n">
        <v>41</v>
      </c>
      <c r="J46" s="21">
        <f>IFERROR(INDEX('По дням'!$A$2:$A$4000,MATCH(41,'По дням'!$G$2:$G$4000,0)),0)</f>
        <v/>
      </c>
      <c r="K46" s="21">
        <f>IF(J46=0,0,J46+COUNTIF('По дням'!$G$2:$G$4000,41)-1)</f>
        <v/>
      </c>
      <c r="L46" s="22">
        <f>IF(J46=0,0,N(INDEX('По дням'!$B$2:$B$4000,MATCH(41,'По дням'!$G$2:$G$4000,0))))</f>
        <v/>
      </c>
      <c r="M46" s="23">
        <f>IF(J46=0,1,N(INDEX('По дням'!$C$2:$C$4000,MATCH(41,'По дням'!$G$2:$G$4000,0))))</f>
        <v/>
      </c>
      <c r="N46" s="24">
        <f>IF(J46=0,0,N(INDEX('По дням'!$E$2:$E$4000,MATCH(41,'По дням'!$G$2:$G$4000,0))))</f>
        <v/>
      </c>
    </row>
    <row r="47">
      <c r="A47" s="20">
        <f>IF(A46="","",IF(A46+1&gt;Ввод!$B$4,"",A46+1))</f>
        <v/>
      </c>
      <c r="B47">
        <f>IF(A47="","",IFERROR(INDEX(Ввод!$B$12:$B$71,MATCH(A47,Ввод!$D$12:$D$71,1)),""))</f>
        <v/>
      </c>
      <c r="C47">
        <f>IF(A47="","",DATE(YEAR(A47),12,31)-DATE(YEAR(A47),1,1)+1)</f>
        <v/>
      </c>
      <c r="D47">
        <f>IF(A47="","",SUMIFS(Акты!$D$5:$D$16,Акты!$E$5:$E$16,"&lt;="&amp;A47)-SUMIFS(Оплаты!$B$6:$B$505,Оплаты!$A$6:$A$505,"&lt;"&amp;A47,Оплаты!$D$6:$D$505,"&lt;&gt;"))</f>
        <v/>
      </c>
      <c r="E47">
        <f>IF(A47="","",IF(SUMPRODUCT((Ввод!$F$12:$F$31&lt;&gt;"")*(Ввод!$F$12:$F$31&lt;=A47)*(Ввод!$G$12:$G$31&gt;=A47))&gt;0,1,0))</f>
        <v/>
      </c>
      <c r="G47">
        <f>IF(A47="","",IF(OR(B47&lt;&gt;B46,C47&lt;&gt;C46,E47&lt;&gt;E46),G46+1,G46))</f>
        <v/>
      </c>
      <c r="I47" t="n">
        <v>42</v>
      </c>
      <c r="J47" s="21">
        <f>IFERROR(INDEX('По дням'!$A$2:$A$4000,MATCH(42,'По дням'!$G$2:$G$4000,0)),0)</f>
        <v/>
      </c>
      <c r="K47" s="21">
        <f>IF(J47=0,0,J47+COUNTIF('По дням'!$G$2:$G$4000,42)-1)</f>
        <v/>
      </c>
      <c r="L47" s="22">
        <f>IF(J47=0,0,N(INDEX('По дням'!$B$2:$B$4000,MATCH(42,'По дням'!$G$2:$G$4000,0))))</f>
        <v/>
      </c>
      <c r="M47" s="23">
        <f>IF(J47=0,1,N(INDEX('По дням'!$C$2:$C$4000,MATCH(42,'По дням'!$G$2:$G$4000,0))))</f>
        <v/>
      </c>
      <c r="N47" s="24">
        <f>IF(J47=0,0,N(INDEX('По дням'!$E$2:$E$4000,MATCH(42,'По дням'!$G$2:$G$4000,0))))</f>
        <v/>
      </c>
    </row>
    <row r="48">
      <c r="A48" s="20">
        <f>IF(A47="","",IF(A47+1&gt;Ввод!$B$4,"",A47+1))</f>
        <v/>
      </c>
      <c r="B48">
        <f>IF(A48="","",IFERROR(INDEX(Ввод!$B$12:$B$71,MATCH(A48,Ввод!$D$12:$D$71,1)),""))</f>
        <v/>
      </c>
      <c r="C48">
        <f>IF(A48="","",DATE(YEAR(A48),12,31)-DATE(YEAR(A48),1,1)+1)</f>
        <v/>
      </c>
      <c r="D48">
        <f>IF(A48="","",SUMIFS(Акты!$D$5:$D$16,Акты!$E$5:$E$16,"&lt;="&amp;A48)-SUMIFS(Оплаты!$B$6:$B$505,Оплаты!$A$6:$A$505,"&lt;"&amp;A48,Оплаты!$D$6:$D$505,"&lt;&gt;"))</f>
        <v/>
      </c>
      <c r="E48">
        <f>IF(A48="","",IF(SUMPRODUCT((Ввод!$F$12:$F$31&lt;&gt;"")*(Ввод!$F$12:$F$31&lt;=A48)*(Ввод!$G$12:$G$31&gt;=A48))&gt;0,1,0))</f>
        <v/>
      </c>
      <c r="G48">
        <f>IF(A48="","",IF(OR(B48&lt;&gt;B47,C48&lt;&gt;C47,E48&lt;&gt;E47),G47+1,G47))</f>
        <v/>
      </c>
      <c r="I48" t="n">
        <v>43</v>
      </c>
      <c r="J48" s="21">
        <f>IFERROR(INDEX('По дням'!$A$2:$A$4000,MATCH(43,'По дням'!$G$2:$G$4000,0)),0)</f>
        <v/>
      </c>
      <c r="K48" s="21">
        <f>IF(J48=0,0,J48+COUNTIF('По дням'!$G$2:$G$4000,43)-1)</f>
        <v/>
      </c>
      <c r="L48" s="22">
        <f>IF(J48=0,0,N(INDEX('По дням'!$B$2:$B$4000,MATCH(43,'По дням'!$G$2:$G$4000,0))))</f>
        <v/>
      </c>
      <c r="M48" s="23">
        <f>IF(J48=0,1,N(INDEX('По дням'!$C$2:$C$4000,MATCH(43,'По дням'!$G$2:$G$4000,0))))</f>
        <v/>
      </c>
      <c r="N48" s="24">
        <f>IF(J48=0,0,N(INDEX('По дням'!$E$2:$E$4000,MATCH(43,'По дням'!$G$2:$G$4000,0))))</f>
        <v/>
      </c>
    </row>
    <row r="49">
      <c r="A49" s="20">
        <f>IF(A48="","",IF(A48+1&gt;Ввод!$B$4,"",A48+1))</f>
        <v/>
      </c>
      <c r="B49">
        <f>IF(A49="","",IFERROR(INDEX(Ввод!$B$12:$B$71,MATCH(A49,Ввод!$D$12:$D$71,1)),""))</f>
        <v/>
      </c>
      <c r="C49">
        <f>IF(A49="","",DATE(YEAR(A49),12,31)-DATE(YEAR(A49),1,1)+1)</f>
        <v/>
      </c>
      <c r="D49">
        <f>IF(A49="","",SUMIFS(Акты!$D$5:$D$16,Акты!$E$5:$E$16,"&lt;="&amp;A49)-SUMIFS(Оплаты!$B$6:$B$505,Оплаты!$A$6:$A$505,"&lt;"&amp;A49,Оплаты!$D$6:$D$505,"&lt;&gt;"))</f>
        <v/>
      </c>
      <c r="E49">
        <f>IF(A49="","",IF(SUMPRODUCT((Ввод!$F$12:$F$31&lt;&gt;"")*(Ввод!$F$12:$F$31&lt;=A49)*(Ввод!$G$12:$G$31&gt;=A49))&gt;0,1,0))</f>
        <v/>
      </c>
      <c r="G49">
        <f>IF(A49="","",IF(OR(B49&lt;&gt;B48,C49&lt;&gt;C48,E49&lt;&gt;E48),G48+1,G48))</f>
        <v/>
      </c>
      <c r="I49" t="n">
        <v>44</v>
      </c>
      <c r="J49" s="21">
        <f>IFERROR(INDEX('По дням'!$A$2:$A$4000,MATCH(44,'По дням'!$G$2:$G$4000,0)),0)</f>
        <v/>
      </c>
      <c r="K49" s="21">
        <f>IF(J49=0,0,J49+COUNTIF('По дням'!$G$2:$G$4000,44)-1)</f>
        <v/>
      </c>
      <c r="L49" s="22">
        <f>IF(J49=0,0,N(INDEX('По дням'!$B$2:$B$4000,MATCH(44,'По дням'!$G$2:$G$4000,0))))</f>
        <v/>
      </c>
      <c r="M49" s="23">
        <f>IF(J49=0,1,N(INDEX('По дням'!$C$2:$C$4000,MATCH(44,'По дням'!$G$2:$G$4000,0))))</f>
        <v/>
      </c>
      <c r="N49" s="24">
        <f>IF(J49=0,0,N(INDEX('По дням'!$E$2:$E$4000,MATCH(44,'По дням'!$G$2:$G$4000,0))))</f>
        <v/>
      </c>
    </row>
    <row r="50">
      <c r="A50" s="20">
        <f>IF(A49="","",IF(A49+1&gt;Ввод!$B$4,"",A49+1))</f>
        <v/>
      </c>
      <c r="B50">
        <f>IF(A50="","",IFERROR(INDEX(Ввод!$B$12:$B$71,MATCH(A50,Ввод!$D$12:$D$71,1)),""))</f>
        <v/>
      </c>
      <c r="C50">
        <f>IF(A50="","",DATE(YEAR(A50),12,31)-DATE(YEAR(A50),1,1)+1)</f>
        <v/>
      </c>
      <c r="D50">
        <f>IF(A50="","",SUMIFS(Акты!$D$5:$D$16,Акты!$E$5:$E$16,"&lt;="&amp;A50)-SUMIFS(Оплаты!$B$6:$B$505,Оплаты!$A$6:$A$505,"&lt;"&amp;A50,Оплаты!$D$6:$D$505,"&lt;&gt;"))</f>
        <v/>
      </c>
      <c r="E50">
        <f>IF(A50="","",IF(SUMPRODUCT((Ввод!$F$12:$F$31&lt;&gt;"")*(Ввод!$F$12:$F$31&lt;=A50)*(Ввод!$G$12:$G$31&gt;=A50))&gt;0,1,0))</f>
        <v/>
      </c>
      <c r="G50">
        <f>IF(A50="","",IF(OR(B50&lt;&gt;B49,C50&lt;&gt;C49,E50&lt;&gt;E49),G49+1,G49))</f>
        <v/>
      </c>
      <c r="I50" t="n">
        <v>45</v>
      </c>
      <c r="J50" s="21">
        <f>IFERROR(INDEX('По дням'!$A$2:$A$4000,MATCH(45,'По дням'!$G$2:$G$4000,0)),0)</f>
        <v/>
      </c>
      <c r="K50" s="21">
        <f>IF(J50=0,0,J50+COUNTIF('По дням'!$G$2:$G$4000,45)-1)</f>
        <v/>
      </c>
      <c r="L50" s="22">
        <f>IF(J50=0,0,N(INDEX('По дням'!$B$2:$B$4000,MATCH(45,'По дням'!$G$2:$G$4000,0))))</f>
        <v/>
      </c>
      <c r="M50" s="23">
        <f>IF(J50=0,1,N(INDEX('По дням'!$C$2:$C$4000,MATCH(45,'По дням'!$G$2:$G$4000,0))))</f>
        <v/>
      </c>
      <c r="N50" s="24">
        <f>IF(J50=0,0,N(INDEX('По дням'!$E$2:$E$4000,MATCH(45,'По дням'!$G$2:$G$4000,0))))</f>
        <v/>
      </c>
    </row>
    <row r="51">
      <c r="A51" s="20">
        <f>IF(A50="","",IF(A50+1&gt;Ввод!$B$4,"",A50+1))</f>
        <v/>
      </c>
      <c r="B51">
        <f>IF(A51="","",IFERROR(INDEX(Ввод!$B$12:$B$71,MATCH(A51,Ввод!$D$12:$D$71,1)),""))</f>
        <v/>
      </c>
      <c r="C51">
        <f>IF(A51="","",DATE(YEAR(A51),12,31)-DATE(YEAR(A51),1,1)+1)</f>
        <v/>
      </c>
      <c r="D51">
        <f>IF(A51="","",SUMIFS(Акты!$D$5:$D$16,Акты!$E$5:$E$16,"&lt;="&amp;A51)-SUMIFS(Оплаты!$B$6:$B$505,Оплаты!$A$6:$A$505,"&lt;"&amp;A51,Оплаты!$D$6:$D$505,"&lt;&gt;"))</f>
        <v/>
      </c>
      <c r="E51">
        <f>IF(A51="","",IF(SUMPRODUCT((Ввод!$F$12:$F$31&lt;&gt;"")*(Ввод!$F$12:$F$31&lt;=A51)*(Ввод!$G$12:$G$31&gt;=A51))&gt;0,1,0))</f>
        <v/>
      </c>
      <c r="G51">
        <f>IF(A51="","",IF(OR(B51&lt;&gt;B50,C51&lt;&gt;C50,E51&lt;&gt;E50),G50+1,G50))</f>
        <v/>
      </c>
      <c r="I51" t="n">
        <v>46</v>
      </c>
      <c r="J51" s="21">
        <f>IFERROR(INDEX('По дням'!$A$2:$A$4000,MATCH(46,'По дням'!$G$2:$G$4000,0)),0)</f>
        <v/>
      </c>
      <c r="K51" s="21">
        <f>IF(J51=0,0,J51+COUNTIF('По дням'!$G$2:$G$4000,46)-1)</f>
        <v/>
      </c>
      <c r="L51" s="22">
        <f>IF(J51=0,0,N(INDEX('По дням'!$B$2:$B$4000,MATCH(46,'По дням'!$G$2:$G$4000,0))))</f>
        <v/>
      </c>
      <c r="M51" s="23">
        <f>IF(J51=0,1,N(INDEX('По дням'!$C$2:$C$4000,MATCH(46,'По дням'!$G$2:$G$4000,0))))</f>
        <v/>
      </c>
      <c r="N51" s="24">
        <f>IF(J51=0,0,N(INDEX('По дням'!$E$2:$E$4000,MATCH(46,'По дням'!$G$2:$G$4000,0))))</f>
        <v/>
      </c>
    </row>
    <row r="52">
      <c r="A52" s="20">
        <f>IF(A51="","",IF(A51+1&gt;Ввод!$B$4,"",A51+1))</f>
        <v/>
      </c>
      <c r="B52">
        <f>IF(A52="","",IFERROR(INDEX(Ввод!$B$12:$B$71,MATCH(A52,Ввод!$D$12:$D$71,1)),""))</f>
        <v/>
      </c>
      <c r="C52">
        <f>IF(A52="","",DATE(YEAR(A52),12,31)-DATE(YEAR(A52),1,1)+1)</f>
        <v/>
      </c>
      <c r="D52">
        <f>IF(A52="","",SUMIFS(Акты!$D$5:$D$16,Акты!$E$5:$E$16,"&lt;="&amp;A52)-SUMIFS(Оплаты!$B$6:$B$505,Оплаты!$A$6:$A$505,"&lt;"&amp;A52,Оплаты!$D$6:$D$505,"&lt;&gt;"))</f>
        <v/>
      </c>
      <c r="E52">
        <f>IF(A52="","",IF(SUMPRODUCT((Ввод!$F$12:$F$31&lt;&gt;"")*(Ввод!$F$12:$F$31&lt;=A52)*(Ввод!$G$12:$G$31&gt;=A52))&gt;0,1,0))</f>
        <v/>
      </c>
      <c r="G52">
        <f>IF(A52="","",IF(OR(B52&lt;&gt;B51,C52&lt;&gt;C51,E52&lt;&gt;E51),G51+1,G51))</f>
        <v/>
      </c>
      <c r="I52" t="n">
        <v>47</v>
      </c>
      <c r="J52" s="21">
        <f>IFERROR(INDEX('По дням'!$A$2:$A$4000,MATCH(47,'По дням'!$G$2:$G$4000,0)),0)</f>
        <v/>
      </c>
      <c r="K52" s="21">
        <f>IF(J52=0,0,J52+COUNTIF('По дням'!$G$2:$G$4000,47)-1)</f>
        <v/>
      </c>
      <c r="L52" s="22">
        <f>IF(J52=0,0,N(INDEX('По дням'!$B$2:$B$4000,MATCH(47,'По дням'!$G$2:$G$4000,0))))</f>
        <v/>
      </c>
      <c r="M52" s="23">
        <f>IF(J52=0,1,N(INDEX('По дням'!$C$2:$C$4000,MATCH(47,'По дням'!$G$2:$G$4000,0))))</f>
        <v/>
      </c>
      <c r="N52" s="24">
        <f>IF(J52=0,0,N(INDEX('По дням'!$E$2:$E$4000,MATCH(47,'По дням'!$G$2:$G$4000,0))))</f>
        <v/>
      </c>
    </row>
    <row r="53">
      <c r="A53" s="20">
        <f>IF(A52="","",IF(A52+1&gt;Ввод!$B$4,"",A52+1))</f>
        <v/>
      </c>
      <c r="B53">
        <f>IF(A53="","",IFERROR(INDEX(Ввод!$B$12:$B$71,MATCH(A53,Ввод!$D$12:$D$71,1)),""))</f>
        <v/>
      </c>
      <c r="C53">
        <f>IF(A53="","",DATE(YEAR(A53),12,31)-DATE(YEAR(A53),1,1)+1)</f>
        <v/>
      </c>
      <c r="D53">
        <f>IF(A53="","",SUMIFS(Акты!$D$5:$D$16,Акты!$E$5:$E$16,"&lt;="&amp;A53)-SUMIFS(Оплаты!$B$6:$B$505,Оплаты!$A$6:$A$505,"&lt;"&amp;A53,Оплаты!$D$6:$D$505,"&lt;&gt;"))</f>
        <v/>
      </c>
      <c r="E53">
        <f>IF(A53="","",IF(SUMPRODUCT((Ввод!$F$12:$F$31&lt;&gt;"")*(Ввод!$F$12:$F$31&lt;=A53)*(Ввод!$G$12:$G$31&gt;=A53))&gt;0,1,0))</f>
        <v/>
      </c>
      <c r="G53">
        <f>IF(A53="","",IF(OR(B53&lt;&gt;B52,C53&lt;&gt;C52,E53&lt;&gt;E52),G52+1,G52))</f>
        <v/>
      </c>
      <c r="I53" t="n">
        <v>48</v>
      </c>
      <c r="J53" s="21">
        <f>IFERROR(INDEX('По дням'!$A$2:$A$4000,MATCH(48,'По дням'!$G$2:$G$4000,0)),0)</f>
        <v/>
      </c>
      <c r="K53" s="21">
        <f>IF(J53=0,0,J53+COUNTIF('По дням'!$G$2:$G$4000,48)-1)</f>
        <v/>
      </c>
      <c r="L53" s="22">
        <f>IF(J53=0,0,N(INDEX('По дням'!$B$2:$B$4000,MATCH(48,'По дням'!$G$2:$G$4000,0))))</f>
        <v/>
      </c>
      <c r="M53" s="23">
        <f>IF(J53=0,1,N(INDEX('По дням'!$C$2:$C$4000,MATCH(48,'По дням'!$G$2:$G$4000,0))))</f>
        <v/>
      </c>
      <c r="N53" s="24">
        <f>IF(J53=0,0,N(INDEX('По дням'!$E$2:$E$4000,MATCH(48,'По дням'!$G$2:$G$4000,0))))</f>
        <v/>
      </c>
    </row>
    <row r="54">
      <c r="A54" s="20">
        <f>IF(A53="","",IF(A53+1&gt;Ввод!$B$4,"",A53+1))</f>
        <v/>
      </c>
      <c r="B54">
        <f>IF(A54="","",IFERROR(INDEX(Ввод!$B$12:$B$71,MATCH(A54,Ввод!$D$12:$D$71,1)),""))</f>
        <v/>
      </c>
      <c r="C54">
        <f>IF(A54="","",DATE(YEAR(A54),12,31)-DATE(YEAR(A54),1,1)+1)</f>
        <v/>
      </c>
      <c r="D54">
        <f>IF(A54="","",SUMIFS(Акты!$D$5:$D$16,Акты!$E$5:$E$16,"&lt;="&amp;A54)-SUMIFS(Оплаты!$B$6:$B$505,Оплаты!$A$6:$A$505,"&lt;"&amp;A54,Оплаты!$D$6:$D$505,"&lt;&gt;"))</f>
        <v/>
      </c>
      <c r="E54">
        <f>IF(A54="","",IF(SUMPRODUCT((Ввод!$F$12:$F$31&lt;&gt;"")*(Ввод!$F$12:$F$31&lt;=A54)*(Ввод!$G$12:$G$31&gt;=A54))&gt;0,1,0))</f>
        <v/>
      </c>
      <c r="G54">
        <f>IF(A54="","",IF(OR(B54&lt;&gt;B53,C54&lt;&gt;C53,E54&lt;&gt;E53),G53+1,G53))</f>
        <v/>
      </c>
      <c r="I54" t="n">
        <v>49</v>
      </c>
      <c r="J54" s="21">
        <f>IFERROR(INDEX('По дням'!$A$2:$A$4000,MATCH(49,'По дням'!$G$2:$G$4000,0)),0)</f>
        <v/>
      </c>
      <c r="K54" s="21">
        <f>IF(J54=0,0,J54+COUNTIF('По дням'!$G$2:$G$4000,49)-1)</f>
        <v/>
      </c>
      <c r="L54" s="22">
        <f>IF(J54=0,0,N(INDEX('По дням'!$B$2:$B$4000,MATCH(49,'По дням'!$G$2:$G$4000,0))))</f>
        <v/>
      </c>
      <c r="M54" s="23">
        <f>IF(J54=0,1,N(INDEX('По дням'!$C$2:$C$4000,MATCH(49,'По дням'!$G$2:$G$4000,0))))</f>
        <v/>
      </c>
      <c r="N54" s="24">
        <f>IF(J54=0,0,N(INDEX('По дням'!$E$2:$E$4000,MATCH(49,'По дням'!$G$2:$G$4000,0))))</f>
        <v/>
      </c>
    </row>
    <row r="55">
      <c r="A55" s="20">
        <f>IF(A54="","",IF(A54+1&gt;Ввод!$B$4,"",A54+1))</f>
        <v/>
      </c>
      <c r="B55">
        <f>IF(A55="","",IFERROR(INDEX(Ввод!$B$12:$B$71,MATCH(A55,Ввод!$D$12:$D$71,1)),""))</f>
        <v/>
      </c>
      <c r="C55">
        <f>IF(A55="","",DATE(YEAR(A55),12,31)-DATE(YEAR(A55),1,1)+1)</f>
        <v/>
      </c>
      <c r="D55">
        <f>IF(A55="","",SUMIFS(Акты!$D$5:$D$16,Акты!$E$5:$E$16,"&lt;="&amp;A55)-SUMIFS(Оплаты!$B$6:$B$505,Оплаты!$A$6:$A$505,"&lt;"&amp;A55,Оплаты!$D$6:$D$505,"&lt;&gt;"))</f>
        <v/>
      </c>
      <c r="E55">
        <f>IF(A55="","",IF(SUMPRODUCT((Ввод!$F$12:$F$31&lt;&gt;"")*(Ввод!$F$12:$F$31&lt;=A55)*(Ввод!$G$12:$G$31&gt;=A55))&gt;0,1,0))</f>
        <v/>
      </c>
      <c r="G55">
        <f>IF(A55="","",IF(OR(B55&lt;&gt;B54,C55&lt;&gt;C54,E55&lt;&gt;E54),G54+1,G54))</f>
        <v/>
      </c>
      <c r="I55" t="n">
        <v>50</v>
      </c>
      <c r="J55" s="21">
        <f>IFERROR(INDEX('По дням'!$A$2:$A$4000,MATCH(50,'По дням'!$G$2:$G$4000,0)),0)</f>
        <v/>
      </c>
      <c r="K55" s="21">
        <f>IF(J55=0,0,J55+COUNTIF('По дням'!$G$2:$G$4000,50)-1)</f>
        <v/>
      </c>
      <c r="L55" s="22">
        <f>IF(J55=0,0,N(INDEX('По дням'!$B$2:$B$4000,MATCH(50,'По дням'!$G$2:$G$4000,0))))</f>
        <v/>
      </c>
      <c r="M55" s="23">
        <f>IF(J55=0,1,N(INDEX('По дням'!$C$2:$C$4000,MATCH(50,'По дням'!$G$2:$G$4000,0))))</f>
        <v/>
      </c>
      <c r="N55" s="24">
        <f>IF(J55=0,0,N(INDEX('По дням'!$E$2:$E$4000,MATCH(50,'По дням'!$G$2:$G$4000,0))))</f>
        <v/>
      </c>
    </row>
    <row r="56">
      <c r="A56" s="20">
        <f>IF(A55="","",IF(A55+1&gt;Ввод!$B$4,"",A55+1))</f>
        <v/>
      </c>
      <c r="B56">
        <f>IF(A56="","",IFERROR(INDEX(Ввод!$B$12:$B$71,MATCH(A56,Ввод!$D$12:$D$71,1)),""))</f>
        <v/>
      </c>
      <c r="C56">
        <f>IF(A56="","",DATE(YEAR(A56),12,31)-DATE(YEAR(A56),1,1)+1)</f>
        <v/>
      </c>
      <c r="D56">
        <f>IF(A56="","",SUMIFS(Акты!$D$5:$D$16,Акты!$E$5:$E$16,"&lt;="&amp;A56)-SUMIFS(Оплаты!$B$6:$B$505,Оплаты!$A$6:$A$505,"&lt;"&amp;A56,Оплаты!$D$6:$D$505,"&lt;&gt;"))</f>
        <v/>
      </c>
      <c r="E56">
        <f>IF(A56="","",IF(SUMPRODUCT((Ввод!$F$12:$F$31&lt;&gt;"")*(Ввод!$F$12:$F$31&lt;=A56)*(Ввод!$G$12:$G$31&gt;=A56))&gt;0,1,0))</f>
        <v/>
      </c>
      <c r="G56">
        <f>IF(A56="","",IF(OR(B56&lt;&gt;B55,C56&lt;&gt;C55,E56&lt;&gt;E55),G55+1,G55))</f>
        <v/>
      </c>
      <c r="I56" t="n">
        <v>51</v>
      </c>
      <c r="J56" s="21">
        <f>IFERROR(INDEX('По дням'!$A$2:$A$4000,MATCH(51,'По дням'!$G$2:$G$4000,0)),0)</f>
        <v/>
      </c>
      <c r="K56" s="21">
        <f>IF(J56=0,0,J56+COUNTIF('По дням'!$G$2:$G$4000,51)-1)</f>
        <v/>
      </c>
      <c r="L56" s="22">
        <f>IF(J56=0,0,N(INDEX('По дням'!$B$2:$B$4000,MATCH(51,'По дням'!$G$2:$G$4000,0))))</f>
        <v/>
      </c>
      <c r="M56" s="23">
        <f>IF(J56=0,1,N(INDEX('По дням'!$C$2:$C$4000,MATCH(51,'По дням'!$G$2:$G$4000,0))))</f>
        <v/>
      </c>
      <c r="N56" s="24">
        <f>IF(J56=0,0,N(INDEX('По дням'!$E$2:$E$4000,MATCH(51,'По дням'!$G$2:$G$4000,0))))</f>
        <v/>
      </c>
    </row>
    <row r="57">
      <c r="A57" s="20">
        <f>IF(A56="","",IF(A56+1&gt;Ввод!$B$4,"",A56+1))</f>
        <v/>
      </c>
      <c r="B57">
        <f>IF(A57="","",IFERROR(INDEX(Ввод!$B$12:$B$71,MATCH(A57,Ввод!$D$12:$D$71,1)),""))</f>
        <v/>
      </c>
      <c r="C57">
        <f>IF(A57="","",DATE(YEAR(A57),12,31)-DATE(YEAR(A57),1,1)+1)</f>
        <v/>
      </c>
      <c r="D57">
        <f>IF(A57="","",SUMIFS(Акты!$D$5:$D$16,Акты!$E$5:$E$16,"&lt;="&amp;A57)-SUMIFS(Оплаты!$B$6:$B$505,Оплаты!$A$6:$A$505,"&lt;"&amp;A57,Оплаты!$D$6:$D$505,"&lt;&gt;"))</f>
        <v/>
      </c>
      <c r="E57">
        <f>IF(A57="","",IF(SUMPRODUCT((Ввод!$F$12:$F$31&lt;&gt;"")*(Ввод!$F$12:$F$31&lt;=A57)*(Ввод!$G$12:$G$31&gt;=A57))&gt;0,1,0))</f>
        <v/>
      </c>
      <c r="G57">
        <f>IF(A57="","",IF(OR(B57&lt;&gt;B56,C57&lt;&gt;C56,E57&lt;&gt;E56),G56+1,G56))</f>
        <v/>
      </c>
      <c r="I57" t="n">
        <v>52</v>
      </c>
      <c r="J57" s="21">
        <f>IFERROR(INDEX('По дням'!$A$2:$A$4000,MATCH(52,'По дням'!$G$2:$G$4000,0)),0)</f>
        <v/>
      </c>
      <c r="K57" s="21">
        <f>IF(J57=0,0,J57+COUNTIF('По дням'!$G$2:$G$4000,52)-1)</f>
        <v/>
      </c>
      <c r="L57" s="22">
        <f>IF(J57=0,0,N(INDEX('По дням'!$B$2:$B$4000,MATCH(52,'По дням'!$G$2:$G$4000,0))))</f>
        <v/>
      </c>
      <c r="M57" s="23">
        <f>IF(J57=0,1,N(INDEX('По дням'!$C$2:$C$4000,MATCH(52,'По дням'!$G$2:$G$4000,0))))</f>
        <v/>
      </c>
      <c r="N57" s="24">
        <f>IF(J57=0,0,N(INDEX('По дням'!$E$2:$E$4000,MATCH(52,'По дням'!$G$2:$G$4000,0))))</f>
        <v/>
      </c>
    </row>
    <row r="58">
      <c r="A58" s="20">
        <f>IF(A57="","",IF(A57+1&gt;Ввод!$B$4,"",A57+1))</f>
        <v/>
      </c>
      <c r="B58">
        <f>IF(A58="","",IFERROR(INDEX(Ввод!$B$12:$B$71,MATCH(A58,Ввод!$D$12:$D$71,1)),""))</f>
        <v/>
      </c>
      <c r="C58">
        <f>IF(A58="","",DATE(YEAR(A58),12,31)-DATE(YEAR(A58),1,1)+1)</f>
        <v/>
      </c>
      <c r="D58">
        <f>IF(A58="","",SUMIFS(Акты!$D$5:$D$16,Акты!$E$5:$E$16,"&lt;="&amp;A58)-SUMIFS(Оплаты!$B$6:$B$505,Оплаты!$A$6:$A$505,"&lt;"&amp;A58,Оплаты!$D$6:$D$505,"&lt;&gt;"))</f>
        <v/>
      </c>
      <c r="E58">
        <f>IF(A58="","",IF(SUMPRODUCT((Ввод!$F$12:$F$31&lt;&gt;"")*(Ввод!$F$12:$F$31&lt;=A58)*(Ввод!$G$12:$G$31&gt;=A58))&gt;0,1,0))</f>
        <v/>
      </c>
      <c r="G58">
        <f>IF(A58="","",IF(OR(B58&lt;&gt;B57,C58&lt;&gt;C57,E58&lt;&gt;E57),G57+1,G57))</f>
        <v/>
      </c>
      <c r="I58" t="n">
        <v>53</v>
      </c>
      <c r="J58" s="21">
        <f>IFERROR(INDEX('По дням'!$A$2:$A$4000,MATCH(53,'По дням'!$G$2:$G$4000,0)),0)</f>
        <v/>
      </c>
      <c r="K58" s="21">
        <f>IF(J58=0,0,J58+COUNTIF('По дням'!$G$2:$G$4000,53)-1)</f>
        <v/>
      </c>
      <c r="L58" s="22">
        <f>IF(J58=0,0,N(INDEX('По дням'!$B$2:$B$4000,MATCH(53,'По дням'!$G$2:$G$4000,0))))</f>
        <v/>
      </c>
      <c r="M58" s="23">
        <f>IF(J58=0,1,N(INDEX('По дням'!$C$2:$C$4000,MATCH(53,'По дням'!$G$2:$G$4000,0))))</f>
        <v/>
      </c>
      <c r="N58" s="24">
        <f>IF(J58=0,0,N(INDEX('По дням'!$E$2:$E$4000,MATCH(53,'По дням'!$G$2:$G$4000,0))))</f>
        <v/>
      </c>
    </row>
    <row r="59">
      <c r="A59" s="20">
        <f>IF(A58="","",IF(A58+1&gt;Ввод!$B$4,"",A58+1))</f>
        <v/>
      </c>
      <c r="B59">
        <f>IF(A59="","",IFERROR(INDEX(Ввод!$B$12:$B$71,MATCH(A59,Ввод!$D$12:$D$71,1)),""))</f>
        <v/>
      </c>
      <c r="C59">
        <f>IF(A59="","",DATE(YEAR(A59),12,31)-DATE(YEAR(A59),1,1)+1)</f>
        <v/>
      </c>
      <c r="D59">
        <f>IF(A59="","",SUMIFS(Акты!$D$5:$D$16,Акты!$E$5:$E$16,"&lt;="&amp;A59)-SUMIFS(Оплаты!$B$6:$B$505,Оплаты!$A$6:$A$505,"&lt;"&amp;A59,Оплаты!$D$6:$D$505,"&lt;&gt;"))</f>
        <v/>
      </c>
      <c r="E59">
        <f>IF(A59="","",IF(SUMPRODUCT((Ввод!$F$12:$F$31&lt;&gt;"")*(Ввод!$F$12:$F$31&lt;=A59)*(Ввод!$G$12:$G$31&gt;=A59))&gt;0,1,0))</f>
        <v/>
      </c>
      <c r="G59">
        <f>IF(A59="","",IF(OR(B59&lt;&gt;B58,C59&lt;&gt;C58,E59&lt;&gt;E58),G58+1,G58))</f>
        <v/>
      </c>
      <c r="I59" t="n">
        <v>54</v>
      </c>
      <c r="J59" s="21">
        <f>IFERROR(INDEX('По дням'!$A$2:$A$4000,MATCH(54,'По дням'!$G$2:$G$4000,0)),0)</f>
        <v/>
      </c>
      <c r="K59" s="21">
        <f>IF(J59=0,0,J59+COUNTIF('По дням'!$G$2:$G$4000,54)-1)</f>
        <v/>
      </c>
      <c r="L59" s="22">
        <f>IF(J59=0,0,N(INDEX('По дням'!$B$2:$B$4000,MATCH(54,'По дням'!$G$2:$G$4000,0))))</f>
        <v/>
      </c>
      <c r="M59" s="23">
        <f>IF(J59=0,1,N(INDEX('По дням'!$C$2:$C$4000,MATCH(54,'По дням'!$G$2:$G$4000,0))))</f>
        <v/>
      </c>
      <c r="N59" s="24">
        <f>IF(J59=0,0,N(INDEX('По дням'!$E$2:$E$4000,MATCH(54,'По дням'!$G$2:$G$4000,0))))</f>
        <v/>
      </c>
    </row>
    <row r="60">
      <c r="A60" s="20">
        <f>IF(A59="","",IF(A59+1&gt;Ввод!$B$4,"",A59+1))</f>
        <v/>
      </c>
      <c r="B60">
        <f>IF(A60="","",IFERROR(INDEX(Ввод!$B$12:$B$71,MATCH(A60,Ввод!$D$12:$D$71,1)),""))</f>
        <v/>
      </c>
      <c r="C60">
        <f>IF(A60="","",DATE(YEAR(A60),12,31)-DATE(YEAR(A60),1,1)+1)</f>
        <v/>
      </c>
      <c r="D60">
        <f>IF(A60="","",SUMIFS(Акты!$D$5:$D$16,Акты!$E$5:$E$16,"&lt;="&amp;A60)-SUMIFS(Оплаты!$B$6:$B$505,Оплаты!$A$6:$A$505,"&lt;"&amp;A60,Оплаты!$D$6:$D$505,"&lt;&gt;"))</f>
        <v/>
      </c>
      <c r="E60">
        <f>IF(A60="","",IF(SUMPRODUCT((Ввод!$F$12:$F$31&lt;&gt;"")*(Ввод!$F$12:$F$31&lt;=A60)*(Ввод!$G$12:$G$31&gt;=A60))&gt;0,1,0))</f>
        <v/>
      </c>
      <c r="G60">
        <f>IF(A60="","",IF(OR(B60&lt;&gt;B59,C60&lt;&gt;C59,E60&lt;&gt;E59),G59+1,G59))</f>
        <v/>
      </c>
      <c r="I60" t="n">
        <v>55</v>
      </c>
      <c r="J60" s="21">
        <f>IFERROR(INDEX('По дням'!$A$2:$A$4000,MATCH(55,'По дням'!$G$2:$G$4000,0)),0)</f>
        <v/>
      </c>
      <c r="K60" s="21">
        <f>IF(J60=0,0,J60+COUNTIF('По дням'!$G$2:$G$4000,55)-1)</f>
        <v/>
      </c>
      <c r="L60" s="22">
        <f>IF(J60=0,0,N(INDEX('По дням'!$B$2:$B$4000,MATCH(55,'По дням'!$G$2:$G$4000,0))))</f>
        <v/>
      </c>
      <c r="M60" s="23">
        <f>IF(J60=0,1,N(INDEX('По дням'!$C$2:$C$4000,MATCH(55,'По дням'!$G$2:$G$4000,0))))</f>
        <v/>
      </c>
      <c r="N60" s="24">
        <f>IF(J60=0,0,N(INDEX('По дням'!$E$2:$E$4000,MATCH(55,'По дням'!$G$2:$G$4000,0))))</f>
        <v/>
      </c>
    </row>
    <row r="61">
      <c r="A61" s="20">
        <f>IF(A60="","",IF(A60+1&gt;Ввод!$B$4,"",A60+1))</f>
        <v/>
      </c>
      <c r="B61">
        <f>IF(A61="","",IFERROR(INDEX(Ввод!$B$12:$B$71,MATCH(A61,Ввод!$D$12:$D$71,1)),""))</f>
        <v/>
      </c>
      <c r="C61">
        <f>IF(A61="","",DATE(YEAR(A61),12,31)-DATE(YEAR(A61),1,1)+1)</f>
        <v/>
      </c>
      <c r="D61">
        <f>IF(A61="","",SUMIFS(Акты!$D$5:$D$16,Акты!$E$5:$E$16,"&lt;="&amp;A61)-SUMIFS(Оплаты!$B$6:$B$505,Оплаты!$A$6:$A$505,"&lt;"&amp;A61,Оплаты!$D$6:$D$505,"&lt;&gt;"))</f>
        <v/>
      </c>
      <c r="E61">
        <f>IF(A61="","",IF(SUMPRODUCT((Ввод!$F$12:$F$31&lt;&gt;"")*(Ввод!$F$12:$F$31&lt;=A61)*(Ввод!$G$12:$G$31&gt;=A61))&gt;0,1,0))</f>
        <v/>
      </c>
      <c r="G61">
        <f>IF(A61="","",IF(OR(B61&lt;&gt;B60,C61&lt;&gt;C60,E61&lt;&gt;E60),G60+1,G60))</f>
        <v/>
      </c>
      <c r="I61" t="n">
        <v>56</v>
      </c>
      <c r="J61" s="21">
        <f>IFERROR(INDEX('По дням'!$A$2:$A$4000,MATCH(56,'По дням'!$G$2:$G$4000,0)),0)</f>
        <v/>
      </c>
      <c r="K61" s="21">
        <f>IF(J61=0,0,J61+COUNTIF('По дням'!$G$2:$G$4000,56)-1)</f>
        <v/>
      </c>
      <c r="L61" s="22">
        <f>IF(J61=0,0,N(INDEX('По дням'!$B$2:$B$4000,MATCH(56,'По дням'!$G$2:$G$4000,0))))</f>
        <v/>
      </c>
      <c r="M61" s="23">
        <f>IF(J61=0,1,N(INDEX('По дням'!$C$2:$C$4000,MATCH(56,'По дням'!$G$2:$G$4000,0))))</f>
        <v/>
      </c>
      <c r="N61" s="24">
        <f>IF(J61=0,0,N(INDEX('По дням'!$E$2:$E$4000,MATCH(56,'По дням'!$G$2:$G$4000,0))))</f>
        <v/>
      </c>
    </row>
    <row r="62">
      <c r="A62" s="20">
        <f>IF(A61="","",IF(A61+1&gt;Ввод!$B$4,"",A61+1))</f>
        <v/>
      </c>
      <c r="B62">
        <f>IF(A62="","",IFERROR(INDEX(Ввод!$B$12:$B$71,MATCH(A62,Ввод!$D$12:$D$71,1)),""))</f>
        <v/>
      </c>
      <c r="C62">
        <f>IF(A62="","",DATE(YEAR(A62),12,31)-DATE(YEAR(A62),1,1)+1)</f>
        <v/>
      </c>
      <c r="D62">
        <f>IF(A62="","",SUMIFS(Акты!$D$5:$D$16,Акты!$E$5:$E$16,"&lt;="&amp;A62)-SUMIFS(Оплаты!$B$6:$B$505,Оплаты!$A$6:$A$505,"&lt;"&amp;A62,Оплаты!$D$6:$D$505,"&lt;&gt;"))</f>
        <v/>
      </c>
      <c r="E62">
        <f>IF(A62="","",IF(SUMPRODUCT((Ввод!$F$12:$F$31&lt;&gt;"")*(Ввод!$F$12:$F$31&lt;=A62)*(Ввод!$G$12:$G$31&gt;=A62))&gt;0,1,0))</f>
        <v/>
      </c>
      <c r="G62">
        <f>IF(A62="","",IF(OR(B62&lt;&gt;B61,C62&lt;&gt;C61,E62&lt;&gt;E61),G61+1,G61))</f>
        <v/>
      </c>
      <c r="I62" t="n">
        <v>57</v>
      </c>
      <c r="J62" s="21">
        <f>IFERROR(INDEX('По дням'!$A$2:$A$4000,MATCH(57,'По дням'!$G$2:$G$4000,0)),0)</f>
        <v/>
      </c>
      <c r="K62" s="21">
        <f>IF(J62=0,0,J62+COUNTIF('По дням'!$G$2:$G$4000,57)-1)</f>
        <v/>
      </c>
      <c r="L62" s="22">
        <f>IF(J62=0,0,N(INDEX('По дням'!$B$2:$B$4000,MATCH(57,'По дням'!$G$2:$G$4000,0))))</f>
        <v/>
      </c>
      <c r="M62" s="23">
        <f>IF(J62=0,1,N(INDEX('По дням'!$C$2:$C$4000,MATCH(57,'По дням'!$G$2:$G$4000,0))))</f>
        <v/>
      </c>
      <c r="N62" s="24">
        <f>IF(J62=0,0,N(INDEX('По дням'!$E$2:$E$4000,MATCH(57,'По дням'!$G$2:$G$4000,0))))</f>
        <v/>
      </c>
    </row>
    <row r="63">
      <c r="A63" s="20">
        <f>IF(A62="","",IF(A62+1&gt;Ввод!$B$4,"",A62+1))</f>
        <v/>
      </c>
      <c r="B63">
        <f>IF(A63="","",IFERROR(INDEX(Ввод!$B$12:$B$71,MATCH(A63,Ввод!$D$12:$D$71,1)),""))</f>
        <v/>
      </c>
      <c r="C63">
        <f>IF(A63="","",DATE(YEAR(A63),12,31)-DATE(YEAR(A63),1,1)+1)</f>
        <v/>
      </c>
      <c r="D63">
        <f>IF(A63="","",SUMIFS(Акты!$D$5:$D$16,Акты!$E$5:$E$16,"&lt;="&amp;A63)-SUMIFS(Оплаты!$B$6:$B$505,Оплаты!$A$6:$A$505,"&lt;"&amp;A63,Оплаты!$D$6:$D$505,"&lt;&gt;"))</f>
        <v/>
      </c>
      <c r="E63">
        <f>IF(A63="","",IF(SUMPRODUCT((Ввод!$F$12:$F$31&lt;&gt;"")*(Ввод!$F$12:$F$31&lt;=A63)*(Ввод!$G$12:$G$31&gt;=A63))&gt;0,1,0))</f>
        <v/>
      </c>
      <c r="G63">
        <f>IF(A63="","",IF(OR(B63&lt;&gt;B62,C63&lt;&gt;C62,E63&lt;&gt;E62),G62+1,G62))</f>
        <v/>
      </c>
      <c r="I63" t="n">
        <v>58</v>
      </c>
      <c r="J63" s="21">
        <f>IFERROR(INDEX('По дням'!$A$2:$A$4000,MATCH(58,'По дням'!$G$2:$G$4000,0)),0)</f>
        <v/>
      </c>
      <c r="K63" s="21">
        <f>IF(J63=0,0,J63+COUNTIF('По дням'!$G$2:$G$4000,58)-1)</f>
        <v/>
      </c>
      <c r="L63" s="22">
        <f>IF(J63=0,0,N(INDEX('По дням'!$B$2:$B$4000,MATCH(58,'По дням'!$G$2:$G$4000,0))))</f>
        <v/>
      </c>
      <c r="M63" s="23">
        <f>IF(J63=0,1,N(INDEX('По дням'!$C$2:$C$4000,MATCH(58,'По дням'!$G$2:$G$4000,0))))</f>
        <v/>
      </c>
      <c r="N63" s="24">
        <f>IF(J63=0,0,N(INDEX('По дням'!$E$2:$E$4000,MATCH(58,'По дням'!$G$2:$G$4000,0))))</f>
        <v/>
      </c>
    </row>
    <row r="64">
      <c r="A64" s="20">
        <f>IF(A63="","",IF(A63+1&gt;Ввод!$B$4,"",A63+1))</f>
        <v/>
      </c>
      <c r="B64">
        <f>IF(A64="","",IFERROR(INDEX(Ввод!$B$12:$B$71,MATCH(A64,Ввод!$D$12:$D$71,1)),""))</f>
        <v/>
      </c>
      <c r="C64">
        <f>IF(A64="","",DATE(YEAR(A64),12,31)-DATE(YEAR(A64),1,1)+1)</f>
        <v/>
      </c>
      <c r="D64">
        <f>IF(A64="","",SUMIFS(Акты!$D$5:$D$16,Акты!$E$5:$E$16,"&lt;="&amp;A64)-SUMIFS(Оплаты!$B$6:$B$505,Оплаты!$A$6:$A$505,"&lt;"&amp;A64,Оплаты!$D$6:$D$505,"&lt;&gt;"))</f>
        <v/>
      </c>
      <c r="E64">
        <f>IF(A64="","",IF(SUMPRODUCT((Ввод!$F$12:$F$31&lt;&gt;"")*(Ввод!$F$12:$F$31&lt;=A64)*(Ввод!$G$12:$G$31&gt;=A64))&gt;0,1,0))</f>
        <v/>
      </c>
      <c r="G64">
        <f>IF(A64="","",IF(OR(B64&lt;&gt;B63,C64&lt;&gt;C63,E64&lt;&gt;E63),G63+1,G63))</f>
        <v/>
      </c>
      <c r="I64" t="n">
        <v>59</v>
      </c>
      <c r="J64" s="21">
        <f>IFERROR(INDEX('По дням'!$A$2:$A$4000,MATCH(59,'По дням'!$G$2:$G$4000,0)),0)</f>
        <v/>
      </c>
      <c r="K64" s="21">
        <f>IF(J64=0,0,J64+COUNTIF('По дням'!$G$2:$G$4000,59)-1)</f>
        <v/>
      </c>
      <c r="L64" s="22">
        <f>IF(J64=0,0,N(INDEX('По дням'!$B$2:$B$4000,MATCH(59,'По дням'!$G$2:$G$4000,0))))</f>
        <v/>
      </c>
      <c r="M64" s="23">
        <f>IF(J64=0,1,N(INDEX('По дням'!$C$2:$C$4000,MATCH(59,'По дням'!$G$2:$G$4000,0))))</f>
        <v/>
      </c>
      <c r="N64" s="24">
        <f>IF(J64=0,0,N(INDEX('По дням'!$E$2:$E$4000,MATCH(59,'По дням'!$G$2:$G$4000,0))))</f>
        <v/>
      </c>
    </row>
    <row r="65">
      <c r="A65" s="20">
        <f>IF(A64="","",IF(A64+1&gt;Ввод!$B$4,"",A64+1))</f>
        <v/>
      </c>
      <c r="B65">
        <f>IF(A65="","",IFERROR(INDEX(Ввод!$B$12:$B$71,MATCH(A65,Ввод!$D$12:$D$71,1)),""))</f>
        <v/>
      </c>
      <c r="C65">
        <f>IF(A65="","",DATE(YEAR(A65),12,31)-DATE(YEAR(A65),1,1)+1)</f>
        <v/>
      </c>
      <c r="D65">
        <f>IF(A65="","",SUMIFS(Акты!$D$5:$D$16,Акты!$E$5:$E$16,"&lt;="&amp;A65)-SUMIFS(Оплаты!$B$6:$B$505,Оплаты!$A$6:$A$505,"&lt;"&amp;A65,Оплаты!$D$6:$D$505,"&lt;&gt;"))</f>
        <v/>
      </c>
      <c r="E65">
        <f>IF(A65="","",IF(SUMPRODUCT((Ввод!$F$12:$F$31&lt;&gt;"")*(Ввод!$F$12:$F$31&lt;=A65)*(Ввод!$G$12:$G$31&gt;=A65))&gt;0,1,0))</f>
        <v/>
      </c>
      <c r="G65">
        <f>IF(A65="","",IF(OR(B65&lt;&gt;B64,C65&lt;&gt;C64,E65&lt;&gt;E64),G64+1,G64))</f>
        <v/>
      </c>
      <c r="I65" t="n">
        <v>60</v>
      </c>
      <c r="J65" s="21">
        <f>IFERROR(INDEX('По дням'!$A$2:$A$4000,MATCH(60,'По дням'!$G$2:$G$4000,0)),0)</f>
        <v/>
      </c>
      <c r="K65" s="21">
        <f>IF(J65=0,0,J65+COUNTIF('По дням'!$G$2:$G$4000,60)-1)</f>
        <v/>
      </c>
      <c r="L65" s="22">
        <f>IF(J65=0,0,N(INDEX('По дням'!$B$2:$B$4000,MATCH(60,'По дням'!$G$2:$G$4000,0))))</f>
        <v/>
      </c>
      <c r="M65" s="23">
        <f>IF(J65=0,1,N(INDEX('По дням'!$C$2:$C$4000,MATCH(60,'По дням'!$G$2:$G$4000,0))))</f>
        <v/>
      </c>
      <c r="N65" s="24">
        <f>IF(J65=0,0,N(INDEX('По дням'!$E$2:$E$4000,MATCH(60,'По дням'!$G$2:$G$4000,0))))</f>
        <v/>
      </c>
    </row>
    <row r="66">
      <c r="A66" s="20">
        <f>IF(A65="","",IF(A65+1&gt;Ввод!$B$4,"",A65+1))</f>
        <v/>
      </c>
      <c r="B66">
        <f>IF(A66="","",IFERROR(INDEX(Ввод!$B$12:$B$71,MATCH(A66,Ввод!$D$12:$D$71,1)),""))</f>
        <v/>
      </c>
      <c r="C66">
        <f>IF(A66="","",DATE(YEAR(A66),12,31)-DATE(YEAR(A66),1,1)+1)</f>
        <v/>
      </c>
      <c r="D66">
        <f>IF(A66="","",SUMIFS(Акты!$D$5:$D$16,Акты!$E$5:$E$16,"&lt;="&amp;A66)-SUMIFS(Оплаты!$B$6:$B$505,Оплаты!$A$6:$A$505,"&lt;"&amp;A66,Оплаты!$D$6:$D$505,"&lt;&gt;"))</f>
        <v/>
      </c>
      <c r="E66">
        <f>IF(A66="","",IF(SUMPRODUCT((Ввод!$F$12:$F$31&lt;&gt;"")*(Ввод!$F$12:$F$31&lt;=A66)*(Ввод!$G$12:$G$31&gt;=A66))&gt;0,1,0))</f>
        <v/>
      </c>
      <c r="G66">
        <f>IF(A66="","",IF(OR(B66&lt;&gt;B65,C66&lt;&gt;C65,E66&lt;&gt;E65),G65+1,G65))</f>
        <v/>
      </c>
      <c r="I66" t="n">
        <v>61</v>
      </c>
      <c r="J66" s="21">
        <f>IFERROR(INDEX('По дням'!$A$2:$A$4000,MATCH(61,'По дням'!$G$2:$G$4000,0)),0)</f>
        <v/>
      </c>
      <c r="K66" s="21">
        <f>IF(J66=0,0,J66+COUNTIF('По дням'!$G$2:$G$4000,61)-1)</f>
        <v/>
      </c>
      <c r="L66" s="22">
        <f>IF(J66=0,0,N(INDEX('По дням'!$B$2:$B$4000,MATCH(61,'По дням'!$G$2:$G$4000,0))))</f>
        <v/>
      </c>
      <c r="M66" s="23">
        <f>IF(J66=0,1,N(INDEX('По дням'!$C$2:$C$4000,MATCH(61,'По дням'!$G$2:$G$4000,0))))</f>
        <v/>
      </c>
      <c r="N66" s="24">
        <f>IF(J66=0,0,N(INDEX('По дням'!$E$2:$E$4000,MATCH(61,'По дням'!$G$2:$G$4000,0))))</f>
        <v/>
      </c>
    </row>
    <row r="67">
      <c r="A67" s="20">
        <f>IF(A66="","",IF(A66+1&gt;Ввод!$B$4,"",A66+1))</f>
        <v/>
      </c>
      <c r="B67">
        <f>IF(A67="","",IFERROR(INDEX(Ввод!$B$12:$B$71,MATCH(A67,Ввод!$D$12:$D$71,1)),""))</f>
        <v/>
      </c>
      <c r="C67">
        <f>IF(A67="","",DATE(YEAR(A67),12,31)-DATE(YEAR(A67),1,1)+1)</f>
        <v/>
      </c>
      <c r="D67">
        <f>IF(A67="","",SUMIFS(Акты!$D$5:$D$16,Акты!$E$5:$E$16,"&lt;="&amp;A67)-SUMIFS(Оплаты!$B$6:$B$505,Оплаты!$A$6:$A$505,"&lt;"&amp;A67,Оплаты!$D$6:$D$505,"&lt;&gt;"))</f>
        <v/>
      </c>
      <c r="E67">
        <f>IF(A67="","",IF(SUMPRODUCT((Ввод!$F$12:$F$31&lt;&gt;"")*(Ввод!$F$12:$F$31&lt;=A67)*(Ввод!$G$12:$G$31&gt;=A67))&gt;0,1,0))</f>
        <v/>
      </c>
      <c r="G67">
        <f>IF(A67="","",IF(OR(B67&lt;&gt;B66,C67&lt;&gt;C66,E67&lt;&gt;E66),G66+1,G66))</f>
        <v/>
      </c>
      <c r="I67" t="n">
        <v>62</v>
      </c>
      <c r="J67" s="21">
        <f>IFERROR(INDEX('По дням'!$A$2:$A$4000,MATCH(62,'По дням'!$G$2:$G$4000,0)),0)</f>
        <v/>
      </c>
      <c r="K67" s="21">
        <f>IF(J67=0,0,J67+COUNTIF('По дням'!$G$2:$G$4000,62)-1)</f>
        <v/>
      </c>
      <c r="L67" s="22">
        <f>IF(J67=0,0,N(INDEX('По дням'!$B$2:$B$4000,MATCH(62,'По дням'!$G$2:$G$4000,0))))</f>
        <v/>
      </c>
      <c r="M67" s="23">
        <f>IF(J67=0,1,N(INDEX('По дням'!$C$2:$C$4000,MATCH(62,'По дням'!$G$2:$G$4000,0))))</f>
        <v/>
      </c>
      <c r="N67" s="24">
        <f>IF(J67=0,0,N(INDEX('По дням'!$E$2:$E$4000,MATCH(62,'По дням'!$G$2:$G$4000,0))))</f>
        <v/>
      </c>
    </row>
    <row r="68">
      <c r="A68" s="20">
        <f>IF(A67="","",IF(A67+1&gt;Ввод!$B$4,"",A67+1))</f>
        <v/>
      </c>
      <c r="B68">
        <f>IF(A68="","",IFERROR(INDEX(Ввод!$B$12:$B$71,MATCH(A68,Ввод!$D$12:$D$71,1)),""))</f>
        <v/>
      </c>
      <c r="C68">
        <f>IF(A68="","",DATE(YEAR(A68),12,31)-DATE(YEAR(A68),1,1)+1)</f>
        <v/>
      </c>
      <c r="D68">
        <f>IF(A68="","",SUMIFS(Акты!$D$5:$D$16,Акты!$E$5:$E$16,"&lt;="&amp;A68)-SUMIFS(Оплаты!$B$6:$B$505,Оплаты!$A$6:$A$505,"&lt;"&amp;A68,Оплаты!$D$6:$D$505,"&lt;&gt;"))</f>
        <v/>
      </c>
      <c r="E68">
        <f>IF(A68="","",IF(SUMPRODUCT((Ввод!$F$12:$F$31&lt;&gt;"")*(Ввод!$F$12:$F$31&lt;=A68)*(Ввод!$G$12:$G$31&gt;=A68))&gt;0,1,0))</f>
        <v/>
      </c>
      <c r="G68">
        <f>IF(A68="","",IF(OR(B68&lt;&gt;B67,C68&lt;&gt;C67,E68&lt;&gt;E67),G67+1,G67))</f>
        <v/>
      </c>
      <c r="I68" t="n">
        <v>63</v>
      </c>
      <c r="J68" s="21">
        <f>IFERROR(INDEX('По дням'!$A$2:$A$4000,MATCH(63,'По дням'!$G$2:$G$4000,0)),0)</f>
        <v/>
      </c>
      <c r="K68" s="21">
        <f>IF(J68=0,0,J68+COUNTIF('По дням'!$G$2:$G$4000,63)-1)</f>
        <v/>
      </c>
      <c r="L68" s="22">
        <f>IF(J68=0,0,N(INDEX('По дням'!$B$2:$B$4000,MATCH(63,'По дням'!$G$2:$G$4000,0))))</f>
        <v/>
      </c>
      <c r="M68" s="23">
        <f>IF(J68=0,1,N(INDEX('По дням'!$C$2:$C$4000,MATCH(63,'По дням'!$G$2:$G$4000,0))))</f>
        <v/>
      </c>
      <c r="N68" s="24">
        <f>IF(J68=0,0,N(INDEX('По дням'!$E$2:$E$4000,MATCH(63,'По дням'!$G$2:$G$4000,0))))</f>
        <v/>
      </c>
    </row>
    <row r="69">
      <c r="A69" s="20">
        <f>IF(A68="","",IF(A68+1&gt;Ввод!$B$4,"",A68+1))</f>
        <v/>
      </c>
      <c r="B69">
        <f>IF(A69="","",IFERROR(INDEX(Ввод!$B$12:$B$71,MATCH(A69,Ввод!$D$12:$D$71,1)),""))</f>
        <v/>
      </c>
      <c r="C69">
        <f>IF(A69="","",DATE(YEAR(A69),12,31)-DATE(YEAR(A69),1,1)+1)</f>
        <v/>
      </c>
      <c r="D69">
        <f>IF(A69="","",SUMIFS(Акты!$D$5:$D$16,Акты!$E$5:$E$16,"&lt;="&amp;A69)-SUMIFS(Оплаты!$B$6:$B$505,Оплаты!$A$6:$A$505,"&lt;"&amp;A69,Оплаты!$D$6:$D$505,"&lt;&gt;"))</f>
        <v/>
      </c>
      <c r="E69">
        <f>IF(A69="","",IF(SUMPRODUCT((Ввод!$F$12:$F$31&lt;&gt;"")*(Ввод!$F$12:$F$31&lt;=A69)*(Ввод!$G$12:$G$31&gt;=A69))&gt;0,1,0))</f>
        <v/>
      </c>
      <c r="G69">
        <f>IF(A69="","",IF(OR(B69&lt;&gt;B68,C69&lt;&gt;C68,E69&lt;&gt;E68),G68+1,G68))</f>
        <v/>
      </c>
      <c r="I69" t="n">
        <v>64</v>
      </c>
      <c r="J69" s="21">
        <f>IFERROR(INDEX('По дням'!$A$2:$A$4000,MATCH(64,'По дням'!$G$2:$G$4000,0)),0)</f>
        <v/>
      </c>
      <c r="K69" s="21">
        <f>IF(J69=0,0,J69+COUNTIF('По дням'!$G$2:$G$4000,64)-1)</f>
        <v/>
      </c>
      <c r="L69" s="22">
        <f>IF(J69=0,0,N(INDEX('По дням'!$B$2:$B$4000,MATCH(64,'По дням'!$G$2:$G$4000,0))))</f>
        <v/>
      </c>
      <c r="M69" s="23">
        <f>IF(J69=0,1,N(INDEX('По дням'!$C$2:$C$4000,MATCH(64,'По дням'!$G$2:$G$4000,0))))</f>
        <v/>
      </c>
      <c r="N69" s="24">
        <f>IF(J69=0,0,N(INDEX('По дням'!$E$2:$E$4000,MATCH(64,'По дням'!$G$2:$G$4000,0))))</f>
        <v/>
      </c>
    </row>
    <row r="70">
      <c r="A70" s="20">
        <f>IF(A69="","",IF(A69+1&gt;Ввод!$B$4,"",A69+1))</f>
        <v/>
      </c>
      <c r="B70">
        <f>IF(A70="","",IFERROR(INDEX(Ввод!$B$12:$B$71,MATCH(A70,Ввод!$D$12:$D$71,1)),""))</f>
        <v/>
      </c>
      <c r="C70">
        <f>IF(A70="","",DATE(YEAR(A70),12,31)-DATE(YEAR(A70),1,1)+1)</f>
        <v/>
      </c>
      <c r="D70">
        <f>IF(A70="","",SUMIFS(Акты!$D$5:$D$16,Акты!$E$5:$E$16,"&lt;="&amp;A70)-SUMIFS(Оплаты!$B$6:$B$505,Оплаты!$A$6:$A$505,"&lt;"&amp;A70,Оплаты!$D$6:$D$505,"&lt;&gt;"))</f>
        <v/>
      </c>
      <c r="E70">
        <f>IF(A70="","",IF(SUMPRODUCT((Ввод!$F$12:$F$31&lt;&gt;"")*(Ввод!$F$12:$F$31&lt;=A70)*(Ввод!$G$12:$G$31&gt;=A70))&gt;0,1,0))</f>
        <v/>
      </c>
      <c r="G70">
        <f>IF(A70="","",IF(OR(B70&lt;&gt;B69,C70&lt;&gt;C69,E70&lt;&gt;E69),G69+1,G69))</f>
        <v/>
      </c>
      <c r="I70" t="n">
        <v>65</v>
      </c>
      <c r="J70" s="21">
        <f>IFERROR(INDEX('По дням'!$A$2:$A$4000,MATCH(65,'По дням'!$G$2:$G$4000,0)),0)</f>
        <v/>
      </c>
      <c r="K70" s="21">
        <f>IF(J70=0,0,J70+COUNTIF('По дням'!$G$2:$G$4000,65)-1)</f>
        <v/>
      </c>
      <c r="L70" s="22">
        <f>IF(J70=0,0,N(INDEX('По дням'!$B$2:$B$4000,MATCH(65,'По дням'!$G$2:$G$4000,0))))</f>
        <v/>
      </c>
      <c r="M70" s="23">
        <f>IF(J70=0,1,N(INDEX('По дням'!$C$2:$C$4000,MATCH(65,'По дням'!$G$2:$G$4000,0))))</f>
        <v/>
      </c>
      <c r="N70" s="24">
        <f>IF(J70=0,0,N(INDEX('По дням'!$E$2:$E$4000,MATCH(65,'По дням'!$G$2:$G$4000,0))))</f>
        <v/>
      </c>
    </row>
    <row r="71">
      <c r="A71" s="20">
        <f>IF(A70="","",IF(A70+1&gt;Ввод!$B$4,"",A70+1))</f>
        <v/>
      </c>
      <c r="B71">
        <f>IF(A71="","",IFERROR(INDEX(Ввод!$B$12:$B$71,MATCH(A71,Ввод!$D$12:$D$71,1)),""))</f>
        <v/>
      </c>
      <c r="C71">
        <f>IF(A71="","",DATE(YEAR(A71),12,31)-DATE(YEAR(A71),1,1)+1)</f>
        <v/>
      </c>
      <c r="D71">
        <f>IF(A71="","",SUMIFS(Акты!$D$5:$D$16,Акты!$E$5:$E$16,"&lt;="&amp;A71)-SUMIFS(Оплаты!$B$6:$B$505,Оплаты!$A$6:$A$505,"&lt;"&amp;A71,Оплаты!$D$6:$D$505,"&lt;&gt;"))</f>
        <v/>
      </c>
      <c r="E71">
        <f>IF(A71="","",IF(SUMPRODUCT((Ввод!$F$12:$F$31&lt;&gt;"")*(Ввод!$F$12:$F$31&lt;=A71)*(Ввод!$G$12:$G$31&gt;=A71))&gt;0,1,0))</f>
        <v/>
      </c>
      <c r="G71">
        <f>IF(A71="","",IF(OR(B71&lt;&gt;B70,C71&lt;&gt;C70,E71&lt;&gt;E70),G70+1,G70))</f>
        <v/>
      </c>
      <c r="I71" t="n">
        <v>66</v>
      </c>
      <c r="J71" s="21">
        <f>IFERROR(INDEX('По дням'!$A$2:$A$4000,MATCH(66,'По дням'!$G$2:$G$4000,0)),0)</f>
        <v/>
      </c>
      <c r="K71" s="21">
        <f>IF(J71=0,0,J71+COUNTIF('По дням'!$G$2:$G$4000,66)-1)</f>
        <v/>
      </c>
      <c r="L71" s="22">
        <f>IF(J71=0,0,N(INDEX('По дням'!$B$2:$B$4000,MATCH(66,'По дням'!$G$2:$G$4000,0))))</f>
        <v/>
      </c>
      <c r="M71" s="23">
        <f>IF(J71=0,1,N(INDEX('По дням'!$C$2:$C$4000,MATCH(66,'По дням'!$G$2:$G$4000,0))))</f>
        <v/>
      </c>
      <c r="N71" s="24">
        <f>IF(J71=0,0,N(INDEX('По дням'!$E$2:$E$4000,MATCH(66,'По дням'!$G$2:$G$4000,0))))</f>
        <v/>
      </c>
    </row>
    <row r="72">
      <c r="A72" s="20">
        <f>IF(A71="","",IF(A71+1&gt;Ввод!$B$4,"",A71+1))</f>
        <v/>
      </c>
      <c r="B72">
        <f>IF(A72="","",IFERROR(INDEX(Ввод!$B$12:$B$71,MATCH(A72,Ввод!$D$12:$D$71,1)),""))</f>
        <v/>
      </c>
      <c r="C72">
        <f>IF(A72="","",DATE(YEAR(A72),12,31)-DATE(YEAR(A72),1,1)+1)</f>
        <v/>
      </c>
      <c r="D72">
        <f>IF(A72="","",SUMIFS(Акты!$D$5:$D$16,Акты!$E$5:$E$16,"&lt;="&amp;A72)-SUMIFS(Оплаты!$B$6:$B$505,Оплаты!$A$6:$A$505,"&lt;"&amp;A72,Оплаты!$D$6:$D$505,"&lt;&gt;"))</f>
        <v/>
      </c>
      <c r="E72">
        <f>IF(A72="","",IF(SUMPRODUCT((Ввод!$F$12:$F$31&lt;&gt;"")*(Ввод!$F$12:$F$31&lt;=A72)*(Ввод!$G$12:$G$31&gt;=A72))&gt;0,1,0))</f>
        <v/>
      </c>
      <c r="G72">
        <f>IF(A72="","",IF(OR(B72&lt;&gt;B71,C72&lt;&gt;C71,E72&lt;&gt;E71),G71+1,G71))</f>
        <v/>
      </c>
      <c r="I72" t="n">
        <v>67</v>
      </c>
      <c r="J72" s="21">
        <f>IFERROR(INDEX('По дням'!$A$2:$A$4000,MATCH(67,'По дням'!$G$2:$G$4000,0)),0)</f>
        <v/>
      </c>
      <c r="K72" s="21">
        <f>IF(J72=0,0,J72+COUNTIF('По дням'!$G$2:$G$4000,67)-1)</f>
        <v/>
      </c>
      <c r="L72" s="22">
        <f>IF(J72=0,0,N(INDEX('По дням'!$B$2:$B$4000,MATCH(67,'По дням'!$G$2:$G$4000,0))))</f>
        <v/>
      </c>
      <c r="M72" s="23">
        <f>IF(J72=0,1,N(INDEX('По дням'!$C$2:$C$4000,MATCH(67,'По дням'!$G$2:$G$4000,0))))</f>
        <v/>
      </c>
      <c r="N72" s="24">
        <f>IF(J72=0,0,N(INDEX('По дням'!$E$2:$E$4000,MATCH(67,'По дням'!$G$2:$G$4000,0))))</f>
        <v/>
      </c>
    </row>
    <row r="73">
      <c r="A73" s="20">
        <f>IF(A72="","",IF(A72+1&gt;Ввод!$B$4,"",A72+1))</f>
        <v/>
      </c>
      <c r="B73">
        <f>IF(A73="","",IFERROR(INDEX(Ввод!$B$12:$B$71,MATCH(A73,Ввод!$D$12:$D$71,1)),""))</f>
        <v/>
      </c>
      <c r="C73">
        <f>IF(A73="","",DATE(YEAR(A73),12,31)-DATE(YEAR(A73),1,1)+1)</f>
        <v/>
      </c>
      <c r="D73">
        <f>IF(A73="","",SUMIFS(Акты!$D$5:$D$16,Акты!$E$5:$E$16,"&lt;="&amp;A73)-SUMIFS(Оплаты!$B$6:$B$505,Оплаты!$A$6:$A$505,"&lt;"&amp;A73,Оплаты!$D$6:$D$505,"&lt;&gt;"))</f>
        <v/>
      </c>
      <c r="E73">
        <f>IF(A73="","",IF(SUMPRODUCT((Ввод!$F$12:$F$31&lt;&gt;"")*(Ввод!$F$12:$F$31&lt;=A73)*(Ввод!$G$12:$G$31&gt;=A73))&gt;0,1,0))</f>
        <v/>
      </c>
      <c r="G73">
        <f>IF(A73="","",IF(OR(B73&lt;&gt;B72,C73&lt;&gt;C72,E73&lt;&gt;E72),G72+1,G72))</f>
        <v/>
      </c>
      <c r="I73" t="n">
        <v>68</v>
      </c>
      <c r="J73" s="21">
        <f>IFERROR(INDEX('По дням'!$A$2:$A$4000,MATCH(68,'По дням'!$G$2:$G$4000,0)),0)</f>
        <v/>
      </c>
      <c r="K73" s="21">
        <f>IF(J73=0,0,J73+COUNTIF('По дням'!$G$2:$G$4000,68)-1)</f>
        <v/>
      </c>
      <c r="L73" s="22">
        <f>IF(J73=0,0,N(INDEX('По дням'!$B$2:$B$4000,MATCH(68,'По дням'!$G$2:$G$4000,0))))</f>
        <v/>
      </c>
      <c r="M73" s="23">
        <f>IF(J73=0,1,N(INDEX('По дням'!$C$2:$C$4000,MATCH(68,'По дням'!$G$2:$G$4000,0))))</f>
        <v/>
      </c>
      <c r="N73" s="24">
        <f>IF(J73=0,0,N(INDEX('По дням'!$E$2:$E$4000,MATCH(68,'По дням'!$G$2:$G$4000,0))))</f>
        <v/>
      </c>
    </row>
    <row r="74">
      <c r="A74" s="20">
        <f>IF(A73="","",IF(A73+1&gt;Ввод!$B$4,"",A73+1))</f>
        <v/>
      </c>
      <c r="B74">
        <f>IF(A74="","",IFERROR(INDEX(Ввод!$B$12:$B$71,MATCH(A74,Ввод!$D$12:$D$71,1)),""))</f>
        <v/>
      </c>
      <c r="C74">
        <f>IF(A74="","",DATE(YEAR(A74),12,31)-DATE(YEAR(A74),1,1)+1)</f>
        <v/>
      </c>
      <c r="D74">
        <f>IF(A74="","",SUMIFS(Акты!$D$5:$D$16,Акты!$E$5:$E$16,"&lt;="&amp;A74)-SUMIFS(Оплаты!$B$6:$B$505,Оплаты!$A$6:$A$505,"&lt;"&amp;A74,Оплаты!$D$6:$D$505,"&lt;&gt;"))</f>
        <v/>
      </c>
      <c r="E74">
        <f>IF(A74="","",IF(SUMPRODUCT((Ввод!$F$12:$F$31&lt;&gt;"")*(Ввод!$F$12:$F$31&lt;=A74)*(Ввод!$G$12:$G$31&gt;=A74))&gt;0,1,0))</f>
        <v/>
      </c>
      <c r="G74">
        <f>IF(A74="","",IF(OR(B74&lt;&gt;B73,C74&lt;&gt;C73,E74&lt;&gt;E73),G73+1,G73))</f>
        <v/>
      </c>
      <c r="I74" t="n">
        <v>69</v>
      </c>
      <c r="J74" s="21">
        <f>IFERROR(INDEX('По дням'!$A$2:$A$4000,MATCH(69,'По дням'!$G$2:$G$4000,0)),0)</f>
        <v/>
      </c>
      <c r="K74" s="21">
        <f>IF(J74=0,0,J74+COUNTIF('По дням'!$G$2:$G$4000,69)-1)</f>
        <v/>
      </c>
      <c r="L74" s="22">
        <f>IF(J74=0,0,N(INDEX('По дням'!$B$2:$B$4000,MATCH(69,'По дням'!$G$2:$G$4000,0))))</f>
        <v/>
      </c>
      <c r="M74" s="23">
        <f>IF(J74=0,1,N(INDEX('По дням'!$C$2:$C$4000,MATCH(69,'По дням'!$G$2:$G$4000,0))))</f>
        <v/>
      </c>
      <c r="N74" s="24">
        <f>IF(J74=0,0,N(INDEX('По дням'!$E$2:$E$4000,MATCH(69,'По дням'!$G$2:$G$4000,0))))</f>
        <v/>
      </c>
    </row>
    <row r="75">
      <c r="A75" s="20">
        <f>IF(A74="","",IF(A74+1&gt;Ввод!$B$4,"",A74+1))</f>
        <v/>
      </c>
      <c r="B75">
        <f>IF(A75="","",IFERROR(INDEX(Ввод!$B$12:$B$71,MATCH(A75,Ввод!$D$12:$D$71,1)),""))</f>
        <v/>
      </c>
      <c r="C75">
        <f>IF(A75="","",DATE(YEAR(A75),12,31)-DATE(YEAR(A75),1,1)+1)</f>
        <v/>
      </c>
      <c r="D75">
        <f>IF(A75="","",SUMIFS(Акты!$D$5:$D$16,Акты!$E$5:$E$16,"&lt;="&amp;A75)-SUMIFS(Оплаты!$B$6:$B$505,Оплаты!$A$6:$A$505,"&lt;"&amp;A75,Оплаты!$D$6:$D$505,"&lt;&gt;"))</f>
        <v/>
      </c>
      <c r="E75">
        <f>IF(A75="","",IF(SUMPRODUCT((Ввод!$F$12:$F$31&lt;&gt;"")*(Ввод!$F$12:$F$31&lt;=A75)*(Ввод!$G$12:$G$31&gt;=A75))&gt;0,1,0))</f>
        <v/>
      </c>
      <c r="G75">
        <f>IF(A75="","",IF(OR(B75&lt;&gt;B74,C75&lt;&gt;C74,E75&lt;&gt;E74),G74+1,G74))</f>
        <v/>
      </c>
      <c r="I75" t="n">
        <v>70</v>
      </c>
      <c r="J75" s="21">
        <f>IFERROR(INDEX('По дням'!$A$2:$A$4000,MATCH(70,'По дням'!$G$2:$G$4000,0)),0)</f>
        <v/>
      </c>
      <c r="K75" s="21">
        <f>IF(J75=0,0,J75+COUNTIF('По дням'!$G$2:$G$4000,70)-1)</f>
        <v/>
      </c>
      <c r="L75" s="22">
        <f>IF(J75=0,0,N(INDEX('По дням'!$B$2:$B$4000,MATCH(70,'По дням'!$G$2:$G$4000,0))))</f>
        <v/>
      </c>
      <c r="M75" s="23">
        <f>IF(J75=0,1,N(INDEX('По дням'!$C$2:$C$4000,MATCH(70,'По дням'!$G$2:$G$4000,0))))</f>
        <v/>
      </c>
      <c r="N75" s="24">
        <f>IF(J75=0,0,N(INDEX('По дням'!$E$2:$E$4000,MATCH(70,'По дням'!$G$2:$G$4000,0))))</f>
        <v/>
      </c>
    </row>
    <row r="76">
      <c r="A76" s="20">
        <f>IF(A75="","",IF(A75+1&gt;Ввод!$B$4,"",A75+1))</f>
        <v/>
      </c>
      <c r="B76">
        <f>IF(A76="","",IFERROR(INDEX(Ввод!$B$12:$B$71,MATCH(A76,Ввод!$D$12:$D$71,1)),""))</f>
        <v/>
      </c>
      <c r="C76">
        <f>IF(A76="","",DATE(YEAR(A76),12,31)-DATE(YEAR(A76),1,1)+1)</f>
        <v/>
      </c>
      <c r="D76">
        <f>IF(A76="","",SUMIFS(Акты!$D$5:$D$16,Акты!$E$5:$E$16,"&lt;="&amp;A76)-SUMIFS(Оплаты!$B$6:$B$505,Оплаты!$A$6:$A$505,"&lt;"&amp;A76,Оплаты!$D$6:$D$505,"&lt;&gt;"))</f>
        <v/>
      </c>
      <c r="E76">
        <f>IF(A76="","",IF(SUMPRODUCT((Ввод!$F$12:$F$31&lt;&gt;"")*(Ввод!$F$12:$F$31&lt;=A76)*(Ввод!$G$12:$G$31&gt;=A76))&gt;0,1,0))</f>
        <v/>
      </c>
      <c r="G76">
        <f>IF(A76="","",IF(OR(B76&lt;&gt;B75,C76&lt;&gt;C75,E76&lt;&gt;E75),G75+1,G75))</f>
        <v/>
      </c>
      <c r="I76" t="n">
        <v>71</v>
      </c>
      <c r="J76" s="21">
        <f>IFERROR(INDEX('По дням'!$A$2:$A$4000,MATCH(71,'По дням'!$G$2:$G$4000,0)),0)</f>
        <v/>
      </c>
      <c r="K76" s="21">
        <f>IF(J76=0,0,J76+COUNTIF('По дням'!$G$2:$G$4000,71)-1)</f>
        <v/>
      </c>
      <c r="L76" s="22">
        <f>IF(J76=0,0,N(INDEX('По дням'!$B$2:$B$4000,MATCH(71,'По дням'!$G$2:$G$4000,0))))</f>
        <v/>
      </c>
      <c r="M76" s="23">
        <f>IF(J76=0,1,N(INDEX('По дням'!$C$2:$C$4000,MATCH(71,'По дням'!$G$2:$G$4000,0))))</f>
        <v/>
      </c>
      <c r="N76" s="24">
        <f>IF(J76=0,0,N(INDEX('По дням'!$E$2:$E$4000,MATCH(71,'По дням'!$G$2:$G$4000,0))))</f>
        <v/>
      </c>
    </row>
    <row r="77">
      <c r="A77" s="20">
        <f>IF(A76="","",IF(A76+1&gt;Ввод!$B$4,"",A76+1))</f>
        <v/>
      </c>
      <c r="B77">
        <f>IF(A77="","",IFERROR(INDEX(Ввод!$B$12:$B$71,MATCH(A77,Ввод!$D$12:$D$71,1)),""))</f>
        <v/>
      </c>
      <c r="C77">
        <f>IF(A77="","",DATE(YEAR(A77),12,31)-DATE(YEAR(A77),1,1)+1)</f>
        <v/>
      </c>
      <c r="D77">
        <f>IF(A77="","",SUMIFS(Акты!$D$5:$D$16,Акты!$E$5:$E$16,"&lt;="&amp;A77)-SUMIFS(Оплаты!$B$6:$B$505,Оплаты!$A$6:$A$505,"&lt;"&amp;A77,Оплаты!$D$6:$D$505,"&lt;&gt;"))</f>
        <v/>
      </c>
      <c r="E77">
        <f>IF(A77="","",IF(SUMPRODUCT((Ввод!$F$12:$F$31&lt;&gt;"")*(Ввод!$F$12:$F$31&lt;=A77)*(Ввод!$G$12:$G$31&gt;=A77))&gt;0,1,0))</f>
        <v/>
      </c>
      <c r="G77">
        <f>IF(A77="","",IF(OR(B77&lt;&gt;B76,C77&lt;&gt;C76,E77&lt;&gt;E76),G76+1,G76))</f>
        <v/>
      </c>
      <c r="I77" t="n">
        <v>72</v>
      </c>
      <c r="J77" s="21">
        <f>IFERROR(INDEX('По дням'!$A$2:$A$4000,MATCH(72,'По дням'!$G$2:$G$4000,0)),0)</f>
        <v/>
      </c>
      <c r="K77" s="21">
        <f>IF(J77=0,0,J77+COUNTIF('По дням'!$G$2:$G$4000,72)-1)</f>
        <v/>
      </c>
      <c r="L77" s="22">
        <f>IF(J77=0,0,N(INDEX('По дням'!$B$2:$B$4000,MATCH(72,'По дням'!$G$2:$G$4000,0))))</f>
        <v/>
      </c>
      <c r="M77" s="23">
        <f>IF(J77=0,1,N(INDEX('По дням'!$C$2:$C$4000,MATCH(72,'По дням'!$G$2:$G$4000,0))))</f>
        <v/>
      </c>
      <c r="N77" s="24">
        <f>IF(J77=0,0,N(INDEX('По дням'!$E$2:$E$4000,MATCH(72,'По дням'!$G$2:$G$4000,0))))</f>
        <v/>
      </c>
    </row>
    <row r="78">
      <c r="A78" s="20">
        <f>IF(A77="","",IF(A77+1&gt;Ввод!$B$4,"",A77+1))</f>
        <v/>
      </c>
      <c r="B78">
        <f>IF(A78="","",IFERROR(INDEX(Ввод!$B$12:$B$71,MATCH(A78,Ввод!$D$12:$D$71,1)),""))</f>
        <v/>
      </c>
      <c r="C78">
        <f>IF(A78="","",DATE(YEAR(A78),12,31)-DATE(YEAR(A78),1,1)+1)</f>
        <v/>
      </c>
      <c r="D78">
        <f>IF(A78="","",SUMIFS(Акты!$D$5:$D$16,Акты!$E$5:$E$16,"&lt;="&amp;A78)-SUMIFS(Оплаты!$B$6:$B$505,Оплаты!$A$6:$A$505,"&lt;"&amp;A78,Оплаты!$D$6:$D$505,"&lt;&gt;"))</f>
        <v/>
      </c>
      <c r="E78">
        <f>IF(A78="","",IF(SUMPRODUCT((Ввод!$F$12:$F$31&lt;&gt;"")*(Ввод!$F$12:$F$31&lt;=A78)*(Ввод!$G$12:$G$31&gt;=A78))&gt;0,1,0))</f>
        <v/>
      </c>
      <c r="G78">
        <f>IF(A78="","",IF(OR(B78&lt;&gt;B77,C78&lt;&gt;C77,E78&lt;&gt;E77),G77+1,G77))</f>
        <v/>
      </c>
      <c r="I78" t="n">
        <v>73</v>
      </c>
      <c r="J78" s="21">
        <f>IFERROR(INDEX('По дням'!$A$2:$A$4000,MATCH(73,'По дням'!$G$2:$G$4000,0)),0)</f>
        <v/>
      </c>
      <c r="K78" s="21">
        <f>IF(J78=0,0,J78+COUNTIF('По дням'!$G$2:$G$4000,73)-1)</f>
        <v/>
      </c>
      <c r="L78" s="22">
        <f>IF(J78=0,0,N(INDEX('По дням'!$B$2:$B$4000,MATCH(73,'По дням'!$G$2:$G$4000,0))))</f>
        <v/>
      </c>
      <c r="M78" s="23">
        <f>IF(J78=0,1,N(INDEX('По дням'!$C$2:$C$4000,MATCH(73,'По дням'!$G$2:$G$4000,0))))</f>
        <v/>
      </c>
      <c r="N78" s="24">
        <f>IF(J78=0,0,N(INDEX('По дням'!$E$2:$E$4000,MATCH(73,'По дням'!$G$2:$G$4000,0))))</f>
        <v/>
      </c>
    </row>
    <row r="79">
      <c r="A79" s="20">
        <f>IF(A78="","",IF(A78+1&gt;Ввод!$B$4,"",A78+1))</f>
        <v/>
      </c>
      <c r="B79">
        <f>IF(A79="","",IFERROR(INDEX(Ввод!$B$12:$B$71,MATCH(A79,Ввод!$D$12:$D$71,1)),""))</f>
        <v/>
      </c>
      <c r="C79">
        <f>IF(A79="","",DATE(YEAR(A79),12,31)-DATE(YEAR(A79),1,1)+1)</f>
        <v/>
      </c>
      <c r="D79">
        <f>IF(A79="","",SUMIFS(Акты!$D$5:$D$16,Акты!$E$5:$E$16,"&lt;="&amp;A79)-SUMIFS(Оплаты!$B$6:$B$505,Оплаты!$A$6:$A$505,"&lt;"&amp;A79,Оплаты!$D$6:$D$505,"&lt;&gt;"))</f>
        <v/>
      </c>
      <c r="E79">
        <f>IF(A79="","",IF(SUMPRODUCT((Ввод!$F$12:$F$31&lt;&gt;"")*(Ввод!$F$12:$F$31&lt;=A79)*(Ввод!$G$12:$G$31&gt;=A79))&gt;0,1,0))</f>
        <v/>
      </c>
      <c r="G79">
        <f>IF(A79="","",IF(OR(B79&lt;&gt;B78,C79&lt;&gt;C78,E79&lt;&gt;E78),G78+1,G78))</f>
        <v/>
      </c>
      <c r="I79" t="n">
        <v>74</v>
      </c>
      <c r="J79" s="21">
        <f>IFERROR(INDEX('По дням'!$A$2:$A$4000,MATCH(74,'По дням'!$G$2:$G$4000,0)),0)</f>
        <v/>
      </c>
      <c r="K79" s="21">
        <f>IF(J79=0,0,J79+COUNTIF('По дням'!$G$2:$G$4000,74)-1)</f>
        <v/>
      </c>
      <c r="L79" s="22">
        <f>IF(J79=0,0,N(INDEX('По дням'!$B$2:$B$4000,MATCH(74,'По дням'!$G$2:$G$4000,0))))</f>
        <v/>
      </c>
      <c r="M79" s="23">
        <f>IF(J79=0,1,N(INDEX('По дням'!$C$2:$C$4000,MATCH(74,'По дням'!$G$2:$G$4000,0))))</f>
        <v/>
      </c>
      <c r="N79" s="24">
        <f>IF(J79=0,0,N(INDEX('По дням'!$E$2:$E$4000,MATCH(74,'По дням'!$G$2:$G$4000,0))))</f>
        <v/>
      </c>
    </row>
    <row r="80">
      <c r="A80" s="20">
        <f>IF(A79="","",IF(A79+1&gt;Ввод!$B$4,"",A79+1))</f>
        <v/>
      </c>
      <c r="B80">
        <f>IF(A80="","",IFERROR(INDEX(Ввод!$B$12:$B$71,MATCH(A80,Ввод!$D$12:$D$71,1)),""))</f>
        <v/>
      </c>
      <c r="C80">
        <f>IF(A80="","",DATE(YEAR(A80),12,31)-DATE(YEAR(A80),1,1)+1)</f>
        <v/>
      </c>
      <c r="D80">
        <f>IF(A80="","",SUMIFS(Акты!$D$5:$D$16,Акты!$E$5:$E$16,"&lt;="&amp;A80)-SUMIFS(Оплаты!$B$6:$B$505,Оплаты!$A$6:$A$505,"&lt;"&amp;A80,Оплаты!$D$6:$D$505,"&lt;&gt;"))</f>
        <v/>
      </c>
      <c r="E80">
        <f>IF(A80="","",IF(SUMPRODUCT((Ввод!$F$12:$F$31&lt;&gt;"")*(Ввод!$F$12:$F$31&lt;=A80)*(Ввод!$G$12:$G$31&gt;=A80))&gt;0,1,0))</f>
        <v/>
      </c>
      <c r="G80">
        <f>IF(A80="","",IF(OR(B80&lt;&gt;B79,C80&lt;&gt;C79,E80&lt;&gt;E79),G79+1,G79))</f>
        <v/>
      </c>
      <c r="I80" t="n">
        <v>75</v>
      </c>
      <c r="J80" s="21">
        <f>IFERROR(INDEX('По дням'!$A$2:$A$4000,MATCH(75,'По дням'!$G$2:$G$4000,0)),0)</f>
        <v/>
      </c>
      <c r="K80" s="21">
        <f>IF(J80=0,0,J80+COUNTIF('По дням'!$G$2:$G$4000,75)-1)</f>
        <v/>
      </c>
      <c r="L80" s="22">
        <f>IF(J80=0,0,N(INDEX('По дням'!$B$2:$B$4000,MATCH(75,'По дням'!$G$2:$G$4000,0))))</f>
        <v/>
      </c>
      <c r="M80" s="23">
        <f>IF(J80=0,1,N(INDEX('По дням'!$C$2:$C$4000,MATCH(75,'По дням'!$G$2:$G$4000,0))))</f>
        <v/>
      </c>
      <c r="N80" s="24">
        <f>IF(J80=0,0,N(INDEX('По дням'!$E$2:$E$4000,MATCH(75,'По дням'!$G$2:$G$4000,0))))</f>
        <v/>
      </c>
    </row>
    <row r="81">
      <c r="A81" s="20">
        <f>IF(A80="","",IF(A80+1&gt;Ввод!$B$4,"",A80+1))</f>
        <v/>
      </c>
      <c r="B81">
        <f>IF(A81="","",IFERROR(INDEX(Ввод!$B$12:$B$71,MATCH(A81,Ввод!$D$12:$D$71,1)),""))</f>
        <v/>
      </c>
      <c r="C81">
        <f>IF(A81="","",DATE(YEAR(A81),12,31)-DATE(YEAR(A81),1,1)+1)</f>
        <v/>
      </c>
      <c r="D81">
        <f>IF(A81="","",SUMIFS(Акты!$D$5:$D$16,Акты!$E$5:$E$16,"&lt;="&amp;A81)-SUMIFS(Оплаты!$B$6:$B$505,Оплаты!$A$6:$A$505,"&lt;"&amp;A81,Оплаты!$D$6:$D$505,"&lt;&gt;"))</f>
        <v/>
      </c>
      <c r="E81">
        <f>IF(A81="","",IF(SUMPRODUCT((Ввод!$F$12:$F$31&lt;&gt;"")*(Ввод!$F$12:$F$31&lt;=A81)*(Ввод!$G$12:$G$31&gt;=A81))&gt;0,1,0))</f>
        <v/>
      </c>
      <c r="G81">
        <f>IF(A81="","",IF(OR(B81&lt;&gt;B80,C81&lt;&gt;C80,E81&lt;&gt;E80),G80+1,G80))</f>
        <v/>
      </c>
      <c r="I81" t="n">
        <v>76</v>
      </c>
      <c r="J81" s="21">
        <f>IFERROR(INDEX('По дням'!$A$2:$A$4000,MATCH(76,'По дням'!$G$2:$G$4000,0)),0)</f>
        <v/>
      </c>
      <c r="K81" s="21">
        <f>IF(J81=0,0,J81+COUNTIF('По дням'!$G$2:$G$4000,76)-1)</f>
        <v/>
      </c>
      <c r="L81" s="22">
        <f>IF(J81=0,0,N(INDEX('По дням'!$B$2:$B$4000,MATCH(76,'По дням'!$G$2:$G$4000,0))))</f>
        <v/>
      </c>
      <c r="M81" s="23">
        <f>IF(J81=0,1,N(INDEX('По дням'!$C$2:$C$4000,MATCH(76,'По дням'!$G$2:$G$4000,0))))</f>
        <v/>
      </c>
      <c r="N81" s="24">
        <f>IF(J81=0,0,N(INDEX('По дням'!$E$2:$E$4000,MATCH(76,'По дням'!$G$2:$G$4000,0))))</f>
        <v/>
      </c>
    </row>
    <row r="82">
      <c r="A82" s="20">
        <f>IF(A81="","",IF(A81+1&gt;Ввод!$B$4,"",A81+1))</f>
        <v/>
      </c>
      <c r="B82">
        <f>IF(A82="","",IFERROR(INDEX(Ввод!$B$12:$B$71,MATCH(A82,Ввод!$D$12:$D$71,1)),""))</f>
        <v/>
      </c>
      <c r="C82">
        <f>IF(A82="","",DATE(YEAR(A82),12,31)-DATE(YEAR(A82),1,1)+1)</f>
        <v/>
      </c>
      <c r="D82">
        <f>IF(A82="","",SUMIFS(Акты!$D$5:$D$16,Акты!$E$5:$E$16,"&lt;="&amp;A82)-SUMIFS(Оплаты!$B$6:$B$505,Оплаты!$A$6:$A$505,"&lt;"&amp;A82,Оплаты!$D$6:$D$505,"&lt;&gt;"))</f>
        <v/>
      </c>
      <c r="E82">
        <f>IF(A82="","",IF(SUMPRODUCT((Ввод!$F$12:$F$31&lt;&gt;"")*(Ввод!$F$12:$F$31&lt;=A82)*(Ввод!$G$12:$G$31&gt;=A82))&gt;0,1,0))</f>
        <v/>
      </c>
      <c r="G82">
        <f>IF(A82="","",IF(OR(B82&lt;&gt;B81,C82&lt;&gt;C81,E82&lt;&gt;E81),G81+1,G81))</f>
        <v/>
      </c>
      <c r="I82" t="n">
        <v>77</v>
      </c>
      <c r="J82" s="21">
        <f>IFERROR(INDEX('По дням'!$A$2:$A$4000,MATCH(77,'По дням'!$G$2:$G$4000,0)),0)</f>
        <v/>
      </c>
      <c r="K82" s="21">
        <f>IF(J82=0,0,J82+COUNTIF('По дням'!$G$2:$G$4000,77)-1)</f>
        <v/>
      </c>
      <c r="L82" s="22">
        <f>IF(J82=0,0,N(INDEX('По дням'!$B$2:$B$4000,MATCH(77,'По дням'!$G$2:$G$4000,0))))</f>
        <v/>
      </c>
      <c r="M82" s="23">
        <f>IF(J82=0,1,N(INDEX('По дням'!$C$2:$C$4000,MATCH(77,'По дням'!$G$2:$G$4000,0))))</f>
        <v/>
      </c>
      <c r="N82" s="24">
        <f>IF(J82=0,0,N(INDEX('По дням'!$E$2:$E$4000,MATCH(77,'По дням'!$G$2:$G$4000,0))))</f>
        <v/>
      </c>
    </row>
    <row r="83">
      <c r="A83" s="20">
        <f>IF(A82="","",IF(A82+1&gt;Ввод!$B$4,"",A82+1))</f>
        <v/>
      </c>
      <c r="B83">
        <f>IF(A83="","",IFERROR(INDEX(Ввод!$B$12:$B$71,MATCH(A83,Ввод!$D$12:$D$71,1)),""))</f>
        <v/>
      </c>
      <c r="C83">
        <f>IF(A83="","",DATE(YEAR(A83),12,31)-DATE(YEAR(A83),1,1)+1)</f>
        <v/>
      </c>
      <c r="D83">
        <f>IF(A83="","",SUMIFS(Акты!$D$5:$D$16,Акты!$E$5:$E$16,"&lt;="&amp;A83)-SUMIFS(Оплаты!$B$6:$B$505,Оплаты!$A$6:$A$505,"&lt;"&amp;A83,Оплаты!$D$6:$D$505,"&lt;&gt;"))</f>
        <v/>
      </c>
      <c r="E83">
        <f>IF(A83="","",IF(SUMPRODUCT((Ввод!$F$12:$F$31&lt;&gt;"")*(Ввод!$F$12:$F$31&lt;=A83)*(Ввод!$G$12:$G$31&gt;=A83))&gt;0,1,0))</f>
        <v/>
      </c>
      <c r="G83">
        <f>IF(A83="","",IF(OR(B83&lt;&gt;B82,C83&lt;&gt;C82,E83&lt;&gt;E82),G82+1,G82))</f>
        <v/>
      </c>
      <c r="I83" t="n">
        <v>78</v>
      </c>
      <c r="J83" s="21">
        <f>IFERROR(INDEX('По дням'!$A$2:$A$4000,MATCH(78,'По дням'!$G$2:$G$4000,0)),0)</f>
        <v/>
      </c>
      <c r="K83" s="21">
        <f>IF(J83=0,0,J83+COUNTIF('По дням'!$G$2:$G$4000,78)-1)</f>
        <v/>
      </c>
      <c r="L83" s="22">
        <f>IF(J83=0,0,N(INDEX('По дням'!$B$2:$B$4000,MATCH(78,'По дням'!$G$2:$G$4000,0))))</f>
        <v/>
      </c>
      <c r="M83" s="23">
        <f>IF(J83=0,1,N(INDEX('По дням'!$C$2:$C$4000,MATCH(78,'По дням'!$G$2:$G$4000,0))))</f>
        <v/>
      </c>
      <c r="N83" s="24">
        <f>IF(J83=0,0,N(INDEX('По дням'!$E$2:$E$4000,MATCH(78,'По дням'!$G$2:$G$4000,0))))</f>
        <v/>
      </c>
    </row>
    <row r="84">
      <c r="A84" s="20">
        <f>IF(A83="","",IF(A83+1&gt;Ввод!$B$4,"",A83+1))</f>
        <v/>
      </c>
      <c r="B84">
        <f>IF(A84="","",IFERROR(INDEX(Ввод!$B$12:$B$71,MATCH(A84,Ввод!$D$12:$D$71,1)),""))</f>
        <v/>
      </c>
      <c r="C84">
        <f>IF(A84="","",DATE(YEAR(A84),12,31)-DATE(YEAR(A84),1,1)+1)</f>
        <v/>
      </c>
      <c r="D84">
        <f>IF(A84="","",SUMIFS(Акты!$D$5:$D$16,Акты!$E$5:$E$16,"&lt;="&amp;A84)-SUMIFS(Оплаты!$B$6:$B$505,Оплаты!$A$6:$A$505,"&lt;"&amp;A84,Оплаты!$D$6:$D$505,"&lt;&gt;"))</f>
        <v/>
      </c>
      <c r="E84">
        <f>IF(A84="","",IF(SUMPRODUCT((Ввод!$F$12:$F$31&lt;&gt;"")*(Ввод!$F$12:$F$31&lt;=A84)*(Ввод!$G$12:$G$31&gt;=A84))&gt;0,1,0))</f>
        <v/>
      </c>
      <c r="G84">
        <f>IF(A84="","",IF(OR(B84&lt;&gt;B83,C84&lt;&gt;C83,E84&lt;&gt;E83),G83+1,G83))</f>
        <v/>
      </c>
      <c r="I84" t="n">
        <v>79</v>
      </c>
      <c r="J84" s="21">
        <f>IFERROR(INDEX('По дням'!$A$2:$A$4000,MATCH(79,'По дням'!$G$2:$G$4000,0)),0)</f>
        <v/>
      </c>
      <c r="K84" s="21">
        <f>IF(J84=0,0,J84+COUNTIF('По дням'!$G$2:$G$4000,79)-1)</f>
        <v/>
      </c>
      <c r="L84" s="22">
        <f>IF(J84=0,0,N(INDEX('По дням'!$B$2:$B$4000,MATCH(79,'По дням'!$G$2:$G$4000,0))))</f>
        <v/>
      </c>
      <c r="M84" s="23">
        <f>IF(J84=0,1,N(INDEX('По дням'!$C$2:$C$4000,MATCH(79,'По дням'!$G$2:$G$4000,0))))</f>
        <v/>
      </c>
      <c r="N84" s="24">
        <f>IF(J84=0,0,N(INDEX('По дням'!$E$2:$E$4000,MATCH(79,'По дням'!$G$2:$G$4000,0))))</f>
        <v/>
      </c>
    </row>
    <row r="85">
      <c r="A85" s="20">
        <f>IF(A84="","",IF(A84+1&gt;Ввод!$B$4,"",A84+1))</f>
        <v/>
      </c>
      <c r="B85">
        <f>IF(A85="","",IFERROR(INDEX(Ввод!$B$12:$B$71,MATCH(A85,Ввод!$D$12:$D$71,1)),""))</f>
        <v/>
      </c>
      <c r="C85">
        <f>IF(A85="","",DATE(YEAR(A85),12,31)-DATE(YEAR(A85),1,1)+1)</f>
        <v/>
      </c>
      <c r="D85">
        <f>IF(A85="","",SUMIFS(Акты!$D$5:$D$16,Акты!$E$5:$E$16,"&lt;="&amp;A85)-SUMIFS(Оплаты!$B$6:$B$505,Оплаты!$A$6:$A$505,"&lt;"&amp;A85,Оплаты!$D$6:$D$505,"&lt;&gt;"))</f>
        <v/>
      </c>
      <c r="E85">
        <f>IF(A85="","",IF(SUMPRODUCT((Ввод!$F$12:$F$31&lt;&gt;"")*(Ввод!$F$12:$F$31&lt;=A85)*(Ввод!$G$12:$G$31&gt;=A85))&gt;0,1,0))</f>
        <v/>
      </c>
      <c r="G85">
        <f>IF(A85="","",IF(OR(B85&lt;&gt;B84,C85&lt;&gt;C84,E85&lt;&gt;E84),G84+1,G84))</f>
        <v/>
      </c>
      <c r="I85" t="n">
        <v>80</v>
      </c>
      <c r="J85" s="21">
        <f>IFERROR(INDEX('По дням'!$A$2:$A$4000,MATCH(80,'По дням'!$G$2:$G$4000,0)),0)</f>
        <v/>
      </c>
      <c r="K85" s="21">
        <f>IF(J85=0,0,J85+COUNTIF('По дням'!$G$2:$G$4000,80)-1)</f>
        <v/>
      </c>
      <c r="L85" s="22">
        <f>IF(J85=0,0,N(INDEX('По дням'!$B$2:$B$4000,MATCH(80,'По дням'!$G$2:$G$4000,0))))</f>
        <v/>
      </c>
      <c r="M85" s="23">
        <f>IF(J85=0,1,N(INDEX('По дням'!$C$2:$C$4000,MATCH(80,'По дням'!$G$2:$G$4000,0))))</f>
        <v/>
      </c>
      <c r="N85" s="24">
        <f>IF(J85=0,0,N(INDEX('По дням'!$E$2:$E$4000,MATCH(80,'По дням'!$G$2:$G$4000,0))))</f>
        <v/>
      </c>
    </row>
    <row r="86">
      <c r="A86" s="20">
        <f>IF(A85="","",IF(A85+1&gt;Ввод!$B$4,"",A85+1))</f>
        <v/>
      </c>
      <c r="B86">
        <f>IF(A86="","",IFERROR(INDEX(Ввод!$B$12:$B$71,MATCH(A86,Ввод!$D$12:$D$71,1)),""))</f>
        <v/>
      </c>
      <c r="C86">
        <f>IF(A86="","",DATE(YEAR(A86),12,31)-DATE(YEAR(A86),1,1)+1)</f>
        <v/>
      </c>
      <c r="D86">
        <f>IF(A86="","",SUMIFS(Акты!$D$5:$D$16,Акты!$E$5:$E$16,"&lt;="&amp;A86)-SUMIFS(Оплаты!$B$6:$B$505,Оплаты!$A$6:$A$505,"&lt;"&amp;A86,Оплаты!$D$6:$D$505,"&lt;&gt;"))</f>
        <v/>
      </c>
      <c r="E86">
        <f>IF(A86="","",IF(SUMPRODUCT((Ввод!$F$12:$F$31&lt;&gt;"")*(Ввод!$F$12:$F$31&lt;=A86)*(Ввод!$G$12:$G$31&gt;=A86))&gt;0,1,0))</f>
        <v/>
      </c>
      <c r="G86">
        <f>IF(A86="","",IF(OR(B86&lt;&gt;B85,C86&lt;&gt;C85,E86&lt;&gt;E85),G85+1,G85))</f>
        <v/>
      </c>
      <c r="I86" t="n">
        <v>81</v>
      </c>
      <c r="J86" s="21">
        <f>IFERROR(INDEX('По дням'!$A$2:$A$4000,MATCH(81,'По дням'!$G$2:$G$4000,0)),0)</f>
        <v/>
      </c>
      <c r="K86" s="21">
        <f>IF(J86=0,0,J86+COUNTIF('По дням'!$G$2:$G$4000,81)-1)</f>
        <v/>
      </c>
      <c r="L86" s="22">
        <f>IF(J86=0,0,N(INDEX('По дням'!$B$2:$B$4000,MATCH(81,'По дням'!$G$2:$G$4000,0))))</f>
        <v/>
      </c>
      <c r="M86" s="23">
        <f>IF(J86=0,1,N(INDEX('По дням'!$C$2:$C$4000,MATCH(81,'По дням'!$G$2:$G$4000,0))))</f>
        <v/>
      </c>
      <c r="N86" s="24">
        <f>IF(J86=0,0,N(INDEX('По дням'!$E$2:$E$4000,MATCH(81,'По дням'!$G$2:$G$4000,0))))</f>
        <v/>
      </c>
    </row>
    <row r="87">
      <c r="A87" s="20">
        <f>IF(A86="","",IF(A86+1&gt;Ввод!$B$4,"",A86+1))</f>
        <v/>
      </c>
      <c r="B87">
        <f>IF(A87="","",IFERROR(INDEX(Ввод!$B$12:$B$71,MATCH(A87,Ввод!$D$12:$D$71,1)),""))</f>
        <v/>
      </c>
      <c r="C87">
        <f>IF(A87="","",DATE(YEAR(A87),12,31)-DATE(YEAR(A87),1,1)+1)</f>
        <v/>
      </c>
      <c r="D87">
        <f>IF(A87="","",SUMIFS(Акты!$D$5:$D$16,Акты!$E$5:$E$16,"&lt;="&amp;A87)-SUMIFS(Оплаты!$B$6:$B$505,Оплаты!$A$6:$A$505,"&lt;"&amp;A87,Оплаты!$D$6:$D$505,"&lt;&gt;"))</f>
        <v/>
      </c>
      <c r="E87">
        <f>IF(A87="","",IF(SUMPRODUCT((Ввод!$F$12:$F$31&lt;&gt;"")*(Ввод!$F$12:$F$31&lt;=A87)*(Ввод!$G$12:$G$31&gt;=A87))&gt;0,1,0))</f>
        <v/>
      </c>
      <c r="G87">
        <f>IF(A87="","",IF(OR(B87&lt;&gt;B86,C87&lt;&gt;C86,E87&lt;&gt;E86),G86+1,G86))</f>
        <v/>
      </c>
      <c r="I87" t="n">
        <v>82</v>
      </c>
      <c r="J87" s="21">
        <f>IFERROR(INDEX('По дням'!$A$2:$A$4000,MATCH(82,'По дням'!$G$2:$G$4000,0)),0)</f>
        <v/>
      </c>
      <c r="K87" s="21">
        <f>IF(J87=0,0,J87+COUNTIF('По дням'!$G$2:$G$4000,82)-1)</f>
        <v/>
      </c>
      <c r="L87" s="22">
        <f>IF(J87=0,0,N(INDEX('По дням'!$B$2:$B$4000,MATCH(82,'По дням'!$G$2:$G$4000,0))))</f>
        <v/>
      </c>
      <c r="M87" s="23">
        <f>IF(J87=0,1,N(INDEX('По дням'!$C$2:$C$4000,MATCH(82,'По дням'!$G$2:$G$4000,0))))</f>
        <v/>
      </c>
      <c r="N87" s="24">
        <f>IF(J87=0,0,N(INDEX('По дням'!$E$2:$E$4000,MATCH(82,'По дням'!$G$2:$G$4000,0))))</f>
        <v/>
      </c>
    </row>
    <row r="88">
      <c r="A88" s="20">
        <f>IF(A87="","",IF(A87+1&gt;Ввод!$B$4,"",A87+1))</f>
        <v/>
      </c>
      <c r="B88">
        <f>IF(A88="","",IFERROR(INDEX(Ввод!$B$12:$B$71,MATCH(A88,Ввод!$D$12:$D$71,1)),""))</f>
        <v/>
      </c>
      <c r="C88">
        <f>IF(A88="","",DATE(YEAR(A88),12,31)-DATE(YEAR(A88),1,1)+1)</f>
        <v/>
      </c>
      <c r="D88">
        <f>IF(A88="","",SUMIFS(Акты!$D$5:$D$16,Акты!$E$5:$E$16,"&lt;="&amp;A88)-SUMIFS(Оплаты!$B$6:$B$505,Оплаты!$A$6:$A$505,"&lt;"&amp;A88,Оплаты!$D$6:$D$505,"&lt;&gt;"))</f>
        <v/>
      </c>
      <c r="E88">
        <f>IF(A88="","",IF(SUMPRODUCT((Ввод!$F$12:$F$31&lt;&gt;"")*(Ввод!$F$12:$F$31&lt;=A88)*(Ввод!$G$12:$G$31&gt;=A88))&gt;0,1,0))</f>
        <v/>
      </c>
      <c r="G88">
        <f>IF(A88="","",IF(OR(B88&lt;&gt;B87,C88&lt;&gt;C87,E88&lt;&gt;E87),G87+1,G87))</f>
        <v/>
      </c>
      <c r="I88" t="n">
        <v>83</v>
      </c>
      <c r="J88" s="21">
        <f>IFERROR(INDEX('По дням'!$A$2:$A$4000,MATCH(83,'По дням'!$G$2:$G$4000,0)),0)</f>
        <v/>
      </c>
      <c r="K88" s="21">
        <f>IF(J88=0,0,J88+COUNTIF('По дням'!$G$2:$G$4000,83)-1)</f>
        <v/>
      </c>
      <c r="L88" s="22">
        <f>IF(J88=0,0,N(INDEX('По дням'!$B$2:$B$4000,MATCH(83,'По дням'!$G$2:$G$4000,0))))</f>
        <v/>
      </c>
      <c r="M88" s="23">
        <f>IF(J88=0,1,N(INDEX('По дням'!$C$2:$C$4000,MATCH(83,'По дням'!$G$2:$G$4000,0))))</f>
        <v/>
      </c>
      <c r="N88" s="24">
        <f>IF(J88=0,0,N(INDEX('По дням'!$E$2:$E$4000,MATCH(83,'По дням'!$G$2:$G$4000,0))))</f>
        <v/>
      </c>
    </row>
    <row r="89">
      <c r="A89" s="20">
        <f>IF(A88="","",IF(A88+1&gt;Ввод!$B$4,"",A88+1))</f>
        <v/>
      </c>
      <c r="B89">
        <f>IF(A89="","",IFERROR(INDEX(Ввод!$B$12:$B$71,MATCH(A89,Ввод!$D$12:$D$71,1)),""))</f>
        <v/>
      </c>
      <c r="C89">
        <f>IF(A89="","",DATE(YEAR(A89),12,31)-DATE(YEAR(A89),1,1)+1)</f>
        <v/>
      </c>
      <c r="D89">
        <f>IF(A89="","",SUMIFS(Акты!$D$5:$D$16,Акты!$E$5:$E$16,"&lt;="&amp;A89)-SUMIFS(Оплаты!$B$6:$B$505,Оплаты!$A$6:$A$505,"&lt;"&amp;A89,Оплаты!$D$6:$D$505,"&lt;&gt;"))</f>
        <v/>
      </c>
      <c r="E89">
        <f>IF(A89="","",IF(SUMPRODUCT((Ввод!$F$12:$F$31&lt;&gt;"")*(Ввод!$F$12:$F$31&lt;=A89)*(Ввод!$G$12:$G$31&gt;=A89))&gt;0,1,0))</f>
        <v/>
      </c>
      <c r="G89">
        <f>IF(A89="","",IF(OR(B89&lt;&gt;B88,C89&lt;&gt;C88,E89&lt;&gt;E88),G88+1,G88))</f>
        <v/>
      </c>
      <c r="I89" t="n">
        <v>84</v>
      </c>
      <c r="J89" s="21">
        <f>IFERROR(INDEX('По дням'!$A$2:$A$4000,MATCH(84,'По дням'!$G$2:$G$4000,0)),0)</f>
        <v/>
      </c>
      <c r="K89" s="21">
        <f>IF(J89=0,0,J89+COUNTIF('По дням'!$G$2:$G$4000,84)-1)</f>
        <v/>
      </c>
      <c r="L89" s="22">
        <f>IF(J89=0,0,N(INDEX('По дням'!$B$2:$B$4000,MATCH(84,'По дням'!$G$2:$G$4000,0))))</f>
        <v/>
      </c>
      <c r="M89" s="23">
        <f>IF(J89=0,1,N(INDEX('По дням'!$C$2:$C$4000,MATCH(84,'По дням'!$G$2:$G$4000,0))))</f>
        <v/>
      </c>
      <c r="N89" s="24">
        <f>IF(J89=0,0,N(INDEX('По дням'!$E$2:$E$4000,MATCH(84,'По дням'!$G$2:$G$4000,0))))</f>
        <v/>
      </c>
    </row>
    <row r="90">
      <c r="A90" s="20">
        <f>IF(A89="","",IF(A89+1&gt;Ввод!$B$4,"",A89+1))</f>
        <v/>
      </c>
      <c r="B90">
        <f>IF(A90="","",IFERROR(INDEX(Ввод!$B$12:$B$71,MATCH(A90,Ввод!$D$12:$D$71,1)),""))</f>
        <v/>
      </c>
      <c r="C90">
        <f>IF(A90="","",DATE(YEAR(A90),12,31)-DATE(YEAR(A90),1,1)+1)</f>
        <v/>
      </c>
      <c r="D90">
        <f>IF(A90="","",SUMIFS(Акты!$D$5:$D$16,Акты!$E$5:$E$16,"&lt;="&amp;A90)-SUMIFS(Оплаты!$B$6:$B$505,Оплаты!$A$6:$A$505,"&lt;"&amp;A90,Оплаты!$D$6:$D$505,"&lt;&gt;"))</f>
        <v/>
      </c>
      <c r="E90">
        <f>IF(A90="","",IF(SUMPRODUCT((Ввод!$F$12:$F$31&lt;&gt;"")*(Ввод!$F$12:$F$31&lt;=A90)*(Ввод!$G$12:$G$31&gt;=A90))&gt;0,1,0))</f>
        <v/>
      </c>
      <c r="G90">
        <f>IF(A90="","",IF(OR(B90&lt;&gt;B89,C90&lt;&gt;C89,E90&lt;&gt;E89),G89+1,G89))</f>
        <v/>
      </c>
      <c r="I90" t="n">
        <v>85</v>
      </c>
      <c r="J90" s="21">
        <f>IFERROR(INDEX('По дням'!$A$2:$A$4000,MATCH(85,'По дням'!$G$2:$G$4000,0)),0)</f>
        <v/>
      </c>
      <c r="K90" s="21">
        <f>IF(J90=0,0,J90+COUNTIF('По дням'!$G$2:$G$4000,85)-1)</f>
        <v/>
      </c>
      <c r="L90" s="22">
        <f>IF(J90=0,0,N(INDEX('По дням'!$B$2:$B$4000,MATCH(85,'По дням'!$G$2:$G$4000,0))))</f>
        <v/>
      </c>
      <c r="M90" s="23">
        <f>IF(J90=0,1,N(INDEX('По дням'!$C$2:$C$4000,MATCH(85,'По дням'!$G$2:$G$4000,0))))</f>
        <v/>
      </c>
      <c r="N90" s="24">
        <f>IF(J90=0,0,N(INDEX('По дням'!$E$2:$E$4000,MATCH(85,'По дням'!$G$2:$G$4000,0))))</f>
        <v/>
      </c>
    </row>
    <row r="91">
      <c r="A91" s="20">
        <f>IF(A90="","",IF(A90+1&gt;Ввод!$B$4,"",A90+1))</f>
        <v/>
      </c>
      <c r="B91">
        <f>IF(A91="","",IFERROR(INDEX(Ввод!$B$12:$B$71,MATCH(A91,Ввод!$D$12:$D$71,1)),""))</f>
        <v/>
      </c>
      <c r="C91">
        <f>IF(A91="","",DATE(YEAR(A91),12,31)-DATE(YEAR(A91),1,1)+1)</f>
        <v/>
      </c>
      <c r="D91">
        <f>IF(A91="","",SUMIFS(Акты!$D$5:$D$16,Акты!$E$5:$E$16,"&lt;="&amp;A91)-SUMIFS(Оплаты!$B$6:$B$505,Оплаты!$A$6:$A$505,"&lt;"&amp;A91,Оплаты!$D$6:$D$505,"&lt;&gt;"))</f>
        <v/>
      </c>
      <c r="E91">
        <f>IF(A91="","",IF(SUMPRODUCT((Ввод!$F$12:$F$31&lt;&gt;"")*(Ввод!$F$12:$F$31&lt;=A91)*(Ввод!$G$12:$G$31&gt;=A91))&gt;0,1,0))</f>
        <v/>
      </c>
      <c r="G91">
        <f>IF(A91="","",IF(OR(B91&lt;&gt;B90,C91&lt;&gt;C90,E91&lt;&gt;E90),G90+1,G90))</f>
        <v/>
      </c>
      <c r="I91" t="n">
        <v>86</v>
      </c>
      <c r="J91" s="21">
        <f>IFERROR(INDEX('По дням'!$A$2:$A$4000,MATCH(86,'По дням'!$G$2:$G$4000,0)),0)</f>
        <v/>
      </c>
      <c r="K91" s="21">
        <f>IF(J91=0,0,J91+COUNTIF('По дням'!$G$2:$G$4000,86)-1)</f>
        <v/>
      </c>
      <c r="L91" s="22">
        <f>IF(J91=0,0,N(INDEX('По дням'!$B$2:$B$4000,MATCH(86,'По дням'!$G$2:$G$4000,0))))</f>
        <v/>
      </c>
      <c r="M91" s="23">
        <f>IF(J91=0,1,N(INDEX('По дням'!$C$2:$C$4000,MATCH(86,'По дням'!$G$2:$G$4000,0))))</f>
        <v/>
      </c>
      <c r="N91" s="24">
        <f>IF(J91=0,0,N(INDEX('По дням'!$E$2:$E$4000,MATCH(86,'По дням'!$G$2:$G$4000,0))))</f>
        <v/>
      </c>
    </row>
    <row r="92">
      <c r="A92" s="20">
        <f>IF(A91="","",IF(A91+1&gt;Ввод!$B$4,"",A91+1))</f>
        <v/>
      </c>
      <c r="B92">
        <f>IF(A92="","",IFERROR(INDEX(Ввод!$B$12:$B$71,MATCH(A92,Ввод!$D$12:$D$71,1)),""))</f>
        <v/>
      </c>
      <c r="C92">
        <f>IF(A92="","",DATE(YEAR(A92),12,31)-DATE(YEAR(A92),1,1)+1)</f>
        <v/>
      </c>
      <c r="D92">
        <f>IF(A92="","",SUMIFS(Акты!$D$5:$D$16,Акты!$E$5:$E$16,"&lt;="&amp;A92)-SUMIFS(Оплаты!$B$6:$B$505,Оплаты!$A$6:$A$505,"&lt;"&amp;A92,Оплаты!$D$6:$D$505,"&lt;&gt;"))</f>
        <v/>
      </c>
      <c r="E92">
        <f>IF(A92="","",IF(SUMPRODUCT((Ввод!$F$12:$F$31&lt;&gt;"")*(Ввод!$F$12:$F$31&lt;=A92)*(Ввод!$G$12:$G$31&gt;=A92))&gt;0,1,0))</f>
        <v/>
      </c>
      <c r="G92">
        <f>IF(A92="","",IF(OR(B92&lt;&gt;B91,C92&lt;&gt;C91,E92&lt;&gt;E91),G91+1,G91))</f>
        <v/>
      </c>
      <c r="I92" t="n">
        <v>87</v>
      </c>
      <c r="J92" s="21">
        <f>IFERROR(INDEX('По дням'!$A$2:$A$4000,MATCH(87,'По дням'!$G$2:$G$4000,0)),0)</f>
        <v/>
      </c>
      <c r="K92" s="21">
        <f>IF(J92=0,0,J92+COUNTIF('По дням'!$G$2:$G$4000,87)-1)</f>
        <v/>
      </c>
      <c r="L92" s="22">
        <f>IF(J92=0,0,N(INDEX('По дням'!$B$2:$B$4000,MATCH(87,'По дням'!$G$2:$G$4000,0))))</f>
        <v/>
      </c>
      <c r="M92" s="23">
        <f>IF(J92=0,1,N(INDEX('По дням'!$C$2:$C$4000,MATCH(87,'По дням'!$G$2:$G$4000,0))))</f>
        <v/>
      </c>
      <c r="N92" s="24">
        <f>IF(J92=0,0,N(INDEX('По дням'!$E$2:$E$4000,MATCH(87,'По дням'!$G$2:$G$4000,0))))</f>
        <v/>
      </c>
    </row>
    <row r="93">
      <c r="A93" s="20">
        <f>IF(A92="","",IF(A92+1&gt;Ввод!$B$4,"",A92+1))</f>
        <v/>
      </c>
      <c r="B93">
        <f>IF(A93="","",IFERROR(INDEX(Ввод!$B$12:$B$71,MATCH(A93,Ввод!$D$12:$D$71,1)),""))</f>
        <v/>
      </c>
      <c r="C93">
        <f>IF(A93="","",DATE(YEAR(A93),12,31)-DATE(YEAR(A93),1,1)+1)</f>
        <v/>
      </c>
      <c r="D93">
        <f>IF(A93="","",SUMIFS(Акты!$D$5:$D$16,Акты!$E$5:$E$16,"&lt;="&amp;A93)-SUMIFS(Оплаты!$B$6:$B$505,Оплаты!$A$6:$A$505,"&lt;"&amp;A93,Оплаты!$D$6:$D$505,"&lt;&gt;"))</f>
        <v/>
      </c>
      <c r="E93">
        <f>IF(A93="","",IF(SUMPRODUCT((Ввод!$F$12:$F$31&lt;&gt;"")*(Ввод!$F$12:$F$31&lt;=A93)*(Ввод!$G$12:$G$31&gt;=A93))&gt;0,1,0))</f>
        <v/>
      </c>
      <c r="G93">
        <f>IF(A93="","",IF(OR(B93&lt;&gt;B92,C93&lt;&gt;C92,E93&lt;&gt;E92),G92+1,G92))</f>
        <v/>
      </c>
      <c r="I93" t="n">
        <v>88</v>
      </c>
      <c r="J93" s="21">
        <f>IFERROR(INDEX('По дням'!$A$2:$A$4000,MATCH(88,'По дням'!$G$2:$G$4000,0)),0)</f>
        <v/>
      </c>
      <c r="K93" s="21">
        <f>IF(J93=0,0,J93+COUNTIF('По дням'!$G$2:$G$4000,88)-1)</f>
        <v/>
      </c>
      <c r="L93" s="22">
        <f>IF(J93=0,0,N(INDEX('По дням'!$B$2:$B$4000,MATCH(88,'По дням'!$G$2:$G$4000,0))))</f>
        <v/>
      </c>
      <c r="M93" s="23">
        <f>IF(J93=0,1,N(INDEX('По дням'!$C$2:$C$4000,MATCH(88,'По дням'!$G$2:$G$4000,0))))</f>
        <v/>
      </c>
      <c r="N93" s="24">
        <f>IF(J93=0,0,N(INDEX('По дням'!$E$2:$E$4000,MATCH(88,'По дням'!$G$2:$G$4000,0))))</f>
        <v/>
      </c>
    </row>
    <row r="94">
      <c r="A94" s="20">
        <f>IF(A93="","",IF(A93+1&gt;Ввод!$B$4,"",A93+1))</f>
        <v/>
      </c>
      <c r="B94">
        <f>IF(A94="","",IFERROR(INDEX(Ввод!$B$12:$B$71,MATCH(A94,Ввод!$D$12:$D$71,1)),""))</f>
        <v/>
      </c>
      <c r="C94">
        <f>IF(A94="","",DATE(YEAR(A94),12,31)-DATE(YEAR(A94),1,1)+1)</f>
        <v/>
      </c>
      <c r="D94">
        <f>IF(A94="","",SUMIFS(Акты!$D$5:$D$16,Акты!$E$5:$E$16,"&lt;="&amp;A94)-SUMIFS(Оплаты!$B$6:$B$505,Оплаты!$A$6:$A$505,"&lt;"&amp;A94,Оплаты!$D$6:$D$505,"&lt;&gt;"))</f>
        <v/>
      </c>
      <c r="E94">
        <f>IF(A94="","",IF(SUMPRODUCT((Ввод!$F$12:$F$31&lt;&gt;"")*(Ввод!$F$12:$F$31&lt;=A94)*(Ввод!$G$12:$G$31&gt;=A94))&gt;0,1,0))</f>
        <v/>
      </c>
      <c r="G94">
        <f>IF(A94="","",IF(OR(B94&lt;&gt;B93,C94&lt;&gt;C93,E94&lt;&gt;E93),G93+1,G93))</f>
        <v/>
      </c>
      <c r="I94" t="n">
        <v>89</v>
      </c>
      <c r="J94" s="21">
        <f>IFERROR(INDEX('По дням'!$A$2:$A$4000,MATCH(89,'По дням'!$G$2:$G$4000,0)),0)</f>
        <v/>
      </c>
      <c r="K94" s="21">
        <f>IF(J94=0,0,J94+COUNTIF('По дням'!$G$2:$G$4000,89)-1)</f>
        <v/>
      </c>
      <c r="L94" s="22">
        <f>IF(J94=0,0,N(INDEX('По дням'!$B$2:$B$4000,MATCH(89,'По дням'!$G$2:$G$4000,0))))</f>
        <v/>
      </c>
      <c r="M94" s="23">
        <f>IF(J94=0,1,N(INDEX('По дням'!$C$2:$C$4000,MATCH(89,'По дням'!$G$2:$G$4000,0))))</f>
        <v/>
      </c>
      <c r="N94" s="24">
        <f>IF(J94=0,0,N(INDEX('По дням'!$E$2:$E$4000,MATCH(89,'По дням'!$G$2:$G$4000,0))))</f>
        <v/>
      </c>
    </row>
    <row r="95">
      <c r="A95" s="20">
        <f>IF(A94="","",IF(A94+1&gt;Ввод!$B$4,"",A94+1))</f>
        <v/>
      </c>
      <c r="B95">
        <f>IF(A95="","",IFERROR(INDEX(Ввод!$B$12:$B$71,MATCH(A95,Ввод!$D$12:$D$71,1)),""))</f>
        <v/>
      </c>
      <c r="C95">
        <f>IF(A95="","",DATE(YEAR(A95),12,31)-DATE(YEAR(A95),1,1)+1)</f>
        <v/>
      </c>
      <c r="D95">
        <f>IF(A95="","",SUMIFS(Акты!$D$5:$D$16,Акты!$E$5:$E$16,"&lt;="&amp;A95)-SUMIFS(Оплаты!$B$6:$B$505,Оплаты!$A$6:$A$505,"&lt;"&amp;A95,Оплаты!$D$6:$D$505,"&lt;&gt;"))</f>
        <v/>
      </c>
      <c r="E95">
        <f>IF(A95="","",IF(SUMPRODUCT((Ввод!$F$12:$F$31&lt;&gt;"")*(Ввод!$F$12:$F$31&lt;=A95)*(Ввод!$G$12:$G$31&gt;=A95))&gt;0,1,0))</f>
        <v/>
      </c>
      <c r="G95">
        <f>IF(A95="","",IF(OR(B95&lt;&gt;B94,C95&lt;&gt;C94,E95&lt;&gt;E94),G94+1,G94))</f>
        <v/>
      </c>
      <c r="I95" t="n">
        <v>90</v>
      </c>
      <c r="J95" s="21">
        <f>IFERROR(INDEX('По дням'!$A$2:$A$4000,MATCH(90,'По дням'!$G$2:$G$4000,0)),0)</f>
        <v/>
      </c>
      <c r="K95" s="21">
        <f>IF(J95=0,0,J95+COUNTIF('По дням'!$G$2:$G$4000,90)-1)</f>
        <v/>
      </c>
      <c r="L95" s="22">
        <f>IF(J95=0,0,N(INDEX('По дням'!$B$2:$B$4000,MATCH(90,'По дням'!$G$2:$G$4000,0))))</f>
        <v/>
      </c>
      <c r="M95" s="23">
        <f>IF(J95=0,1,N(INDEX('По дням'!$C$2:$C$4000,MATCH(90,'По дням'!$G$2:$G$4000,0))))</f>
        <v/>
      </c>
      <c r="N95" s="24">
        <f>IF(J95=0,0,N(INDEX('По дням'!$E$2:$E$4000,MATCH(90,'По дням'!$G$2:$G$4000,0))))</f>
        <v/>
      </c>
    </row>
    <row r="96">
      <c r="A96" s="20">
        <f>IF(A95="","",IF(A95+1&gt;Ввод!$B$4,"",A95+1))</f>
        <v/>
      </c>
      <c r="B96">
        <f>IF(A96="","",IFERROR(INDEX(Ввод!$B$12:$B$71,MATCH(A96,Ввод!$D$12:$D$71,1)),""))</f>
        <v/>
      </c>
      <c r="C96">
        <f>IF(A96="","",DATE(YEAR(A96),12,31)-DATE(YEAR(A96),1,1)+1)</f>
        <v/>
      </c>
      <c r="D96">
        <f>IF(A96="","",SUMIFS(Акты!$D$5:$D$16,Акты!$E$5:$E$16,"&lt;="&amp;A96)-SUMIFS(Оплаты!$B$6:$B$505,Оплаты!$A$6:$A$505,"&lt;"&amp;A96,Оплаты!$D$6:$D$505,"&lt;&gt;"))</f>
        <v/>
      </c>
      <c r="E96">
        <f>IF(A96="","",IF(SUMPRODUCT((Ввод!$F$12:$F$31&lt;&gt;"")*(Ввод!$F$12:$F$31&lt;=A96)*(Ввод!$G$12:$G$31&gt;=A96))&gt;0,1,0))</f>
        <v/>
      </c>
      <c r="G96">
        <f>IF(A96="","",IF(OR(B96&lt;&gt;B95,C96&lt;&gt;C95,E96&lt;&gt;E95),G95+1,G95))</f>
        <v/>
      </c>
      <c r="I96" t="n">
        <v>91</v>
      </c>
      <c r="J96" s="21">
        <f>IFERROR(INDEX('По дням'!$A$2:$A$4000,MATCH(91,'По дням'!$G$2:$G$4000,0)),0)</f>
        <v/>
      </c>
      <c r="K96" s="21">
        <f>IF(J96=0,0,J96+COUNTIF('По дням'!$G$2:$G$4000,91)-1)</f>
        <v/>
      </c>
      <c r="L96" s="22">
        <f>IF(J96=0,0,N(INDEX('По дням'!$B$2:$B$4000,MATCH(91,'По дням'!$G$2:$G$4000,0))))</f>
        <v/>
      </c>
      <c r="M96" s="23">
        <f>IF(J96=0,1,N(INDEX('По дням'!$C$2:$C$4000,MATCH(91,'По дням'!$G$2:$G$4000,0))))</f>
        <v/>
      </c>
      <c r="N96" s="24">
        <f>IF(J96=0,0,N(INDEX('По дням'!$E$2:$E$4000,MATCH(91,'По дням'!$G$2:$G$4000,0))))</f>
        <v/>
      </c>
    </row>
    <row r="97">
      <c r="A97" s="20">
        <f>IF(A96="","",IF(A96+1&gt;Ввод!$B$4,"",A96+1))</f>
        <v/>
      </c>
      <c r="B97">
        <f>IF(A97="","",IFERROR(INDEX(Ввод!$B$12:$B$71,MATCH(A97,Ввод!$D$12:$D$71,1)),""))</f>
        <v/>
      </c>
      <c r="C97">
        <f>IF(A97="","",DATE(YEAR(A97),12,31)-DATE(YEAR(A97),1,1)+1)</f>
        <v/>
      </c>
      <c r="D97">
        <f>IF(A97="","",SUMIFS(Акты!$D$5:$D$16,Акты!$E$5:$E$16,"&lt;="&amp;A97)-SUMIFS(Оплаты!$B$6:$B$505,Оплаты!$A$6:$A$505,"&lt;"&amp;A97,Оплаты!$D$6:$D$505,"&lt;&gt;"))</f>
        <v/>
      </c>
      <c r="E97">
        <f>IF(A97="","",IF(SUMPRODUCT((Ввод!$F$12:$F$31&lt;&gt;"")*(Ввод!$F$12:$F$31&lt;=A97)*(Ввод!$G$12:$G$31&gt;=A97))&gt;0,1,0))</f>
        <v/>
      </c>
      <c r="G97">
        <f>IF(A97="","",IF(OR(B97&lt;&gt;B96,C97&lt;&gt;C96,E97&lt;&gt;E96),G96+1,G96))</f>
        <v/>
      </c>
      <c r="I97" t="n">
        <v>92</v>
      </c>
      <c r="J97" s="21">
        <f>IFERROR(INDEX('По дням'!$A$2:$A$4000,MATCH(92,'По дням'!$G$2:$G$4000,0)),0)</f>
        <v/>
      </c>
      <c r="K97" s="21">
        <f>IF(J97=0,0,J97+COUNTIF('По дням'!$G$2:$G$4000,92)-1)</f>
        <v/>
      </c>
      <c r="L97" s="22">
        <f>IF(J97=0,0,N(INDEX('По дням'!$B$2:$B$4000,MATCH(92,'По дням'!$G$2:$G$4000,0))))</f>
        <v/>
      </c>
      <c r="M97" s="23">
        <f>IF(J97=0,1,N(INDEX('По дням'!$C$2:$C$4000,MATCH(92,'По дням'!$G$2:$G$4000,0))))</f>
        <v/>
      </c>
      <c r="N97" s="24">
        <f>IF(J97=0,0,N(INDEX('По дням'!$E$2:$E$4000,MATCH(92,'По дням'!$G$2:$G$4000,0))))</f>
        <v/>
      </c>
    </row>
    <row r="98">
      <c r="A98" s="20">
        <f>IF(A97="","",IF(A97+1&gt;Ввод!$B$4,"",A97+1))</f>
        <v/>
      </c>
      <c r="B98">
        <f>IF(A98="","",IFERROR(INDEX(Ввод!$B$12:$B$71,MATCH(A98,Ввод!$D$12:$D$71,1)),""))</f>
        <v/>
      </c>
      <c r="C98">
        <f>IF(A98="","",DATE(YEAR(A98),12,31)-DATE(YEAR(A98),1,1)+1)</f>
        <v/>
      </c>
      <c r="D98">
        <f>IF(A98="","",SUMIFS(Акты!$D$5:$D$16,Акты!$E$5:$E$16,"&lt;="&amp;A98)-SUMIFS(Оплаты!$B$6:$B$505,Оплаты!$A$6:$A$505,"&lt;"&amp;A98,Оплаты!$D$6:$D$505,"&lt;&gt;"))</f>
        <v/>
      </c>
      <c r="E98">
        <f>IF(A98="","",IF(SUMPRODUCT((Ввод!$F$12:$F$31&lt;&gt;"")*(Ввод!$F$12:$F$31&lt;=A98)*(Ввод!$G$12:$G$31&gt;=A98))&gt;0,1,0))</f>
        <v/>
      </c>
      <c r="G98">
        <f>IF(A98="","",IF(OR(B98&lt;&gt;B97,C98&lt;&gt;C97,E98&lt;&gt;E97),G97+1,G97))</f>
        <v/>
      </c>
      <c r="I98" t="n">
        <v>93</v>
      </c>
      <c r="J98" s="21">
        <f>IFERROR(INDEX('По дням'!$A$2:$A$4000,MATCH(93,'По дням'!$G$2:$G$4000,0)),0)</f>
        <v/>
      </c>
      <c r="K98" s="21">
        <f>IF(J98=0,0,J98+COUNTIF('По дням'!$G$2:$G$4000,93)-1)</f>
        <v/>
      </c>
      <c r="L98" s="22">
        <f>IF(J98=0,0,N(INDEX('По дням'!$B$2:$B$4000,MATCH(93,'По дням'!$G$2:$G$4000,0))))</f>
        <v/>
      </c>
      <c r="M98" s="23">
        <f>IF(J98=0,1,N(INDEX('По дням'!$C$2:$C$4000,MATCH(93,'По дням'!$G$2:$G$4000,0))))</f>
        <v/>
      </c>
      <c r="N98" s="24">
        <f>IF(J98=0,0,N(INDEX('По дням'!$E$2:$E$4000,MATCH(93,'По дням'!$G$2:$G$4000,0))))</f>
        <v/>
      </c>
    </row>
    <row r="99">
      <c r="A99" s="20">
        <f>IF(A98="","",IF(A98+1&gt;Ввод!$B$4,"",A98+1))</f>
        <v/>
      </c>
      <c r="B99">
        <f>IF(A99="","",IFERROR(INDEX(Ввод!$B$12:$B$71,MATCH(A99,Ввод!$D$12:$D$71,1)),""))</f>
        <v/>
      </c>
      <c r="C99">
        <f>IF(A99="","",DATE(YEAR(A99),12,31)-DATE(YEAR(A99),1,1)+1)</f>
        <v/>
      </c>
      <c r="D99">
        <f>IF(A99="","",SUMIFS(Акты!$D$5:$D$16,Акты!$E$5:$E$16,"&lt;="&amp;A99)-SUMIFS(Оплаты!$B$6:$B$505,Оплаты!$A$6:$A$505,"&lt;"&amp;A99,Оплаты!$D$6:$D$505,"&lt;&gt;"))</f>
        <v/>
      </c>
      <c r="E99">
        <f>IF(A99="","",IF(SUMPRODUCT((Ввод!$F$12:$F$31&lt;&gt;"")*(Ввод!$F$12:$F$31&lt;=A99)*(Ввод!$G$12:$G$31&gt;=A99))&gt;0,1,0))</f>
        <v/>
      </c>
      <c r="G99">
        <f>IF(A99="","",IF(OR(B99&lt;&gt;B98,C99&lt;&gt;C98,E99&lt;&gt;E98),G98+1,G98))</f>
        <v/>
      </c>
      <c r="I99" t="n">
        <v>94</v>
      </c>
      <c r="J99" s="21">
        <f>IFERROR(INDEX('По дням'!$A$2:$A$4000,MATCH(94,'По дням'!$G$2:$G$4000,0)),0)</f>
        <v/>
      </c>
      <c r="K99" s="21">
        <f>IF(J99=0,0,J99+COUNTIF('По дням'!$G$2:$G$4000,94)-1)</f>
        <v/>
      </c>
      <c r="L99" s="22">
        <f>IF(J99=0,0,N(INDEX('По дням'!$B$2:$B$4000,MATCH(94,'По дням'!$G$2:$G$4000,0))))</f>
        <v/>
      </c>
      <c r="M99" s="23">
        <f>IF(J99=0,1,N(INDEX('По дням'!$C$2:$C$4000,MATCH(94,'По дням'!$G$2:$G$4000,0))))</f>
        <v/>
      </c>
      <c r="N99" s="24">
        <f>IF(J99=0,0,N(INDEX('По дням'!$E$2:$E$4000,MATCH(94,'По дням'!$G$2:$G$4000,0))))</f>
        <v/>
      </c>
    </row>
    <row r="100">
      <c r="A100" s="20">
        <f>IF(A99="","",IF(A99+1&gt;Ввод!$B$4,"",A99+1))</f>
        <v/>
      </c>
      <c r="B100">
        <f>IF(A100="","",IFERROR(INDEX(Ввод!$B$12:$B$71,MATCH(A100,Ввод!$D$12:$D$71,1)),""))</f>
        <v/>
      </c>
      <c r="C100">
        <f>IF(A100="","",DATE(YEAR(A100),12,31)-DATE(YEAR(A100),1,1)+1)</f>
        <v/>
      </c>
      <c r="D100">
        <f>IF(A100="","",SUMIFS(Акты!$D$5:$D$16,Акты!$E$5:$E$16,"&lt;="&amp;A100)-SUMIFS(Оплаты!$B$6:$B$505,Оплаты!$A$6:$A$505,"&lt;"&amp;A100,Оплаты!$D$6:$D$505,"&lt;&gt;"))</f>
        <v/>
      </c>
      <c r="E100">
        <f>IF(A100="","",IF(SUMPRODUCT((Ввод!$F$12:$F$31&lt;&gt;"")*(Ввод!$F$12:$F$31&lt;=A100)*(Ввод!$G$12:$G$31&gt;=A100))&gt;0,1,0))</f>
        <v/>
      </c>
      <c r="G100">
        <f>IF(A100="","",IF(OR(B100&lt;&gt;B99,C100&lt;&gt;C99,E100&lt;&gt;E99),G99+1,G99))</f>
        <v/>
      </c>
      <c r="I100" t="n">
        <v>95</v>
      </c>
      <c r="J100" s="21">
        <f>IFERROR(INDEX('По дням'!$A$2:$A$4000,MATCH(95,'По дням'!$G$2:$G$4000,0)),0)</f>
        <v/>
      </c>
      <c r="K100" s="21">
        <f>IF(J100=0,0,J100+COUNTIF('По дням'!$G$2:$G$4000,95)-1)</f>
        <v/>
      </c>
      <c r="L100" s="22">
        <f>IF(J100=0,0,N(INDEX('По дням'!$B$2:$B$4000,MATCH(95,'По дням'!$G$2:$G$4000,0))))</f>
        <v/>
      </c>
      <c r="M100" s="23">
        <f>IF(J100=0,1,N(INDEX('По дням'!$C$2:$C$4000,MATCH(95,'По дням'!$G$2:$G$4000,0))))</f>
        <v/>
      </c>
      <c r="N100" s="24">
        <f>IF(J100=0,0,N(INDEX('По дням'!$E$2:$E$4000,MATCH(95,'По дням'!$G$2:$G$4000,0))))</f>
        <v/>
      </c>
    </row>
    <row r="101">
      <c r="A101" s="20">
        <f>IF(A100="","",IF(A100+1&gt;Ввод!$B$4,"",A100+1))</f>
        <v/>
      </c>
      <c r="B101">
        <f>IF(A101="","",IFERROR(INDEX(Ввод!$B$12:$B$71,MATCH(A101,Ввод!$D$12:$D$71,1)),""))</f>
        <v/>
      </c>
      <c r="C101">
        <f>IF(A101="","",DATE(YEAR(A101),12,31)-DATE(YEAR(A101),1,1)+1)</f>
        <v/>
      </c>
      <c r="D101">
        <f>IF(A101="","",SUMIFS(Акты!$D$5:$D$16,Акты!$E$5:$E$16,"&lt;="&amp;A101)-SUMIFS(Оплаты!$B$6:$B$505,Оплаты!$A$6:$A$505,"&lt;"&amp;A101,Оплаты!$D$6:$D$505,"&lt;&gt;"))</f>
        <v/>
      </c>
      <c r="E101">
        <f>IF(A101="","",IF(SUMPRODUCT((Ввод!$F$12:$F$31&lt;&gt;"")*(Ввод!$F$12:$F$31&lt;=A101)*(Ввод!$G$12:$G$31&gt;=A101))&gt;0,1,0))</f>
        <v/>
      </c>
      <c r="G101">
        <f>IF(A101="","",IF(OR(B101&lt;&gt;B100,C101&lt;&gt;C100,E101&lt;&gt;E100),G100+1,G100))</f>
        <v/>
      </c>
      <c r="I101" t="n">
        <v>96</v>
      </c>
      <c r="J101" s="21">
        <f>IFERROR(INDEX('По дням'!$A$2:$A$4000,MATCH(96,'По дням'!$G$2:$G$4000,0)),0)</f>
        <v/>
      </c>
      <c r="K101" s="21">
        <f>IF(J101=0,0,J101+COUNTIF('По дням'!$G$2:$G$4000,96)-1)</f>
        <v/>
      </c>
      <c r="L101" s="22">
        <f>IF(J101=0,0,N(INDEX('По дням'!$B$2:$B$4000,MATCH(96,'По дням'!$G$2:$G$4000,0))))</f>
        <v/>
      </c>
      <c r="M101" s="23">
        <f>IF(J101=0,1,N(INDEX('По дням'!$C$2:$C$4000,MATCH(96,'По дням'!$G$2:$G$4000,0))))</f>
        <v/>
      </c>
      <c r="N101" s="24">
        <f>IF(J101=0,0,N(INDEX('По дням'!$E$2:$E$4000,MATCH(96,'По дням'!$G$2:$G$4000,0))))</f>
        <v/>
      </c>
    </row>
    <row r="102">
      <c r="A102" s="20">
        <f>IF(A101="","",IF(A101+1&gt;Ввод!$B$4,"",A101+1))</f>
        <v/>
      </c>
      <c r="B102">
        <f>IF(A102="","",IFERROR(INDEX(Ввод!$B$12:$B$71,MATCH(A102,Ввод!$D$12:$D$71,1)),""))</f>
        <v/>
      </c>
      <c r="C102">
        <f>IF(A102="","",DATE(YEAR(A102),12,31)-DATE(YEAR(A102),1,1)+1)</f>
        <v/>
      </c>
      <c r="D102">
        <f>IF(A102="","",SUMIFS(Акты!$D$5:$D$16,Акты!$E$5:$E$16,"&lt;="&amp;A102)-SUMIFS(Оплаты!$B$6:$B$505,Оплаты!$A$6:$A$505,"&lt;"&amp;A102,Оплаты!$D$6:$D$505,"&lt;&gt;"))</f>
        <v/>
      </c>
      <c r="E102">
        <f>IF(A102="","",IF(SUMPRODUCT((Ввод!$F$12:$F$31&lt;&gt;"")*(Ввод!$F$12:$F$31&lt;=A102)*(Ввод!$G$12:$G$31&gt;=A102))&gt;0,1,0))</f>
        <v/>
      </c>
      <c r="G102">
        <f>IF(A102="","",IF(OR(B102&lt;&gt;B101,C102&lt;&gt;C101,E102&lt;&gt;E101),G101+1,G101))</f>
        <v/>
      </c>
      <c r="I102" t="n">
        <v>97</v>
      </c>
      <c r="J102" s="21">
        <f>IFERROR(INDEX('По дням'!$A$2:$A$4000,MATCH(97,'По дням'!$G$2:$G$4000,0)),0)</f>
        <v/>
      </c>
      <c r="K102" s="21">
        <f>IF(J102=0,0,J102+COUNTIF('По дням'!$G$2:$G$4000,97)-1)</f>
        <v/>
      </c>
      <c r="L102" s="22">
        <f>IF(J102=0,0,N(INDEX('По дням'!$B$2:$B$4000,MATCH(97,'По дням'!$G$2:$G$4000,0))))</f>
        <v/>
      </c>
      <c r="M102" s="23">
        <f>IF(J102=0,1,N(INDEX('По дням'!$C$2:$C$4000,MATCH(97,'По дням'!$G$2:$G$4000,0))))</f>
        <v/>
      </c>
      <c r="N102" s="24">
        <f>IF(J102=0,0,N(INDEX('По дням'!$E$2:$E$4000,MATCH(97,'По дням'!$G$2:$G$4000,0))))</f>
        <v/>
      </c>
    </row>
    <row r="103">
      <c r="A103" s="20">
        <f>IF(A102="","",IF(A102+1&gt;Ввод!$B$4,"",A102+1))</f>
        <v/>
      </c>
      <c r="B103">
        <f>IF(A103="","",IFERROR(INDEX(Ввод!$B$12:$B$71,MATCH(A103,Ввод!$D$12:$D$71,1)),""))</f>
        <v/>
      </c>
      <c r="C103">
        <f>IF(A103="","",DATE(YEAR(A103),12,31)-DATE(YEAR(A103),1,1)+1)</f>
        <v/>
      </c>
      <c r="D103">
        <f>IF(A103="","",SUMIFS(Акты!$D$5:$D$16,Акты!$E$5:$E$16,"&lt;="&amp;A103)-SUMIFS(Оплаты!$B$6:$B$505,Оплаты!$A$6:$A$505,"&lt;"&amp;A103,Оплаты!$D$6:$D$505,"&lt;&gt;"))</f>
        <v/>
      </c>
      <c r="E103">
        <f>IF(A103="","",IF(SUMPRODUCT((Ввод!$F$12:$F$31&lt;&gt;"")*(Ввод!$F$12:$F$31&lt;=A103)*(Ввод!$G$12:$G$31&gt;=A103))&gt;0,1,0))</f>
        <v/>
      </c>
      <c r="G103">
        <f>IF(A103="","",IF(OR(B103&lt;&gt;B102,C103&lt;&gt;C102,E103&lt;&gt;E102),G102+1,G102))</f>
        <v/>
      </c>
      <c r="I103" t="n">
        <v>98</v>
      </c>
      <c r="J103" s="21">
        <f>IFERROR(INDEX('По дням'!$A$2:$A$4000,MATCH(98,'По дням'!$G$2:$G$4000,0)),0)</f>
        <v/>
      </c>
      <c r="K103" s="21">
        <f>IF(J103=0,0,J103+COUNTIF('По дням'!$G$2:$G$4000,98)-1)</f>
        <v/>
      </c>
      <c r="L103" s="22">
        <f>IF(J103=0,0,N(INDEX('По дням'!$B$2:$B$4000,MATCH(98,'По дням'!$G$2:$G$4000,0))))</f>
        <v/>
      </c>
      <c r="M103" s="23">
        <f>IF(J103=0,1,N(INDEX('По дням'!$C$2:$C$4000,MATCH(98,'По дням'!$G$2:$G$4000,0))))</f>
        <v/>
      </c>
      <c r="N103" s="24">
        <f>IF(J103=0,0,N(INDEX('По дням'!$E$2:$E$4000,MATCH(98,'По дням'!$G$2:$G$4000,0))))</f>
        <v/>
      </c>
    </row>
    <row r="104">
      <c r="A104" s="20">
        <f>IF(A103="","",IF(A103+1&gt;Ввод!$B$4,"",A103+1))</f>
        <v/>
      </c>
      <c r="B104">
        <f>IF(A104="","",IFERROR(INDEX(Ввод!$B$12:$B$71,MATCH(A104,Ввод!$D$12:$D$71,1)),""))</f>
        <v/>
      </c>
      <c r="C104">
        <f>IF(A104="","",DATE(YEAR(A104),12,31)-DATE(YEAR(A104),1,1)+1)</f>
        <v/>
      </c>
      <c r="D104">
        <f>IF(A104="","",SUMIFS(Акты!$D$5:$D$16,Акты!$E$5:$E$16,"&lt;="&amp;A104)-SUMIFS(Оплаты!$B$6:$B$505,Оплаты!$A$6:$A$505,"&lt;"&amp;A104,Оплаты!$D$6:$D$505,"&lt;&gt;"))</f>
        <v/>
      </c>
      <c r="E104">
        <f>IF(A104="","",IF(SUMPRODUCT((Ввод!$F$12:$F$31&lt;&gt;"")*(Ввод!$F$12:$F$31&lt;=A104)*(Ввод!$G$12:$G$31&gt;=A104))&gt;0,1,0))</f>
        <v/>
      </c>
      <c r="G104">
        <f>IF(A104="","",IF(OR(B104&lt;&gt;B103,C104&lt;&gt;C103,E104&lt;&gt;E103),G103+1,G103))</f>
        <v/>
      </c>
      <c r="I104" t="n">
        <v>99</v>
      </c>
      <c r="J104" s="21">
        <f>IFERROR(INDEX('По дням'!$A$2:$A$4000,MATCH(99,'По дням'!$G$2:$G$4000,0)),0)</f>
        <v/>
      </c>
      <c r="K104" s="21">
        <f>IF(J104=0,0,J104+COUNTIF('По дням'!$G$2:$G$4000,99)-1)</f>
        <v/>
      </c>
      <c r="L104" s="22">
        <f>IF(J104=0,0,N(INDEX('По дням'!$B$2:$B$4000,MATCH(99,'По дням'!$G$2:$G$4000,0))))</f>
        <v/>
      </c>
      <c r="M104" s="23">
        <f>IF(J104=0,1,N(INDEX('По дням'!$C$2:$C$4000,MATCH(99,'По дням'!$G$2:$G$4000,0))))</f>
        <v/>
      </c>
      <c r="N104" s="24">
        <f>IF(J104=0,0,N(INDEX('По дням'!$E$2:$E$4000,MATCH(99,'По дням'!$G$2:$G$4000,0))))</f>
        <v/>
      </c>
    </row>
    <row r="105">
      <c r="A105" s="20">
        <f>IF(A104="","",IF(A104+1&gt;Ввод!$B$4,"",A104+1))</f>
        <v/>
      </c>
      <c r="B105">
        <f>IF(A105="","",IFERROR(INDEX(Ввод!$B$12:$B$71,MATCH(A105,Ввод!$D$12:$D$71,1)),""))</f>
        <v/>
      </c>
      <c r="C105">
        <f>IF(A105="","",DATE(YEAR(A105),12,31)-DATE(YEAR(A105),1,1)+1)</f>
        <v/>
      </c>
      <c r="D105">
        <f>IF(A105="","",SUMIFS(Акты!$D$5:$D$16,Акты!$E$5:$E$16,"&lt;="&amp;A105)-SUMIFS(Оплаты!$B$6:$B$505,Оплаты!$A$6:$A$505,"&lt;"&amp;A105,Оплаты!$D$6:$D$505,"&lt;&gt;"))</f>
        <v/>
      </c>
      <c r="E105">
        <f>IF(A105="","",IF(SUMPRODUCT((Ввод!$F$12:$F$31&lt;&gt;"")*(Ввод!$F$12:$F$31&lt;=A105)*(Ввод!$G$12:$G$31&gt;=A105))&gt;0,1,0))</f>
        <v/>
      </c>
      <c r="G105">
        <f>IF(A105="","",IF(OR(B105&lt;&gt;B104,C105&lt;&gt;C104,E105&lt;&gt;E104),G104+1,G104))</f>
        <v/>
      </c>
      <c r="I105" t="n">
        <v>100</v>
      </c>
      <c r="J105" s="21">
        <f>IFERROR(INDEX('По дням'!$A$2:$A$4000,MATCH(100,'По дням'!$G$2:$G$4000,0)),0)</f>
        <v/>
      </c>
      <c r="K105" s="21">
        <f>IF(J105=0,0,J105+COUNTIF('По дням'!$G$2:$G$4000,100)-1)</f>
        <v/>
      </c>
      <c r="L105" s="22">
        <f>IF(J105=0,0,N(INDEX('По дням'!$B$2:$B$4000,MATCH(100,'По дням'!$G$2:$G$4000,0))))</f>
        <v/>
      </c>
      <c r="M105" s="23">
        <f>IF(J105=0,1,N(INDEX('По дням'!$C$2:$C$4000,MATCH(100,'По дням'!$G$2:$G$4000,0))))</f>
        <v/>
      </c>
      <c r="N105" s="24">
        <f>IF(J105=0,0,N(INDEX('По дням'!$E$2:$E$4000,MATCH(100,'По дням'!$G$2:$G$4000,0))))</f>
        <v/>
      </c>
    </row>
    <row r="106">
      <c r="A106" s="20">
        <f>IF(A105="","",IF(A105+1&gt;Ввод!$B$4,"",A105+1))</f>
        <v/>
      </c>
      <c r="B106">
        <f>IF(A106="","",IFERROR(INDEX(Ввод!$B$12:$B$71,MATCH(A106,Ввод!$D$12:$D$71,1)),""))</f>
        <v/>
      </c>
      <c r="C106">
        <f>IF(A106="","",DATE(YEAR(A106),12,31)-DATE(YEAR(A106),1,1)+1)</f>
        <v/>
      </c>
      <c r="D106">
        <f>IF(A106="","",SUMIFS(Акты!$D$5:$D$16,Акты!$E$5:$E$16,"&lt;="&amp;A106)-SUMIFS(Оплаты!$B$6:$B$505,Оплаты!$A$6:$A$505,"&lt;"&amp;A106,Оплаты!$D$6:$D$505,"&lt;&gt;"))</f>
        <v/>
      </c>
      <c r="E106">
        <f>IF(A106="","",IF(SUMPRODUCT((Ввод!$F$12:$F$31&lt;&gt;"")*(Ввод!$F$12:$F$31&lt;=A106)*(Ввод!$G$12:$G$31&gt;=A106))&gt;0,1,0))</f>
        <v/>
      </c>
      <c r="G106">
        <f>IF(A106="","",IF(OR(B106&lt;&gt;B105,C106&lt;&gt;C105,E106&lt;&gt;E105),G105+1,G105))</f>
        <v/>
      </c>
      <c r="I106" t="n">
        <v>101</v>
      </c>
      <c r="J106" s="21">
        <f>IFERROR(INDEX('По дням'!$A$2:$A$4000,MATCH(101,'По дням'!$G$2:$G$4000,0)),0)</f>
        <v/>
      </c>
      <c r="K106" s="21">
        <f>IF(J106=0,0,J106+COUNTIF('По дням'!$G$2:$G$4000,101)-1)</f>
        <v/>
      </c>
      <c r="L106" s="22">
        <f>IF(J106=0,0,N(INDEX('По дням'!$B$2:$B$4000,MATCH(101,'По дням'!$G$2:$G$4000,0))))</f>
        <v/>
      </c>
      <c r="M106" s="23">
        <f>IF(J106=0,1,N(INDEX('По дням'!$C$2:$C$4000,MATCH(101,'По дням'!$G$2:$G$4000,0))))</f>
        <v/>
      </c>
      <c r="N106" s="24">
        <f>IF(J106=0,0,N(INDEX('По дням'!$E$2:$E$4000,MATCH(101,'По дням'!$G$2:$G$4000,0))))</f>
        <v/>
      </c>
    </row>
    <row r="107">
      <c r="A107" s="20">
        <f>IF(A106="","",IF(A106+1&gt;Ввод!$B$4,"",A106+1))</f>
        <v/>
      </c>
      <c r="B107">
        <f>IF(A107="","",IFERROR(INDEX(Ввод!$B$12:$B$71,MATCH(A107,Ввод!$D$12:$D$71,1)),""))</f>
        <v/>
      </c>
      <c r="C107">
        <f>IF(A107="","",DATE(YEAR(A107),12,31)-DATE(YEAR(A107),1,1)+1)</f>
        <v/>
      </c>
      <c r="D107">
        <f>IF(A107="","",SUMIFS(Акты!$D$5:$D$16,Акты!$E$5:$E$16,"&lt;="&amp;A107)-SUMIFS(Оплаты!$B$6:$B$505,Оплаты!$A$6:$A$505,"&lt;"&amp;A107,Оплаты!$D$6:$D$505,"&lt;&gt;"))</f>
        <v/>
      </c>
      <c r="E107">
        <f>IF(A107="","",IF(SUMPRODUCT((Ввод!$F$12:$F$31&lt;&gt;"")*(Ввод!$F$12:$F$31&lt;=A107)*(Ввод!$G$12:$G$31&gt;=A107))&gt;0,1,0))</f>
        <v/>
      </c>
      <c r="G107">
        <f>IF(A107="","",IF(OR(B107&lt;&gt;B106,C107&lt;&gt;C106,E107&lt;&gt;E106),G106+1,G106))</f>
        <v/>
      </c>
      <c r="I107" t="n">
        <v>102</v>
      </c>
      <c r="J107" s="21">
        <f>IFERROR(INDEX('По дням'!$A$2:$A$4000,MATCH(102,'По дням'!$G$2:$G$4000,0)),0)</f>
        <v/>
      </c>
      <c r="K107" s="21">
        <f>IF(J107=0,0,J107+COUNTIF('По дням'!$G$2:$G$4000,102)-1)</f>
        <v/>
      </c>
      <c r="L107" s="22">
        <f>IF(J107=0,0,N(INDEX('По дням'!$B$2:$B$4000,MATCH(102,'По дням'!$G$2:$G$4000,0))))</f>
        <v/>
      </c>
      <c r="M107" s="23">
        <f>IF(J107=0,1,N(INDEX('По дням'!$C$2:$C$4000,MATCH(102,'По дням'!$G$2:$G$4000,0))))</f>
        <v/>
      </c>
      <c r="N107" s="24">
        <f>IF(J107=0,0,N(INDEX('По дням'!$E$2:$E$4000,MATCH(102,'По дням'!$G$2:$G$4000,0))))</f>
        <v/>
      </c>
    </row>
    <row r="108">
      <c r="A108" s="20">
        <f>IF(A107="","",IF(A107+1&gt;Ввод!$B$4,"",A107+1))</f>
        <v/>
      </c>
      <c r="B108">
        <f>IF(A108="","",IFERROR(INDEX(Ввод!$B$12:$B$71,MATCH(A108,Ввод!$D$12:$D$71,1)),""))</f>
        <v/>
      </c>
      <c r="C108">
        <f>IF(A108="","",DATE(YEAR(A108),12,31)-DATE(YEAR(A108),1,1)+1)</f>
        <v/>
      </c>
      <c r="D108">
        <f>IF(A108="","",SUMIFS(Акты!$D$5:$D$16,Акты!$E$5:$E$16,"&lt;="&amp;A108)-SUMIFS(Оплаты!$B$6:$B$505,Оплаты!$A$6:$A$505,"&lt;"&amp;A108,Оплаты!$D$6:$D$505,"&lt;&gt;"))</f>
        <v/>
      </c>
      <c r="E108">
        <f>IF(A108="","",IF(SUMPRODUCT((Ввод!$F$12:$F$31&lt;&gt;"")*(Ввод!$F$12:$F$31&lt;=A108)*(Ввод!$G$12:$G$31&gt;=A108))&gt;0,1,0))</f>
        <v/>
      </c>
      <c r="G108">
        <f>IF(A108="","",IF(OR(B108&lt;&gt;B107,C108&lt;&gt;C107,E108&lt;&gt;E107),G107+1,G107))</f>
        <v/>
      </c>
      <c r="I108" t="n">
        <v>103</v>
      </c>
      <c r="J108" s="21">
        <f>IFERROR(INDEX('По дням'!$A$2:$A$4000,MATCH(103,'По дням'!$G$2:$G$4000,0)),0)</f>
        <v/>
      </c>
      <c r="K108" s="21">
        <f>IF(J108=0,0,J108+COUNTIF('По дням'!$G$2:$G$4000,103)-1)</f>
        <v/>
      </c>
      <c r="L108" s="22">
        <f>IF(J108=0,0,N(INDEX('По дням'!$B$2:$B$4000,MATCH(103,'По дням'!$G$2:$G$4000,0))))</f>
        <v/>
      </c>
      <c r="M108" s="23">
        <f>IF(J108=0,1,N(INDEX('По дням'!$C$2:$C$4000,MATCH(103,'По дням'!$G$2:$G$4000,0))))</f>
        <v/>
      </c>
      <c r="N108" s="24">
        <f>IF(J108=0,0,N(INDEX('По дням'!$E$2:$E$4000,MATCH(103,'По дням'!$G$2:$G$4000,0))))</f>
        <v/>
      </c>
    </row>
    <row r="109">
      <c r="A109" s="20">
        <f>IF(A108="","",IF(A108+1&gt;Ввод!$B$4,"",A108+1))</f>
        <v/>
      </c>
      <c r="B109">
        <f>IF(A109="","",IFERROR(INDEX(Ввод!$B$12:$B$71,MATCH(A109,Ввод!$D$12:$D$71,1)),""))</f>
        <v/>
      </c>
      <c r="C109">
        <f>IF(A109="","",DATE(YEAR(A109),12,31)-DATE(YEAR(A109),1,1)+1)</f>
        <v/>
      </c>
      <c r="D109">
        <f>IF(A109="","",SUMIFS(Акты!$D$5:$D$16,Акты!$E$5:$E$16,"&lt;="&amp;A109)-SUMIFS(Оплаты!$B$6:$B$505,Оплаты!$A$6:$A$505,"&lt;"&amp;A109,Оплаты!$D$6:$D$505,"&lt;&gt;"))</f>
        <v/>
      </c>
      <c r="E109">
        <f>IF(A109="","",IF(SUMPRODUCT((Ввод!$F$12:$F$31&lt;&gt;"")*(Ввод!$F$12:$F$31&lt;=A109)*(Ввод!$G$12:$G$31&gt;=A109))&gt;0,1,0))</f>
        <v/>
      </c>
      <c r="G109">
        <f>IF(A109="","",IF(OR(B109&lt;&gt;B108,C109&lt;&gt;C108,E109&lt;&gt;E108),G108+1,G108))</f>
        <v/>
      </c>
      <c r="I109" t="n">
        <v>104</v>
      </c>
      <c r="J109" s="21">
        <f>IFERROR(INDEX('По дням'!$A$2:$A$4000,MATCH(104,'По дням'!$G$2:$G$4000,0)),0)</f>
        <v/>
      </c>
      <c r="K109" s="21">
        <f>IF(J109=0,0,J109+COUNTIF('По дням'!$G$2:$G$4000,104)-1)</f>
        <v/>
      </c>
      <c r="L109" s="22">
        <f>IF(J109=0,0,N(INDEX('По дням'!$B$2:$B$4000,MATCH(104,'По дням'!$G$2:$G$4000,0))))</f>
        <v/>
      </c>
      <c r="M109" s="23">
        <f>IF(J109=0,1,N(INDEX('По дням'!$C$2:$C$4000,MATCH(104,'По дням'!$G$2:$G$4000,0))))</f>
        <v/>
      </c>
      <c r="N109" s="24">
        <f>IF(J109=0,0,N(INDEX('По дням'!$E$2:$E$4000,MATCH(104,'По дням'!$G$2:$G$4000,0))))</f>
        <v/>
      </c>
    </row>
    <row r="110">
      <c r="A110" s="20">
        <f>IF(A109="","",IF(A109+1&gt;Ввод!$B$4,"",A109+1))</f>
        <v/>
      </c>
      <c r="B110">
        <f>IF(A110="","",IFERROR(INDEX(Ввод!$B$12:$B$71,MATCH(A110,Ввод!$D$12:$D$71,1)),""))</f>
        <v/>
      </c>
      <c r="C110">
        <f>IF(A110="","",DATE(YEAR(A110),12,31)-DATE(YEAR(A110),1,1)+1)</f>
        <v/>
      </c>
      <c r="D110">
        <f>IF(A110="","",SUMIFS(Акты!$D$5:$D$16,Акты!$E$5:$E$16,"&lt;="&amp;A110)-SUMIFS(Оплаты!$B$6:$B$505,Оплаты!$A$6:$A$505,"&lt;"&amp;A110,Оплаты!$D$6:$D$505,"&lt;&gt;"))</f>
        <v/>
      </c>
      <c r="E110">
        <f>IF(A110="","",IF(SUMPRODUCT((Ввод!$F$12:$F$31&lt;&gt;"")*(Ввод!$F$12:$F$31&lt;=A110)*(Ввод!$G$12:$G$31&gt;=A110))&gt;0,1,0))</f>
        <v/>
      </c>
      <c r="G110">
        <f>IF(A110="","",IF(OR(B110&lt;&gt;B109,C110&lt;&gt;C109,E110&lt;&gt;E109),G109+1,G109))</f>
        <v/>
      </c>
      <c r="I110" t="n">
        <v>105</v>
      </c>
      <c r="J110" s="21">
        <f>IFERROR(INDEX('По дням'!$A$2:$A$4000,MATCH(105,'По дням'!$G$2:$G$4000,0)),0)</f>
        <v/>
      </c>
      <c r="K110" s="21">
        <f>IF(J110=0,0,J110+COUNTIF('По дням'!$G$2:$G$4000,105)-1)</f>
        <v/>
      </c>
      <c r="L110" s="22">
        <f>IF(J110=0,0,N(INDEX('По дням'!$B$2:$B$4000,MATCH(105,'По дням'!$G$2:$G$4000,0))))</f>
        <v/>
      </c>
      <c r="M110" s="23">
        <f>IF(J110=0,1,N(INDEX('По дням'!$C$2:$C$4000,MATCH(105,'По дням'!$G$2:$G$4000,0))))</f>
        <v/>
      </c>
      <c r="N110" s="24">
        <f>IF(J110=0,0,N(INDEX('По дням'!$E$2:$E$4000,MATCH(105,'По дням'!$G$2:$G$4000,0))))</f>
        <v/>
      </c>
    </row>
    <row r="111">
      <c r="A111" s="20">
        <f>IF(A110="","",IF(A110+1&gt;Ввод!$B$4,"",A110+1))</f>
        <v/>
      </c>
      <c r="B111">
        <f>IF(A111="","",IFERROR(INDEX(Ввод!$B$12:$B$71,MATCH(A111,Ввод!$D$12:$D$71,1)),""))</f>
        <v/>
      </c>
      <c r="C111">
        <f>IF(A111="","",DATE(YEAR(A111),12,31)-DATE(YEAR(A111),1,1)+1)</f>
        <v/>
      </c>
      <c r="D111">
        <f>IF(A111="","",SUMIFS(Акты!$D$5:$D$16,Акты!$E$5:$E$16,"&lt;="&amp;A111)-SUMIFS(Оплаты!$B$6:$B$505,Оплаты!$A$6:$A$505,"&lt;"&amp;A111,Оплаты!$D$6:$D$505,"&lt;&gt;"))</f>
        <v/>
      </c>
      <c r="E111">
        <f>IF(A111="","",IF(SUMPRODUCT((Ввод!$F$12:$F$31&lt;&gt;"")*(Ввод!$F$12:$F$31&lt;=A111)*(Ввод!$G$12:$G$31&gt;=A111))&gt;0,1,0))</f>
        <v/>
      </c>
      <c r="G111">
        <f>IF(A111="","",IF(OR(B111&lt;&gt;B110,C111&lt;&gt;C110,E111&lt;&gt;E110),G110+1,G110))</f>
        <v/>
      </c>
      <c r="I111" t="n">
        <v>106</v>
      </c>
      <c r="J111" s="21">
        <f>IFERROR(INDEX('По дням'!$A$2:$A$4000,MATCH(106,'По дням'!$G$2:$G$4000,0)),0)</f>
        <v/>
      </c>
      <c r="K111" s="21">
        <f>IF(J111=0,0,J111+COUNTIF('По дням'!$G$2:$G$4000,106)-1)</f>
        <v/>
      </c>
      <c r="L111" s="22">
        <f>IF(J111=0,0,N(INDEX('По дням'!$B$2:$B$4000,MATCH(106,'По дням'!$G$2:$G$4000,0))))</f>
        <v/>
      </c>
      <c r="M111" s="23">
        <f>IF(J111=0,1,N(INDEX('По дням'!$C$2:$C$4000,MATCH(106,'По дням'!$G$2:$G$4000,0))))</f>
        <v/>
      </c>
      <c r="N111" s="24">
        <f>IF(J111=0,0,N(INDEX('По дням'!$E$2:$E$4000,MATCH(106,'По дням'!$G$2:$G$4000,0))))</f>
        <v/>
      </c>
    </row>
    <row r="112">
      <c r="A112" s="20">
        <f>IF(A111="","",IF(A111+1&gt;Ввод!$B$4,"",A111+1))</f>
        <v/>
      </c>
      <c r="B112">
        <f>IF(A112="","",IFERROR(INDEX(Ввод!$B$12:$B$71,MATCH(A112,Ввод!$D$12:$D$71,1)),""))</f>
        <v/>
      </c>
      <c r="C112">
        <f>IF(A112="","",DATE(YEAR(A112),12,31)-DATE(YEAR(A112),1,1)+1)</f>
        <v/>
      </c>
      <c r="D112">
        <f>IF(A112="","",SUMIFS(Акты!$D$5:$D$16,Акты!$E$5:$E$16,"&lt;="&amp;A112)-SUMIFS(Оплаты!$B$6:$B$505,Оплаты!$A$6:$A$505,"&lt;"&amp;A112,Оплаты!$D$6:$D$505,"&lt;&gt;"))</f>
        <v/>
      </c>
      <c r="E112">
        <f>IF(A112="","",IF(SUMPRODUCT((Ввод!$F$12:$F$31&lt;&gt;"")*(Ввод!$F$12:$F$31&lt;=A112)*(Ввод!$G$12:$G$31&gt;=A112))&gt;0,1,0))</f>
        <v/>
      </c>
      <c r="G112">
        <f>IF(A112="","",IF(OR(B112&lt;&gt;B111,C112&lt;&gt;C111,E112&lt;&gt;E111),G111+1,G111))</f>
        <v/>
      </c>
      <c r="I112" t="n">
        <v>107</v>
      </c>
      <c r="J112" s="21">
        <f>IFERROR(INDEX('По дням'!$A$2:$A$4000,MATCH(107,'По дням'!$G$2:$G$4000,0)),0)</f>
        <v/>
      </c>
      <c r="K112" s="21">
        <f>IF(J112=0,0,J112+COUNTIF('По дням'!$G$2:$G$4000,107)-1)</f>
        <v/>
      </c>
      <c r="L112" s="22">
        <f>IF(J112=0,0,N(INDEX('По дням'!$B$2:$B$4000,MATCH(107,'По дням'!$G$2:$G$4000,0))))</f>
        <v/>
      </c>
      <c r="M112" s="23">
        <f>IF(J112=0,1,N(INDEX('По дням'!$C$2:$C$4000,MATCH(107,'По дням'!$G$2:$G$4000,0))))</f>
        <v/>
      </c>
      <c r="N112" s="24">
        <f>IF(J112=0,0,N(INDEX('По дням'!$E$2:$E$4000,MATCH(107,'По дням'!$G$2:$G$4000,0))))</f>
        <v/>
      </c>
    </row>
    <row r="113">
      <c r="A113" s="20">
        <f>IF(A112="","",IF(A112+1&gt;Ввод!$B$4,"",A112+1))</f>
        <v/>
      </c>
      <c r="B113">
        <f>IF(A113="","",IFERROR(INDEX(Ввод!$B$12:$B$71,MATCH(A113,Ввод!$D$12:$D$71,1)),""))</f>
        <v/>
      </c>
      <c r="C113">
        <f>IF(A113="","",DATE(YEAR(A113),12,31)-DATE(YEAR(A113),1,1)+1)</f>
        <v/>
      </c>
      <c r="D113">
        <f>IF(A113="","",SUMIFS(Акты!$D$5:$D$16,Акты!$E$5:$E$16,"&lt;="&amp;A113)-SUMIFS(Оплаты!$B$6:$B$505,Оплаты!$A$6:$A$505,"&lt;"&amp;A113,Оплаты!$D$6:$D$505,"&lt;&gt;"))</f>
        <v/>
      </c>
      <c r="E113">
        <f>IF(A113="","",IF(SUMPRODUCT((Ввод!$F$12:$F$31&lt;&gt;"")*(Ввод!$F$12:$F$31&lt;=A113)*(Ввод!$G$12:$G$31&gt;=A113))&gt;0,1,0))</f>
        <v/>
      </c>
      <c r="G113">
        <f>IF(A113="","",IF(OR(B113&lt;&gt;B112,C113&lt;&gt;C112,E113&lt;&gt;E112),G112+1,G112))</f>
        <v/>
      </c>
      <c r="I113" t="n">
        <v>108</v>
      </c>
      <c r="J113" s="21">
        <f>IFERROR(INDEX('По дням'!$A$2:$A$4000,MATCH(108,'По дням'!$G$2:$G$4000,0)),0)</f>
        <v/>
      </c>
      <c r="K113" s="21">
        <f>IF(J113=0,0,J113+COUNTIF('По дням'!$G$2:$G$4000,108)-1)</f>
        <v/>
      </c>
      <c r="L113" s="22">
        <f>IF(J113=0,0,N(INDEX('По дням'!$B$2:$B$4000,MATCH(108,'По дням'!$G$2:$G$4000,0))))</f>
        <v/>
      </c>
      <c r="M113" s="23">
        <f>IF(J113=0,1,N(INDEX('По дням'!$C$2:$C$4000,MATCH(108,'По дням'!$G$2:$G$4000,0))))</f>
        <v/>
      </c>
      <c r="N113" s="24">
        <f>IF(J113=0,0,N(INDEX('По дням'!$E$2:$E$4000,MATCH(108,'По дням'!$G$2:$G$4000,0))))</f>
        <v/>
      </c>
    </row>
    <row r="114">
      <c r="A114" s="20">
        <f>IF(A113="","",IF(A113+1&gt;Ввод!$B$4,"",A113+1))</f>
        <v/>
      </c>
      <c r="B114">
        <f>IF(A114="","",IFERROR(INDEX(Ввод!$B$12:$B$71,MATCH(A114,Ввод!$D$12:$D$71,1)),""))</f>
        <v/>
      </c>
      <c r="C114">
        <f>IF(A114="","",DATE(YEAR(A114),12,31)-DATE(YEAR(A114),1,1)+1)</f>
        <v/>
      </c>
      <c r="D114">
        <f>IF(A114="","",SUMIFS(Акты!$D$5:$D$16,Акты!$E$5:$E$16,"&lt;="&amp;A114)-SUMIFS(Оплаты!$B$6:$B$505,Оплаты!$A$6:$A$505,"&lt;"&amp;A114,Оплаты!$D$6:$D$505,"&lt;&gt;"))</f>
        <v/>
      </c>
      <c r="E114">
        <f>IF(A114="","",IF(SUMPRODUCT((Ввод!$F$12:$F$31&lt;&gt;"")*(Ввод!$F$12:$F$31&lt;=A114)*(Ввод!$G$12:$G$31&gt;=A114))&gt;0,1,0))</f>
        <v/>
      </c>
      <c r="G114">
        <f>IF(A114="","",IF(OR(B114&lt;&gt;B113,C114&lt;&gt;C113,E114&lt;&gt;E113),G113+1,G113))</f>
        <v/>
      </c>
      <c r="I114" t="n">
        <v>109</v>
      </c>
      <c r="J114" s="21">
        <f>IFERROR(INDEX('По дням'!$A$2:$A$4000,MATCH(109,'По дням'!$G$2:$G$4000,0)),0)</f>
        <v/>
      </c>
      <c r="K114" s="21">
        <f>IF(J114=0,0,J114+COUNTIF('По дням'!$G$2:$G$4000,109)-1)</f>
        <v/>
      </c>
      <c r="L114" s="22">
        <f>IF(J114=0,0,N(INDEX('По дням'!$B$2:$B$4000,MATCH(109,'По дням'!$G$2:$G$4000,0))))</f>
        <v/>
      </c>
      <c r="M114" s="23">
        <f>IF(J114=0,1,N(INDEX('По дням'!$C$2:$C$4000,MATCH(109,'По дням'!$G$2:$G$4000,0))))</f>
        <v/>
      </c>
      <c r="N114" s="24">
        <f>IF(J114=0,0,N(INDEX('По дням'!$E$2:$E$4000,MATCH(109,'По дням'!$G$2:$G$4000,0))))</f>
        <v/>
      </c>
    </row>
    <row r="115">
      <c r="A115" s="20">
        <f>IF(A114="","",IF(A114+1&gt;Ввод!$B$4,"",A114+1))</f>
        <v/>
      </c>
      <c r="B115">
        <f>IF(A115="","",IFERROR(INDEX(Ввод!$B$12:$B$71,MATCH(A115,Ввод!$D$12:$D$71,1)),""))</f>
        <v/>
      </c>
      <c r="C115">
        <f>IF(A115="","",DATE(YEAR(A115),12,31)-DATE(YEAR(A115),1,1)+1)</f>
        <v/>
      </c>
      <c r="D115">
        <f>IF(A115="","",SUMIFS(Акты!$D$5:$D$16,Акты!$E$5:$E$16,"&lt;="&amp;A115)-SUMIFS(Оплаты!$B$6:$B$505,Оплаты!$A$6:$A$505,"&lt;"&amp;A115,Оплаты!$D$6:$D$505,"&lt;&gt;"))</f>
        <v/>
      </c>
      <c r="E115">
        <f>IF(A115="","",IF(SUMPRODUCT((Ввод!$F$12:$F$31&lt;&gt;"")*(Ввод!$F$12:$F$31&lt;=A115)*(Ввод!$G$12:$G$31&gt;=A115))&gt;0,1,0))</f>
        <v/>
      </c>
      <c r="G115">
        <f>IF(A115="","",IF(OR(B115&lt;&gt;B114,C115&lt;&gt;C114,E115&lt;&gt;E114),G114+1,G114))</f>
        <v/>
      </c>
      <c r="I115" t="n">
        <v>110</v>
      </c>
      <c r="J115" s="21">
        <f>IFERROR(INDEX('По дням'!$A$2:$A$4000,MATCH(110,'По дням'!$G$2:$G$4000,0)),0)</f>
        <v/>
      </c>
      <c r="K115" s="21">
        <f>IF(J115=0,0,J115+COUNTIF('По дням'!$G$2:$G$4000,110)-1)</f>
        <v/>
      </c>
      <c r="L115" s="22">
        <f>IF(J115=0,0,N(INDEX('По дням'!$B$2:$B$4000,MATCH(110,'По дням'!$G$2:$G$4000,0))))</f>
        <v/>
      </c>
      <c r="M115" s="23">
        <f>IF(J115=0,1,N(INDEX('По дням'!$C$2:$C$4000,MATCH(110,'По дням'!$G$2:$G$4000,0))))</f>
        <v/>
      </c>
      <c r="N115" s="24">
        <f>IF(J115=0,0,N(INDEX('По дням'!$E$2:$E$4000,MATCH(110,'По дням'!$G$2:$G$4000,0))))</f>
        <v/>
      </c>
    </row>
    <row r="116">
      <c r="A116" s="20">
        <f>IF(A115="","",IF(A115+1&gt;Ввод!$B$4,"",A115+1))</f>
        <v/>
      </c>
      <c r="B116">
        <f>IF(A116="","",IFERROR(INDEX(Ввод!$B$12:$B$71,MATCH(A116,Ввод!$D$12:$D$71,1)),""))</f>
        <v/>
      </c>
      <c r="C116">
        <f>IF(A116="","",DATE(YEAR(A116),12,31)-DATE(YEAR(A116),1,1)+1)</f>
        <v/>
      </c>
      <c r="D116">
        <f>IF(A116="","",SUMIFS(Акты!$D$5:$D$16,Акты!$E$5:$E$16,"&lt;="&amp;A116)-SUMIFS(Оплаты!$B$6:$B$505,Оплаты!$A$6:$A$505,"&lt;"&amp;A116,Оплаты!$D$6:$D$505,"&lt;&gt;"))</f>
        <v/>
      </c>
      <c r="E116">
        <f>IF(A116="","",IF(SUMPRODUCT((Ввод!$F$12:$F$31&lt;&gt;"")*(Ввод!$F$12:$F$31&lt;=A116)*(Ввод!$G$12:$G$31&gt;=A116))&gt;0,1,0))</f>
        <v/>
      </c>
      <c r="G116">
        <f>IF(A116="","",IF(OR(B116&lt;&gt;B115,C116&lt;&gt;C115,E116&lt;&gt;E115),G115+1,G115))</f>
        <v/>
      </c>
      <c r="I116" t="n">
        <v>111</v>
      </c>
      <c r="J116" s="21">
        <f>IFERROR(INDEX('По дням'!$A$2:$A$4000,MATCH(111,'По дням'!$G$2:$G$4000,0)),0)</f>
        <v/>
      </c>
      <c r="K116" s="21">
        <f>IF(J116=0,0,J116+COUNTIF('По дням'!$G$2:$G$4000,111)-1)</f>
        <v/>
      </c>
      <c r="L116" s="22">
        <f>IF(J116=0,0,N(INDEX('По дням'!$B$2:$B$4000,MATCH(111,'По дням'!$G$2:$G$4000,0))))</f>
        <v/>
      </c>
      <c r="M116" s="23">
        <f>IF(J116=0,1,N(INDEX('По дням'!$C$2:$C$4000,MATCH(111,'По дням'!$G$2:$G$4000,0))))</f>
        <v/>
      </c>
      <c r="N116" s="24">
        <f>IF(J116=0,0,N(INDEX('По дням'!$E$2:$E$4000,MATCH(111,'По дням'!$G$2:$G$4000,0))))</f>
        <v/>
      </c>
    </row>
    <row r="117">
      <c r="A117" s="20">
        <f>IF(A116="","",IF(A116+1&gt;Ввод!$B$4,"",A116+1))</f>
        <v/>
      </c>
      <c r="B117">
        <f>IF(A117="","",IFERROR(INDEX(Ввод!$B$12:$B$71,MATCH(A117,Ввод!$D$12:$D$71,1)),""))</f>
        <v/>
      </c>
      <c r="C117">
        <f>IF(A117="","",DATE(YEAR(A117),12,31)-DATE(YEAR(A117),1,1)+1)</f>
        <v/>
      </c>
      <c r="D117">
        <f>IF(A117="","",SUMIFS(Акты!$D$5:$D$16,Акты!$E$5:$E$16,"&lt;="&amp;A117)-SUMIFS(Оплаты!$B$6:$B$505,Оплаты!$A$6:$A$505,"&lt;"&amp;A117,Оплаты!$D$6:$D$505,"&lt;&gt;"))</f>
        <v/>
      </c>
      <c r="E117">
        <f>IF(A117="","",IF(SUMPRODUCT((Ввод!$F$12:$F$31&lt;&gt;"")*(Ввод!$F$12:$F$31&lt;=A117)*(Ввод!$G$12:$G$31&gt;=A117))&gt;0,1,0))</f>
        <v/>
      </c>
      <c r="G117">
        <f>IF(A117="","",IF(OR(B117&lt;&gt;B116,C117&lt;&gt;C116,E117&lt;&gt;E116),G116+1,G116))</f>
        <v/>
      </c>
      <c r="I117" t="n">
        <v>112</v>
      </c>
      <c r="J117" s="21">
        <f>IFERROR(INDEX('По дням'!$A$2:$A$4000,MATCH(112,'По дням'!$G$2:$G$4000,0)),0)</f>
        <v/>
      </c>
      <c r="K117" s="21">
        <f>IF(J117=0,0,J117+COUNTIF('По дням'!$G$2:$G$4000,112)-1)</f>
        <v/>
      </c>
      <c r="L117" s="22">
        <f>IF(J117=0,0,N(INDEX('По дням'!$B$2:$B$4000,MATCH(112,'По дням'!$G$2:$G$4000,0))))</f>
        <v/>
      </c>
      <c r="M117" s="23">
        <f>IF(J117=0,1,N(INDEX('По дням'!$C$2:$C$4000,MATCH(112,'По дням'!$G$2:$G$4000,0))))</f>
        <v/>
      </c>
      <c r="N117" s="24">
        <f>IF(J117=0,0,N(INDEX('По дням'!$E$2:$E$4000,MATCH(112,'По дням'!$G$2:$G$4000,0))))</f>
        <v/>
      </c>
    </row>
    <row r="118">
      <c r="A118" s="20">
        <f>IF(A117="","",IF(A117+1&gt;Ввод!$B$4,"",A117+1))</f>
        <v/>
      </c>
      <c r="B118">
        <f>IF(A118="","",IFERROR(INDEX(Ввод!$B$12:$B$71,MATCH(A118,Ввод!$D$12:$D$71,1)),""))</f>
        <v/>
      </c>
      <c r="C118">
        <f>IF(A118="","",DATE(YEAR(A118),12,31)-DATE(YEAR(A118),1,1)+1)</f>
        <v/>
      </c>
      <c r="D118">
        <f>IF(A118="","",SUMIFS(Акты!$D$5:$D$16,Акты!$E$5:$E$16,"&lt;="&amp;A118)-SUMIFS(Оплаты!$B$6:$B$505,Оплаты!$A$6:$A$505,"&lt;"&amp;A118,Оплаты!$D$6:$D$505,"&lt;&gt;"))</f>
        <v/>
      </c>
      <c r="E118">
        <f>IF(A118="","",IF(SUMPRODUCT((Ввод!$F$12:$F$31&lt;&gt;"")*(Ввод!$F$12:$F$31&lt;=A118)*(Ввод!$G$12:$G$31&gt;=A118))&gt;0,1,0))</f>
        <v/>
      </c>
      <c r="G118">
        <f>IF(A118="","",IF(OR(B118&lt;&gt;B117,C118&lt;&gt;C117,E118&lt;&gt;E117),G117+1,G117))</f>
        <v/>
      </c>
      <c r="I118" t="n">
        <v>113</v>
      </c>
      <c r="J118" s="21">
        <f>IFERROR(INDEX('По дням'!$A$2:$A$4000,MATCH(113,'По дням'!$G$2:$G$4000,0)),0)</f>
        <v/>
      </c>
      <c r="K118" s="21">
        <f>IF(J118=0,0,J118+COUNTIF('По дням'!$G$2:$G$4000,113)-1)</f>
        <v/>
      </c>
      <c r="L118" s="22">
        <f>IF(J118=0,0,N(INDEX('По дням'!$B$2:$B$4000,MATCH(113,'По дням'!$G$2:$G$4000,0))))</f>
        <v/>
      </c>
      <c r="M118" s="23">
        <f>IF(J118=0,1,N(INDEX('По дням'!$C$2:$C$4000,MATCH(113,'По дням'!$G$2:$G$4000,0))))</f>
        <v/>
      </c>
      <c r="N118" s="24">
        <f>IF(J118=0,0,N(INDEX('По дням'!$E$2:$E$4000,MATCH(113,'По дням'!$G$2:$G$4000,0))))</f>
        <v/>
      </c>
    </row>
    <row r="119">
      <c r="A119" s="20">
        <f>IF(A118="","",IF(A118+1&gt;Ввод!$B$4,"",A118+1))</f>
        <v/>
      </c>
      <c r="B119">
        <f>IF(A119="","",IFERROR(INDEX(Ввод!$B$12:$B$71,MATCH(A119,Ввод!$D$12:$D$71,1)),""))</f>
        <v/>
      </c>
      <c r="C119">
        <f>IF(A119="","",DATE(YEAR(A119),12,31)-DATE(YEAR(A119),1,1)+1)</f>
        <v/>
      </c>
      <c r="D119">
        <f>IF(A119="","",SUMIFS(Акты!$D$5:$D$16,Акты!$E$5:$E$16,"&lt;="&amp;A119)-SUMIFS(Оплаты!$B$6:$B$505,Оплаты!$A$6:$A$505,"&lt;"&amp;A119,Оплаты!$D$6:$D$505,"&lt;&gt;"))</f>
        <v/>
      </c>
      <c r="E119">
        <f>IF(A119="","",IF(SUMPRODUCT((Ввод!$F$12:$F$31&lt;&gt;"")*(Ввод!$F$12:$F$31&lt;=A119)*(Ввод!$G$12:$G$31&gt;=A119))&gt;0,1,0))</f>
        <v/>
      </c>
      <c r="G119">
        <f>IF(A119="","",IF(OR(B119&lt;&gt;B118,C119&lt;&gt;C118,E119&lt;&gt;E118),G118+1,G118))</f>
        <v/>
      </c>
      <c r="I119" t="n">
        <v>114</v>
      </c>
      <c r="J119" s="21">
        <f>IFERROR(INDEX('По дням'!$A$2:$A$4000,MATCH(114,'По дням'!$G$2:$G$4000,0)),0)</f>
        <v/>
      </c>
      <c r="K119" s="21">
        <f>IF(J119=0,0,J119+COUNTIF('По дням'!$G$2:$G$4000,114)-1)</f>
        <v/>
      </c>
      <c r="L119" s="22">
        <f>IF(J119=0,0,N(INDEX('По дням'!$B$2:$B$4000,MATCH(114,'По дням'!$G$2:$G$4000,0))))</f>
        <v/>
      </c>
      <c r="M119" s="23">
        <f>IF(J119=0,1,N(INDEX('По дням'!$C$2:$C$4000,MATCH(114,'По дням'!$G$2:$G$4000,0))))</f>
        <v/>
      </c>
      <c r="N119" s="24">
        <f>IF(J119=0,0,N(INDEX('По дням'!$E$2:$E$4000,MATCH(114,'По дням'!$G$2:$G$4000,0))))</f>
        <v/>
      </c>
    </row>
    <row r="120">
      <c r="A120" s="20">
        <f>IF(A119="","",IF(A119+1&gt;Ввод!$B$4,"",A119+1))</f>
        <v/>
      </c>
      <c r="B120">
        <f>IF(A120="","",IFERROR(INDEX(Ввод!$B$12:$B$71,MATCH(A120,Ввод!$D$12:$D$71,1)),""))</f>
        <v/>
      </c>
      <c r="C120">
        <f>IF(A120="","",DATE(YEAR(A120),12,31)-DATE(YEAR(A120),1,1)+1)</f>
        <v/>
      </c>
      <c r="D120">
        <f>IF(A120="","",SUMIFS(Акты!$D$5:$D$16,Акты!$E$5:$E$16,"&lt;="&amp;A120)-SUMIFS(Оплаты!$B$6:$B$505,Оплаты!$A$6:$A$505,"&lt;"&amp;A120,Оплаты!$D$6:$D$505,"&lt;&gt;"))</f>
        <v/>
      </c>
      <c r="E120">
        <f>IF(A120="","",IF(SUMPRODUCT((Ввод!$F$12:$F$31&lt;&gt;"")*(Ввод!$F$12:$F$31&lt;=A120)*(Ввод!$G$12:$G$31&gt;=A120))&gt;0,1,0))</f>
        <v/>
      </c>
      <c r="G120">
        <f>IF(A120="","",IF(OR(B120&lt;&gt;B119,C120&lt;&gt;C119,E120&lt;&gt;E119),G119+1,G119))</f>
        <v/>
      </c>
      <c r="I120" t="n">
        <v>115</v>
      </c>
      <c r="J120" s="21">
        <f>IFERROR(INDEX('По дням'!$A$2:$A$4000,MATCH(115,'По дням'!$G$2:$G$4000,0)),0)</f>
        <v/>
      </c>
      <c r="K120" s="21">
        <f>IF(J120=0,0,J120+COUNTIF('По дням'!$G$2:$G$4000,115)-1)</f>
        <v/>
      </c>
      <c r="L120" s="22">
        <f>IF(J120=0,0,N(INDEX('По дням'!$B$2:$B$4000,MATCH(115,'По дням'!$G$2:$G$4000,0))))</f>
        <v/>
      </c>
      <c r="M120" s="23">
        <f>IF(J120=0,1,N(INDEX('По дням'!$C$2:$C$4000,MATCH(115,'По дням'!$G$2:$G$4000,0))))</f>
        <v/>
      </c>
      <c r="N120" s="24">
        <f>IF(J120=0,0,N(INDEX('По дням'!$E$2:$E$4000,MATCH(115,'По дням'!$G$2:$G$4000,0))))</f>
        <v/>
      </c>
    </row>
    <row r="121">
      <c r="A121" s="20">
        <f>IF(A120="","",IF(A120+1&gt;Ввод!$B$4,"",A120+1))</f>
        <v/>
      </c>
      <c r="B121">
        <f>IF(A121="","",IFERROR(INDEX(Ввод!$B$12:$B$71,MATCH(A121,Ввод!$D$12:$D$71,1)),""))</f>
        <v/>
      </c>
      <c r="C121">
        <f>IF(A121="","",DATE(YEAR(A121),12,31)-DATE(YEAR(A121),1,1)+1)</f>
        <v/>
      </c>
      <c r="D121">
        <f>IF(A121="","",SUMIFS(Акты!$D$5:$D$16,Акты!$E$5:$E$16,"&lt;="&amp;A121)-SUMIFS(Оплаты!$B$6:$B$505,Оплаты!$A$6:$A$505,"&lt;"&amp;A121,Оплаты!$D$6:$D$505,"&lt;&gt;"))</f>
        <v/>
      </c>
      <c r="E121">
        <f>IF(A121="","",IF(SUMPRODUCT((Ввод!$F$12:$F$31&lt;&gt;"")*(Ввод!$F$12:$F$31&lt;=A121)*(Ввод!$G$12:$G$31&gt;=A121))&gt;0,1,0))</f>
        <v/>
      </c>
      <c r="G121">
        <f>IF(A121="","",IF(OR(B121&lt;&gt;B120,C121&lt;&gt;C120,E121&lt;&gt;E120),G120+1,G120))</f>
        <v/>
      </c>
      <c r="I121" t="n">
        <v>116</v>
      </c>
      <c r="J121" s="21">
        <f>IFERROR(INDEX('По дням'!$A$2:$A$4000,MATCH(116,'По дням'!$G$2:$G$4000,0)),0)</f>
        <v/>
      </c>
      <c r="K121" s="21">
        <f>IF(J121=0,0,J121+COUNTIF('По дням'!$G$2:$G$4000,116)-1)</f>
        <v/>
      </c>
      <c r="L121" s="22">
        <f>IF(J121=0,0,N(INDEX('По дням'!$B$2:$B$4000,MATCH(116,'По дням'!$G$2:$G$4000,0))))</f>
        <v/>
      </c>
      <c r="M121" s="23">
        <f>IF(J121=0,1,N(INDEX('По дням'!$C$2:$C$4000,MATCH(116,'По дням'!$G$2:$G$4000,0))))</f>
        <v/>
      </c>
      <c r="N121" s="24">
        <f>IF(J121=0,0,N(INDEX('По дням'!$E$2:$E$4000,MATCH(116,'По дням'!$G$2:$G$4000,0))))</f>
        <v/>
      </c>
    </row>
    <row r="122">
      <c r="A122" s="20">
        <f>IF(A121="","",IF(A121+1&gt;Ввод!$B$4,"",A121+1))</f>
        <v/>
      </c>
      <c r="B122">
        <f>IF(A122="","",IFERROR(INDEX(Ввод!$B$12:$B$71,MATCH(A122,Ввод!$D$12:$D$71,1)),""))</f>
        <v/>
      </c>
      <c r="C122">
        <f>IF(A122="","",DATE(YEAR(A122),12,31)-DATE(YEAR(A122),1,1)+1)</f>
        <v/>
      </c>
      <c r="D122">
        <f>IF(A122="","",SUMIFS(Акты!$D$5:$D$16,Акты!$E$5:$E$16,"&lt;="&amp;A122)-SUMIFS(Оплаты!$B$6:$B$505,Оплаты!$A$6:$A$505,"&lt;"&amp;A122,Оплаты!$D$6:$D$505,"&lt;&gt;"))</f>
        <v/>
      </c>
      <c r="E122">
        <f>IF(A122="","",IF(SUMPRODUCT((Ввод!$F$12:$F$31&lt;&gt;"")*(Ввод!$F$12:$F$31&lt;=A122)*(Ввод!$G$12:$G$31&gt;=A122))&gt;0,1,0))</f>
        <v/>
      </c>
      <c r="G122">
        <f>IF(A122="","",IF(OR(B122&lt;&gt;B121,C122&lt;&gt;C121,E122&lt;&gt;E121),G121+1,G121))</f>
        <v/>
      </c>
      <c r="I122" t="n">
        <v>117</v>
      </c>
      <c r="J122" s="21">
        <f>IFERROR(INDEX('По дням'!$A$2:$A$4000,MATCH(117,'По дням'!$G$2:$G$4000,0)),0)</f>
        <v/>
      </c>
      <c r="K122" s="21">
        <f>IF(J122=0,0,J122+COUNTIF('По дням'!$G$2:$G$4000,117)-1)</f>
        <v/>
      </c>
      <c r="L122" s="22">
        <f>IF(J122=0,0,N(INDEX('По дням'!$B$2:$B$4000,MATCH(117,'По дням'!$G$2:$G$4000,0))))</f>
        <v/>
      </c>
      <c r="M122" s="23">
        <f>IF(J122=0,1,N(INDEX('По дням'!$C$2:$C$4000,MATCH(117,'По дням'!$G$2:$G$4000,0))))</f>
        <v/>
      </c>
      <c r="N122" s="24">
        <f>IF(J122=0,0,N(INDEX('По дням'!$E$2:$E$4000,MATCH(117,'По дням'!$G$2:$G$4000,0))))</f>
        <v/>
      </c>
    </row>
    <row r="123">
      <c r="A123" s="20">
        <f>IF(A122="","",IF(A122+1&gt;Ввод!$B$4,"",A122+1))</f>
        <v/>
      </c>
      <c r="B123">
        <f>IF(A123="","",IFERROR(INDEX(Ввод!$B$12:$B$71,MATCH(A123,Ввод!$D$12:$D$71,1)),""))</f>
        <v/>
      </c>
      <c r="C123">
        <f>IF(A123="","",DATE(YEAR(A123),12,31)-DATE(YEAR(A123),1,1)+1)</f>
        <v/>
      </c>
      <c r="D123">
        <f>IF(A123="","",SUMIFS(Акты!$D$5:$D$16,Акты!$E$5:$E$16,"&lt;="&amp;A123)-SUMIFS(Оплаты!$B$6:$B$505,Оплаты!$A$6:$A$505,"&lt;"&amp;A123,Оплаты!$D$6:$D$505,"&lt;&gt;"))</f>
        <v/>
      </c>
      <c r="E123">
        <f>IF(A123="","",IF(SUMPRODUCT((Ввод!$F$12:$F$31&lt;&gt;"")*(Ввод!$F$12:$F$31&lt;=A123)*(Ввод!$G$12:$G$31&gt;=A123))&gt;0,1,0))</f>
        <v/>
      </c>
      <c r="G123">
        <f>IF(A123="","",IF(OR(B123&lt;&gt;B122,C123&lt;&gt;C122,E123&lt;&gt;E122),G122+1,G122))</f>
        <v/>
      </c>
      <c r="I123" t="n">
        <v>118</v>
      </c>
      <c r="J123" s="21">
        <f>IFERROR(INDEX('По дням'!$A$2:$A$4000,MATCH(118,'По дням'!$G$2:$G$4000,0)),0)</f>
        <v/>
      </c>
      <c r="K123" s="21">
        <f>IF(J123=0,0,J123+COUNTIF('По дням'!$G$2:$G$4000,118)-1)</f>
        <v/>
      </c>
      <c r="L123" s="22">
        <f>IF(J123=0,0,N(INDEX('По дням'!$B$2:$B$4000,MATCH(118,'По дням'!$G$2:$G$4000,0))))</f>
        <v/>
      </c>
      <c r="M123" s="23">
        <f>IF(J123=0,1,N(INDEX('По дням'!$C$2:$C$4000,MATCH(118,'По дням'!$G$2:$G$4000,0))))</f>
        <v/>
      </c>
      <c r="N123" s="24">
        <f>IF(J123=0,0,N(INDEX('По дням'!$E$2:$E$4000,MATCH(118,'По дням'!$G$2:$G$4000,0))))</f>
        <v/>
      </c>
    </row>
    <row r="124">
      <c r="A124" s="20">
        <f>IF(A123="","",IF(A123+1&gt;Ввод!$B$4,"",A123+1))</f>
        <v/>
      </c>
      <c r="B124">
        <f>IF(A124="","",IFERROR(INDEX(Ввод!$B$12:$B$71,MATCH(A124,Ввод!$D$12:$D$71,1)),""))</f>
        <v/>
      </c>
      <c r="C124">
        <f>IF(A124="","",DATE(YEAR(A124),12,31)-DATE(YEAR(A124),1,1)+1)</f>
        <v/>
      </c>
      <c r="D124">
        <f>IF(A124="","",SUMIFS(Акты!$D$5:$D$16,Акты!$E$5:$E$16,"&lt;="&amp;A124)-SUMIFS(Оплаты!$B$6:$B$505,Оплаты!$A$6:$A$505,"&lt;"&amp;A124,Оплаты!$D$6:$D$505,"&lt;&gt;"))</f>
        <v/>
      </c>
      <c r="E124">
        <f>IF(A124="","",IF(SUMPRODUCT((Ввод!$F$12:$F$31&lt;&gt;"")*(Ввод!$F$12:$F$31&lt;=A124)*(Ввод!$G$12:$G$31&gt;=A124))&gt;0,1,0))</f>
        <v/>
      </c>
      <c r="G124">
        <f>IF(A124="","",IF(OR(B124&lt;&gt;B123,C124&lt;&gt;C123,E124&lt;&gt;E123),G123+1,G123))</f>
        <v/>
      </c>
      <c r="I124" t="n">
        <v>119</v>
      </c>
      <c r="J124" s="21">
        <f>IFERROR(INDEX('По дням'!$A$2:$A$4000,MATCH(119,'По дням'!$G$2:$G$4000,0)),0)</f>
        <v/>
      </c>
      <c r="K124" s="21">
        <f>IF(J124=0,0,J124+COUNTIF('По дням'!$G$2:$G$4000,119)-1)</f>
        <v/>
      </c>
      <c r="L124" s="22">
        <f>IF(J124=0,0,N(INDEX('По дням'!$B$2:$B$4000,MATCH(119,'По дням'!$G$2:$G$4000,0))))</f>
        <v/>
      </c>
      <c r="M124" s="23">
        <f>IF(J124=0,1,N(INDEX('По дням'!$C$2:$C$4000,MATCH(119,'По дням'!$G$2:$G$4000,0))))</f>
        <v/>
      </c>
      <c r="N124" s="24">
        <f>IF(J124=0,0,N(INDEX('По дням'!$E$2:$E$4000,MATCH(119,'По дням'!$G$2:$G$4000,0))))</f>
        <v/>
      </c>
    </row>
    <row r="125">
      <c r="A125" s="20">
        <f>IF(A124="","",IF(A124+1&gt;Ввод!$B$4,"",A124+1))</f>
        <v/>
      </c>
      <c r="B125">
        <f>IF(A125="","",IFERROR(INDEX(Ввод!$B$12:$B$71,MATCH(A125,Ввод!$D$12:$D$71,1)),""))</f>
        <v/>
      </c>
      <c r="C125">
        <f>IF(A125="","",DATE(YEAR(A125),12,31)-DATE(YEAR(A125),1,1)+1)</f>
        <v/>
      </c>
      <c r="D125">
        <f>IF(A125="","",SUMIFS(Акты!$D$5:$D$16,Акты!$E$5:$E$16,"&lt;="&amp;A125)-SUMIFS(Оплаты!$B$6:$B$505,Оплаты!$A$6:$A$505,"&lt;"&amp;A125,Оплаты!$D$6:$D$505,"&lt;&gt;"))</f>
        <v/>
      </c>
      <c r="E125">
        <f>IF(A125="","",IF(SUMPRODUCT((Ввод!$F$12:$F$31&lt;&gt;"")*(Ввод!$F$12:$F$31&lt;=A125)*(Ввод!$G$12:$G$31&gt;=A125))&gt;0,1,0))</f>
        <v/>
      </c>
      <c r="G125">
        <f>IF(A125="","",IF(OR(B125&lt;&gt;B124,C125&lt;&gt;C124,E125&lt;&gt;E124),G124+1,G124))</f>
        <v/>
      </c>
      <c r="I125" t="n">
        <v>120</v>
      </c>
      <c r="J125" s="21">
        <f>IFERROR(INDEX('По дням'!$A$2:$A$4000,MATCH(120,'По дням'!$G$2:$G$4000,0)),0)</f>
        <v/>
      </c>
      <c r="K125" s="21">
        <f>IF(J125=0,0,J125+COUNTIF('По дням'!$G$2:$G$4000,120)-1)</f>
        <v/>
      </c>
      <c r="L125" s="22">
        <f>IF(J125=0,0,N(INDEX('По дням'!$B$2:$B$4000,MATCH(120,'По дням'!$G$2:$G$4000,0))))</f>
        <v/>
      </c>
      <c r="M125" s="23">
        <f>IF(J125=0,1,N(INDEX('По дням'!$C$2:$C$4000,MATCH(120,'По дням'!$G$2:$G$4000,0))))</f>
        <v/>
      </c>
      <c r="N125" s="24">
        <f>IF(J125=0,0,N(INDEX('По дням'!$E$2:$E$4000,MATCH(120,'По дням'!$G$2:$G$4000,0))))</f>
        <v/>
      </c>
    </row>
    <row r="126">
      <c r="A126" s="20">
        <f>IF(A125="","",IF(A125+1&gt;Ввод!$B$4,"",A125+1))</f>
        <v/>
      </c>
      <c r="B126">
        <f>IF(A126="","",IFERROR(INDEX(Ввод!$B$12:$B$71,MATCH(A126,Ввод!$D$12:$D$71,1)),""))</f>
        <v/>
      </c>
      <c r="C126">
        <f>IF(A126="","",DATE(YEAR(A126),12,31)-DATE(YEAR(A126),1,1)+1)</f>
        <v/>
      </c>
      <c r="D126">
        <f>IF(A126="","",SUMIFS(Акты!$D$5:$D$16,Акты!$E$5:$E$16,"&lt;="&amp;A126)-SUMIFS(Оплаты!$B$6:$B$505,Оплаты!$A$6:$A$505,"&lt;"&amp;A126,Оплаты!$D$6:$D$505,"&lt;&gt;"))</f>
        <v/>
      </c>
      <c r="E126">
        <f>IF(A126="","",IF(SUMPRODUCT((Ввод!$F$12:$F$31&lt;&gt;"")*(Ввод!$F$12:$F$31&lt;=A126)*(Ввод!$G$12:$G$31&gt;=A126))&gt;0,1,0))</f>
        <v/>
      </c>
      <c r="G126">
        <f>IF(A126="","",IF(OR(B126&lt;&gt;B125,C126&lt;&gt;C125,E126&lt;&gt;E125),G125+1,G125))</f>
        <v/>
      </c>
      <c r="I126" t="n">
        <v>121</v>
      </c>
      <c r="J126" s="21">
        <f>IFERROR(INDEX('По дням'!$A$2:$A$4000,MATCH(121,'По дням'!$G$2:$G$4000,0)),0)</f>
        <v/>
      </c>
      <c r="K126" s="21">
        <f>IF(J126=0,0,J126+COUNTIF('По дням'!$G$2:$G$4000,121)-1)</f>
        <v/>
      </c>
      <c r="L126" s="22">
        <f>IF(J126=0,0,N(INDEX('По дням'!$B$2:$B$4000,MATCH(121,'По дням'!$G$2:$G$4000,0))))</f>
        <v/>
      </c>
      <c r="M126" s="23">
        <f>IF(J126=0,1,N(INDEX('По дням'!$C$2:$C$4000,MATCH(121,'По дням'!$G$2:$G$4000,0))))</f>
        <v/>
      </c>
      <c r="N126" s="24">
        <f>IF(J126=0,0,N(INDEX('По дням'!$E$2:$E$4000,MATCH(121,'По дням'!$G$2:$G$4000,0))))</f>
        <v/>
      </c>
    </row>
    <row r="127">
      <c r="A127" s="20">
        <f>IF(A126="","",IF(A126+1&gt;Ввод!$B$4,"",A126+1))</f>
        <v/>
      </c>
      <c r="B127">
        <f>IF(A127="","",IFERROR(INDEX(Ввод!$B$12:$B$71,MATCH(A127,Ввод!$D$12:$D$71,1)),""))</f>
        <v/>
      </c>
      <c r="C127">
        <f>IF(A127="","",DATE(YEAR(A127),12,31)-DATE(YEAR(A127),1,1)+1)</f>
        <v/>
      </c>
      <c r="D127">
        <f>IF(A127="","",SUMIFS(Акты!$D$5:$D$16,Акты!$E$5:$E$16,"&lt;="&amp;A127)-SUMIFS(Оплаты!$B$6:$B$505,Оплаты!$A$6:$A$505,"&lt;"&amp;A127,Оплаты!$D$6:$D$505,"&lt;&gt;"))</f>
        <v/>
      </c>
      <c r="E127">
        <f>IF(A127="","",IF(SUMPRODUCT((Ввод!$F$12:$F$31&lt;&gt;"")*(Ввод!$F$12:$F$31&lt;=A127)*(Ввод!$G$12:$G$31&gt;=A127))&gt;0,1,0))</f>
        <v/>
      </c>
      <c r="G127">
        <f>IF(A127="","",IF(OR(B127&lt;&gt;B126,C127&lt;&gt;C126,E127&lt;&gt;E126),G126+1,G126))</f>
        <v/>
      </c>
      <c r="I127" t="n">
        <v>122</v>
      </c>
      <c r="J127" s="21">
        <f>IFERROR(INDEX('По дням'!$A$2:$A$4000,MATCH(122,'По дням'!$G$2:$G$4000,0)),0)</f>
        <v/>
      </c>
      <c r="K127" s="21">
        <f>IF(J127=0,0,J127+COUNTIF('По дням'!$G$2:$G$4000,122)-1)</f>
        <v/>
      </c>
      <c r="L127" s="22">
        <f>IF(J127=0,0,N(INDEX('По дням'!$B$2:$B$4000,MATCH(122,'По дням'!$G$2:$G$4000,0))))</f>
        <v/>
      </c>
      <c r="M127" s="23">
        <f>IF(J127=0,1,N(INDEX('По дням'!$C$2:$C$4000,MATCH(122,'По дням'!$G$2:$G$4000,0))))</f>
        <v/>
      </c>
      <c r="N127" s="24">
        <f>IF(J127=0,0,N(INDEX('По дням'!$E$2:$E$4000,MATCH(122,'По дням'!$G$2:$G$4000,0))))</f>
        <v/>
      </c>
    </row>
    <row r="128">
      <c r="A128" s="20">
        <f>IF(A127="","",IF(A127+1&gt;Ввод!$B$4,"",A127+1))</f>
        <v/>
      </c>
      <c r="B128">
        <f>IF(A128="","",IFERROR(INDEX(Ввод!$B$12:$B$71,MATCH(A128,Ввод!$D$12:$D$71,1)),""))</f>
        <v/>
      </c>
      <c r="C128">
        <f>IF(A128="","",DATE(YEAR(A128),12,31)-DATE(YEAR(A128),1,1)+1)</f>
        <v/>
      </c>
      <c r="D128">
        <f>IF(A128="","",SUMIFS(Акты!$D$5:$D$16,Акты!$E$5:$E$16,"&lt;="&amp;A128)-SUMIFS(Оплаты!$B$6:$B$505,Оплаты!$A$6:$A$505,"&lt;"&amp;A128,Оплаты!$D$6:$D$505,"&lt;&gt;"))</f>
        <v/>
      </c>
      <c r="E128">
        <f>IF(A128="","",IF(SUMPRODUCT((Ввод!$F$12:$F$31&lt;&gt;"")*(Ввод!$F$12:$F$31&lt;=A128)*(Ввод!$G$12:$G$31&gt;=A128))&gt;0,1,0))</f>
        <v/>
      </c>
      <c r="G128">
        <f>IF(A128="","",IF(OR(B128&lt;&gt;B127,C128&lt;&gt;C127,E128&lt;&gt;E127),G127+1,G127))</f>
        <v/>
      </c>
      <c r="I128" t="n">
        <v>123</v>
      </c>
      <c r="J128" s="21">
        <f>IFERROR(INDEX('По дням'!$A$2:$A$4000,MATCH(123,'По дням'!$G$2:$G$4000,0)),0)</f>
        <v/>
      </c>
      <c r="K128" s="21">
        <f>IF(J128=0,0,J128+COUNTIF('По дням'!$G$2:$G$4000,123)-1)</f>
        <v/>
      </c>
      <c r="L128" s="22">
        <f>IF(J128=0,0,N(INDEX('По дням'!$B$2:$B$4000,MATCH(123,'По дням'!$G$2:$G$4000,0))))</f>
        <v/>
      </c>
      <c r="M128" s="23">
        <f>IF(J128=0,1,N(INDEX('По дням'!$C$2:$C$4000,MATCH(123,'По дням'!$G$2:$G$4000,0))))</f>
        <v/>
      </c>
      <c r="N128" s="24">
        <f>IF(J128=0,0,N(INDEX('По дням'!$E$2:$E$4000,MATCH(123,'По дням'!$G$2:$G$4000,0))))</f>
        <v/>
      </c>
    </row>
    <row r="129">
      <c r="A129" s="20">
        <f>IF(A128="","",IF(A128+1&gt;Ввод!$B$4,"",A128+1))</f>
        <v/>
      </c>
      <c r="B129">
        <f>IF(A129="","",IFERROR(INDEX(Ввод!$B$12:$B$71,MATCH(A129,Ввод!$D$12:$D$71,1)),""))</f>
        <v/>
      </c>
      <c r="C129">
        <f>IF(A129="","",DATE(YEAR(A129),12,31)-DATE(YEAR(A129),1,1)+1)</f>
        <v/>
      </c>
      <c r="D129">
        <f>IF(A129="","",SUMIFS(Акты!$D$5:$D$16,Акты!$E$5:$E$16,"&lt;="&amp;A129)-SUMIFS(Оплаты!$B$6:$B$505,Оплаты!$A$6:$A$505,"&lt;"&amp;A129,Оплаты!$D$6:$D$505,"&lt;&gt;"))</f>
        <v/>
      </c>
      <c r="E129">
        <f>IF(A129="","",IF(SUMPRODUCT((Ввод!$F$12:$F$31&lt;&gt;"")*(Ввод!$F$12:$F$31&lt;=A129)*(Ввод!$G$12:$G$31&gt;=A129))&gt;0,1,0))</f>
        <v/>
      </c>
      <c r="G129">
        <f>IF(A129="","",IF(OR(B129&lt;&gt;B128,C129&lt;&gt;C128,E129&lt;&gt;E128),G128+1,G128))</f>
        <v/>
      </c>
      <c r="I129" t="n">
        <v>124</v>
      </c>
      <c r="J129" s="21">
        <f>IFERROR(INDEX('По дням'!$A$2:$A$4000,MATCH(124,'По дням'!$G$2:$G$4000,0)),0)</f>
        <v/>
      </c>
      <c r="K129" s="21">
        <f>IF(J129=0,0,J129+COUNTIF('По дням'!$G$2:$G$4000,124)-1)</f>
        <v/>
      </c>
      <c r="L129" s="22">
        <f>IF(J129=0,0,N(INDEX('По дням'!$B$2:$B$4000,MATCH(124,'По дням'!$G$2:$G$4000,0))))</f>
        <v/>
      </c>
      <c r="M129" s="23">
        <f>IF(J129=0,1,N(INDEX('По дням'!$C$2:$C$4000,MATCH(124,'По дням'!$G$2:$G$4000,0))))</f>
        <v/>
      </c>
      <c r="N129" s="24">
        <f>IF(J129=0,0,N(INDEX('По дням'!$E$2:$E$4000,MATCH(124,'По дням'!$G$2:$G$4000,0))))</f>
        <v/>
      </c>
    </row>
    <row r="130">
      <c r="A130" s="20">
        <f>IF(A129="","",IF(A129+1&gt;Ввод!$B$4,"",A129+1))</f>
        <v/>
      </c>
      <c r="B130">
        <f>IF(A130="","",IFERROR(INDEX(Ввод!$B$12:$B$71,MATCH(A130,Ввод!$D$12:$D$71,1)),""))</f>
        <v/>
      </c>
      <c r="C130">
        <f>IF(A130="","",DATE(YEAR(A130),12,31)-DATE(YEAR(A130),1,1)+1)</f>
        <v/>
      </c>
      <c r="D130">
        <f>IF(A130="","",SUMIFS(Акты!$D$5:$D$16,Акты!$E$5:$E$16,"&lt;="&amp;A130)-SUMIFS(Оплаты!$B$6:$B$505,Оплаты!$A$6:$A$505,"&lt;"&amp;A130,Оплаты!$D$6:$D$505,"&lt;&gt;"))</f>
        <v/>
      </c>
      <c r="E130">
        <f>IF(A130="","",IF(SUMPRODUCT((Ввод!$F$12:$F$31&lt;&gt;"")*(Ввод!$F$12:$F$31&lt;=A130)*(Ввод!$G$12:$G$31&gt;=A130))&gt;0,1,0))</f>
        <v/>
      </c>
      <c r="G130">
        <f>IF(A130="","",IF(OR(B130&lt;&gt;B129,C130&lt;&gt;C129,E130&lt;&gt;E129),G129+1,G129))</f>
        <v/>
      </c>
      <c r="I130" t="n">
        <v>125</v>
      </c>
      <c r="J130" s="21">
        <f>IFERROR(INDEX('По дням'!$A$2:$A$4000,MATCH(125,'По дням'!$G$2:$G$4000,0)),0)</f>
        <v/>
      </c>
      <c r="K130" s="21">
        <f>IF(J130=0,0,J130+COUNTIF('По дням'!$G$2:$G$4000,125)-1)</f>
        <v/>
      </c>
      <c r="L130" s="22">
        <f>IF(J130=0,0,N(INDEX('По дням'!$B$2:$B$4000,MATCH(125,'По дням'!$G$2:$G$4000,0))))</f>
        <v/>
      </c>
      <c r="M130" s="23">
        <f>IF(J130=0,1,N(INDEX('По дням'!$C$2:$C$4000,MATCH(125,'По дням'!$G$2:$G$4000,0))))</f>
        <v/>
      </c>
      <c r="N130" s="24">
        <f>IF(J130=0,0,N(INDEX('По дням'!$E$2:$E$4000,MATCH(125,'По дням'!$G$2:$G$4000,0))))</f>
        <v/>
      </c>
    </row>
    <row r="131">
      <c r="A131" s="20">
        <f>IF(A130="","",IF(A130+1&gt;Ввод!$B$4,"",A130+1))</f>
        <v/>
      </c>
      <c r="B131">
        <f>IF(A131="","",IFERROR(INDEX(Ввод!$B$12:$B$71,MATCH(A131,Ввод!$D$12:$D$71,1)),""))</f>
        <v/>
      </c>
      <c r="C131">
        <f>IF(A131="","",DATE(YEAR(A131),12,31)-DATE(YEAR(A131),1,1)+1)</f>
        <v/>
      </c>
      <c r="D131">
        <f>IF(A131="","",SUMIFS(Акты!$D$5:$D$16,Акты!$E$5:$E$16,"&lt;="&amp;A131)-SUMIFS(Оплаты!$B$6:$B$505,Оплаты!$A$6:$A$505,"&lt;"&amp;A131,Оплаты!$D$6:$D$505,"&lt;&gt;"))</f>
        <v/>
      </c>
      <c r="E131">
        <f>IF(A131="","",IF(SUMPRODUCT((Ввод!$F$12:$F$31&lt;&gt;"")*(Ввод!$F$12:$F$31&lt;=A131)*(Ввод!$G$12:$G$31&gt;=A131))&gt;0,1,0))</f>
        <v/>
      </c>
      <c r="G131">
        <f>IF(A131="","",IF(OR(B131&lt;&gt;B130,C131&lt;&gt;C130,E131&lt;&gt;E130),G130+1,G130))</f>
        <v/>
      </c>
      <c r="I131" t="n">
        <v>126</v>
      </c>
      <c r="J131" s="21">
        <f>IFERROR(INDEX('По дням'!$A$2:$A$4000,MATCH(126,'По дням'!$G$2:$G$4000,0)),0)</f>
        <v/>
      </c>
      <c r="K131" s="21">
        <f>IF(J131=0,0,J131+COUNTIF('По дням'!$G$2:$G$4000,126)-1)</f>
        <v/>
      </c>
      <c r="L131" s="22">
        <f>IF(J131=0,0,N(INDEX('По дням'!$B$2:$B$4000,MATCH(126,'По дням'!$G$2:$G$4000,0))))</f>
        <v/>
      </c>
      <c r="M131" s="23">
        <f>IF(J131=0,1,N(INDEX('По дням'!$C$2:$C$4000,MATCH(126,'По дням'!$G$2:$G$4000,0))))</f>
        <v/>
      </c>
      <c r="N131" s="24">
        <f>IF(J131=0,0,N(INDEX('По дням'!$E$2:$E$4000,MATCH(126,'По дням'!$G$2:$G$4000,0))))</f>
        <v/>
      </c>
    </row>
    <row r="132">
      <c r="A132" s="20">
        <f>IF(A131="","",IF(A131+1&gt;Ввод!$B$4,"",A131+1))</f>
        <v/>
      </c>
      <c r="B132">
        <f>IF(A132="","",IFERROR(INDEX(Ввод!$B$12:$B$71,MATCH(A132,Ввод!$D$12:$D$71,1)),""))</f>
        <v/>
      </c>
      <c r="C132">
        <f>IF(A132="","",DATE(YEAR(A132),12,31)-DATE(YEAR(A132),1,1)+1)</f>
        <v/>
      </c>
      <c r="D132">
        <f>IF(A132="","",SUMIFS(Акты!$D$5:$D$16,Акты!$E$5:$E$16,"&lt;="&amp;A132)-SUMIFS(Оплаты!$B$6:$B$505,Оплаты!$A$6:$A$505,"&lt;"&amp;A132,Оплаты!$D$6:$D$505,"&lt;&gt;"))</f>
        <v/>
      </c>
      <c r="E132">
        <f>IF(A132="","",IF(SUMPRODUCT((Ввод!$F$12:$F$31&lt;&gt;"")*(Ввод!$F$12:$F$31&lt;=A132)*(Ввод!$G$12:$G$31&gt;=A132))&gt;0,1,0))</f>
        <v/>
      </c>
      <c r="G132">
        <f>IF(A132="","",IF(OR(B132&lt;&gt;B131,C132&lt;&gt;C131,E132&lt;&gt;E131),G131+1,G131))</f>
        <v/>
      </c>
      <c r="I132" t="n">
        <v>127</v>
      </c>
      <c r="J132" s="21">
        <f>IFERROR(INDEX('По дням'!$A$2:$A$4000,MATCH(127,'По дням'!$G$2:$G$4000,0)),0)</f>
        <v/>
      </c>
      <c r="K132" s="21">
        <f>IF(J132=0,0,J132+COUNTIF('По дням'!$G$2:$G$4000,127)-1)</f>
        <v/>
      </c>
      <c r="L132" s="22">
        <f>IF(J132=0,0,N(INDEX('По дням'!$B$2:$B$4000,MATCH(127,'По дням'!$G$2:$G$4000,0))))</f>
        <v/>
      </c>
      <c r="M132" s="23">
        <f>IF(J132=0,1,N(INDEX('По дням'!$C$2:$C$4000,MATCH(127,'По дням'!$G$2:$G$4000,0))))</f>
        <v/>
      </c>
      <c r="N132" s="24">
        <f>IF(J132=0,0,N(INDEX('По дням'!$E$2:$E$4000,MATCH(127,'По дням'!$G$2:$G$4000,0))))</f>
        <v/>
      </c>
    </row>
    <row r="133">
      <c r="A133" s="20">
        <f>IF(A132="","",IF(A132+1&gt;Ввод!$B$4,"",A132+1))</f>
        <v/>
      </c>
      <c r="B133">
        <f>IF(A133="","",IFERROR(INDEX(Ввод!$B$12:$B$71,MATCH(A133,Ввод!$D$12:$D$71,1)),""))</f>
        <v/>
      </c>
      <c r="C133">
        <f>IF(A133="","",DATE(YEAR(A133),12,31)-DATE(YEAR(A133),1,1)+1)</f>
        <v/>
      </c>
      <c r="D133">
        <f>IF(A133="","",SUMIFS(Акты!$D$5:$D$16,Акты!$E$5:$E$16,"&lt;="&amp;A133)-SUMIFS(Оплаты!$B$6:$B$505,Оплаты!$A$6:$A$505,"&lt;"&amp;A133,Оплаты!$D$6:$D$505,"&lt;&gt;"))</f>
        <v/>
      </c>
      <c r="E133">
        <f>IF(A133="","",IF(SUMPRODUCT((Ввод!$F$12:$F$31&lt;&gt;"")*(Ввод!$F$12:$F$31&lt;=A133)*(Ввод!$G$12:$G$31&gt;=A133))&gt;0,1,0))</f>
        <v/>
      </c>
      <c r="G133">
        <f>IF(A133="","",IF(OR(B133&lt;&gt;B132,C133&lt;&gt;C132,E133&lt;&gt;E132),G132+1,G132))</f>
        <v/>
      </c>
      <c r="I133" t="n">
        <v>128</v>
      </c>
      <c r="J133" s="21">
        <f>IFERROR(INDEX('По дням'!$A$2:$A$4000,MATCH(128,'По дням'!$G$2:$G$4000,0)),0)</f>
        <v/>
      </c>
      <c r="K133" s="21">
        <f>IF(J133=0,0,J133+COUNTIF('По дням'!$G$2:$G$4000,128)-1)</f>
        <v/>
      </c>
      <c r="L133" s="22">
        <f>IF(J133=0,0,N(INDEX('По дням'!$B$2:$B$4000,MATCH(128,'По дням'!$G$2:$G$4000,0))))</f>
        <v/>
      </c>
      <c r="M133" s="23">
        <f>IF(J133=0,1,N(INDEX('По дням'!$C$2:$C$4000,MATCH(128,'По дням'!$G$2:$G$4000,0))))</f>
        <v/>
      </c>
      <c r="N133" s="24">
        <f>IF(J133=0,0,N(INDEX('По дням'!$E$2:$E$4000,MATCH(128,'По дням'!$G$2:$G$4000,0))))</f>
        <v/>
      </c>
    </row>
    <row r="134">
      <c r="A134" s="20">
        <f>IF(A133="","",IF(A133+1&gt;Ввод!$B$4,"",A133+1))</f>
        <v/>
      </c>
      <c r="B134">
        <f>IF(A134="","",IFERROR(INDEX(Ввод!$B$12:$B$71,MATCH(A134,Ввод!$D$12:$D$71,1)),""))</f>
        <v/>
      </c>
      <c r="C134">
        <f>IF(A134="","",DATE(YEAR(A134),12,31)-DATE(YEAR(A134),1,1)+1)</f>
        <v/>
      </c>
      <c r="D134">
        <f>IF(A134="","",SUMIFS(Акты!$D$5:$D$16,Акты!$E$5:$E$16,"&lt;="&amp;A134)-SUMIFS(Оплаты!$B$6:$B$505,Оплаты!$A$6:$A$505,"&lt;"&amp;A134,Оплаты!$D$6:$D$505,"&lt;&gt;"))</f>
        <v/>
      </c>
      <c r="E134">
        <f>IF(A134="","",IF(SUMPRODUCT((Ввод!$F$12:$F$31&lt;&gt;"")*(Ввод!$F$12:$F$31&lt;=A134)*(Ввод!$G$12:$G$31&gt;=A134))&gt;0,1,0))</f>
        <v/>
      </c>
      <c r="G134">
        <f>IF(A134="","",IF(OR(B134&lt;&gt;B133,C134&lt;&gt;C133,E134&lt;&gt;E133),G133+1,G133))</f>
        <v/>
      </c>
      <c r="I134" t="n">
        <v>129</v>
      </c>
      <c r="J134" s="21">
        <f>IFERROR(INDEX('По дням'!$A$2:$A$4000,MATCH(129,'По дням'!$G$2:$G$4000,0)),0)</f>
        <v/>
      </c>
      <c r="K134" s="21">
        <f>IF(J134=0,0,J134+COUNTIF('По дням'!$G$2:$G$4000,129)-1)</f>
        <v/>
      </c>
      <c r="L134" s="22">
        <f>IF(J134=0,0,N(INDEX('По дням'!$B$2:$B$4000,MATCH(129,'По дням'!$G$2:$G$4000,0))))</f>
        <v/>
      </c>
      <c r="M134" s="23">
        <f>IF(J134=0,1,N(INDEX('По дням'!$C$2:$C$4000,MATCH(129,'По дням'!$G$2:$G$4000,0))))</f>
        <v/>
      </c>
      <c r="N134" s="24">
        <f>IF(J134=0,0,N(INDEX('По дням'!$E$2:$E$4000,MATCH(129,'По дням'!$G$2:$G$4000,0))))</f>
        <v/>
      </c>
    </row>
    <row r="135">
      <c r="A135" s="20">
        <f>IF(A134="","",IF(A134+1&gt;Ввод!$B$4,"",A134+1))</f>
        <v/>
      </c>
      <c r="B135">
        <f>IF(A135="","",IFERROR(INDEX(Ввод!$B$12:$B$71,MATCH(A135,Ввод!$D$12:$D$71,1)),""))</f>
        <v/>
      </c>
      <c r="C135">
        <f>IF(A135="","",DATE(YEAR(A135),12,31)-DATE(YEAR(A135),1,1)+1)</f>
        <v/>
      </c>
      <c r="D135">
        <f>IF(A135="","",SUMIFS(Акты!$D$5:$D$16,Акты!$E$5:$E$16,"&lt;="&amp;A135)-SUMIFS(Оплаты!$B$6:$B$505,Оплаты!$A$6:$A$505,"&lt;"&amp;A135,Оплаты!$D$6:$D$505,"&lt;&gt;"))</f>
        <v/>
      </c>
      <c r="E135">
        <f>IF(A135="","",IF(SUMPRODUCT((Ввод!$F$12:$F$31&lt;&gt;"")*(Ввод!$F$12:$F$31&lt;=A135)*(Ввод!$G$12:$G$31&gt;=A135))&gt;0,1,0))</f>
        <v/>
      </c>
      <c r="G135">
        <f>IF(A135="","",IF(OR(B135&lt;&gt;B134,C135&lt;&gt;C134,E135&lt;&gt;E134),G134+1,G134))</f>
        <v/>
      </c>
      <c r="I135" t="n">
        <v>130</v>
      </c>
      <c r="J135" s="21">
        <f>IFERROR(INDEX('По дням'!$A$2:$A$4000,MATCH(130,'По дням'!$G$2:$G$4000,0)),0)</f>
        <v/>
      </c>
      <c r="K135" s="21">
        <f>IF(J135=0,0,J135+COUNTIF('По дням'!$G$2:$G$4000,130)-1)</f>
        <v/>
      </c>
      <c r="L135" s="22">
        <f>IF(J135=0,0,N(INDEX('По дням'!$B$2:$B$4000,MATCH(130,'По дням'!$G$2:$G$4000,0))))</f>
        <v/>
      </c>
      <c r="M135" s="23">
        <f>IF(J135=0,1,N(INDEX('По дням'!$C$2:$C$4000,MATCH(130,'По дням'!$G$2:$G$4000,0))))</f>
        <v/>
      </c>
      <c r="N135" s="24">
        <f>IF(J135=0,0,N(INDEX('По дням'!$E$2:$E$4000,MATCH(130,'По дням'!$G$2:$G$4000,0))))</f>
        <v/>
      </c>
    </row>
    <row r="136">
      <c r="A136" s="20">
        <f>IF(A135="","",IF(A135+1&gt;Ввод!$B$4,"",A135+1))</f>
        <v/>
      </c>
      <c r="B136">
        <f>IF(A136="","",IFERROR(INDEX(Ввод!$B$12:$B$71,MATCH(A136,Ввод!$D$12:$D$71,1)),""))</f>
        <v/>
      </c>
      <c r="C136">
        <f>IF(A136="","",DATE(YEAR(A136),12,31)-DATE(YEAR(A136),1,1)+1)</f>
        <v/>
      </c>
      <c r="D136">
        <f>IF(A136="","",SUMIFS(Акты!$D$5:$D$16,Акты!$E$5:$E$16,"&lt;="&amp;A136)-SUMIFS(Оплаты!$B$6:$B$505,Оплаты!$A$6:$A$505,"&lt;"&amp;A136,Оплаты!$D$6:$D$505,"&lt;&gt;"))</f>
        <v/>
      </c>
      <c r="E136">
        <f>IF(A136="","",IF(SUMPRODUCT((Ввод!$F$12:$F$31&lt;&gt;"")*(Ввод!$F$12:$F$31&lt;=A136)*(Ввод!$G$12:$G$31&gt;=A136))&gt;0,1,0))</f>
        <v/>
      </c>
      <c r="G136">
        <f>IF(A136="","",IF(OR(B136&lt;&gt;B135,C136&lt;&gt;C135,E136&lt;&gt;E135),G135+1,G135))</f>
        <v/>
      </c>
      <c r="I136" t="n">
        <v>131</v>
      </c>
      <c r="J136" s="21">
        <f>IFERROR(INDEX('По дням'!$A$2:$A$4000,MATCH(131,'По дням'!$G$2:$G$4000,0)),0)</f>
        <v/>
      </c>
      <c r="K136" s="21">
        <f>IF(J136=0,0,J136+COUNTIF('По дням'!$G$2:$G$4000,131)-1)</f>
        <v/>
      </c>
      <c r="L136" s="22">
        <f>IF(J136=0,0,N(INDEX('По дням'!$B$2:$B$4000,MATCH(131,'По дням'!$G$2:$G$4000,0))))</f>
        <v/>
      </c>
      <c r="M136" s="23">
        <f>IF(J136=0,1,N(INDEX('По дням'!$C$2:$C$4000,MATCH(131,'По дням'!$G$2:$G$4000,0))))</f>
        <v/>
      </c>
      <c r="N136" s="24">
        <f>IF(J136=0,0,N(INDEX('По дням'!$E$2:$E$4000,MATCH(131,'По дням'!$G$2:$G$4000,0))))</f>
        <v/>
      </c>
    </row>
    <row r="137">
      <c r="A137" s="20">
        <f>IF(A136="","",IF(A136+1&gt;Ввод!$B$4,"",A136+1))</f>
        <v/>
      </c>
      <c r="B137">
        <f>IF(A137="","",IFERROR(INDEX(Ввод!$B$12:$B$71,MATCH(A137,Ввод!$D$12:$D$71,1)),""))</f>
        <v/>
      </c>
      <c r="C137">
        <f>IF(A137="","",DATE(YEAR(A137),12,31)-DATE(YEAR(A137),1,1)+1)</f>
        <v/>
      </c>
      <c r="D137">
        <f>IF(A137="","",SUMIFS(Акты!$D$5:$D$16,Акты!$E$5:$E$16,"&lt;="&amp;A137)-SUMIFS(Оплаты!$B$6:$B$505,Оплаты!$A$6:$A$505,"&lt;"&amp;A137,Оплаты!$D$6:$D$505,"&lt;&gt;"))</f>
        <v/>
      </c>
      <c r="E137">
        <f>IF(A137="","",IF(SUMPRODUCT((Ввод!$F$12:$F$31&lt;&gt;"")*(Ввод!$F$12:$F$31&lt;=A137)*(Ввод!$G$12:$G$31&gt;=A137))&gt;0,1,0))</f>
        <v/>
      </c>
      <c r="G137">
        <f>IF(A137="","",IF(OR(B137&lt;&gt;B136,C137&lt;&gt;C136,E137&lt;&gt;E136),G136+1,G136))</f>
        <v/>
      </c>
      <c r="I137" t="n">
        <v>132</v>
      </c>
      <c r="J137" s="21">
        <f>IFERROR(INDEX('По дням'!$A$2:$A$4000,MATCH(132,'По дням'!$G$2:$G$4000,0)),0)</f>
        <v/>
      </c>
      <c r="K137" s="21">
        <f>IF(J137=0,0,J137+COUNTIF('По дням'!$G$2:$G$4000,132)-1)</f>
        <v/>
      </c>
      <c r="L137" s="22">
        <f>IF(J137=0,0,N(INDEX('По дням'!$B$2:$B$4000,MATCH(132,'По дням'!$G$2:$G$4000,0))))</f>
        <v/>
      </c>
      <c r="M137" s="23">
        <f>IF(J137=0,1,N(INDEX('По дням'!$C$2:$C$4000,MATCH(132,'По дням'!$G$2:$G$4000,0))))</f>
        <v/>
      </c>
      <c r="N137" s="24">
        <f>IF(J137=0,0,N(INDEX('По дням'!$E$2:$E$4000,MATCH(132,'По дням'!$G$2:$G$4000,0))))</f>
        <v/>
      </c>
    </row>
    <row r="138">
      <c r="A138" s="20">
        <f>IF(A137="","",IF(A137+1&gt;Ввод!$B$4,"",A137+1))</f>
        <v/>
      </c>
      <c r="B138">
        <f>IF(A138="","",IFERROR(INDEX(Ввод!$B$12:$B$71,MATCH(A138,Ввод!$D$12:$D$71,1)),""))</f>
        <v/>
      </c>
      <c r="C138">
        <f>IF(A138="","",DATE(YEAR(A138),12,31)-DATE(YEAR(A138),1,1)+1)</f>
        <v/>
      </c>
      <c r="D138">
        <f>IF(A138="","",SUMIFS(Акты!$D$5:$D$16,Акты!$E$5:$E$16,"&lt;="&amp;A138)-SUMIFS(Оплаты!$B$6:$B$505,Оплаты!$A$6:$A$505,"&lt;"&amp;A138,Оплаты!$D$6:$D$505,"&lt;&gt;"))</f>
        <v/>
      </c>
      <c r="E138">
        <f>IF(A138="","",IF(SUMPRODUCT((Ввод!$F$12:$F$31&lt;&gt;"")*(Ввод!$F$12:$F$31&lt;=A138)*(Ввод!$G$12:$G$31&gt;=A138))&gt;0,1,0))</f>
        <v/>
      </c>
      <c r="G138">
        <f>IF(A138="","",IF(OR(B138&lt;&gt;B137,C138&lt;&gt;C137,E138&lt;&gt;E137),G137+1,G137))</f>
        <v/>
      </c>
      <c r="I138" t="n">
        <v>133</v>
      </c>
      <c r="J138" s="21">
        <f>IFERROR(INDEX('По дням'!$A$2:$A$4000,MATCH(133,'По дням'!$G$2:$G$4000,0)),0)</f>
        <v/>
      </c>
      <c r="K138" s="21">
        <f>IF(J138=0,0,J138+COUNTIF('По дням'!$G$2:$G$4000,133)-1)</f>
        <v/>
      </c>
      <c r="L138" s="22">
        <f>IF(J138=0,0,N(INDEX('По дням'!$B$2:$B$4000,MATCH(133,'По дням'!$G$2:$G$4000,0))))</f>
        <v/>
      </c>
      <c r="M138" s="23">
        <f>IF(J138=0,1,N(INDEX('По дням'!$C$2:$C$4000,MATCH(133,'По дням'!$G$2:$G$4000,0))))</f>
        <v/>
      </c>
      <c r="N138" s="24">
        <f>IF(J138=0,0,N(INDEX('По дням'!$E$2:$E$4000,MATCH(133,'По дням'!$G$2:$G$4000,0))))</f>
        <v/>
      </c>
    </row>
    <row r="139">
      <c r="A139" s="20">
        <f>IF(A138="","",IF(A138+1&gt;Ввод!$B$4,"",A138+1))</f>
        <v/>
      </c>
      <c r="B139">
        <f>IF(A139="","",IFERROR(INDEX(Ввод!$B$12:$B$71,MATCH(A139,Ввод!$D$12:$D$71,1)),""))</f>
        <v/>
      </c>
      <c r="C139">
        <f>IF(A139="","",DATE(YEAR(A139),12,31)-DATE(YEAR(A139),1,1)+1)</f>
        <v/>
      </c>
      <c r="D139">
        <f>IF(A139="","",SUMIFS(Акты!$D$5:$D$16,Акты!$E$5:$E$16,"&lt;="&amp;A139)-SUMIFS(Оплаты!$B$6:$B$505,Оплаты!$A$6:$A$505,"&lt;"&amp;A139,Оплаты!$D$6:$D$505,"&lt;&gt;"))</f>
        <v/>
      </c>
      <c r="E139">
        <f>IF(A139="","",IF(SUMPRODUCT((Ввод!$F$12:$F$31&lt;&gt;"")*(Ввод!$F$12:$F$31&lt;=A139)*(Ввод!$G$12:$G$31&gt;=A139))&gt;0,1,0))</f>
        <v/>
      </c>
      <c r="G139">
        <f>IF(A139="","",IF(OR(B139&lt;&gt;B138,C139&lt;&gt;C138,E139&lt;&gt;E138),G138+1,G138))</f>
        <v/>
      </c>
      <c r="I139" t="n">
        <v>134</v>
      </c>
      <c r="J139" s="21">
        <f>IFERROR(INDEX('По дням'!$A$2:$A$4000,MATCH(134,'По дням'!$G$2:$G$4000,0)),0)</f>
        <v/>
      </c>
      <c r="K139" s="21">
        <f>IF(J139=0,0,J139+COUNTIF('По дням'!$G$2:$G$4000,134)-1)</f>
        <v/>
      </c>
      <c r="L139" s="22">
        <f>IF(J139=0,0,N(INDEX('По дням'!$B$2:$B$4000,MATCH(134,'По дням'!$G$2:$G$4000,0))))</f>
        <v/>
      </c>
      <c r="M139" s="23">
        <f>IF(J139=0,1,N(INDEX('По дням'!$C$2:$C$4000,MATCH(134,'По дням'!$G$2:$G$4000,0))))</f>
        <v/>
      </c>
      <c r="N139" s="24">
        <f>IF(J139=0,0,N(INDEX('По дням'!$E$2:$E$4000,MATCH(134,'По дням'!$G$2:$G$4000,0))))</f>
        <v/>
      </c>
    </row>
    <row r="140">
      <c r="A140" s="20">
        <f>IF(A139="","",IF(A139+1&gt;Ввод!$B$4,"",A139+1))</f>
        <v/>
      </c>
      <c r="B140">
        <f>IF(A140="","",IFERROR(INDEX(Ввод!$B$12:$B$71,MATCH(A140,Ввод!$D$12:$D$71,1)),""))</f>
        <v/>
      </c>
      <c r="C140">
        <f>IF(A140="","",DATE(YEAR(A140),12,31)-DATE(YEAR(A140),1,1)+1)</f>
        <v/>
      </c>
      <c r="D140">
        <f>IF(A140="","",SUMIFS(Акты!$D$5:$D$16,Акты!$E$5:$E$16,"&lt;="&amp;A140)-SUMIFS(Оплаты!$B$6:$B$505,Оплаты!$A$6:$A$505,"&lt;"&amp;A140,Оплаты!$D$6:$D$505,"&lt;&gt;"))</f>
        <v/>
      </c>
      <c r="E140">
        <f>IF(A140="","",IF(SUMPRODUCT((Ввод!$F$12:$F$31&lt;&gt;"")*(Ввод!$F$12:$F$31&lt;=A140)*(Ввод!$G$12:$G$31&gt;=A140))&gt;0,1,0))</f>
        <v/>
      </c>
      <c r="G140">
        <f>IF(A140="","",IF(OR(B140&lt;&gt;B139,C140&lt;&gt;C139,E140&lt;&gt;E139),G139+1,G139))</f>
        <v/>
      </c>
      <c r="I140" t="n">
        <v>135</v>
      </c>
      <c r="J140" s="21">
        <f>IFERROR(INDEX('По дням'!$A$2:$A$4000,MATCH(135,'По дням'!$G$2:$G$4000,0)),0)</f>
        <v/>
      </c>
      <c r="K140" s="21">
        <f>IF(J140=0,0,J140+COUNTIF('По дням'!$G$2:$G$4000,135)-1)</f>
        <v/>
      </c>
      <c r="L140" s="22">
        <f>IF(J140=0,0,N(INDEX('По дням'!$B$2:$B$4000,MATCH(135,'По дням'!$G$2:$G$4000,0))))</f>
        <v/>
      </c>
      <c r="M140" s="23">
        <f>IF(J140=0,1,N(INDEX('По дням'!$C$2:$C$4000,MATCH(135,'По дням'!$G$2:$G$4000,0))))</f>
        <v/>
      </c>
      <c r="N140" s="24">
        <f>IF(J140=0,0,N(INDEX('По дням'!$E$2:$E$4000,MATCH(135,'По дням'!$G$2:$G$4000,0))))</f>
        <v/>
      </c>
    </row>
    <row r="141">
      <c r="A141" s="20">
        <f>IF(A140="","",IF(A140+1&gt;Ввод!$B$4,"",A140+1))</f>
        <v/>
      </c>
      <c r="B141">
        <f>IF(A141="","",IFERROR(INDEX(Ввод!$B$12:$B$71,MATCH(A141,Ввод!$D$12:$D$71,1)),""))</f>
        <v/>
      </c>
      <c r="C141">
        <f>IF(A141="","",DATE(YEAR(A141),12,31)-DATE(YEAR(A141),1,1)+1)</f>
        <v/>
      </c>
      <c r="D141">
        <f>IF(A141="","",SUMIFS(Акты!$D$5:$D$16,Акты!$E$5:$E$16,"&lt;="&amp;A141)-SUMIFS(Оплаты!$B$6:$B$505,Оплаты!$A$6:$A$505,"&lt;"&amp;A141,Оплаты!$D$6:$D$505,"&lt;&gt;"))</f>
        <v/>
      </c>
      <c r="E141">
        <f>IF(A141="","",IF(SUMPRODUCT((Ввод!$F$12:$F$31&lt;&gt;"")*(Ввод!$F$12:$F$31&lt;=A141)*(Ввод!$G$12:$G$31&gt;=A141))&gt;0,1,0))</f>
        <v/>
      </c>
      <c r="G141">
        <f>IF(A141="","",IF(OR(B141&lt;&gt;B140,C141&lt;&gt;C140,E141&lt;&gt;E140),G140+1,G140))</f>
        <v/>
      </c>
      <c r="I141" t="n">
        <v>136</v>
      </c>
      <c r="J141" s="21">
        <f>IFERROR(INDEX('По дням'!$A$2:$A$4000,MATCH(136,'По дням'!$G$2:$G$4000,0)),0)</f>
        <v/>
      </c>
      <c r="K141" s="21">
        <f>IF(J141=0,0,J141+COUNTIF('По дням'!$G$2:$G$4000,136)-1)</f>
        <v/>
      </c>
      <c r="L141" s="22">
        <f>IF(J141=0,0,N(INDEX('По дням'!$B$2:$B$4000,MATCH(136,'По дням'!$G$2:$G$4000,0))))</f>
        <v/>
      </c>
      <c r="M141" s="23">
        <f>IF(J141=0,1,N(INDEX('По дням'!$C$2:$C$4000,MATCH(136,'По дням'!$G$2:$G$4000,0))))</f>
        <v/>
      </c>
      <c r="N141" s="24">
        <f>IF(J141=0,0,N(INDEX('По дням'!$E$2:$E$4000,MATCH(136,'По дням'!$G$2:$G$4000,0))))</f>
        <v/>
      </c>
    </row>
    <row r="142">
      <c r="A142" s="20">
        <f>IF(A141="","",IF(A141+1&gt;Ввод!$B$4,"",A141+1))</f>
        <v/>
      </c>
      <c r="B142">
        <f>IF(A142="","",IFERROR(INDEX(Ввод!$B$12:$B$71,MATCH(A142,Ввод!$D$12:$D$71,1)),""))</f>
        <v/>
      </c>
      <c r="C142">
        <f>IF(A142="","",DATE(YEAR(A142),12,31)-DATE(YEAR(A142),1,1)+1)</f>
        <v/>
      </c>
      <c r="D142">
        <f>IF(A142="","",SUMIFS(Акты!$D$5:$D$16,Акты!$E$5:$E$16,"&lt;="&amp;A142)-SUMIFS(Оплаты!$B$6:$B$505,Оплаты!$A$6:$A$505,"&lt;"&amp;A142,Оплаты!$D$6:$D$505,"&lt;&gt;"))</f>
        <v/>
      </c>
      <c r="E142">
        <f>IF(A142="","",IF(SUMPRODUCT((Ввод!$F$12:$F$31&lt;&gt;"")*(Ввод!$F$12:$F$31&lt;=A142)*(Ввод!$G$12:$G$31&gt;=A142))&gt;0,1,0))</f>
        <v/>
      </c>
      <c r="G142">
        <f>IF(A142="","",IF(OR(B142&lt;&gt;B141,C142&lt;&gt;C141,E142&lt;&gt;E141),G141+1,G141))</f>
        <v/>
      </c>
      <c r="I142" t="n">
        <v>137</v>
      </c>
      <c r="J142" s="21">
        <f>IFERROR(INDEX('По дням'!$A$2:$A$4000,MATCH(137,'По дням'!$G$2:$G$4000,0)),0)</f>
        <v/>
      </c>
      <c r="K142" s="21">
        <f>IF(J142=0,0,J142+COUNTIF('По дням'!$G$2:$G$4000,137)-1)</f>
        <v/>
      </c>
      <c r="L142" s="22">
        <f>IF(J142=0,0,N(INDEX('По дням'!$B$2:$B$4000,MATCH(137,'По дням'!$G$2:$G$4000,0))))</f>
        <v/>
      </c>
      <c r="M142" s="23">
        <f>IF(J142=0,1,N(INDEX('По дням'!$C$2:$C$4000,MATCH(137,'По дням'!$G$2:$G$4000,0))))</f>
        <v/>
      </c>
      <c r="N142" s="24">
        <f>IF(J142=0,0,N(INDEX('По дням'!$E$2:$E$4000,MATCH(137,'По дням'!$G$2:$G$4000,0))))</f>
        <v/>
      </c>
    </row>
    <row r="143">
      <c r="A143" s="20">
        <f>IF(A142="","",IF(A142+1&gt;Ввод!$B$4,"",A142+1))</f>
        <v/>
      </c>
      <c r="B143">
        <f>IF(A143="","",IFERROR(INDEX(Ввод!$B$12:$B$71,MATCH(A143,Ввод!$D$12:$D$71,1)),""))</f>
        <v/>
      </c>
      <c r="C143">
        <f>IF(A143="","",DATE(YEAR(A143),12,31)-DATE(YEAR(A143),1,1)+1)</f>
        <v/>
      </c>
      <c r="D143">
        <f>IF(A143="","",SUMIFS(Акты!$D$5:$D$16,Акты!$E$5:$E$16,"&lt;="&amp;A143)-SUMIFS(Оплаты!$B$6:$B$505,Оплаты!$A$6:$A$505,"&lt;"&amp;A143,Оплаты!$D$6:$D$505,"&lt;&gt;"))</f>
        <v/>
      </c>
      <c r="E143">
        <f>IF(A143="","",IF(SUMPRODUCT((Ввод!$F$12:$F$31&lt;&gt;"")*(Ввод!$F$12:$F$31&lt;=A143)*(Ввод!$G$12:$G$31&gt;=A143))&gt;0,1,0))</f>
        <v/>
      </c>
      <c r="G143">
        <f>IF(A143="","",IF(OR(B143&lt;&gt;B142,C143&lt;&gt;C142,E143&lt;&gt;E142),G142+1,G142))</f>
        <v/>
      </c>
      <c r="I143" t="n">
        <v>138</v>
      </c>
      <c r="J143" s="21">
        <f>IFERROR(INDEX('По дням'!$A$2:$A$4000,MATCH(138,'По дням'!$G$2:$G$4000,0)),0)</f>
        <v/>
      </c>
      <c r="K143" s="21">
        <f>IF(J143=0,0,J143+COUNTIF('По дням'!$G$2:$G$4000,138)-1)</f>
        <v/>
      </c>
      <c r="L143" s="22">
        <f>IF(J143=0,0,N(INDEX('По дням'!$B$2:$B$4000,MATCH(138,'По дням'!$G$2:$G$4000,0))))</f>
        <v/>
      </c>
      <c r="M143" s="23">
        <f>IF(J143=0,1,N(INDEX('По дням'!$C$2:$C$4000,MATCH(138,'По дням'!$G$2:$G$4000,0))))</f>
        <v/>
      </c>
      <c r="N143" s="24">
        <f>IF(J143=0,0,N(INDEX('По дням'!$E$2:$E$4000,MATCH(138,'По дням'!$G$2:$G$4000,0))))</f>
        <v/>
      </c>
    </row>
    <row r="144">
      <c r="A144" s="20">
        <f>IF(A143="","",IF(A143+1&gt;Ввод!$B$4,"",A143+1))</f>
        <v/>
      </c>
      <c r="B144">
        <f>IF(A144="","",IFERROR(INDEX(Ввод!$B$12:$B$71,MATCH(A144,Ввод!$D$12:$D$71,1)),""))</f>
        <v/>
      </c>
      <c r="C144">
        <f>IF(A144="","",DATE(YEAR(A144),12,31)-DATE(YEAR(A144),1,1)+1)</f>
        <v/>
      </c>
      <c r="D144">
        <f>IF(A144="","",SUMIFS(Акты!$D$5:$D$16,Акты!$E$5:$E$16,"&lt;="&amp;A144)-SUMIFS(Оплаты!$B$6:$B$505,Оплаты!$A$6:$A$505,"&lt;"&amp;A144,Оплаты!$D$6:$D$505,"&lt;&gt;"))</f>
        <v/>
      </c>
      <c r="E144">
        <f>IF(A144="","",IF(SUMPRODUCT((Ввод!$F$12:$F$31&lt;&gt;"")*(Ввод!$F$12:$F$31&lt;=A144)*(Ввод!$G$12:$G$31&gt;=A144))&gt;0,1,0))</f>
        <v/>
      </c>
      <c r="G144">
        <f>IF(A144="","",IF(OR(B144&lt;&gt;B143,C144&lt;&gt;C143,E144&lt;&gt;E143),G143+1,G143))</f>
        <v/>
      </c>
      <c r="I144" t="n">
        <v>139</v>
      </c>
      <c r="J144" s="21">
        <f>IFERROR(INDEX('По дням'!$A$2:$A$4000,MATCH(139,'По дням'!$G$2:$G$4000,0)),0)</f>
        <v/>
      </c>
      <c r="K144" s="21">
        <f>IF(J144=0,0,J144+COUNTIF('По дням'!$G$2:$G$4000,139)-1)</f>
        <v/>
      </c>
      <c r="L144" s="22">
        <f>IF(J144=0,0,N(INDEX('По дням'!$B$2:$B$4000,MATCH(139,'По дням'!$G$2:$G$4000,0))))</f>
        <v/>
      </c>
      <c r="M144" s="23">
        <f>IF(J144=0,1,N(INDEX('По дням'!$C$2:$C$4000,MATCH(139,'По дням'!$G$2:$G$4000,0))))</f>
        <v/>
      </c>
      <c r="N144" s="24">
        <f>IF(J144=0,0,N(INDEX('По дням'!$E$2:$E$4000,MATCH(139,'По дням'!$G$2:$G$4000,0))))</f>
        <v/>
      </c>
    </row>
    <row r="145">
      <c r="A145" s="20">
        <f>IF(A144="","",IF(A144+1&gt;Ввод!$B$4,"",A144+1))</f>
        <v/>
      </c>
      <c r="B145">
        <f>IF(A145="","",IFERROR(INDEX(Ввод!$B$12:$B$71,MATCH(A145,Ввод!$D$12:$D$71,1)),""))</f>
        <v/>
      </c>
      <c r="C145">
        <f>IF(A145="","",DATE(YEAR(A145),12,31)-DATE(YEAR(A145),1,1)+1)</f>
        <v/>
      </c>
      <c r="D145">
        <f>IF(A145="","",SUMIFS(Акты!$D$5:$D$16,Акты!$E$5:$E$16,"&lt;="&amp;A145)-SUMIFS(Оплаты!$B$6:$B$505,Оплаты!$A$6:$A$505,"&lt;"&amp;A145,Оплаты!$D$6:$D$505,"&lt;&gt;"))</f>
        <v/>
      </c>
      <c r="E145">
        <f>IF(A145="","",IF(SUMPRODUCT((Ввод!$F$12:$F$31&lt;&gt;"")*(Ввод!$F$12:$F$31&lt;=A145)*(Ввод!$G$12:$G$31&gt;=A145))&gt;0,1,0))</f>
        <v/>
      </c>
      <c r="G145">
        <f>IF(A145="","",IF(OR(B145&lt;&gt;B144,C145&lt;&gt;C144,E145&lt;&gt;E144),G144+1,G144))</f>
        <v/>
      </c>
      <c r="I145" t="n">
        <v>140</v>
      </c>
      <c r="J145" s="21">
        <f>IFERROR(INDEX('По дням'!$A$2:$A$4000,MATCH(140,'По дням'!$G$2:$G$4000,0)),0)</f>
        <v/>
      </c>
      <c r="K145" s="21">
        <f>IF(J145=0,0,J145+COUNTIF('По дням'!$G$2:$G$4000,140)-1)</f>
        <v/>
      </c>
      <c r="L145" s="22">
        <f>IF(J145=0,0,N(INDEX('По дням'!$B$2:$B$4000,MATCH(140,'По дням'!$G$2:$G$4000,0))))</f>
        <v/>
      </c>
      <c r="M145" s="23">
        <f>IF(J145=0,1,N(INDEX('По дням'!$C$2:$C$4000,MATCH(140,'По дням'!$G$2:$G$4000,0))))</f>
        <v/>
      </c>
      <c r="N145" s="24">
        <f>IF(J145=0,0,N(INDEX('По дням'!$E$2:$E$4000,MATCH(140,'По дням'!$G$2:$G$4000,0))))</f>
        <v/>
      </c>
    </row>
    <row r="146">
      <c r="A146" s="20">
        <f>IF(A145="","",IF(A145+1&gt;Ввод!$B$4,"",A145+1))</f>
        <v/>
      </c>
      <c r="B146">
        <f>IF(A146="","",IFERROR(INDEX(Ввод!$B$12:$B$71,MATCH(A146,Ввод!$D$12:$D$71,1)),""))</f>
        <v/>
      </c>
      <c r="C146">
        <f>IF(A146="","",DATE(YEAR(A146),12,31)-DATE(YEAR(A146),1,1)+1)</f>
        <v/>
      </c>
      <c r="D146">
        <f>IF(A146="","",SUMIFS(Акты!$D$5:$D$16,Акты!$E$5:$E$16,"&lt;="&amp;A146)-SUMIFS(Оплаты!$B$6:$B$505,Оплаты!$A$6:$A$505,"&lt;"&amp;A146,Оплаты!$D$6:$D$505,"&lt;&gt;"))</f>
        <v/>
      </c>
      <c r="E146">
        <f>IF(A146="","",IF(SUMPRODUCT((Ввод!$F$12:$F$31&lt;&gt;"")*(Ввод!$F$12:$F$31&lt;=A146)*(Ввод!$G$12:$G$31&gt;=A146))&gt;0,1,0))</f>
        <v/>
      </c>
      <c r="G146">
        <f>IF(A146="","",IF(OR(B146&lt;&gt;B145,C146&lt;&gt;C145,E146&lt;&gt;E145),G145+1,G145))</f>
        <v/>
      </c>
      <c r="I146" t="n">
        <v>141</v>
      </c>
      <c r="J146" s="21">
        <f>IFERROR(INDEX('По дням'!$A$2:$A$4000,MATCH(141,'По дням'!$G$2:$G$4000,0)),0)</f>
        <v/>
      </c>
      <c r="K146" s="21">
        <f>IF(J146=0,0,J146+COUNTIF('По дням'!$G$2:$G$4000,141)-1)</f>
        <v/>
      </c>
      <c r="L146" s="22">
        <f>IF(J146=0,0,N(INDEX('По дням'!$B$2:$B$4000,MATCH(141,'По дням'!$G$2:$G$4000,0))))</f>
        <v/>
      </c>
      <c r="M146" s="23">
        <f>IF(J146=0,1,N(INDEX('По дням'!$C$2:$C$4000,MATCH(141,'По дням'!$G$2:$G$4000,0))))</f>
        <v/>
      </c>
      <c r="N146" s="24">
        <f>IF(J146=0,0,N(INDEX('По дням'!$E$2:$E$4000,MATCH(141,'По дням'!$G$2:$G$4000,0))))</f>
        <v/>
      </c>
    </row>
    <row r="147">
      <c r="A147" s="20">
        <f>IF(A146="","",IF(A146+1&gt;Ввод!$B$4,"",A146+1))</f>
        <v/>
      </c>
      <c r="B147">
        <f>IF(A147="","",IFERROR(INDEX(Ввод!$B$12:$B$71,MATCH(A147,Ввод!$D$12:$D$71,1)),""))</f>
        <v/>
      </c>
      <c r="C147">
        <f>IF(A147="","",DATE(YEAR(A147),12,31)-DATE(YEAR(A147),1,1)+1)</f>
        <v/>
      </c>
      <c r="D147">
        <f>IF(A147="","",SUMIFS(Акты!$D$5:$D$16,Акты!$E$5:$E$16,"&lt;="&amp;A147)-SUMIFS(Оплаты!$B$6:$B$505,Оплаты!$A$6:$A$505,"&lt;"&amp;A147,Оплаты!$D$6:$D$505,"&lt;&gt;"))</f>
        <v/>
      </c>
      <c r="E147">
        <f>IF(A147="","",IF(SUMPRODUCT((Ввод!$F$12:$F$31&lt;&gt;"")*(Ввод!$F$12:$F$31&lt;=A147)*(Ввод!$G$12:$G$31&gt;=A147))&gt;0,1,0))</f>
        <v/>
      </c>
      <c r="G147">
        <f>IF(A147="","",IF(OR(B147&lt;&gt;B146,C147&lt;&gt;C146,E147&lt;&gt;E146),G146+1,G146))</f>
        <v/>
      </c>
      <c r="I147" t="n">
        <v>142</v>
      </c>
      <c r="J147" s="21">
        <f>IFERROR(INDEX('По дням'!$A$2:$A$4000,MATCH(142,'По дням'!$G$2:$G$4000,0)),0)</f>
        <v/>
      </c>
      <c r="K147" s="21">
        <f>IF(J147=0,0,J147+COUNTIF('По дням'!$G$2:$G$4000,142)-1)</f>
        <v/>
      </c>
      <c r="L147" s="22">
        <f>IF(J147=0,0,N(INDEX('По дням'!$B$2:$B$4000,MATCH(142,'По дням'!$G$2:$G$4000,0))))</f>
        <v/>
      </c>
      <c r="M147" s="23">
        <f>IF(J147=0,1,N(INDEX('По дням'!$C$2:$C$4000,MATCH(142,'По дням'!$G$2:$G$4000,0))))</f>
        <v/>
      </c>
      <c r="N147" s="24">
        <f>IF(J147=0,0,N(INDEX('По дням'!$E$2:$E$4000,MATCH(142,'По дням'!$G$2:$G$4000,0))))</f>
        <v/>
      </c>
    </row>
    <row r="148">
      <c r="A148" s="20">
        <f>IF(A147="","",IF(A147+1&gt;Ввод!$B$4,"",A147+1))</f>
        <v/>
      </c>
      <c r="B148">
        <f>IF(A148="","",IFERROR(INDEX(Ввод!$B$12:$B$71,MATCH(A148,Ввод!$D$12:$D$71,1)),""))</f>
        <v/>
      </c>
      <c r="C148">
        <f>IF(A148="","",DATE(YEAR(A148),12,31)-DATE(YEAR(A148),1,1)+1)</f>
        <v/>
      </c>
      <c r="D148">
        <f>IF(A148="","",SUMIFS(Акты!$D$5:$D$16,Акты!$E$5:$E$16,"&lt;="&amp;A148)-SUMIFS(Оплаты!$B$6:$B$505,Оплаты!$A$6:$A$505,"&lt;"&amp;A148,Оплаты!$D$6:$D$505,"&lt;&gt;"))</f>
        <v/>
      </c>
      <c r="E148">
        <f>IF(A148="","",IF(SUMPRODUCT((Ввод!$F$12:$F$31&lt;&gt;"")*(Ввод!$F$12:$F$31&lt;=A148)*(Ввод!$G$12:$G$31&gt;=A148))&gt;0,1,0))</f>
        <v/>
      </c>
      <c r="G148">
        <f>IF(A148="","",IF(OR(B148&lt;&gt;B147,C148&lt;&gt;C147,E148&lt;&gt;E147),G147+1,G147))</f>
        <v/>
      </c>
      <c r="I148" t="n">
        <v>143</v>
      </c>
      <c r="J148" s="21">
        <f>IFERROR(INDEX('По дням'!$A$2:$A$4000,MATCH(143,'По дням'!$G$2:$G$4000,0)),0)</f>
        <v/>
      </c>
      <c r="K148" s="21">
        <f>IF(J148=0,0,J148+COUNTIF('По дням'!$G$2:$G$4000,143)-1)</f>
        <v/>
      </c>
      <c r="L148" s="22">
        <f>IF(J148=0,0,N(INDEX('По дням'!$B$2:$B$4000,MATCH(143,'По дням'!$G$2:$G$4000,0))))</f>
        <v/>
      </c>
      <c r="M148" s="23">
        <f>IF(J148=0,1,N(INDEX('По дням'!$C$2:$C$4000,MATCH(143,'По дням'!$G$2:$G$4000,0))))</f>
        <v/>
      </c>
      <c r="N148" s="24">
        <f>IF(J148=0,0,N(INDEX('По дням'!$E$2:$E$4000,MATCH(143,'По дням'!$G$2:$G$4000,0))))</f>
        <v/>
      </c>
    </row>
    <row r="149">
      <c r="A149" s="20">
        <f>IF(A148="","",IF(A148+1&gt;Ввод!$B$4,"",A148+1))</f>
        <v/>
      </c>
      <c r="B149">
        <f>IF(A149="","",IFERROR(INDEX(Ввод!$B$12:$B$71,MATCH(A149,Ввод!$D$12:$D$71,1)),""))</f>
        <v/>
      </c>
      <c r="C149">
        <f>IF(A149="","",DATE(YEAR(A149),12,31)-DATE(YEAR(A149),1,1)+1)</f>
        <v/>
      </c>
      <c r="D149">
        <f>IF(A149="","",SUMIFS(Акты!$D$5:$D$16,Акты!$E$5:$E$16,"&lt;="&amp;A149)-SUMIFS(Оплаты!$B$6:$B$505,Оплаты!$A$6:$A$505,"&lt;"&amp;A149,Оплаты!$D$6:$D$505,"&lt;&gt;"))</f>
        <v/>
      </c>
      <c r="E149">
        <f>IF(A149="","",IF(SUMPRODUCT((Ввод!$F$12:$F$31&lt;&gt;"")*(Ввод!$F$12:$F$31&lt;=A149)*(Ввод!$G$12:$G$31&gt;=A149))&gt;0,1,0))</f>
        <v/>
      </c>
      <c r="G149">
        <f>IF(A149="","",IF(OR(B149&lt;&gt;B148,C149&lt;&gt;C148,E149&lt;&gt;E148),G148+1,G148))</f>
        <v/>
      </c>
      <c r="I149" t="n">
        <v>144</v>
      </c>
      <c r="J149" s="21">
        <f>IFERROR(INDEX('По дням'!$A$2:$A$4000,MATCH(144,'По дням'!$G$2:$G$4000,0)),0)</f>
        <v/>
      </c>
      <c r="K149" s="21">
        <f>IF(J149=0,0,J149+COUNTIF('По дням'!$G$2:$G$4000,144)-1)</f>
        <v/>
      </c>
      <c r="L149" s="22">
        <f>IF(J149=0,0,N(INDEX('По дням'!$B$2:$B$4000,MATCH(144,'По дням'!$G$2:$G$4000,0))))</f>
        <v/>
      </c>
      <c r="M149" s="23">
        <f>IF(J149=0,1,N(INDEX('По дням'!$C$2:$C$4000,MATCH(144,'По дням'!$G$2:$G$4000,0))))</f>
        <v/>
      </c>
      <c r="N149" s="24">
        <f>IF(J149=0,0,N(INDEX('По дням'!$E$2:$E$4000,MATCH(144,'По дням'!$G$2:$G$4000,0))))</f>
        <v/>
      </c>
    </row>
    <row r="150">
      <c r="A150" s="20">
        <f>IF(A149="","",IF(A149+1&gt;Ввод!$B$4,"",A149+1))</f>
        <v/>
      </c>
      <c r="B150">
        <f>IF(A150="","",IFERROR(INDEX(Ввод!$B$12:$B$71,MATCH(A150,Ввод!$D$12:$D$71,1)),""))</f>
        <v/>
      </c>
      <c r="C150">
        <f>IF(A150="","",DATE(YEAR(A150),12,31)-DATE(YEAR(A150),1,1)+1)</f>
        <v/>
      </c>
      <c r="D150">
        <f>IF(A150="","",SUMIFS(Акты!$D$5:$D$16,Акты!$E$5:$E$16,"&lt;="&amp;A150)-SUMIFS(Оплаты!$B$6:$B$505,Оплаты!$A$6:$A$505,"&lt;"&amp;A150,Оплаты!$D$6:$D$505,"&lt;&gt;"))</f>
        <v/>
      </c>
      <c r="E150">
        <f>IF(A150="","",IF(SUMPRODUCT((Ввод!$F$12:$F$31&lt;&gt;"")*(Ввод!$F$12:$F$31&lt;=A150)*(Ввод!$G$12:$G$31&gt;=A150))&gt;0,1,0))</f>
        <v/>
      </c>
      <c r="G150">
        <f>IF(A150="","",IF(OR(B150&lt;&gt;B149,C150&lt;&gt;C149,E150&lt;&gt;E149),G149+1,G149))</f>
        <v/>
      </c>
      <c r="I150" t="n">
        <v>145</v>
      </c>
      <c r="J150" s="21">
        <f>IFERROR(INDEX('По дням'!$A$2:$A$4000,MATCH(145,'По дням'!$G$2:$G$4000,0)),0)</f>
        <v/>
      </c>
      <c r="K150" s="21">
        <f>IF(J150=0,0,J150+COUNTIF('По дням'!$G$2:$G$4000,145)-1)</f>
        <v/>
      </c>
      <c r="L150" s="22">
        <f>IF(J150=0,0,N(INDEX('По дням'!$B$2:$B$4000,MATCH(145,'По дням'!$G$2:$G$4000,0))))</f>
        <v/>
      </c>
      <c r="M150" s="23">
        <f>IF(J150=0,1,N(INDEX('По дням'!$C$2:$C$4000,MATCH(145,'По дням'!$G$2:$G$4000,0))))</f>
        <v/>
      </c>
      <c r="N150" s="24">
        <f>IF(J150=0,0,N(INDEX('По дням'!$E$2:$E$4000,MATCH(145,'По дням'!$G$2:$G$4000,0))))</f>
        <v/>
      </c>
    </row>
    <row r="151">
      <c r="A151" s="20">
        <f>IF(A150="","",IF(A150+1&gt;Ввод!$B$4,"",A150+1))</f>
        <v/>
      </c>
      <c r="B151">
        <f>IF(A151="","",IFERROR(INDEX(Ввод!$B$12:$B$71,MATCH(A151,Ввод!$D$12:$D$71,1)),""))</f>
        <v/>
      </c>
      <c r="C151">
        <f>IF(A151="","",DATE(YEAR(A151),12,31)-DATE(YEAR(A151),1,1)+1)</f>
        <v/>
      </c>
      <c r="D151">
        <f>IF(A151="","",SUMIFS(Акты!$D$5:$D$16,Акты!$E$5:$E$16,"&lt;="&amp;A151)-SUMIFS(Оплаты!$B$6:$B$505,Оплаты!$A$6:$A$505,"&lt;"&amp;A151,Оплаты!$D$6:$D$505,"&lt;&gt;"))</f>
        <v/>
      </c>
      <c r="E151">
        <f>IF(A151="","",IF(SUMPRODUCT((Ввод!$F$12:$F$31&lt;&gt;"")*(Ввод!$F$12:$F$31&lt;=A151)*(Ввод!$G$12:$G$31&gt;=A151))&gt;0,1,0))</f>
        <v/>
      </c>
      <c r="G151">
        <f>IF(A151="","",IF(OR(B151&lt;&gt;B150,C151&lt;&gt;C150,E151&lt;&gt;E150),G150+1,G150))</f>
        <v/>
      </c>
      <c r="I151" t="n">
        <v>146</v>
      </c>
      <c r="J151" s="21">
        <f>IFERROR(INDEX('По дням'!$A$2:$A$4000,MATCH(146,'По дням'!$G$2:$G$4000,0)),0)</f>
        <v/>
      </c>
      <c r="K151" s="21">
        <f>IF(J151=0,0,J151+COUNTIF('По дням'!$G$2:$G$4000,146)-1)</f>
        <v/>
      </c>
      <c r="L151" s="22">
        <f>IF(J151=0,0,N(INDEX('По дням'!$B$2:$B$4000,MATCH(146,'По дням'!$G$2:$G$4000,0))))</f>
        <v/>
      </c>
      <c r="M151" s="23">
        <f>IF(J151=0,1,N(INDEX('По дням'!$C$2:$C$4000,MATCH(146,'По дням'!$G$2:$G$4000,0))))</f>
        <v/>
      </c>
      <c r="N151" s="24">
        <f>IF(J151=0,0,N(INDEX('По дням'!$E$2:$E$4000,MATCH(146,'По дням'!$G$2:$G$4000,0))))</f>
        <v/>
      </c>
    </row>
    <row r="152">
      <c r="A152" s="20">
        <f>IF(A151="","",IF(A151+1&gt;Ввод!$B$4,"",A151+1))</f>
        <v/>
      </c>
      <c r="B152">
        <f>IF(A152="","",IFERROR(INDEX(Ввод!$B$12:$B$71,MATCH(A152,Ввод!$D$12:$D$71,1)),""))</f>
        <v/>
      </c>
      <c r="C152">
        <f>IF(A152="","",DATE(YEAR(A152),12,31)-DATE(YEAR(A152),1,1)+1)</f>
        <v/>
      </c>
      <c r="D152">
        <f>IF(A152="","",SUMIFS(Акты!$D$5:$D$16,Акты!$E$5:$E$16,"&lt;="&amp;A152)-SUMIFS(Оплаты!$B$6:$B$505,Оплаты!$A$6:$A$505,"&lt;"&amp;A152,Оплаты!$D$6:$D$505,"&lt;&gt;"))</f>
        <v/>
      </c>
      <c r="E152">
        <f>IF(A152="","",IF(SUMPRODUCT((Ввод!$F$12:$F$31&lt;&gt;"")*(Ввод!$F$12:$F$31&lt;=A152)*(Ввод!$G$12:$G$31&gt;=A152))&gt;0,1,0))</f>
        <v/>
      </c>
      <c r="G152">
        <f>IF(A152="","",IF(OR(B152&lt;&gt;B151,C152&lt;&gt;C151,E152&lt;&gt;E151),G151+1,G151))</f>
        <v/>
      </c>
      <c r="I152" t="n">
        <v>147</v>
      </c>
      <c r="J152" s="21">
        <f>IFERROR(INDEX('По дням'!$A$2:$A$4000,MATCH(147,'По дням'!$G$2:$G$4000,0)),0)</f>
        <v/>
      </c>
      <c r="K152" s="21">
        <f>IF(J152=0,0,J152+COUNTIF('По дням'!$G$2:$G$4000,147)-1)</f>
        <v/>
      </c>
      <c r="L152" s="22">
        <f>IF(J152=0,0,N(INDEX('По дням'!$B$2:$B$4000,MATCH(147,'По дням'!$G$2:$G$4000,0))))</f>
        <v/>
      </c>
      <c r="M152" s="23">
        <f>IF(J152=0,1,N(INDEX('По дням'!$C$2:$C$4000,MATCH(147,'По дням'!$G$2:$G$4000,0))))</f>
        <v/>
      </c>
      <c r="N152" s="24">
        <f>IF(J152=0,0,N(INDEX('По дням'!$E$2:$E$4000,MATCH(147,'По дням'!$G$2:$G$4000,0))))</f>
        <v/>
      </c>
    </row>
    <row r="153">
      <c r="A153" s="20">
        <f>IF(A152="","",IF(A152+1&gt;Ввод!$B$4,"",A152+1))</f>
        <v/>
      </c>
      <c r="B153">
        <f>IF(A153="","",IFERROR(INDEX(Ввод!$B$12:$B$71,MATCH(A153,Ввод!$D$12:$D$71,1)),""))</f>
        <v/>
      </c>
      <c r="C153">
        <f>IF(A153="","",DATE(YEAR(A153),12,31)-DATE(YEAR(A153),1,1)+1)</f>
        <v/>
      </c>
      <c r="D153">
        <f>IF(A153="","",SUMIFS(Акты!$D$5:$D$16,Акты!$E$5:$E$16,"&lt;="&amp;A153)-SUMIFS(Оплаты!$B$6:$B$505,Оплаты!$A$6:$A$505,"&lt;"&amp;A153,Оплаты!$D$6:$D$505,"&lt;&gt;"))</f>
        <v/>
      </c>
      <c r="E153">
        <f>IF(A153="","",IF(SUMPRODUCT((Ввод!$F$12:$F$31&lt;&gt;"")*(Ввод!$F$12:$F$31&lt;=A153)*(Ввод!$G$12:$G$31&gt;=A153))&gt;0,1,0))</f>
        <v/>
      </c>
      <c r="G153">
        <f>IF(A153="","",IF(OR(B153&lt;&gt;B152,C153&lt;&gt;C152,E153&lt;&gt;E152),G152+1,G152))</f>
        <v/>
      </c>
      <c r="I153" t="n">
        <v>148</v>
      </c>
      <c r="J153" s="21">
        <f>IFERROR(INDEX('По дням'!$A$2:$A$4000,MATCH(148,'По дням'!$G$2:$G$4000,0)),0)</f>
        <v/>
      </c>
      <c r="K153" s="21">
        <f>IF(J153=0,0,J153+COUNTIF('По дням'!$G$2:$G$4000,148)-1)</f>
        <v/>
      </c>
      <c r="L153" s="22">
        <f>IF(J153=0,0,N(INDEX('По дням'!$B$2:$B$4000,MATCH(148,'По дням'!$G$2:$G$4000,0))))</f>
        <v/>
      </c>
      <c r="M153" s="23">
        <f>IF(J153=0,1,N(INDEX('По дням'!$C$2:$C$4000,MATCH(148,'По дням'!$G$2:$G$4000,0))))</f>
        <v/>
      </c>
      <c r="N153" s="24">
        <f>IF(J153=0,0,N(INDEX('По дням'!$E$2:$E$4000,MATCH(148,'По дням'!$G$2:$G$4000,0))))</f>
        <v/>
      </c>
    </row>
    <row r="154">
      <c r="A154" s="20">
        <f>IF(A153="","",IF(A153+1&gt;Ввод!$B$4,"",A153+1))</f>
        <v/>
      </c>
      <c r="B154">
        <f>IF(A154="","",IFERROR(INDEX(Ввод!$B$12:$B$71,MATCH(A154,Ввод!$D$12:$D$71,1)),""))</f>
        <v/>
      </c>
      <c r="C154">
        <f>IF(A154="","",DATE(YEAR(A154),12,31)-DATE(YEAR(A154),1,1)+1)</f>
        <v/>
      </c>
      <c r="D154">
        <f>IF(A154="","",SUMIFS(Акты!$D$5:$D$16,Акты!$E$5:$E$16,"&lt;="&amp;A154)-SUMIFS(Оплаты!$B$6:$B$505,Оплаты!$A$6:$A$505,"&lt;"&amp;A154,Оплаты!$D$6:$D$505,"&lt;&gt;"))</f>
        <v/>
      </c>
      <c r="E154">
        <f>IF(A154="","",IF(SUMPRODUCT((Ввод!$F$12:$F$31&lt;&gt;"")*(Ввод!$F$12:$F$31&lt;=A154)*(Ввод!$G$12:$G$31&gt;=A154))&gt;0,1,0))</f>
        <v/>
      </c>
      <c r="G154">
        <f>IF(A154="","",IF(OR(B154&lt;&gt;B153,C154&lt;&gt;C153,E154&lt;&gt;E153),G153+1,G153))</f>
        <v/>
      </c>
      <c r="I154" t="n">
        <v>149</v>
      </c>
      <c r="J154" s="21">
        <f>IFERROR(INDEX('По дням'!$A$2:$A$4000,MATCH(149,'По дням'!$G$2:$G$4000,0)),0)</f>
        <v/>
      </c>
      <c r="K154" s="21">
        <f>IF(J154=0,0,J154+COUNTIF('По дням'!$G$2:$G$4000,149)-1)</f>
        <v/>
      </c>
      <c r="L154" s="22">
        <f>IF(J154=0,0,N(INDEX('По дням'!$B$2:$B$4000,MATCH(149,'По дням'!$G$2:$G$4000,0))))</f>
        <v/>
      </c>
      <c r="M154" s="23">
        <f>IF(J154=0,1,N(INDEX('По дням'!$C$2:$C$4000,MATCH(149,'По дням'!$G$2:$G$4000,0))))</f>
        <v/>
      </c>
      <c r="N154" s="24">
        <f>IF(J154=0,0,N(INDEX('По дням'!$E$2:$E$4000,MATCH(149,'По дням'!$G$2:$G$4000,0))))</f>
        <v/>
      </c>
    </row>
    <row r="155">
      <c r="A155" s="20">
        <f>IF(A154="","",IF(A154+1&gt;Ввод!$B$4,"",A154+1))</f>
        <v/>
      </c>
      <c r="B155">
        <f>IF(A155="","",IFERROR(INDEX(Ввод!$B$12:$B$71,MATCH(A155,Ввод!$D$12:$D$71,1)),""))</f>
        <v/>
      </c>
      <c r="C155">
        <f>IF(A155="","",DATE(YEAR(A155),12,31)-DATE(YEAR(A155),1,1)+1)</f>
        <v/>
      </c>
      <c r="D155">
        <f>IF(A155="","",SUMIFS(Акты!$D$5:$D$16,Акты!$E$5:$E$16,"&lt;="&amp;A155)-SUMIFS(Оплаты!$B$6:$B$505,Оплаты!$A$6:$A$505,"&lt;"&amp;A155,Оплаты!$D$6:$D$505,"&lt;&gt;"))</f>
        <v/>
      </c>
      <c r="E155">
        <f>IF(A155="","",IF(SUMPRODUCT((Ввод!$F$12:$F$31&lt;&gt;"")*(Ввод!$F$12:$F$31&lt;=A155)*(Ввод!$G$12:$G$31&gt;=A155))&gt;0,1,0))</f>
        <v/>
      </c>
      <c r="G155">
        <f>IF(A155="","",IF(OR(B155&lt;&gt;B154,C155&lt;&gt;C154,E155&lt;&gt;E154),G154+1,G154))</f>
        <v/>
      </c>
      <c r="I155" t="n">
        <v>150</v>
      </c>
      <c r="J155" s="21">
        <f>IFERROR(INDEX('По дням'!$A$2:$A$4000,MATCH(150,'По дням'!$G$2:$G$4000,0)),0)</f>
        <v/>
      </c>
      <c r="K155" s="21">
        <f>IF(J155=0,0,J155+COUNTIF('По дням'!$G$2:$G$4000,150)-1)</f>
        <v/>
      </c>
      <c r="L155" s="22">
        <f>IF(J155=0,0,N(INDEX('По дням'!$B$2:$B$4000,MATCH(150,'По дням'!$G$2:$G$4000,0))))</f>
        <v/>
      </c>
      <c r="M155" s="23">
        <f>IF(J155=0,1,N(INDEX('По дням'!$C$2:$C$4000,MATCH(150,'По дням'!$G$2:$G$4000,0))))</f>
        <v/>
      </c>
      <c r="N155" s="24">
        <f>IF(J155=0,0,N(INDEX('По дням'!$E$2:$E$4000,MATCH(150,'По дням'!$G$2:$G$4000,0))))</f>
        <v/>
      </c>
    </row>
    <row r="156">
      <c r="A156" s="20">
        <f>IF(A155="","",IF(A155+1&gt;Ввод!$B$4,"",A155+1))</f>
        <v/>
      </c>
      <c r="B156">
        <f>IF(A156="","",IFERROR(INDEX(Ввод!$B$12:$B$71,MATCH(A156,Ввод!$D$12:$D$71,1)),""))</f>
        <v/>
      </c>
      <c r="C156">
        <f>IF(A156="","",DATE(YEAR(A156),12,31)-DATE(YEAR(A156),1,1)+1)</f>
        <v/>
      </c>
      <c r="D156">
        <f>IF(A156="","",SUMIFS(Акты!$D$5:$D$16,Акты!$E$5:$E$16,"&lt;="&amp;A156)-SUMIFS(Оплаты!$B$6:$B$505,Оплаты!$A$6:$A$505,"&lt;"&amp;A156,Оплаты!$D$6:$D$505,"&lt;&gt;"))</f>
        <v/>
      </c>
      <c r="E156">
        <f>IF(A156="","",IF(SUMPRODUCT((Ввод!$F$12:$F$31&lt;&gt;"")*(Ввод!$F$12:$F$31&lt;=A156)*(Ввод!$G$12:$G$31&gt;=A156))&gt;0,1,0))</f>
        <v/>
      </c>
      <c r="G156">
        <f>IF(A156="","",IF(OR(B156&lt;&gt;B155,C156&lt;&gt;C155,E156&lt;&gt;E155),G155+1,G155))</f>
        <v/>
      </c>
    </row>
    <row r="157">
      <c r="A157" s="20">
        <f>IF(A156="","",IF(A156+1&gt;Ввод!$B$4,"",A156+1))</f>
        <v/>
      </c>
      <c r="B157">
        <f>IF(A157="","",IFERROR(INDEX(Ввод!$B$12:$B$71,MATCH(A157,Ввод!$D$12:$D$71,1)),""))</f>
        <v/>
      </c>
      <c r="C157">
        <f>IF(A157="","",DATE(YEAR(A157),12,31)-DATE(YEAR(A157),1,1)+1)</f>
        <v/>
      </c>
      <c r="D157">
        <f>IF(A157="","",SUMIFS(Акты!$D$5:$D$16,Акты!$E$5:$E$16,"&lt;="&amp;A157)-SUMIFS(Оплаты!$B$6:$B$505,Оплаты!$A$6:$A$505,"&lt;"&amp;A157,Оплаты!$D$6:$D$505,"&lt;&gt;"))</f>
        <v/>
      </c>
      <c r="E157">
        <f>IF(A157="","",IF(SUMPRODUCT((Ввод!$F$12:$F$31&lt;&gt;"")*(Ввод!$F$12:$F$31&lt;=A157)*(Ввод!$G$12:$G$31&gt;=A157))&gt;0,1,0))</f>
        <v/>
      </c>
      <c r="G157">
        <f>IF(A157="","",IF(OR(B157&lt;&gt;B156,C157&lt;&gt;C156,E157&lt;&gt;E156),G156+1,G156))</f>
        <v/>
      </c>
    </row>
    <row r="158">
      <c r="A158" s="20">
        <f>IF(A157="","",IF(A157+1&gt;Ввод!$B$4,"",A157+1))</f>
        <v/>
      </c>
      <c r="B158">
        <f>IF(A158="","",IFERROR(INDEX(Ввод!$B$12:$B$71,MATCH(A158,Ввод!$D$12:$D$71,1)),""))</f>
        <v/>
      </c>
      <c r="C158">
        <f>IF(A158="","",DATE(YEAR(A158),12,31)-DATE(YEAR(A158),1,1)+1)</f>
        <v/>
      </c>
      <c r="D158">
        <f>IF(A158="","",SUMIFS(Акты!$D$5:$D$16,Акты!$E$5:$E$16,"&lt;="&amp;A158)-SUMIFS(Оплаты!$B$6:$B$505,Оплаты!$A$6:$A$505,"&lt;"&amp;A158,Оплаты!$D$6:$D$505,"&lt;&gt;"))</f>
        <v/>
      </c>
      <c r="E158">
        <f>IF(A158="","",IF(SUMPRODUCT((Ввод!$F$12:$F$31&lt;&gt;"")*(Ввод!$F$12:$F$31&lt;=A158)*(Ввод!$G$12:$G$31&gt;=A158))&gt;0,1,0))</f>
        <v/>
      </c>
      <c r="G158">
        <f>IF(A158="","",IF(OR(B158&lt;&gt;B157,C158&lt;&gt;C157,E158&lt;&gt;E157),G157+1,G157))</f>
        <v/>
      </c>
    </row>
    <row r="159">
      <c r="A159" s="20">
        <f>IF(A158="","",IF(A158+1&gt;Ввод!$B$4,"",A158+1))</f>
        <v/>
      </c>
      <c r="B159">
        <f>IF(A159="","",IFERROR(INDEX(Ввод!$B$12:$B$71,MATCH(A159,Ввод!$D$12:$D$71,1)),""))</f>
        <v/>
      </c>
      <c r="C159">
        <f>IF(A159="","",DATE(YEAR(A159),12,31)-DATE(YEAR(A159),1,1)+1)</f>
        <v/>
      </c>
      <c r="D159">
        <f>IF(A159="","",SUMIFS(Акты!$D$5:$D$16,Акты!$E$5:$E$16,"&lt;="&amp;A159)-SUMIFS(Оплаты!$B$6:$B$505,Оплаты!$A$6:$A$505,"&lt;"&amp;A159,Оплаты!$D$6:$D$505,"&lt;&gt;"))</f>
        <v/>
      </c>
      <c r="E159">
        <f>IF(A159="","",IF(SUMPRODUCT((Ввод!$F$12:$F$31&lt;&gt;"")*(Ввод!$F$12:$F$31&lt;=A159)*(Ввод!$G$12:$G$31&gt;=A159))&gt;0,1,0))</f>
        <v/>
      </c>
      <c r="G159">
        <f>IF(A159="","",IF(OR(B159&lt;&gt;B158,C159&lt;&gt;C158,E159&lt;&gt;E158),G158+1,G158))</f>
        <v/>
      </c>
    </row>
    <row r="160">
      <c r="A160" s="20">
        <f>IF(A159="","",IF(A159+1&gt;Ввод!$B$4,"",A159+1))</f>
        <v/>
      </c>
      <c r="B160">
        <f>IF(A160="","",IFERROR(INDEX(Ввод!$B$12:$B$71,MATCH(A160,Ввод!$D$12:$D$71,1)),""))</f>
        <v/>
      </c>
      <c r="C160">
        <f>IF(A160="","",DATE(YEAR(A160),12,31)-DATE(YEAR(A160),1,1)+1)</f>
        <v/>
      </c>
      <c r="D160">
        <f>IF(A160="","",SUMIFS(Акты!$D$5:$D$16,Акты!$E$5:$E$16,"&lt;="&amp;A160)-SUMIFS(Оплаты!$B$6:$B$505,Оплаты!$A$6:$A$505,"&lt;"&amp;A160,Оплаты!$D$6:$D$505,"&lt;&gt;"))</f>
        <v/>
      </c>
      <c r="E160">
        <f>IF(A160="","",IF(SUMPRODUCT((Ввод!$F$12:$F$31&lt;&gt;"")*(Ввод!$F$12:$F$31&lt;=A160)*(Ввод!$G$12:$G$31&gt;=A160))&gt;0,1,0))</f>
        <v/>
      </c>
      <c r="G160">
        <f>IF(A160="","",IF(OR(B160&lt;&gt;B159,C160&lt;&gt;C159,E160&lt;&gt;E159),G159+1,G159))</f>
        <v/>
      </c>
    </row>
    <row r="161">
      <c r="A161" s="20">
        <f>IF(A160="","",IF(A160+1&gt;Ввод!$B$4,"",A160+1))</f>
        <v/>
      </c>
      <c r="B161">
        <f>IF(A161="","",IFERROR(INDEX(Ввод!$B$12:$B$71,MATCH(A161,Ввод!$D$12:$D$71,1)),""))</f>
        <v/>
      </c>
      <c r="C161">
        <f>IF(A161="","",DATE(YEAR(A161),12,31)-DATE(YEAR(A161),1,1)+1)</f>
        <v/>
      </c>
      <c r="D161">
        <f>IF(A161="","",SUMIFS(Акты!$D$5:$D$16,Акты!$E$5:$E$16,"&lt;="&amp;A161)-SUMIFS(Оплаты!$B$6:$B$505,Оплаты!$A$6:$A$505,"&lt;"&amp;A161,Оплаты!$D$6:$D$505,"&lt;&gt;"))</f>
        <v/>
      </c>
      <c r="E161">
        <f>IF(A161="","",IF(SUMPRODUCT((Ввод!$F$12:$F$31&lt;&gt;"")*(Ввод!$F$12:$F$31&lt;=A161)*(Ввод!$G$12:$G$31&gt;=A161))&gt;0,1,0))</f>
        <v/>
      </c>
      <c r="G161">
        <f>IF(A161="","",IF(OR(B161&lt;&gt;B160,C161&lt;&gt;C160,E161&lt;&gt;E160),G160+1,G160))</f>
        <v/>
      </c>
    </row>
    <row r="162">
      <c r="A162" s="20">
        <f>IF(A161="","",IF(A161+1&gt;Ввод!$B$4,"",A161+1))</f>
        <v/>
      </c>
      <c r="B162">
        <f>IF(A162="","",IFERROR(INDEX(Ввод!$B$12:$B$71,MATCH(A162,Ввод!$D$12:$D$71,1)),""))</f>
        <v/>
      </c>
      <c r="C162">
        <f>IF(A162="","",DATE(YEAR(A162),12,31)-DATE(YEAR(A162),1,1)+1)</f>
        <v/>
      </c>
      <c r="D162">
        <f>IF(A162="","",SUMIFS(Акты!$D$5:$D$16,Акты!$E$5:$E$16,"&lt;="&amp;A162)-SUMIFS(Оплаты!$B$6:$B$505,Оплаты!$A$6:$A$505,"&lt;"&amp;A162,Оплаты!$D$6:$D$505,"&lt;&gt;"))</f>
        <v/>
      </c>
      <c r="E162">
        <f>IF(A162="","",IF(SUMPRODUCT((Ввод!$F$12:$F$31&lt;&gt;"")*(Ввод!$F$12:$F$31&lt;=A162)*(Ввод!$G$12:$G$31&gt;=A162))&gt;0,1,0))</f>
        <v/>
      </c>
      <c r="G162">
        <f>IF(A162="","",IF(OR(B162&lt;&gt;B161,C162&lt;&gt;C161,E162&lt;&gt;E161),G161+1,G161))</f>
        <v/>
      </c>
    </row>
    <row r="163">
      <c r="A163" s="20">
        <f>IF(A162="","",IF(A162+1&gt;Ввод!$B$4,"",A162+1))</f>
        <v/>
      </c>
      <c r="B163">
        <f>IF(A163="","",IFERROR(INDEX(Ввод!$B$12:$B$71,MATCH(A163,Ввод!$D$12:$D$71,1)),""))</f>
        <v/>
      </c>
      <c r="C163">
        <f>IF(A163="","",DATE(YEAR(A163),12,31)-DATE(YEAR(A163),1,1)+1)</f>
        <v/>
      </c>
      <c r="D163">
        <f>IF(A163="","",SUMIFS(Акты!$D$5:$D$16,Акты!$E$5:$E$16,"&lt;="&amp;A163)-SUMIFS(Оплаты!$B$6:$B$505,Оплаты!$A$6:$A$505,"&lt;"&amp;A163,Оплаты!$D$6:$D$505,"&lt;&gt;"))</f>
        <v/>
      </c>
      <c r="E163">
        <f>IF(A163="","",IF(SUMPRODUCT((Ввод!$F$12:$F$31&lt;&gt;"")*(Ввод!$F$12:$F$31&lt;=A163)*(Ввод!$G$12:$G$31&gt;=A163))&gt;0,1,0))</f>
        <v/>
      </c>
      <c r="G163">
        <f>IF(A163="","",IF(OR(B163&lt;&gt;B162,C163&lt;&gt;C162,E163&lt;&gt;E162),G162+1,G162))</f>
        <v/>
      </c>
    </row>
    <row r="164">
      <c r="A164" s="20">
        <f>IF(A163="","",IF(A163+1&gt;Ввод!$B$4,"",A163+1))</f>
        <v/>
      </c>
      <c r="B164">
        <f>IF(A164="","",IFERROR(INDEX(Ввод!$B$12:$B$71,MATCH(A164,Ввод!$D$12:$D$71,1)),""))</f>
        <v/>
      </c>
      <c r="C164">
        <f>IF(A164="","",DATE(YEAR(A164),12,31)-DATE(YEAR(A164),1,1)+1)</f>
        <v/>
      </c>
      <c r="D164">
        <f>IF(A164="","",SUMIFS(Акты!$D$5:$D$16,Акты!$E$5:$E$16,"&lt;="&amp;A164)-SUMIFS(Оплаты!$B$6:$B$505,Оплаты!$A$6:$A$505,"&lt;"&amp;A164,Оплаты!$D$6:$D$505,"&lt;&gt;"))</f>
        <v/>
      </c>
      <c r="E164">
        <f>IF(A164="","",IF(SUMPRODUCT((Ввод!$F$12:$F$31&lt;&gt;"")*(Ввод!$F$12:$F$31&lt;=A164)*(Ввод!$G$12:$G$31&gt;=A164))&gt;0,1,0))</f>
        <v/>
      </c>
      <c r="G164">
        <f>IF(A164="","",IF(OR(B164&lt;&gt;B163,C164&lt;&gt;C163,E164&lt;&gt;E163),G163+1,G163))</f>
        <v/>
      </c>
    </row>
    <row r="165">
      <c r="A165" s="20">
        <f>IF(A164="","",IF(A164+1&gt;Ввод!$B$4,"",A164+1))</f>
        <v/>
      </c>
      <c r="B165">
        <f>IF(A165="","",IFERROR(INDEX(Ввод!$B$12:$B$71,MATCH(A165,Ввод!$D$12:$D$71,1)),""))</f>
        <v/>
      </c>
      <c r="C165">
        <f>IF(A165="","",DATE(YEAR(A165),12,31)-DATE(YEAR(A165),1,1)+1)</f>
        <v/>
      </c>
      <c r="D165">
        <f>IF(A165="","",SUMIFS(Акты!$D$5:$D$16,Акты!$E$5:$E$16,"&lt;="&amp;A165)-SUMIFS(Оплаты!$B$6:$B$505,Оплаты!$A$6:$A$505,"&lt;"&amp;A165,Оплаты!$D$6:$D$505,"&lt;&gt;"))</f>
        <v/>
      </c>
      <c r="E165">
        <f>IF(A165="","",IF(SUMPRODUCT((Ввод!$F$12:$F$31&lt;&gt;"")*(Ввод!$F$12:$F$31&lt;=A165)*(Ввод!$G$12:$G$31&gt;=A165))&gt;0,1,0))</f>
        <v/>
      </c>
      <c r="G165">
        <f>IF(A165="","",IF(OR(B165&lt;&gt;B164,C165&lt;&gt;C164,E165&lt;&gt;E164),G164+1,G164))</f>
        <v/>
      </c>
    </row>
    <row r="166">
      <c r="A166" s="20">
        <f>IF(A165="","",IF(A165+1&gt;Ввод!$B$4,"",A165+1))</f>
        <v/>
      </c>
      <c r="B166">
        <f>IF(A166="","",IFERROR(INDEX(Ввод!$B$12:$B$71,MATCH(A166,Ввод!$D$12:$D$71,1)),""))</f>
        <v/>
      </c>
      <c r="C166">
        <f>IF(A166="","",DATE(YEAR(A166),12,31)-DATE(YEAR(A166),1,1)+1)</f>
        <v/>
      </c>
      <c r="D166">
        <f>IF(A166="","",SUMIFS(Акты!$D$5:$D$16,Акты!$E$5:$E$16,"&lt;="&amp;A166)-SUMIFS(Оплаты!$B$6:$B$505,Оплаты!$A$6:$A$505,"&lt;"&amp;A166,Оплаты!$D$6:$D$505,"&lt;&gt;"))</f>
        <v/>
      </c>
      <c r="E166">
        <f>IF(A166="","",IF(SUMPRODUCT((Ввод!$F$12:$F$31&lt;&gt;"")*(Ввод!$F$12:$F$31&lt;=A166)*(Ввод!$G$12:$G$31&gt;=A166))&gt;0,1,0))</f>
        <v/>
      </c>
      <c r="G166">
        <f>IF(A166="","",IF(OR(B166&lt;&gt;B165,C166&lt;&gt;C165,E166&lt;&gt;E165),G165+1,G165))</f>
        <v/>
      </c>
    </row>
    <row r="167">
      <c r="A167" s="20">
        <f>IF(A166="","",IF(A166+1&gt;Ввод!$B$4,"",A166+1))</f>
        <v/>
      </c>
      <c r="B167">
        <f>IF(A167="","",IFERROR(INDEX(Ввод!$B$12:$B$71,MATCH(A167,Ввод!$D$12:$D$71,1)),""))</f>
        <v/>
      </c>
      <c r="C167">
        <f>IF(A167="","",DATE(YEAR(A167),12,31)-DATE(YEAR(A167),1,1)+1)</f>
        <v/>
      </c>
      <c r="D167">
        <f>IF(A167="","",SUMIFS(Акты!$D$5:$D$16,Акты!$E$5:$E$16,"&lt;="&amp;A167)-SUMIFS(Оплаты!$B$6:$B$505,Оплаты!$A$6:$A$505,"&lt;"&amp;A167,Оплаты!$D$6:$D$505,"&lt;&gt;"))</f>
        <v/>
      </c>
      <c r="E167">
        <f>IF(A167="","",IF(SUMPRODUCT((Ввод!$F$12:$F$31&lt;&gt;"")*(Ввод!$F$12:$F$31&lt;=A167)*(Ввод!$G$12:$G$31&gt;=A167))&gt;0,1,0))</f>
        <v/>
      </c>
      <c r="G167">
        <f>IF(A167="","",IF(OR(B167&lt;&gt;B166,C167&lt;&gt;C166,E167&lt;&gt;E166),G166+1,G166))</f>
        <v/>
      </c>
    </row>
    <row r="168">
      <c r="A168" s="20">
        <f>IF(A167="","",IF(A167+1&gt;Ввод!$B$4,"",A167+1))</f>
        <v/>
      </c>
      <c r="B168">
        <f>IF(A168="","",IFERROR(INDEX(Ввод!$B$12:$B$71,MATCH(A168,Ввод!$D$12:$D$71,1)),""))</f>
        <v/>
      </c>
      <c r="C168">
        <f>IF(A168="","",DATE(YEAR(A168),12,31)-DATE(YEAR(A168),1,1)+1)</f>
        <v/>
      </c>
      <c r="D168">
        <f>IF(A168="","",SUMIFS(Акты!$D$5:$D$16,Акты!$E$5:$E$16,"&lt;="&amp;A168)-SUMIFS(Оплаты!$B$6:$B$505,Оплаты!$A$6:$A$505,"&lt;"&amp;A168,Оплаты!$D$6:$D$505,"&lt;&gt;"))</f>
        <v/>
      </c>
      <c r="E168">
        <f>IF(A168="","",IF(SUMPRODUCT((Ввод!$F$12:$F$31&lt;&gt;"")*(Ввод!$F$12:$F$31&lt;=A168)*(Ввод!$G$12:$G$31&gt;=A168))&gt;0,1,0))</f>
        <v/>
      </c>
      <c r="G168">
        <f>IF(A168="","",IF(OR(B168&lt;&gt;B167,C168&lt;&gt;C167,E168&lt;&gt;E167),G167+1,G167))</f>
        <v/>
      </c>
    </row>
    <row r="169">
      <c r="A169" s="20">
        <f>IF(A168="","",IF(A168+1&gt;Ввод!$B$4,"",A168+1))</f>
        <v/>
      </c>
      <c r="B169">
        <f>IF(A169="","",IFERROR(INDEX(Ввод!$B$12:$B$71,MATCH(A169,Ввод!$D$12:$D$71,1)),""))</f>
        <v/>
      </c>
      <c r="C169">
        <f>IF(A169="","",DATE(YEAR(A169),12,31)-DATE(YEAR(A169),1,1)+1)</f>
        <v/>
      </c>
      <c r="D169">
        <f>IF(A169="","",SUMIFS(Акты!$D$5:$D$16,Акты!$E$5:$E$16,"&lt;="&amp;A169)-SUMIFS(Оплаты!$B$6:$B$505,Оплаты!$A$6:$A$505,"&lt;"&amp;A169,Оплаты!$D$6:$D$505,"&lt;&gt;"))</f>
        <v/>
      </c>
      <c r="E169">
        <f>IF(A169="","",IF(SUMPRODUCT((Ввод!$F$12:$F$31&lt;&gt;"")*(Ввод!$F$12:$F$31&lt;=A169)*(Ввод!$G$12:$G$31&gt;=A169))&gt;0,1,0))</f>
        <v/>
      </c>
      <c r="G169">
        <f>IF(A169="","",IF(OR(B169&lt;&gt;B168,C169&lt;&gt;C168,E169&lt;&gt;E168),G168+1,G168))</f>
        <v/>
      </c>
    </row>
    <row r="170">
      <c r="A170" s="20">
        <f>IF(A169="","",IF(A169+1&gt;Ввод!$B$4,"",A169+1))</f>
        <v/>
      </c>
      <c r="B170">
        <f>IF(A170="","",IFERROR(INDEX(Ввод!$B$12:$B$71,MATCH(A170,Ввод!$D$12:$D$71,1)),""))</f>
        <v/>
      </c>
      <c r="C170">
        <f>IF(A170="","",DATE(YEAR(A170),12,31)-DATE(YEAR(A170),1,1)+1)</f>
        <v/>
      </c>
      <c r="D170">
        <f>IF(A170="","",SUMIFS(Акты!$D$5:$D$16,Акты!$E$5:$E$16,"&lt;="&amp;A170)-SUMIFS(Оплаты!$B$6:$B$505,Оплаты!$A$6:$A$505,"&lt;"&amp;A170,Оплаты!$D$6:$D$505,"&lt;&gt;"))</f>
        <v/>
      </c>
      <c r="E170">
        <f>IF(A170="","",IF(SUMPRODUCT((Ввод!$F$12:$F$31&lt;&gt;"")*(Ввод!$F$12:$F$31&lt;=A170)*(Ввод!$G$12:$G$31&gt;=A170))&gt;0,1,0))</f>
        <v/>
      </c>
      <c r="G170">
        <f>IF(A170="","",IF(OR(B170&lt;&gt;B169,C170&lt;&gt;C169,E170&lt;&gt;E169),G169+1,G169))</f>
        <v/>
      </c>
    </row>
    <row r="171">
      <c r="A171" s="20">
        <f>IF(A170="","",IF(A170+1&gt;Ввод!$B$4,"",A170+1))</f>
        <v/>
      </c>
      <c r="B171">
        <f>IF(A171="","",IFERROR(INDEX(Ввод!$B$12:$B$71,MATCH(A171,Ввод!$D$12:$D$71,1)),""))</f>
        <v/>
      </c>
      <c r="C171">
        <f>IF(A171="","",DATE(YEAR(A171),12,31)-DATE(YEAR(A171),1,1)+1)</f>
        <v/>
      </c>
      <c r="D171">
        <f>IF(A171="","",SUMIFS(Акты!$D$5:$D$16,Акты!$E$5:$E$16,"&lt;="&amp;A171)-SUMIFS(Оплаты!$B$6:$B$505,Оплаты!$A$6:$A$505,"&lt;"&amp;A171,Оплаты!$D$6:$D$505,"&lt;&gt;"))</f>
        <v/>
      </c>
      <c r="E171">
        <f>IF(A171="","",IF(SUMPRODUCT((Ввод!$F$12:$F$31&lt;&gt;"")*(Ввод!$F$12:$F$31&lt;=A171)*(Ввод!$G$12:$G$31&gt;=A171))&gt;0,1,0))</f>
        <v/>
      </c>
      <c r="G171">
        <f>IF(A171="","",IF(OR(B171&lt;&gt;B170,C171&lt;&gt;C170,E171&lt;&gt;E170),G170+1,G170))</f>
        <v/>
      </c>
    </row>
    <row r="172">
      <c r="A172" s="20">
        <f>IF(A171="","",IF(A171+1&gt;Ввод!$B$4,"",A171+1))</f>
        <v/>
      </c>
      <c r="B172">
        <f>IF(A172="","",IFERROR(INDEX(Ввод!$B$12:$B$71,MATCH(A172,Ввод!$D$12:$D$71,1)),""))</f>
        <v/>
      </c>
      <c r="C172">
        <f>IF(A172="","",DATE(YEAR(A172),12,31)-DATE(YEAR(A172),1,1)+1)</f>
        <v/>
      </c>
      <c r="D172">
        <f>IF(A172="","",SUMIFS(Акты!$D$5:$D$16,Акты!$E$5:$E$16,"&lt;="&amp;A172)-SUMIFS(Оплаты!$B$6:$B$505,Оплаты!$A$6:$A$505,"&lt;"&amp;A172,Оплаты!$D$6:$D$505,"&lt;&gt;"))</f>
        <v/>
      </c>
      <c r="E172">
        <f>IF(A172="","",IF(SUMPRODUCT((Ввод!$F$12:$F$31&lt;&gt;"")*(Ввод!$F$12:$F$31&lt;=A172)*(Ввод!$G$12:$G$31&gt;=A172))&gt;0,1,0))</f>
        <v/>
      </c>
      <c r="G172">
        <f>IF(A172="","",IF(OR(B172&lt;&gt;B171,C172&lt;&gt;C171,E172&lt;&gt;E171),G171+1,G171))</f>
        <v/>
      </c>
    </row>
    <row r="173">
      <c r="A173" s="20">
        <f>IF(A172="","",IF(A172+1&gt;Ввод!$B$4,"",A172+1))</f>
        <v/>
      </c>
      <c r="B173">
        <f>IF(A173="","",IFERROR(INDEX(Ввод!$B$12:$B$71,MATCH(A173,Ввод!$D$12:$D$71,1)),""))</f>
        <v/>
      </c>
      <c r="C173">
        <f>IF(A173="","",DATE(YEAR(A173),12,31)-DATE(YEAR(A173),1,1)+1)</f>
        <v/>
      </c>
      <c r="D173">
        <f>IF(A173="","",SUMIFS(Акты!$D$5:$D$16,Акты!$E$5:$E$16,"&lt;="&amp;A173)-SUMIFS(Оплаты!$B$6:$B$505,Оплаты!$A$6:$A$505,"&lt;"&amp;A173,Оплаты!$D$6:$D$505,"&lt;&gt;"))</f>
        <v/>
      </c>
      <c r="E173">
        <f>IF(A173="","",IF(SUMPRODUCT((Ввод!$F$12:$F$31&lt;&gt;"")*(Ввод!$F$12:$F$31&lt;=A173)*(Ввод!$G$12:$G$31&gt;=A173))&gt;0,1,0))</f>
        <v/>
      </c>
      <c r="G173">
        <f>IF(A173="","",IF(OR(B173&lt;&gt;B172,C173&lt;&gt;C172,E173&lt;&gt;E172),G172+1,G172))</f>
        <v/>
      </c>
    </row>
    <row r="174">
      <c r="A174" s="20">
        <f>IF(A173="","",IF(A173+1&gt;Ввод!$B$4,"",A173+1))</f>
        <v/>
      </c>
      <c r="B174">
        <f>IF(A174="","",IFERROR(INDEX(Ввод!$B$12:$B$71,MATCH(A174,Ввод!$D$12:$D$71,1)),""))</f>
        <v/>
      </c>
      <c r="C174">
        <f>IF(A174="","",DATE(YEAR(A174),12,31)-DATE(YEAR(A174),1,1)+1)</f>
        <v/>
      </c>
      <c r="D174">
        <f>IF(A174="","",SUMIFS(Акты!$D$5:$D$16,Акты!$E$5:$E$16,"&lt;="&amp;A174)-SUMIFS(Оплаты!$B$6:$B$505,Оплаты!$A$6:$A$505,"&lt;"&amp;A174,Оплаты!$D$6:$D$505,"&lt;&gt;"))</f>
        <v/>
      </c>
      <c r="E174">
        <f>IF(A174="","",IF(SUMPRODUCT((Ввод!$F$12:$F$31&lt;&gt;"")*(Ввод!$F$12:$F$31&lt;=A174)*(Ввод!$G$12:$G$31&gt;=A174))&gt;0,1,0))</f>
        <v/>
      </c>
      <c r="G174">
        <f>IF(A174="","",IF(OR(B174&lt;&gt;B173,C174&lt;&gt;C173,E174&lt;&gt;E173),G173+1,G173))</f>
        <v/>
      </c>
    </row>
    <row r="175">
      <c r="A175" s="20">
        <f>IF(A174="","",IF(A174+1&gt;Ввод!$B$4,"",A174+1))</f>
        <v/>
      </c>
      <c r="B175">
        <f>IF(A175="","",IFERROR(INDEX(Ввод!$B$12:$B$71,MATCH(A175,Ввод!$D$12:$D$71,1)),""))</f>
        <v/>
      </c>
      <c r="C175">
        <f>IF(A175="","",DATE(YEAR(A175),12,31)-DATE(YEAR(A175),1,1)+1)</f>
        <v/>
      </c>
      <c r="D175">
        <f>IF(A175="","",SUMIFS(Акты!$D$5:$D$16,Акты!$E$5:$E$16,"&lt;="&amp;A175)-SUMIFS(Оплаты!$B$6:$B$505,Оплаты!$A$6:$A$505,"&lt;"&amp;A175,Оплаты!$D$6:$D$505,"&lt;&gt;"))</f>
        <v/>
      </c>
      <c r="E175">
        <f>IF(A175="","",IF(SUMPRODUCT((Ввод!$F$12:$F$31&lt;&gt;"")*(Ввод!$F$12:$F$31&lt;=A175)*(Ввод!$G$12:$G$31&gt;=A175))&gt;0,1,0))</f>
        <v/>
      </c>
      <c r="G175">
        <f>IF(A175="","",IF(OR(B175&lt;&gt;B174,C175&lt;&gt;C174,E175&lt;&gt;E174),G174+1,G174))</f>
        <v/>
      </c>
    </row>
    <row r="176">
      <c r="A176" s="20">
        <f>IF(A175="","",IF(A175+1&gt;Ввод!$B$4,"",A175+1))</f>
        <v/>
      </c>
      <c r="B176">
        <f>IF(A176="","",IFERROR(INDEX(Ввод!$B$12:$B$71,MATCH(A176,Ввод!$D$12:$D$71,1)),""))</f>
        <v/>
      </c>
      <c r="C176">
        <f>IF(A176="","",DATE(YEAR(A176),12,31)-DATE(YEAR(A176),1,1)+1)</f>
        <v/>
      </c>
      <c r="D176">
        <f>IF(A176="","",SUMIFS(Акты!$D$5:$D$16,Акты!$E$5:$E$16,"&lt;="&amp;A176)-SUMIFS(Оплаты!$B$6:$B$505,Оплаты!$A$6:$A$505,"&lt;"&amp;A176,Оплаты!$D$6:$D$505,"&lt;&gt;"))</f>
        <v/>
      </c>
      <c r="E176">
        <f>IF(A176="","",IF(SUMPRODUCT((Ввод!$F$12:$F$31&lt;&gt;"")*(Ввод!$F$12:$F$31&lt;=A176)*(Ввод!$G$12:$G$31&gt;=A176))&gt;0,1,0))</f>
        <v/>
      </c>
      <c r="G176">
        <f>IF(A176="","",IF(OR(B176&lt;&gt;B175,C176&lt;&gt;C175,E176&lt;&gt;E175),G175+1,G175))</f>
        <v/>
      </c>
    </row>
    <row r="177">
      <c r="A177" s="20">
        <f>IF(A176="","",IF(A176+1&gt;Ввод!$B$4,"",A176+1))</f>
        <v/>
      </c>
      <c r="B177">
        <f>IF(A177="","",IFERROR(INDEX(Ввод!$B$12:$B$71,MATCH(A177,Ввод!$D$12:$D$71,1)),""))</f>
        <v/>
      </c>
      <c r="C177">
        <f>IF(A177="","",DATE(YEAR(A177),12,31)-DATE(YEAR(A177),1,1)+1)</f>
        <v/>
      </c>
      <c r="D177">
        <f>IF(A177="","",SUMIFS(Акты!$D$5:$D$16,Акты!$E$5:$E$16,"&lt;="&amp;A177)-SUMIFS(Оплаты!$B$6:$B$505,Оплаты!$A$6:$A$505,"&lt;"&amp;A177,Оплаты!$D$6:$D$505,"&lt;&gt;"))</f>
        <v/>
      </c>
      <c r="E177">
        <f>IF(A177="","",IF(SUMPRODUCT((Ввод!$F$12:$F$31&lt;&gt;"")*(Ввод!$F$12:$F$31&lt;=A177)*(Ввод!$G$12:$G$31&gt;=A177))&gt;0,1,0))</f>
        <v/>
      </c>
      <c r="G177">
        <f>IF(A177="","",IF(OR(B177&lt;&gt;B176,C177&lt;&gt;C176,E177&lt;&gt;E176),G176+1,G176))</f>
        <v/>
      </c>
    </row>
    <row r="178">
      <c r="A178" s="20">
        <f>IF(A177="","",IF(A177+1&gt;Ввод!$B$4,"",A177+1))</f>
        <v/>
      </c>
      <c r="B178">
        <f>IF(A178="","",IFERROR(INDEX(Ввод!$B$12:$B$71,MATCH(A178,Ввод!$D$12:$D$71,1)),""))</f>
        <v/>
      </c>
      <c r="C178">
        <f>IF(A178="","",DATE(YEAR(A178),12,31)-DATE(YEAR(A178),1,1)+1)</f>
        <v/>
      </c>
      <c r="D178">
        <f>IF(A178="","",SUMIFS(Акты!$D$5:$D$16,Акты!$E$5:$E$16,"&lt;="&amp;A178)-SUMIFS(Оплаты!$B$6:$B$505,Оплаты!$A$6:$A$505,"&lt;"&amp;A178,Оплаты!$D$6:$D$505,"&lt;&gt;"))</f>
        <v/>
      </c>
      <c r="E178">
        <f>IF(A178="","",IF(SUMPRODUCT((Ввод!$F$12:$F$31&lt;&gt;"")*(Ввод!$F$12:$F$31&lt;=A178)*(Ввод!$G$12:$G$31&gt;=A178))&gt;0,1,0))</f>
        <v/>
      </c>
      <c r="G178">
        <f>IF(A178="","",IF(OR(B178&lt;&gt;B177,C178&lt;&gt;C177,E178&lt;&gt;E177),G177+1,G177))</f>
        <v/>
      </c>
    </row>
    <row r="179">
      <c r="A179" s="20">
        <f>IF(A178="","",IF(A178+1&gt;Ввод!$B$4,"",A178+1))</f>
        <v/>
      </c>
      <c r="B179">
        <f>IF(A179="","",IFERROR(INDEX(Ввод!$B$12:$B$71,MATCH(A179,Ввод!$D$12:$D$71,1)),""))</f>
        <v/>
      </c>
      <c r="C179">
        <f>IF(A179="","",DATE(YEAR(A179),12,31)-DATE(YEAR(A179),1,1)+1)</f>
        <v/>
      </c>
      <c r="D179">
        <f>IF(A179="","",SUMIFS(Акты!$D$5:$D$16,Акты!$E$5:$E$16,"&lt;="&amp;A179)-SUMIFS(Оплаты!$B$6:$B$505,Оплаты!$A$6:$A$505,"&lt;"&amp;A179,Оплаты!$D$6:$D$505,"&lt;&gt;"))</f>
        <v/>
      </c>
      <c r="E179">
        <f>IF(A179="","",IF(SUMPRODUCT((Ввод!$F$12:$F$31&lt;&gt;"")*(Ввод!$F$12:$F$31&lt;=A179)*(Ввод!$G$12:$G$31&gt;=A179))&gt;0,1,0))</f>
        <v/>
      </c>
      <c r="G179">
        <f>IF(A179="","",IF(OR(B179&lt;&gt;B178,C179&lt;&gt;C178,E179&lt;&gt;E178),G178+1,G178))</f>
        <v/>
      </c>
    </row>
    <row r="180">
      <c r="A180" s="20">
        <f>IF(A179="","",IF(A179+1&gt;Ввод!$B$4,"",A179+1))</f>
        <v/>
      </c>
      <c r="B180">
        <f>IF(A180="","",IFERROR(INDEX(Ввод!$B$12:$B$71,MATCH(A180,Ввод!$D$12:$D$71,1)),""))</f>
        <v/>
      </c>
      <c r="C180">
        <f>IF(A180="","",DATE(YEAR(A180),12,31)-DATE(YEAR(A180),1,1)+1)</f>
        <v/>
      </c>
      <c r="D180">
        <f>IF(A180="","",SUMIFS(Акты!$D$5:$D$16,Акты!$E$5:$E$16,"&lt;="&amp;A180)-SUMIFS(Оплаты!$B$6:$B$505,Оплаты!$A$6:$A$505,"&lt;"&amp;A180,Оплаты!$D$6:$D$505,"&lt;&gt;"))</f>
        <v/>
      </c>
      <c r="E180">
        <f>IF(A180="","",IF(SUMPRODUCT((Ввод!$F$12:$F$31&lt;&gt;"")*(Ввод!$F$12:$F$31&lt;=A180)*(Ввод!$G$12:$G$31&gt;=A180))&gt;0,1,0))</f>
        <v/>
      </c>
      <c r="G180">
        <f>IF(A180="","",IF(OR(B180&lt;&gt;B179,C180&lt;&gt;C179,E180&lt;&gt;E179),G179+1,G179))</f>
        <v/>
      </c>
    </row>
    <row r="181">
      <c r="A181" s="20">
        <f>IF(A180="","",IF(A180+1&gt;Ввод!$B$4,"",A180+1))</f>
        <v/>
      </c>
      <c r="B181">
        <f>IF(A181="","",IFERROR(INDEX(Ввод!$B$12:$B$71,MATCH(A181,Ввод!$D$12:$D$71,1)),""))</f>
        <v/>
      </c>
      <c r="C181">
        <f>IF(A181="","",DATE(YEAR(A181),12,31)-DATE(YEAR(A181),1,1)+1)</f>
        <v/>
      </c>
      <c r="D181">
        <f>IF(A181="","",SUMIFS(Акты!$D$5:$D$16,Акты!$E$5:$E$16,"&lt;="&amp;A181)-SUMIFS(Оплаты!$B$6:$B$505,Оплаты!$A$6:$A$505,"&lt;"&amp;A181,Оплаты!$D$6:$D$505,"&lt;&gt;"))</f>
        <v/>
      </c>
      <c r="E181">
        <f>IF(A181="","",IF(SUMPRODUCT((Ввод!$F$12:$F$31&lt;&gt;"")*(Ввод!$F$12:$F$31&lt;=A181)*(Ввод!$G$12:$G$31&gt;=A181))&gt;0,1,0))</f>
        <v/>
      </c>
      <c r="G181">
        <f>IF(A181="","",IF(OR(B181&lt;&gt;B180,C181&lt;&gt;C180,E181&lt;&gt;E180),G180+1,G180))</f>
        <v/>
      </c>
    </row>
    <row r="182">
      <c r="A182" s="20">
        <f>IF(A181="","",IF(A181+1&gt;Ввод!$B$4,"",A181+1))</f>
        <v/>
      </c>
      <c r="B182">
        <f>IF(A182="","",IFERROR(INDEX(Ввод!$B$12:$B$71,MATCH(A182,Ввод!$D$12:$D$71,1)),""))</f>
        <v/>
      </c>
      <c r="C182">
        <f>IF(A182="","",DATE(YEAR(A182),12,31)-DATE(YEAR(A182),1,1)+1)</f>
        <v/>
      </c>
      <c r="D182">
        <f>IF(A182="","",SUMIFS(Акты!$D$5:$D$16,Акты!$E$5:$E$16,"&lt;="&amp;A182)-SUMIFS(Оплаты!$B$6:$B$505,Оплаты!$A$6:$A$505,"&lt;"&amp;A182,Оплаты!$D$6:$D$505,"&lt;&gt;"))</f>
        <v/>
      </c>
      <c r="E182">
        <f>IF(A182="","",IF(SUMPRODUCT((Ввод!$F$12:$F$31&lt;&gt;"")*(Ввод!$F$12:$F$31&lt;=A182)*(Ввод!$G$12:$G$31&gt;=A182))&gt;0,1,0))</f>
        <v/>
      </c>
      <c r="G182">
        <f>IF(A182="","",IF(OR(B182&lt;&gt;B181,C182&lt;&gt;C181,E182&lt;&gt;E181),G181+1,G181))</f>
        <v/>
      </c>
    </row>
    <row r="183">
      <c r="A183" s="20">
        <f>IF(A182="","",IF(A182+1&gt;Ввод!$B$4,"",A182+1))</f>
        <v/>
      </c>
      <c r="B183">
        <f>IF(A183="","",IFERROR(INDEX(Ввод!$B$12:$B$71,MATCH(A183,Ввод!$D$12:$D$71,1)),""))</f>
        <v/>
      </c>
      <c r="C183">
        <f>IF(A183="","",DATE(YEAR(A183),12,31)-DATE(YEAR(A183),1,1)+1)</f>
        <v/>
      </c>
      <c r="D183">
        <f>IF(A183="","",SUMIFS(Акты!$D$5:$D$16,Акты!$E$5:$E$16,"&lt;="&amp;A183)-SUMIFS(Оплаты!$B$6:$B$505,Оплаты!$A$6:$A$505,"&lt;"&amp;A183,Оплаты!$D$6:$D$505,"&lt;&gt;"))</f>
        <v/>
      </c>
      <c r="E183">
        <f>IF(A183="","",IF(SUMPRODUCT((Ввод!$F$12:$F$31&lt;&gt;"")*(Ввод!$F$12:$F$31&lt;=A183)*(Ввод!$G$12:$G$31&gt;=A183))&gt;0,1,0))</f>
        <v/>
      </c>
      <c r="G183">
        <f>IF(A183="","",IF(OR(B183&lt;&gt;B182,C183&lt;&gt;C182,E183&lt;&gt;E182),G182+1,G182))</f>
        <v/>
      </c>
    </row>
    <row r="184">
      <c r="A184" s="20">
        <f>IF(A183="","",IF(A183+1&gt;Ввод!$B$4,"",A183+1))</f>
        <v/>
      </c>
      <c r="B184">
        <f>IF(A184="","",IFERROR(INDEX(Ввод!$B$12:$B$71,MATCH(A184,Ввод!$D$12:$D$71,1)),""))</f>
        <v/>
      </c>
      <c r="C184">
        <f>IF(A184="","",DATE(YEAR(A184),12,31)-DATE(YEAR(A184),1,1)+1)</f>
        <v/>
      </c>
      <c r="D184">
        <f>IF(A184="","",SUMIFS(Акты!$D$5:$D$16,Акты!$E$5:$E$16,"&lt;="&amp;A184)-SUMIFS(Оплаты!$B$6:$B$505,Оплаты!$A$6:$A$505,"&lt;"&amp;A184,Оплаты!$D$6:$D$505,"&lt;&gt;"))</f>
        <v/>
      </c>
      <c r="E184">
        <f>IF(A184="","",IF(SUMPRODUCT((Ввод!$F$12:$F$31&lt;&gt;"")*(Ввод!$F$12:$F$31&lt;=A184)*(Ввод!$G$12:$G$31&gt;=A184))&gt;0,1,0))</f>
        <v/>
      </c>
      <c r="G184">
        <f>IF(A184="","",IF(OR(B184&lt;&gt;B183,C184&lt;&gt;C183,E184&lt;&gt;E183),G183+1,G183))</f>
        <v/>
      </c>
    </row>
    <row r="185">
      <c r="A185" s="20">
        <f>IF(A184="","",IF(A184+1&gt;Ввод!$B$4,"",A184+1))</f>
        <v/>
      </c>
      <c r="B185">
        <f>IF(A185="","",IFERROR(INDEX(Ввод!$B$12:$B$71,MATCH(A185,Ввод!$D$12:$D$71,1)),""))</f>
        <v/>
      </c>
      <c r="C185">
        <f>IF(A185="","",DATE(YEAR(A185),12,31)-DATE(YEAR(A185),1,1)+1)</f>
        <v/>
      </c>
      <c r="D185">
        <f>IF(A185="","",SUMIFS(Акты!$D$5:$D$16,Акты!$E$5:$E$16,"&lt;="&amp;A185)-SUMIFS(Оплаты!$B$6:$B$505,Оплаты!$A$6:$A$505,"&lt;"&amp;A185,Оплаты!$D$6:$D$505,"&lt;&gt;"))</f>
        <v/>
      </c>
      <c r="E185">
        <f>IF(A185="","",IF(SUMPRODUCT((Ввод!$F$12:$F$31&lt;&gt;"")*(Ввод!$F$12:$F$31&lt;=A185)*(Ввод!$G$12:$G$31&gt;=A185))&gt;0,1,0))</f>
        <v/>
      </c>
      <c r="G185">
        <f>IF(A185="","",IF(OR(B185&lt;&gt;B184,C185&lt;&gt;C184,E185&lt;&gt;E184),G184+1,G184))</f>
        <v/>
      </c>
    </row>
    <row r="186">
      <c r="A186" s="20">
        <f>IF(A185="","",IF(A185+1&gt;Ввод!$B$4,"",A185+1))</f>
        <v/>
      </c>
      <c r="B186">
        <f>IF(A186="","",IFERROR(INDEX(Ввод!$B$12:$B$71,MATCH(A186,Ввод!$D$12:$D$71,1)),""))</f>
        <v/>
      </c>
      <c r="C186">
        <f>IF(A186="","",DATE(YEAR(A186),12,31)-DATE(YEAR(A186),1,1)+1)</f>
        <v/>
      </c>
      <c r="D186">
        <f>IF(A186="","",SUMIFS(Акты!$D$5:$D$16,Акты!$E$5:$E$16,"&lt;="&amp;A186)-SUMIFS(Оплаты!$B$6:$B$505,Оплаты!$A$6:$A$505,"&lt;"&amp;A186,Оплаты!$D$6:$D$505,"&lt;&gt;"))</f>
        <v/>
      </c>
      <c r="E186">
        <f>IF(A186="","",IF(SUMPRODUCT((Ввод!$F$12:$F$31&lt;&gt;"")*(Ввод!$F$12:$F$31&lt;=A186)*(Ввод!$G$12:$G$31&gt;=A186))&gt;0,1,0))</f>
        <v/>
      </c>
      <c r="G186">
        <f>IF(A186="","",IF(OR(B186&lt;&gt;B185,C186&lt;&gt;C185,E186&lt;&gt;E185),G185+1,G185))</f>
        <v/>
      </c>
    </row>
    <row r="187">
      <c r="A187" s="20">
        <f>IF(A186="","",IF(A186+1&gt;Ввод!$B$4,"",A186+1))</f>
        <v/>
      </c>
      <c r="B187">
        <f>IF(A187="","",IFERROR(INDEX(Ввод!$B$12:$B$71,MATCH(A187,Ввод!$D$12:$D$71,1)),""))</f>
        <v/>
      </c>
      <c r="C187">
        <f>IF(A187="","",DATE(YEAR(A187),12,31)-DATE(YEAR(A187),1,1)+1)</f>
        <v/>
      </c>
      <c r="D187">
        <f>IF(A187="","",SUMIFS(Акты!$D$5:$D$16,Акты!$E$5:$E$16,"&lt;="&amp;A187)-SUMIFS(Оплаты!$B$6:$B$505,Оплаты!$A$6:$A$505,"&lt;"&amp;A187,Оплаты!$D$6:$D$505,"&lt;&gt;"))</f>
        <v/>
      </c>
      <c r="E187">
        <f>IF(A187="","",IF(SUMPRODUCT((Ввод!$F$12:$F$31&lt;&gt;"")*(Ввод!$F$12:$F$31&lt;=A187)*(Ввод!$G$12:$G$31&gt;=A187))&gt;0,1,0))</f>
        <v/>
      </c>
      <c r="G187">
        <f>IF(A187="","",IF(OR(B187&lt;&gt;B186,C187&lt;&gt;C186,E187&lt;&gt;E186),G186+1,G186))</f>
        <v/>
      </c>
    </row>
    <row r="188">
      <c r="A188" s="20">
        <f>IF(A187="","",IF(A187+1&gt;Ввод!$B$4,"",A187+1))</f>
        <v/>
      </c>
      <c r="B188">
        <f>IF(A188="","",IFERROR(INDEX(Ввод!$B$12:$B$71,MATCH(A188,Ввод!$D$12:$D$71,1)),""))</f>
        <v/>
      </c>
      <c r="C188">
        <f>IF(A188="","",DATE(YEAR(A188),12,31)-DATE(YEAR(A188),1,1)+1)</f>
        <v/>
      </c>
      <c r="D188">
        <f>IF(A188="","",SUMIFS(Акты!$D$5:$D$16,Акты!$E$5:$E$16,"&lt;="&amp;A188)-SUMIFS(Оплаты!$B$6:$B$505,Оплаты!$A$6:$A$505,"&lt;"&amp;A188,Оплаты!$D$6:$D$505,"&lt;&gt;"))</f>
        <v/>
      </c>
      <c r="E188">
        <f>IF(A188="","",IF(SUMPRODUCT((Ввод!$F$12:$F$31&lt;&gt;"")*(Ввод!$F$12:$F$31&lt;=A188)*(Ввод!$G$12:$G$31&gt;=A188))&gt;0,1,0))</f>
        <v/>
      </c>
      <c r="G188">
        <f>IF(A188="","",IF(OR(B188&lt;&gt;B187,C188&lt;&gt;C187,E188&lt;&gt;E187),G187+1,G187))</f>
        <v/>
      </c>
    </row>
    <row r="189">
      <c r="A189" s="20">
        <f>IF(A188="","",IF(A188+1&gt;Ввод!$B$4,"",A188+1))</f>
        <v/>
      </c>
      <c r="B189">
        <f>IF(A189="","",IFERROR(INDEX(Ввод!$B$12:$B$71,MATCH(A189,Ввод!$D$12:$D$71,1)),""))</f>
        <v/>
      </c>
      <c r="C189">
        <f>IF(A189="","",DATE(YEAR(A189),12,31)-DATE(YEAR(A189),1,1)+1)</f>
        <v/>
      </c>
      <c r="D189">
        <f>IF(A189="","",SUMIFS(Акты!$D$5:$D$16,Акты!$E$5:$E$16,"&lt;="&amp;A189)-SUMIFS(Оплаты!$B$6:$B$505,Оплаты!$A$6:$A$505,"&lt;"&amp;A189,Оплаты!$D$6:$D$505,"&lt;&gt;"))</f>
        <v/>
      </c>
      <c r="E189">
        <f>IF(A189="","",IF(SUMPRODUCT((Ввод!$F$12:$F$31&lt;&gt;"")*(Ввод!$F$12:$F$31&lt;=A189)*(Ввод!$G$12:$G$31&gt;=A189))&gt;0,1,0))</f>
        <v/>
      </c>
      <c r="G189">
        <f>IF(A189="","",IF(OR(B189&lt;&gt;B188,C189&lt;&gt;C188,E189&lt;&gt;E188),G188+1,G188))</f>
        <v/>
      </c>
    </row>
    <row r="190">
      <c r="A190" s="20">
        <f>IF(A189="","",IF(A189+1&gt;Ввод!$B$4,"",A189+1))</f>
        <v/>
      </c>
      <c r="B190">
        <f>IF(A190="","",IFERROR(INDEX(Ввод!$B$12:$B$71,MATCH(A190,Ввод!$D$12:$D$71,1)),""))</f>
        <v/>
      </c>
      <c r="C190">
        <f>IF(A190="","",DATE(YEAR(A190),12,31)-DATE(YEAR(A190),1,1)+1)</f>
        <v/>
      </c>
      <c r="D190">
        <f>IF(A190="","",SUMIFS(Акты!$D$5:$D$16,Акты!$E$5:$E$16,"&lt;="&amp;A190)-SUMIFS(Оплаты!$B$6:$B$505,Оплаты!$A$6:$A$505,"&lt;"&amp;A190,Оплаты!$D$6:$D$505,"&lt;&gt;"))</f>
        <v/>
      </c>
      <c r="E190">
        <f>IF(A190="","",IF(SUMPRODUCT((Ввод!$F$12:$F$31&lt;&gt;"")*(Ввод!$F$12:$F$31&lt;=A190)*(Ввод!$G$12:$G$31&gt;=A190))&gt;0,1,0))</f>
        <v/>
      </c>
      <c r="G190">
        <f>IF(A190="","",IF(OR(B190&lt;&gt;B189,C190&lt;&gt;C189,E190&lt;&gt;E189),G189+1,G189))</f>
        <v/>
      </c>
    </row>
    <row r="191">
      <c r="A191" s="20">
        <f>IF(A190="","",IF(A190+1&gt;Ввод!$B$4,"",A190+1))</f>
        <v/>
      </c>
      <c r="B191">
        <f>IF(A191="","",IFERROR(INDEX(Ввод!$B$12:$B$71,MATCH(A191,Ввод!$D$12:$D$71,1)),""))</f>
        <v/>
      </c>
      <c r="C191">
        <f>IF(A191="","",DATE(YEAR(A191),12,31)-DATE(YEAR(A191),1,1)+1)</f>
        <v/>
      </c>
      <c r="D191">
        <f>IF(A191="","",SUMIFS(Акты!$D$5:$D$16,Акты!$E$5:$E$16,"&lt;="&amp;A191)-SUMIFS(Оплаты!$B$6:$B$505,Оплаты!$A$6:$A$505,"&lt;"&amp;A191,Оплаты!$D$6:$D$505,"&lt;&gt;"))</f>
        <v/>
      </c>
      <c r="E191">
        <f>IF(A191="","",IF(SUMPRODUCT((Ввод!$F$12:$F$31&lt;&gt;"")*(Ввод!$F$12:$F$31&lt;=A191)*(Ввод!$G$12:$G$31&gt;=A191))&gt;0,1,0))</f>
        <v/>
      </c>
      <c r="G191">
        <f>IF(A191="","",IF(OR(B191&lt;&gt;B190,C191&lt;&gt;C190,E191&lt;&gt;E190),G190+1,G190))</f>
        <v/>
      </c>
    </row>
    <row r="192">
      <c r="A192" s="20">
        <f>IF(A191="","",IF(A191+1&gt;Ввод!$B$4,"",A191+1))</f>
        <v/>
      </c>
      <c r="B192">
        <f>IF(A192="","",IFERROR(INDEX(Ввод!$B$12:$B$71,MATCH(A192,Ввод!$D$12:$D$71,1)),""))</f>
        <v/>
      </c>
      <c r="C192">
        <f>IF(A192="","",DATE(YEAR(A192),12,31)-DATE(YEAR(A192),1,1)+1)</f>
        <v/>
      </c>
      <c r="D192">
        <f>IF(A192="","",SUMIFS(Акты!$D$5:$D$16,Акты!$E$5:$E$16,"&lt;="&amp;A192)-SUMIFS(Оплаты!$B$6:$B$505,Оплаты!$A$6:$A$505,"&lt;"&amp;A192,Оплаты!$D$6:$D$505,"&lt;&gt;"))</f>
        <v/>
      </c>
      <c r="E192">
        <f>IF(A192="","",IF(SUMPRODUCT((Ввод!$F$12:$F$31&lt;&gt;"")*(Ввод!$F$12:$F$31&lt;=A192)*(Ввод!$G$12:$G$31&gt;=A192))&gt;0,1,0))</f>
        <v/>
      </c>
      <c r="G192">
        <f>IF(A192="","",IF(OR(B192&lt;&gt;B191,C192&lt;&gt;C191,E192&lt;&gt;E191),G191+1,G191))</f>
        <v/>
      </c>
    </row>
    <row r="193">
      <c r="A193" s="20">
        <f>IF(A192="","",IF(A192+1&gt;Ввод!$B$4,"",A192+1))</f>
        <v/>
      </c>
      <c r="B193">
        <f>IF(A193="","",IFERROR(INDEX(Ввод!$B$12:$B$71,MATCH(A193,Ввод!$D$12:$D$71,1)),""))</f>
        <v/>
      </c>
      <c r="C193">
        <f>IF(A193="","",DATE(YEAR(A193),12,31)-DATE(YEAR(A193),1,1)+1)</f>
        <v/>
      </c>
      <c r="D193">
        <f>IF(A193="","",SUMIFS(Акты!$D$5:$D$16,Акты!$E$5:$E$16,"&lt;="&amp;A193)-SUMIFS(Оплаты!$B$6:$B$505,Оплаты!$A$6:$A$505,"&lt;"&amp;A193,Оплаты!$D$6:$D$505,"&lt;&gt;"))</f>
        <v/>
      </c>
      <c r="E193">
        <f>IF(A193="","",IF(SUMPRODUCT((Ввод!$F$12:$F$31&lt;&gt;"")*(Ввод!$F$12:$F$31&lt;=A193)*(Ввод!$G$12:$G$31&gt;=A193))&gt;0,1,0))</f>
        <v/>
      </c>
      <c r="G193">
        <f>IF(A193="","",IF(OR(B193&lt;&gt;B192,C193&lt;&gt;C192,E193&lt;&gt;E192),G192+1,G192))</f>
        <v/>
      </c>
    </row>
    <row r="194">
      <c r="A194" s="20">
        <f>IF(A193="","",IF(A193+1&gt;Ввод!$B$4,"",A193+1))</f>
        <v/>
      </c>
      <c r="B194">
        <f>IF(A194="","",IFERROR(INDEX(Ввод!$B$12:$B$71,MATCH(A194,Ввод!$D$12:$D$71,1)),""))</f>
        <v/>
      </c>
      <c r="C194">
        <f>IF(A194="","",DATE(YEAR(A194),12,31)-DATE(YEAR(A194),1,1)+1)</f>
        <v/>
      </c>
      <c r="D194">
        <f>IF(A194="","",SUMIFS(Акты!$D$5:$D$16,Акты!$E$5:$E$16,"&lt;="&amp;A194)-SUMIFS(Оплаты!$B$6:$B$505,Оплаты!$A$6:$A$505,"&lt;"&amp;A194,Оплаты!$D$6:$D$505,"&lt;&gt;"))</f>
        <v/>
      </c>
      <c r="E194">
        <f>IF(A194="","",IF(SUMPRODUCT((Ввод!$F$12:$F$31&lt;&gt;"")*(Ввод!$F$12:$F$31&lt;=A194)*(Ввод!$G$12:$G$31&gt;=A194))&gt;0,1,0))</f>
        <v/>
      </c>
      <c r="G194">
        <f>IF(A194="","",IF(OR(B194&lt;&gt;B193,C194&lt;&gt;C193,E194&lt;&gt;E193),G193+1,G193))</f>
        <v/>
      </c>
    </row>
    <row r="195">
      <c r="A195" s="20">
        <f>IF(A194="","",IF(A194+1&gt;Ввод!$B$4,"",A194+1))</f>
        <v/>
      </c>
      <c r="B195">
        <f>IF(A195="","",IFERROR(INDEX(Ввод!$B$12:$B$71,MATCH(A195,Ввод!$D$12:$D$71,1)),""))</f>
        <v/>
      </c>
      <c r="C195">
        <f>IF(A195="","",DATE(YEAR(A195),12,31)-DATE(YEAR(A195),1,1)+1)</f>
        <v/>
      </c>
      <c r="D195">
        <f>IF(A195="","",SUMIFS(Акты!$D$5:$D$16,Акты!$E$5:$E$16,"&lt;="&amp;A195)-SUMIFS(Оплаты!$B$6:$B$505,Оплаты!$A$6:$A$505,"&lt;"&amp;A195,Оплаты!$D$6:$D$505,"&lt;&gt;"))</f>
        <v/>
      </c>
      <c r="E195">
        <f>IF(A195="","",IF(SUMPRODUCT((Ввод!$F$12:$F$31&lt;&gt;"")*(Ввод!$F$12:$F$31&lt;=A195)*(Ввод!$G$12:$G$31&gt;=A195))&gt;0,1,0))</f>
        <v/>
      </c>
      <c r="G195">
        <f>IF(A195="","",IF(OR(B195&lt;&gt;B194,C195&lt;&gt;C194,E195&lt;&gt;E194),G194+1,G194))</f>
        <v/>
      </c>
    </row>
    <row r="196">
      <c r="A196" s="20">
        <f>IF(A195="","",IF(A195+1&gt;Ввод!$B$4,"",A195+1))</f>
        <v/>
      </c>
      <c r="B196">
        <f>IF(A196="","",IFERROR(INDEX(Ввод!$B$12:$B$71,MATCH(A196,Ввод!$D$12:$D$71,1)),""))</f>
        <v/>
      </c>
      <c r="C196">
        <f>IF(A196="","",DATE(YEAR(A196),12,31)-DATE(YEAR(A196),1,1)+1)</f>
        <v/>
      </c>
      <c r="D196">
        <f>IF(A196="","",SUMIFS(Акты!$D$5:$D$16,Акты!$E$5:$E$16,"&lt;="&amp;A196)-SUMIFS(Оплаты!$B$6:$B$505,Оплаты!$A$6:$A$505,"&lt;"&amp;A196,Оплаты!$D$6:$D$505,"&lt;&gt;"))</f>
        <v/>
      </c>
      <c r="E196">
        <f>IF(A196="","",IF(SUMPRODUCT((Ввод!$F$12:$F$31&lt;&gt;"")*(Ввод!$F$12:$F$31&lt;=A196)*(Ввод!$G$12:$G$31&gt;=A196))&gt;0,1,0))</f>
        <v/>
      </c>
      <c r="G196">
        <f>IF(A196="","",IF(OR(B196&lt;&gt;B195,C196&lt;&gt;C195,E196&lt;&gt;E195),G195+1,G195))</f>
        <v/>
      </c>
    </row>
    <row r="197">
      <c r="A197" s="20">
        <f>IF(A196="","",IF(A196+1&gt;Ввод!$B$4,"",A196+1))</f>
        <v/>
      </c>
      <c r="B197">
        <f>IF(A197="","",IFERROR(INDEX(Ввод!$B$12:$B$71,MATCH(A197,Ввод!$D$12:$D$71,1)),""))</f>
        <v/>
      </c>
      <c r="C197">
        <f>IF(A197="","",DATE(YEAR(A197),12,31)-DATE(YEAR(A197),1,1)+1)</f>
        <v/>
      </c>
      <c r="D197">
        <f>IF(A197="","",SUMIFS(Акты!$D$5:$D$16,Акты!$E$5:$E$16,"&lt;="&amp;A197)-SUMIFS(Оплаты!$B$6:$B$505,Оплаты!$A$6:$A$505,"&lt;"&amp;A197,Оплаты!$D$6:$D$505,"&lt;&gt;"))</f>
        <v/>
      </c>
      <c r="E197">
        <f>IF(A197="","",IF(SUMPRODUCT((Ввод!$F$12:$F$31&lt;&gt;"")*(Ввод!$F$12:$F$31&lt;=A197)*(Ввод!$G$12:$G$31&gt;=A197))&gt;0,1,0))</f>
        <v/>
      </c>
      <c r="G197">
        <f>IF(A197="","",IF(OR(B197&lt;&gt;B196,C197&lt;&gt;C196,E197&lt;&gt;E196),G196+1,G196))</f>
        <v/>
      </c>
    </row>
    <row r="198">
      <c r="A198" s="20">
        <f>IF(A197="","",IF(A197+1&gt;Ввод!$B$4,"",A197+1))</f>
        <v/>
      </c>
      <c r="B198">
        <f>IF(A198="","",IFERROR(INDEX(Ввод!$B$12:$B$71,MATCH(A198,Ввод!$D$12:$D$71,1)),""))</f>
        <v/>
      </c>
      <c r="C198">
        <f>IF(A198="","",DATE(YEAR(A198),12,31)-DATE(YEAR(A198),1,1)+1)</f>
        <v/>
      </c>
      <c r="D198">
        <f>IF(A198="","",SUMIFS(Акты!$D$5:$D$16,Акты!$E$5:$E$16,"&lt;="&amp;A198)-SUMIFS(Оплаты!$B$6:$B$505,Оплаты!$A$6:$A$505,"&lt;"&amp;A198,Оплаты!$D$6:$D$505,"&lt;&gt;"))</f>
        <v/>
      </c>
      <c r="E198">
        <f>IF(A198="","",IF(SUMPRODUCT((Ввод!$F$12:$F$31&lt;&gt;"")*(Ввод!$F$12:$F$31&lt;=A198)*(Ввод!$G$12:$G$31&gt;=A198))&gt;0,1,0))</f>
        <v/>
      </c>
      <c r="G198">
        <f>IF(A198="","",IF(OR(B198&lt;&gt;B197,C198&lt;&gt;C197,E198&lt;&gt;E197),G197+1,G197))</f>
        <v/>
      </c>
    </row>
    <row r="199">
      <c r="A199" s="20">
        <f>IF(A198="","",IF(A198+1&gt;Ввод!$B$4,"",A198+1))</f>
        <v/>
      </c>
      <c r="B199">
        <f>IF(A199="","",IFERROR(INDEX(Ввод!$B$12:$B$71,MATCH(A199,Ввод!$D$12:$D$71,1)),""))</f>
        <v/>
      </c>
      <c r="C199">
        <f>IF(A199="","",DATE(YEAR(A199),12,31)-DATE(YEAR(A199),1,1)+1)</f>
        <v/>
      </c>
      <c r="D199">
        <f>IF(A199="","",SUMIFS(Акты!$D$5:$D$16,Акты!$E$5:$E$16,"&lt;="&amp;A199)-SUMIFS(Оплаты!$B$6:$B$505,Оплаты!$A$6:$A$505,"&lt;"&amp;A199,Оплаты!$D$6:$D$505,"&lt;&gt;"))</f>
        <v/>
      </c>
      <c r="E199">
        <f>IF(A199="","",IF(SUMPRODUCT((Ввод!$F$12:$F$31&lt;&gt;"")*(Ввод!$F$12:$F$31&lt;=A199)*(Ввод!$G$12:$G$31&gt;=A199))&gt;0,1,0))</f>
        <v/>
      </c>
      <c r="G199">
        <f>IF(A199="","",IF(OR(B199&lt;&gt;B198,C199&lt;&gt;C198,E199&lt;&gt;E198),G198+1,G198))</f>
        <v/>
      </c>
    </row>
    <row r="200">
      <c r="A200" s="20">
        <f>IF(A199="","",IF(A199+1&gt;Ввод!$B$4,"",A199+1))</f>
        <v/>
      </c>
      <c r="B200">
        <f>IF(A200="","",IFERROR(INDEX(Ввод!$B$12:$B$71,MATCH(A200,Ввод!$D$12:$D$71,1)),""))</f>
        <v/>
      </c>
      <c r="C200">
        <f>IF(A200="","",DATE(YEAR(A200),12,31)-DATE(YEAR(A200),1,1)+1)</f>
        <v/>
      </c>
      <c r="D200">
        <f>IF(A200="","",SUMIFS(Акты!$D$5:$D$16,Акты!$E$5:$E$16,"&lt;="&amp;A200)-SUMIFS(Оплаты!$B$6:$B$505,Оплаты!$A$6:$A$505,"&lt;"&amp;A200,Оплаты!$D$6:$D$505,"&lt;&gt;"))</f>
        <v/>
      </c>
      <c r="E200">
        <f>IF(A200="","",IF(SUMPRODUCT((Ввод!$F$12:$F$31&lt;&gt;"")*(Ввод!$F$12:$F$31&lt;=A200)*(Ввод!$G$12:$G$31&gt;=A200))&gt;0,1,0))</f>
        <v/>
      </c>
      <c r="G200">
        <f>IF(A200="","",IF(OR(B200&lt;&gt;B199,C200&lt;&gt;C199,E200&lt;&gt;E199),G199+1,G199))</f>
        <v/>
      </c>
    </row>
    <row r="201">
      <c r="A201" s="20">
        <f>IF(A200="","",IF(A200+1&gt;Ввод!$B$4,"",A200+1))</f>
        <v/>
      </c>
      <c r="B201">
        <f>IF(A201="","",IFERROR(INDEX(Ввод!$B$12:$B$71,MATCH(A201,Ввод!$D$12:$D$71,1)),""))</f>
        <v/>
      </c>
      <c r="C201">
        <f>IF(A201="","",DATE(YEAR(A201),12,31)-DATE(YEAR(A201),1,1)+1)</f>
        <v/>
      </c>
      <c r="D201">
        <f>IF(A201="","",SUMIFS(Акты!$D$5:$D$16,Акты!$E$5:$E$16,"&lt;="&amp;A201)-SUMIFS(Оплаты!$B$6:$B$505,Оплаты!$A$6:$A$505,"&lt;"&amp;A201,Оплаты!$D$6:$D$505,"&lt;&gt;"))</f>
        <v/>
      </c>
      <c r="E201">
        <f>IF(A201="","",IF(SUMPRODUCT((Ввод!$F$12:$F$31&lt;&gt;"")*(Ввод!$F$12:$F$31&lt;=A201)*(Ввод!$G$12:$G$31&gt;=A201))&gt;0,1,0))</f>
        <v/>
      </c>
      <c r="G201">
        <f>IF(A201="","",IF(OR(B201&lt;&gt;B200,C201&lt;&gt;C200,E201&lt;&gt;E200),G200+1,G200))</f>
        <v/>
      </c>
    </row>
    <row r="202">
      <c r="A202" s="20">
        <f>IF(A201="","",IF(A201+1&gt;Ввод!$B$4,"",A201+1))</f>
        <v/>
      </c>
      <c r="B202">
        <f>IF(A202="","",IFERROR(INDEX(Ввод!$B$12:$B$71,MATCH(A202,Ввод!$D$12:$D$71,1)),""))</f>
        <v/>
      </c>
      <c r="C202">
        <f>IF(A202="","",DATE(YEAR(A202),12,31)-DATE(YEAR(A202),1,1)+1)</f>
        <v/>
      </c>
      <c r="D202">
        <f>IF(A202="","",SUMIFS(Акты!$D$5:$D$16,Акты!$E$5:$E$16,"&lt;="&amp;A202)-SUMIFS(Оплаты!$B$6:$B$505,Оплаты!$A$6:$A$505,"&lt;"&amp;A202,Оплаты!$D$6:$D$505,"&lt;&gt;"))</f>
        <v/>
      </c>
      <c r="E202">
        <f>IF(A202="","",IF(SUMPRODUCT((Ввод!$F$12:$F$31&lt;&gt;"")*(Ввод!$F$12:$F$31&lt;=A202)*(Ввод!$G$12:$G$31&gt;=A202))&gt;0,1,0))</f>
        <v/>
      </c>
      <c r="G202">
        <f>IF(A202="","",IF(OR(B202&lt;&gt;B201,C202&lt;&gt;C201,E202&lt;&gt;E201),G201+1,G201))</f>
        <v/>
      </c>
    </row>
    <row r="203">
      <c r="A203" s="20">
        <f>IF(A202="","",IF(A202+1&gt;Ввод!$B$4,"",A202+1))</f>
        <v/>
      </c>
      <c r="B203">
        <f>IF(A203="","",IFERROR(INDEX(Ввод!$B$12:$B$71,MATCH(A203,Ввод!$D$12:$D$71,1)),""))</f>
        <v/>
      </c>
      <c r="C203">
        <f>IF(A203="","",DATE(YEAR(A203),12,31)-DATE(YEAR(A203),1,1)+1)</f>
        <v/>
      </c>
      <c r="D203">
        <f>IF(A203="","",SUMIFS(Акты!$D$5:$D$16,Акты!$E$5:$E$16,"&lt;="&amp;A203)-SUMIFS(Оплаты!$B$6:$B$505,Оплаты!$A$6:$A$505,"&lt;"&amp;A203,Оплаты!$D$6:$D$505,"&lt;&gt;"))</f>
        <v/>
      </c>
      <c r="E203">
        <f>IF(A203="","",IF(SUMPRODUCT((Ввод!$F$12:$F$31&lt;&gt;"")*(Ввод!$F$12:$F$31&lt;=A203)*(Ввод!$G$12:$G$31&gt;=A203))&gt;0,1,0))</f>
        <v/>
      </c>
      <c r="G203">
        <f>IF(A203="","",IF(OR(B203&lt;&gt;B202,C203&lt;&gt;C202,E203&lt;&gt;E202),G202+1,G202))</f>
        <v/>
      </c>
    </row>
    <row r="204">
      <c r="A204" s="20">
        <f>IF(A203="","",IF(A203+1&gt;Ввод!$B$4,"",A203+1))</f>
        <v/>
      </c>
      <c r="B204">
        <f>IF(A204="","",IFERROR(INDEX(Ввод!$B$12:$B$71,MATCH(A204,Ввод!$D$12:$D$71,1)),""))</f>
        <v/>
      </c>
      <c r="C204">
        <f>IF(A204="","",DATE(YEAR(A204),12,31)-DATE(YEAR(A204),1,1)+1)</f>
        <v/>
      </c>
      <c r="D204">
        <f>IF(A204="","",SUMIFS(Акты!$D$5:$D$16,Акты!$E$5:$E$16,"&lt;="&amp;A204)-SUMIFS(Оплаты!$B$6:$B$505,Оплаты!$A$6:$A$505,"&lt;"&amp;A204,Оплаты!$D$6:$D$505,"&lt;&gt;"))</f>
        <v/>
      </c>
      <c r="E204">
        <f>IF(A204="","",IF(SUMPRODUCT((Ввод!$F$12:$F$31&lt;&gt;"")*(Ввод!$F$12:$F$31&lt;=A204)*(Ввод!$G$12:$G$31&gt;=A204))&gt;0,1,0))</f>
        <v/>
      </c>
      <c r="G204">
        <f>IF(A204="","",IF(OR(B204&lt;&gt;B203,C204&lt;&gt;C203,E204&lt;&gt;E203),G203+1,G203))</f>
        <v/>
      </c>
    </row>
    <row r="205">
      <c r="A205" s="20">
        <f>IF(A204="","",IF(A204+1&gt;Ввод!$B$4,"",A204+1))</f>
        <v/>
      </c>
      <c r="B205">
        <f>IF(A205="","",IFERROR(INDEX(Ввод!$B$12:$B$71,MATCH(A205,Ввод!$D$12:$D$71,1)),""))</f>
        <v/>
      </c>
      <c r="C205">
        <f>IF(A205="","",DATE(YEAR(A205),12,31)-DATE(YEAR(A205),1,1)+1)</f>
        <v/>
      </c>
      <c r="D205">
        <f>IF(A205="","",SUMIFS(Акты!$D$5:$D$16,Акты!$E$5:$E$16,"&lt;="&amp;A205)-SUMIFS(Оплаты!$B$6:$B$505,Оплаты!$A$6:$A$505,"&lt;"&amp;A205,Оплаты!$D$6:$D$505,"&lt;&gt;"))</f>
        <v/>
      </c>
      <c r="E205">
        <f>IF(A205="","",IF(SUMPRODUCT((Ввод!$F$12:$F$31&lt;&gt;"")*(Ввод!$F$12:$F$31&lt;=A205)*(Ввод!$G$12:$G$31&gt;=A205))&gt;0,1,0))</f>
        <v/>
      </c>
      <c r="G205">
        <f>IF(A205="","",IF(OR(B205&lt;&gt;B204,C205&lt;&gt;C204,E205&lt;&gt;E204),G204+1,G204))</f>
        <v/>
      </c>
    </row>
    <row r="206">
      <c r="A206" s="20">
        <f>IF(A205="","",IF(A205+1&gt;Ввод!$B$4,"",A205+1))</f>
        <v/>
      </c>
      <c r="B206">
        <f>IF(A206="","",IFERROR(INDEX(Ввод!$B$12:$B$71,MATCH(A206,Ввод!$D$12:$D$71,1)),""))</f>
        <v/>
      </c>
      <c r="C206">
        <f>IF(A206="","",DATE(YEAR(A206),12,31)-DATE(YEAR(A206),1,1)+1)</f>
        <v/>
      </c>
      <c r="D206">
        <f>IF(A206="","",SUMIFS(Акты!$D$5:$D$16,Акты!$E$5:$E$16,"&lt;="&amp;A206)-SUMIFS(Оплаты!$B$6:$B$505,Оплаты!$A$6:$A$505,"&lt;"&amp;A206,Оплаты!$D$6:$D$505,"&lt;&gt;"))</f>
        <v/>
      </c>
      <c r="E206">
        <f>IF(A206="","",IF(SUMPRODUCT((Ввод!$F$12:$F$31&lt;&gt;"")*(Ввод!$F$12:$F$31&lt;=A206)*(Ввод!$G$12:$G$31&gt;=A206))&gt;0,1,0))</f>
        <v/>
      </c>
      <c r="G206">
        <f>IF(A206="","",IF(OR(B206&lt;&gt;B205,C206&lt;&gt;C205,E206&lt;&gt;E205),G205+1,G205))</f>
        <v/>
      </c>
    </row>
    <row r="207">
      <c r="A207" s="20">
        <f>IF(A206="","",IF(A206+1&gt;Ввод!$B$4,"",A206+1))</f>
        <v/>
      </c>
      <c r="B207">
        <f>IF(A207="","",IFERROR(INDEX(Ввод!$B$12:$B$71,MATCH(A207,Ввод!$D$12:$D$71,1)),""))</f>
        <v/>
      </c>
      <c r="C207">
        <f>IF(A207="","",DATE(YEAR(A207),12,31)-DATE(YEAR(A207),1,1)+1)</f>
        <v/>
      </c>
      <c r="D207">
        <f>IF(A207="","",SUMIFS(Акты!$D$5:$D$16,Акты!$E$5:$E$16,"&lt;="&amp;A207)-SUMIFS(Оплаты!$B$6:$B$505,Оплаты!$A$6:$A$505,"&lt;"&amp;A207,Оплаты!$D$6:$D$505,"&lt;&gt;"))</f>
        <v/>
      </c>
      <c r="E207">
        <f>IF(A207="","",IF(SUMPRODUCT((Ввод!$F$12:$F$31&lt;&gt;"")*(Ввод!$F$12:$F$31&lt;=A207)*(Ввод!$G$12:$G$31&gt;=A207))&gt;0,1,0))</f>
        <v/>
      </c>
      <c r="G207">
        <f>IF(A207="","",IF(OR(B207&lt;&gt;B206,C207&lt;&gt;C206,E207&lt;&gt;E206),G206+1,G206))</f>
        <v/>
      </c>
    </row>
    <row r="208">
      <c r="A208" s="20">
        <f>IF(A207="","",IF(A207+1&gt;Ввод!$B$4,"",A207+1))</f>
        <v/>
      </c>
      <c r="B208">
        <f>IF(A208="","",IFERROR(INDEX(Ввод!$B$12:$B$71,MATCH(A208,Ввод!$D$12:$D$71,1)),""))</f>
        <v/>
      </c>
      <c r="C208">
        <f>IF(A208="","",DATE(YEAR(A208),12,31)-DATE(YEAR(A208),1,1)+1)</f>
        <v/>
      </c>
      <c r="D208">
        <f>IF(A208="","",SUMIFS(Акты!$D$5:$D$16,Акты!$E$5:$E$16,"&lt;="&amp;A208)-SUMIFS(Оплаты!$B$6:$B$505,Оплаты!$A$6:$A$505,"&lt;"&amp;A208,Оплаты!$D$6:$D$505,"&lt;&gt;"))</f>
        <v/>
      </c>
      <c r="E208">
        <f>IF(A208="","",IF(SUMPRODUCT((Ввод!$F$12:$F$31&lt;&gt;"")*(Ввод!$F$12:$F$31&lt;=A208)*(Ввод!$G$12:$G$31&gt;=A208))&gt;0,1,0))</f>
        <v/>
      </c>
      <c r="G208">
        <f>IF(A208="","",IF(OR(B208&lt;&gt;B207,C208&lt;&gt;C207,E208&lt;&gt;E207),G207+1,G207))</f>
        <v/>
      </c>
    </row>
    <row r="209">
      <c r="A209" s="20">
        <f>IF(A208="","",IF(A208+1&gt;Ввод!$B$4,"",A208+1))</f>
        <v/>
      </c>
      <c r="B209">
        <f>IF(A209="","",IFERROR(INDEX(Ввод!$B$12:$B$71,MATCH(A209,Ввод!$D$12:$D$71,1)),""))</f>
        <v/>
      </c>
      <c r="C209">
        <f>IF(A209="","",DATE(YEAR(A209),12,31)-DATE(YEAR(A209),1,1)+1)</f>
        <v/>
      </c>
      <c r="D209">
        <f>IF(A209="","",SUMIFS(Акты!$D$5:$D$16,Акты!$E$5:$E$16,"&lt;="&amp;A209)-SUMIFS(Оплаты!$B$6:$B$505,Оплаты!$A$6:$A$505,"&lt;"&amp;A209,Оплаты!$D$6:$D$505,"&lt;&gt;"))</f>
        <v/>
      </c>
      <c r="E209">
        <f>IF(A209="","",IF(SUMPRODUCT((Ввод!$F$12:$F$31&lt;&gt;"")*(Ввод!$F$12:$F$31&lt;=A209)*(Ввод!$G$12:$G$31&gt;=A209))&gt;0,1,0))</f>
        <v/>
      </c>
      <c r="G209">
        <f>IF(A209="","",IF(OR(B209&lt;&gt;B208,C209&lt;&gt;C208,E209&lt;&gt;E208),G208+1,G208))</f>
        <v/>
      </c>
    </row>
    <row r="210">
      <c r="A210" s="20">
        <f>IF(A209="","",IF(A209+1&gt;Ввод!$B$4,"",A209+1))</f>
        <v/>
      </c>
      <c r="B210">
        <f>IF(A210="","",IFERROR(INDEX(Ввод!$B$12:$B$71,MATCH(A210,Ввод!$D$12:$D$71,1)),""))</f>
        <v/>
      </c>
      <c r="C210">
        <f>IF(A210="","",DATE(YEAR(A210),12,31)-DATE(YEAR(A210),1,1)+1)</f>
        <v/>
      </c>
      <c r="D210">
        <f>IF(A210="","",SUMIFS(Акты!$D$5:$D$16,Акты!$E$5:$E$16,"&lt;="&amp;A210)-SUMIFS(Оплаты!$B$6:$B$505,Оплаты!$A$6:$A$505,"&lt;"&amp;A210,Оплаты!$D$6:$D$505,"&lt;&gt;"))</f>
        <v/>
      </c>
      <c r="E210">
        <f>IF(A210="","",IF(SUMPRODUCT((Ввод!$F$12:$F$31&lt;&gt;"")*(Ввод!$F$12:$F$31&lt;=A210)*(Ввод!$G$12:$G$31&gt;=A210))&gt;0,1,0))</f>
        <v/>
      </c>
      <c r="G210">
        <f>IF(A210="","",IF(OR(B210&lt;&gt;B209,C210&lt;&gt;C209,E210&lt;&gt;E209),G209+1,G209))</f>
        <v/>
      </c>
    </row>
    <row r="211">
      <c r="A211" s="20">
        <f>IF(A210="","",IF(A210+1&gt;Ввод!$B$4,"",A210+1))</f>
        <v/>
      </c>
      <c r="B211">
        <f>IF(A211="","",IFERROR(INDEX(Ввод!$B$12:$B$71,MATCH(A211,Ввод!$D$12:$D$71,1)),""))</f>
        <v/>
      </c>
      <c r="C211">
        <f>IF(A211="","",DATE(YEAR(A211),12,31)-DATE(YEAR(A211),1,1)+1)</f>
        <v/>
      </c>
      <c r="D211">
        <f>IF(A211="","",SUMIFS(Акты!$D$5:$D$16,Акты!$E$5:$E$16,"&lt;="&amp;A211)-SUMIFS(Оплаты!$B$6:$B$505,Оплаты!$A$6:$A$505,"&lt;"&amp;A211,Оплаты!$D$6:$D$505,"&lt;&gt;"))</f>
        <v/>
      </c>
      <c r="E211">
        <f>IF(A211="","",IF(SUMPRODUCT((Ввод!$F$12:$F$31&lt;&gt;"")*(Ввод!$F$12:$F$31&lt;=A211)*(Ввод!$G$12:$G$31&gt;=A211))&gt;0,1,0))</f>
        <v/>
      </c>
      <c r="G211">
        <f>IF(A211="","",IF(OR(B211&lt;&gt;B210,C211&lt;&gt;C210,E211&lt;&gt;E210),G210+1,G210))</f>
        <v/>
      </c>
    </row>
    <row r="212">
      <c r="A212" s="20">
        <f>IF(A211="","",IF(A211+1&gt;Ввод!$B$4,"",A211+1))</f>
        <v/>
      </c>
      <c r="B212">
        <f>IF(A212="","",IFERROR(INDEX(Ввод!$B$12:$B$71,MATCH(A212,Ввод!$D$12:$D$71,1)),""))</f>
        <v/>
      </c>
      <c r="C212">
        <f>IF(A212="","",DATE(YEAR(A212),12,31)-DATE(YEAR(A212),1,1)+1)</f>
        <v/>
      </c>
      <c r="D212">
        <f>IF(A212="","",SUMIFS(Акты!$D$5:$D$16,Акты!$E$5:$E$16,"&lt;="&amp;A212)-SUMIFS(Оплаты!$B$6:$B$505,Оплаты!$A$6:$A$505,"&lt;"&amp;A212,Оплаты!$D$6:$D$505,"&lt;&gt;"))</f>
        <v/>
      </c>
      <c r="E212">
        <f>IF(A212="","",IF(SUMPRODUCT((Ввод!$F$12:$F$31&lt;&gt;"")*(Ввод!$F$12:$F$31&lt;=A212)*(Ввод!$G$12:$G$31&gt;=A212))&gt;0,1,0))</f>
        <v/>
      </c>
      <c r="G212">
        <f>IF(A212="","",IF(OR(B212&lt;&gt;B211,C212&lt;&gt;C211,E212&lt;&gt;E211),G211+1,G211))</f>
        <v/>
      </c>
    </row>
    <row r="213">
      <c r="A213" s="20">
        <f>IF(A212="","",IF(A212+1&gt;Ввод!$B$4,"",A212+1))</f>
        <v/>
      </c>
      <c r="B213">
        <f>IF(A213="","",IFERROR(INDEX(Ввод!$B$12:$B$71,MATCH(A213,Ввод!$D$12:$D$71,1)),""))</f>
        <v/>
      </c>
      <c r="C213">
        <f>IF(A213="","",DATE(YEAR(A213),12,31)-DATE(YEAR(A213),1,1)+1)</f>
        <v/>
      </c>
      <c r="D213">
        <f>IF(A213="","",SUMIFS(Акты!$D$5:$D$16,Акты!$E$5:$E$16,"&lt;="&amp;A213)-SUMIFS(Оплаты!$B$6:$B$505,Оплаты!$A$6:$A$505,"&lt;"&amp;A213,Оплаты!$D$6:$D$505,"&lt;&gt;"))</f>
        <v/>
      </c>
      <c r="E213">
        <f>IF(A213="","",IF(SUMPRODUCT((Ввод!$F$12:$F$31&lt;&gt;"")*(Ввод!$F$12:$F$31&lt;=A213)*(Ввод!$G$12:$G$31&gt;=A213))&gt;0,1,0))</f>
        <v/>
      </c>
      <c r="G213">
        <f>IF(A213="","",IF(OR(B213&lt;&gt;B212,C213&lt;&gt;C212,E213&lt;&gt;E212),G212+1,G212))</f>
        <v/>
      </c>
    </row>
    <row r="214">
      <c r="A214" s="20">
        <f>IF(A213="","",IF(A213+1&gt;Ввод!$B$4,"",A213+1))</f>
        <v/>
      </c>
      <c r="B214">
        <f>IF(A214="","",IFERROR(INDEX(Ввод!$B$12:$B$71,MATCH(A214,Ввод!$D$12:$D$71,1)),""))</f>
        <v/>
      </c>
      <c r="C214">
        <f>IF(A214="","",DATE(YEAR(A214),12,31)-DATE(YEAR(A214),1,1)+1)</f>
        <v/>
      </c>
      <c r="D214">
        <f>IF(A214="","",SUMIFS(Акты!$D$5:$D$16,Акты!$E$5:$E$16,"&lt;="&amp;A214)-SUMIFS(Оплаты!$B$6:$B$505,Оплаты!$A$6:$A$505,"&lt;"&amp;A214,Оплаты!$D$6:$D$505,"&lt;&gt;"))</f>
        <v/>
      </c>
      <c r="E214">
        <f>IF(A214="","",IF(SUMPRODUCT((Ввод!$F$12:$F$31&lt;&gt;"")*(Ввод!$F$12:$F$31&lt;=A214)*(Ввод!$G$12:$G$31&gt;=A214))&gt;0,1,0))</f>
        <v/>
      </c>
      <c r="G214">
        <f>IF(A214="","",IF(OR(B214&lt;&gt;B213,C214&lt;&gt;C213,E214&lt;&gt;E213),G213+1,G213))</f>
        <v/>
      </c>
    </row>
    <row r="215">
      <c r="A215" s="20">
        <f>IF(A214="","",IF(A214+1&gt;Ввод!$B$4,"",A214+1))</f>
        <v/>
      </c>
      <c r="B215">
        <f>IF(A215="","",IFERROR(INDEX(Ввод!$B$12:$B$71,MATCH(A215,Ввод!$D$12:$D$71,1)),""))</f>
        <v/>
      </c>
      <c r="C215">
        <f>IF(A215="","",DATE(YEAR(A215),12,31)-DATE(YEAR(A215),1,1)+1)</f>
        <v/>
      </c>
      <c r="D215">
        <f>IF(A215="","",SUMIFS(Акты!$D$5:$D$16,Акты!$E$5:$E$16,"&lt;="&amp;A215)-SUMIFS(Оплаты!$B$6:$B$505,Оплаты!$A$6:$A$505,"&lt;"&amp;A215,Оплаты!$D$6:$D$505,"&lt;&gt;"))</f>
        <v/>
      </c>
      <c r="E215">
        <f>IF(A215="","",IF(SUMPRODUCT((Ввод!$F$12:$F$31&lt;&gt;"")*(Ввод!$F$12:$F$31&lt;=A215)*(Ввод!$G$12:$G$31&gt;=A215))&gt;0,1,0))</f>
        <v/>
      </c>
      <c r="G215">
        <f>IF(A215="","",IF(OR(B215&lt;&gt;B214,C215&lt;&gt;C214,E215&lt;&gt;E214),G214+1,G214))</f>
        <v/>
      </c>
    </row>
    <row r="216">
      <c r="A216" s="20">
        <f>IF(A215="","",IF(A215+1&gt;Ввод!$B$4,"",A215+1))</f>
        <v/>
      </c>
      <c r="B216">
        <f>IF(A216="","",IFERROR(INDEX(Ввод!$B$12:$B$71,MATCH(A216,Ввод!$D$12:$D$71,1)),""))</f>
        <v/>
      </c>
      <c r="C216">
        <f>IF(A216="","",DATE(YEAR(A216),12,31)-DATE(YEAR(A216),1,1)+1)</f>
        <v/>
      </c>
      <c r="D216">
        <f>IF(A216="","",SUMIFS(Акты!$D$5:$D$16,Акты!$E$5:$E$16,"&lt;="&amp;A216)-SUMIFS(Оплаты!$B$6:$B$505,Оплаты!$A$6:$A$505,"&lt;"&amp;A216,Оплаты!$D$6:$D$505,"&lt;&gt;"))</f>
        <v/>
      </c>
      <c r="E216">
        <f>IF(A216="","",IF(SUMPRODUCT((Ввод!$F$12:$F$31&lt;&gt;"")*(Ввод!$F$12:$F$31&lt;=A216)*(Ввод!$G$12:$G$31&gt;=A216))&gt;0,1,0))</f>
        <v/>
      </c>
      <c r="G216">
        <f>IF(A216="","",IF(OR(B216&lt;&gt;B215,C216&lt;&gt;C215,E216&lt;&gt;E215),G215+1,G215))</f>
        <v/>
      </c>
    </row>
    <row r="217">
      <c r="A217" s="20">
        <f>IF(A216="","",IF(A216+1&gt;Ввод!$B$4,"",A216+1))</f>
        <v/>
      </c>
      <c r="B217">
        <f>IF(A217="","",IFERROR(INDEX(Ввод!$B$12:$B$71,MATCH(A217,Ввод!$D$12:$D$71,1)),""))</f>
        <v/>
      </c>
      <c r="C217">
        <f>IF(A217="","",DATE(YEAR(A217),12,31)-DATE(YEAR(A217),1,1)+1)</f>
        <v/>
      </c>
      <c r="D217">
        <f>IF(A217="","",SUMIFS(Акты!$D$5:$D$16,Акты!$E$5:$E$16,"&lt;="&amp;A217)-SUMIFS(Оплаты!$B$6:$B$505,Оплаты!$A$6:$A$505,"&lt;"&amp;A217,Оплаты!$D$6:$D$505,"&lt;&gt;"))</f>
        <v/>
      </c>
      <c r="E217">
        <f>IF(A217="","",IF(SUMPRODUCT((Ввод!$F$12:$F$31&lt;&gt;"")*(Ввод!$F$12:$F$31&lt;=A217)*(Ввод!$G$12:$G$31&gt;=A217))&gt;0,1,0))</f>
        <v/>
      </c>
      <c r="G217">
        <f>IF(A217="","",IF(OR(B217&lt;&gt;B216,C217&lt;&gt;C216,E217&lt;&gt;E216),G216+1,G216))</f>
        <v/>
      </c>
    </row>
    <row r="218">
      <c r="A218" s="20">
        <f>IF(A217="","",IF(A217+1&gt;Ввод!$B$4,"",A217+1))</f>
        <v/>
      </c>
      <c r="B218">
        <f>IF(A218="","",IFERROR(INDEX(Ввод!$B$12:$B$71,MATCH(A218,Ввод!$D$12:$D$71,1)),""))</f>
        <v/>
      </c>
      <c r="C218">
        <f>IF(A218="","",DATE(YEAR(A218),12,31)-DATE(YEAR(A218),1,1)+1)</f>
        <v/>
      </c>
      <c r="D218">
        <f>IF(A218="","",SUMIFS(Акты!$D$5:$D$16,Акты!$E$5:$E$16,"&lt;="&amp;A218)-SUMIFS(Оплаты!$B$6:$B$505,Оплаты!$A$6:$A$505,"&lt;"&amp;A218,Оплаты!$D$6:$D$505,"&lt;&gt;"))</f>
        <v/>
      </c>
      <c r="E218">
        <f>IF(A218="","",IF(SUMPRODUCT((Ввод!$F$12:$F$31&lt;&gt;"")*(Ввод!$F$12:$F$31&lt;=A218)*(Ввод!$G$12:$G$31&gt;=A218))&gt;0,1,0))</f>
        <v/>
      </c>
      <c r="G218">
        <f>IF(A218="","",IF(OR(B218&lt;&gt;B217,C218&lt;&gt;C217,E218&lt;&gt;E217),G217+1,G217))</f>
        <v/>
      </c>
    </row>
    <row r="219">
      <c r="A219" s="20">
        <f>IF(A218="","",IF(A218+1&gt;Ввод!$B$4,"",A218+1))</f>
        <v/>
      </c>
      <c r="B219">
        <f>IF(A219="","",IFERROR(INDEX(Ввод!$B$12:$B$71,MATCH(A219,Ввод!$D$12:$D$71,1)),""))</f>
        <v/>
      </c>
      <c r="C219">
        <f>IF(A219="","",DATE(YEAR(A219),12,31)-DATE(YEAR(A219),1,1)+1)</f>
        <v/>
      </c>
      <c r="D219">
        <f>IF(A219="","",SUMIFS(Акты!$D$5:$D$16,Акты!$E$5:$E$16,"&lt;="&amp;A219)-SUMIFS(Оплаты!$B$6:$B$505,Оплаты!$A$6:$A$505,"&lt;"&amp;A219,Оплаты!$D$6:$D$505,"&lt;&gt;"))</f>
        <v/>
      </c>
      <c r="E219">
        <f>IF(A219="","",IF(SUMPRODUCT((Ввод!$F$12:$F$31&lt;&gt;"")*(Ввод!$F$12:$F$31&lt;=A219)*(Ввод!$G$12:$G$31&gt;=A219))&gt;0,1,0))</f>
        <v/>
      </c>
      <c r="G219">
        <f>IF(A219="","",IF(OR(B219&lt;&gt;B218,C219&lt;&gt;C218,E219&lt;&gt;E218),G218+1,G218))</f>
        <v/>
      </c>
    </row>
    <row r="220">
      <c r="A220" s="20">
        <f>IF(A219="","",IF(A219+1&gt;Ввод!$B$4,"",A219+1))</f>
        <v/>
      </c>
      <c r="B220">
        <f>IF(A220="","",IFERROR(INDEX(Ввод!$B$12:$B$71,MATCH(A220,Ввод!$D$12:$D$71,1)),""))</f>
        <v/>
      </c>
      <c r="C220">
        <f>IF(A220="","",DATE(YEAR(A220),12,31)-DATE(YEAR(A220),1,1)+1)</f>
        <v/>
      </c>
      <c r="D220">
        <f>IF(A220="","",SUMIFS(Акты!$D$5:$D$16,Акты!$E$5:$E$16,"&lt;="&amp;A220)-SUMIFS(Оплаты!$B$6:$B$505,Оплаты!$A$6:$A$505,"&lt;"&amp;A220,Оплаты!$D$6:$D$505,"&lt;&gt;"))</f>
        <v/>
      </c>
      <c r="E220">
        <f>IF(A220="","",IF(SUMPRODUCT((Ввод!$F$12:$F$31&lt;&gt;"")*(Ввод!$F$12:$F$31&lt;=A220)*(Ввод!$G$12:$G$31&gt;=A220))&gt;0,1,0))</f>
        <v/>
      </c>
      <c r="G220">
        <f>IF(A220="","",IF(OR(B220&lt;&gt;B219,C220&lt;&gt;C219,E220&lt;&gt;E219),G219+1,G219))</f>
        <v/>
      </c>
    </row>
    <row r="221">
      <c r="A221" s="20">
        <f>IF(A220="","",IF(A220+1&gt;Ввод!$B$4,"",A220+1))</f>
        <v/>
      </c>
      <c r="B221">
        <f>IF(A221="","",IFERROR(INDEX(Ввод!$B$12:$B$71,MATCH(A221,Ввод!$D$12:$D$71,1)),""))</f>
        <v/>
      </c>
      <c r="C221">
        <f>IF(A221="","",DATE(YEAR(A221),12,31)-DATE(YEAR(A221),1,1)+1)</f>
        <v/>
      </c>
      <c r="D221">
        <f>IF(A221="","",SUMIFS(Акты!$D$5:$D$16,Акты!$E$5:$E$16,"&lt;="&amp;A221)-SUMIFS(Оплаты!$B$6:$B$505,Оплаты!$A$6:$A$505,"&lt;"&amp;A221,Оплаты!$D$6:$D$505,"&lt;&gt;"))</f>
        <v/>
      </c>
      <c r="E221">
        <f>IF(A221="","",IF(SUMPRODUCT((Ввод!$F$12:$F$31&lt;&gt;"")*(Ввод!$F$12:$F$31&lt;=A221)*(Ввод!$G$12:$G$31&gt;=A221))&gt;0,1,0))</f>
        <v/>
      </c>
      <c r="G221">
        <f>IF(A221="","",IF(OR(B221&lt;&gt;B220,C221&lt;&gt;C220,E221&lt;&gt;E220),G220+1,G220))</f>
        <v/>
      </c>
    </row>
    <row r="222">
      <c r="A222" s="20">
        <f>IF(A221="","",IF(A221+1&gt;Ввод!$B$4,"",A221+1))</f>
        <v/>
      </c>
      <c r="B222">
        <f>IF(A222="","",IFERROR(INDEX(Ввод!$B$12:$B$71,MATCH(A222,Ввод!$D$12:$D$71,1)),""))</f>
        <v/>
      </c>
      <c r="C222">
        <f>IF(A222="","",DATE(YEAR(A222),12,31)-DATE(YEAR(A222),1,1)+1)</f>
        <v/>
      </c>
      <c r="D222">
        <f>IF(A222="","",SUMIFS(Акты!$D$5:$D$16,Акты!$E$5:$E$16,"&lt;="&amp;A222)-SUMIFS(Оплаты!$B$6:$B$505,Оплаты!$A$6:$A$505,"&lt;"&amp;A222,Оплаты!$D$6:$D$505,"&lt;&gt;"))</f>
        <v/>
      </c>
      <c r="E222">
        <f>IF(A222="","",IF(SUMPRODUCT((Ввод!$F$12:$F$31&lt;&gt;"")*(Ввод!$F$12:$F$31&lt;=A222)*(Ввод!$G$12:$G$31&gt;=A222))&gt;0,1,0))</f>
        <v/>
      </c>
      <c r="G222">
        <f>IF(A222="","",IF(OR(B222&lt;&gt;B221,C222&lt;&gt;C221,E222&lt;&gt;E221),G221+1,G221))</f>
        <v/>
      </c>
    </row>
    <row r="223">
      <c r="A223" s="20">
        <f>IF(A222="","",IF(A222+1&gt;Ввод!$B$4,"",A222+1))</f>
        <v/>
      </c>
      <c r="B223">
        <f>IF(A223="","",IFERROR(INDEX(Ввод!$B$12:$B$71,MATCH(A223,Ввод!$D$12:$D$71,1)),""))</f>
        <v/>
      </c>
      <c r="C223">
        <f>IF(A223="","",DATE(YEAR(A223),12,31)-DATE(YEAR(A223),1,1)+1)</f>
        <v/>
      </c>
      <c r="D223">
        <f>IF(A223="","",SUMIFS(Акты!$D$5:$D$16,Акты!$E$5:$E$16,"&lt;="&amp;A223)-SUMIFS(Оплаты!$B$6:$B$505,Оплаты!$A$6:$A$505,"&lt;"&amp;A223,Оплаты!$D$6:$D$505,"&lt;&gt;"))</f>
        <v/>
      </c>
      <c r="E223">
        <f>IF(A223="","",IF(SUMPRODUCT((Ввод!$F$12:$F$31&lt;&gt;"")*(Ввод!$F$12:$F$31&lt;=A223)*(Ввод!$G$12:$G$31&gt;=A223))&gt;0,1,0))</f>
        <v/>
      </c>
      <c r="G223">
        <f>IF(A223="","",IF(OR(B223&lt;&gt;B222,C223&lt;&gt;C222,E223&lt;&gt;E222),G222+1,G222))</f>
        <v/>
      </c>
    </row>
    <row r="224">
      <c r="A224" s="20">
        <f>IF(A223="","",IF(A223+1&gt;Ввод!$B$4,"",A223+1))</f>
        <v/>
      </c>
      <c r="B224">
        <f>IF(A224="","",IFERROR(INDEX(Ввод!$B$12:$B$71,MATCH(A224,Ввод!$D$12:$D$71,1)),""))</f>
        <v/>
      </c>
      <c r="C224">
        <f>IF(A224="","",DATE(YEAR(A224),12,31)-DATE(YEAR(A224),1,1)+1)</f>
        <v/>
      </c>
      <c r="D224">
        <f>IF(A224="","",SUMIFS(Акты!$D$5:$D$16,Акты!$E$5:$E$16,"&lt;="&amp;A224)-SUMIFS(Оплаты!$B$6:$B$505,Оплаты!$A$6:$A$505,"&lt;"&amp;A224,Оплаты!$D$6:$D$505,"&lt;&gt;"))</f>
        <v/>
      </c>
      <c r="E224">
        <f>IF(A224="","",IF(SUMPRODUCT((Ввод!$F$12:$F$31&lt;&gt;"")*(Ввод!$F$12:$F$31&lt;=A224)*(Ввод!$G$12:$G$31&gt;=A224))&gt;0,1,0))</f>
        <v/>
      </c>
      <c r="G224">
        <f>IF(A224="","",IF(OR(B224&lt;&gt;B223,C224&lt;&gt;C223,E224&lt;&gt;E223),G223+1,G223))</f>
        <v/>
      </c>
    </row>
    <row r="225">
      <c r="A225" s="20">
        <f>IF(A224="","",IF(A224+1&gt;Ввод!$B$4,"",A224+1))</f>
        <v/>
      </c>
      <c r="B225">
        <f>IF(A225="","",IFERROR(INDEX(Ввод!$B$12:$B$71,MATCH(A225,Ввод!$D$12:$D$71,1)),""))</f>
        <v/>
      </c>
      <c r="C225">
        <f>IF(A225="","",DATE(YEAR(A225),12,31)-DATE(YEAR(A225),1,1)+1)</f>
        <v/>
      </c>
      <c r="D225">
        <f>IF(A225="","",SUMIFS(Акты!$D$5:$D$16,Акты!$E$5:$E$16,"&lt;="&amp;A225)-SUMIFS(Оплаты!$B$6:$B$505,Оплаты!$A$6:$A$505,"&lt;"&amp;A225,Оплаты!$D$6:$D$505,"&lt;&gt;"))</f>
        <v/>
      </c>
      <c r="E225">
        <f>IF(A225="","",IF(SUMPRODUCT((Ввод!$F$12:$F$31&lt;&gt;"")*(Ввод!$F$12:$F$31&lt;=A225)*(Ввод!$G$12:$G$31&gt;=A225))&gt;0,1,0))</f>
        <v/>
      </c>
      <c r="G225">
        <f>IF(A225="","",IF(OR(B225&lt;&gt;B224,C225&lt;&gt;C224,E225&lt;&gt;E224),G224+1,G224))</f>
        <v/>
      </c>
    </row>
    <row r="226">
      <c r="A226" s="20">
        <f>IF(A225="","",IF(A225+1&gt;Ввод!$B$4,"",A225+1))</f>
        <v/>
      </c>
      <c r="B226">
        <f>IF(A226="","",IFERROR(INDEX(Ввод!$B$12:$B$71,MATCH(A226,Ввод!$D$12:$D$71,1)),""))</f>
        <v/>
      </c>
      <c r="C226">
        <f>IF(A226="","",DATE(YEAR(A226),12,31)-DATE(YEAR(A226),1,1)+1)</f>
        <v/>
      </c>
      <c r="D226">
        <f>IF(A226="","",SUMIFS(Акты!$D$5:$D$16,Акты!$E$5:$E$16,"&lt;="&amp;A226)-SUMIFS(Оплаты!$B$6:$B$505,Оплаты!$A$6:$A$505,"&lt;"&amp;A226,Оплаты!$D$6:$D$505,"&lt;&gt;"))</f>
        <v/>
      </c>
      <c r="E226">
        <f>IF(A226="","",IF(SUMPRODUCT((Ввод!$F$12:$F$31&lt;&gt;"")*(Ввод!$F$12:$F$31&lt;=A226)*(Ввод!$G$12:$G$31&gt;=A226))&gt;0,1,0))</f>
        <v/>
      </c>
      <c r="G226">
        <f>IF(A226="","",IF(OR(B226&lt;&gt;B225,C226&lt;&gt;C225,E226&lt;&gt;E225),G225+1,G225))</f>
        <v/>
      </c>
    </row>
    <row r="227">
      <c r="A227" s="20">
        <f>IF(A226="","",IF(A226+1&gt;Ввод!$B$4,"",A226+1))</f>
        <v/>
      </c>
      <c r="B227">
        <f>IF(A227="","",IFERROR(INDEX(Ввод!$B$12:$B$71,MATCH(A227,Ввод!$D$12:$D$71,1)),""))</f>
        <v/>
      </c>
      <c r="C227">
        <f>IF(A227="","",DATE(YEAR(A227),12,31)-DATE(YEAR(A227),1,1)+1)</f>
        <v/>
      </c>
      <c r="D227">
        <f>IF(A227="","",SUMIFS(Акты!$D$5:$D$16,Акты!$E$5:$E$16,"&lt;="&amp;A227)-SUMIFS(Оплаты!$B$6:$B$505,Оплаты!$A$6:$A$505,"&lt;"&amp;A227,Оплаты!$D$6:$D$505,"&lt;&gt;"))</f>
        <v/>
      </c>
      <c r="E227">
        <f>IF(A227="","",IF(SUMPRODUCT((Ввод!$F$12:$F$31&lt;&gt;"")*(Ввод!$F$12:$F$31&lt;=A227)*(Ввод!$G$12:$G$31&gt;=A227))&gt;0,1,0))</f>
        <v/>
      </c>
      <c r="G227">
        <f>IF(A227="","",IF(OR(B227&lt;&gt;B226,C227&lt;&gt;C226,E227&lt;&gt;E226),G226+1,G226))</f>
        <v/>
      </c>
    </row>
    <row r="228">
      <c r="A228" s="20">
        <f>IF(A227="","",IF(A227+1&gt;Ввод!$B$4,"",A227+1))</f>
        <v/>
      </c>
      <c r="B228">
        <f>IF(A228="","",IFERROR(INDEX(Ввод!$B$12:$B$71,MATCH(A228,Ввод!$D$12:$D$71,1)),""))</f>
        <v/>
      </c>
      <c r="C228">
        <f>IF(A228="","",DATE(YEAR(A228),12,31)-DATE(YEAR(A228),1,1)+1)</f>
        <v/>
      </c>
      <c r="D228">
        <f>IF(A228="","",SUMIFS(Акты!$D$5:$D$16,Акты!$E$5:$E$16,"&lt;="&amp;A228)-SUMIFS(Оплаты!$B$6:$B$505,Оплаты!$A$6:$A$505,"&lt;"&amp;A228,Оплаты!$D$6:$D$505,"&lt;&gt;"))</f>
        <v/>
      </c>
      <c r="E228">
        <f>IF(A228="","",IF(SUMPRODUCT((Ввод!$F$12:$F$31&lt;&gt;"")*(Ввод!$F$12:$F$31&lt;=A228)*(Ввод!$G$12:$G$31&gt;=A228))&gt;0,1,0))</f>
        <v/>
      </c>
      <c r="G228">
        <f>IF(A228="","",IF(OR(B228&lt;&gt;B227,C228&lt;&gt;C227,E228&lt;&gt;E227),G227+1,G227))</f>
        <v/>
      </c>
    </row>
    <row r="229">
      <c r="A229" s="20">
        <f>IF(A228="","",IF(A228+1&gt;Ввод!$B$4,"",A228+1))</f>
        <v/>
      </c>
      <c r="B229">
        <f>IF(A229="","",IFERROR(INDEX(Ввод!$B$12:$B$71,MATCH(A229,Ввод!$D$12:$D$71,1)),""))</f>
        <v/>
      </c>
      <c r="C229">
        <f>IF(A229="","",DATE(YEAR(A229),12,31)-DATE(YEAR(A229),1,1)+1)</f>
        <v/>
      </c>
      <c r="D229">
        <f>IF(A229="","",SUMIFS(Акты!$D$5:$D$16,Акты!$E$5:$E$16,"&lt;="&amp;A229)-SUMIFS(Оплаты!$B$6:$B$505,Оплаты!$A$6:$A$505,"&lt;"&amp;A229,Оплаты!$D$6:$D$505,"&lt;&gt;"))</f>
        <v/>
      </c>
      <c r="E229">
        <f>IF(A229="","",IF(SUMPRODUCT((Ввод!$F$12:$F$31&lt;&gt;"")*(Ввод!$F$12:$F$31&lt;=A229)*(Ввод!$G$12:$G$31&gt;=A229))&gt;0,1,0))</f>
        <v/>
      </c>
      <c r="G229">
        <f>IF(A229="","",IF(OR(B229&lt;&gt;B228,C229&lt;&gt;C228,E229&lt;&gt;E228),G228+1,G228))</f>
        <v/>
      </c>
    </row>
    <row r="230">
      <c r="A230" s="20">
        <f>IF(A229="","",IF(A229+1&gt;Ввод!$B$4,"",A229+1))</f>
        <v/>
      </c>
      <c r="B230">
        <f>IF(A230="","",IFERROR(INDEX(Ввод!$B$12:$B$71,MATCH(A230,Ввод!$D$12:$D$71,1)),""))</f>
        <v/>
      </c>
      <c r="C230">
        <f>IF(A230="","",DATE(YEAR(A230),12,31)-DATE(YEAR(A230),1,1)+1)</f>
        <v/>
      </c>
      <c r="D230">
        <f>IF(A230="","",SUMIFS(Акты!$D$5:$D$16,Акты!$E$5:$E$16,"&lt;="&amp;A230)-SUMIFS(Оплаты!$B$6:$B$505,Оплаты!$A$6:$A$505,"&lt;"&amp;A230,Оплаты!$D$6:$D$505,"&lt;&gt;"))</f>
        <v/>
      </c>
      <c r="E230">
        <f>IF(A230="","",IF(SUMPRODUCT((Ввод!$F$12:$F$31&lt;&gt;"")*(Ввод!$F$12:$F$31&lt;=A230)*(Ввод!$G$12:$G$31&gt;=A230))&gt;0,1,0))</f>
        <v/>
      </c>
      <c r="G230">
        <f>IF(A230="","",IF(OR(B230&lt;&gt;B229,C230&lt;&gt;C229,E230&lt;&gt;E229),G229+1,G229))</f>
        <v/>
      </c>
    </row>
    <row r="231">
      <c r="A231" s="20">
        <f>IF(A230="","",IF(A230+1&gt;Ввод!$B$4,"",A230+1))</f>
        <v/>
      </c>
      <c r="B231">
        <f>IF(A231="","",IFERROR(INDEX(Ввод!$B$12:$B$71,MATCH(A231,Ввод!$D$12:$D$71,1)),""))</f>
        <v/>
      </c>
      <c r="C231">
        <f>IF(A231="","",DATE(YEAR(A231),12,31)-DATE(YEAR(A231),1,1)+1)</f>
        <v/>
      </c>
      <c r="D231">
        <f>IF(A231="","",SUMIFS(Акты!$D$5:$D$16,Акты!$E$5:$E$16,"&lt;="&amp;A231)-SUMIFS(Оплаты!$B$6:$B$505,Оплаты!$A$6:$A$505,"&lt;"&amp;A231,Оплаты!$D$6:$D$505,"&lt;&gt;"))</f>
        <v/>
      </c>
      <c r="E231">
        <f>IF(A231="","",IF(SUMPRODUCT((Ввод!$F$12:$F$31&lt;&gt;"")*(Ввод!$F$12:$F$31&lt;=A231)*(Ввод!$G$12:$G$31&gt;=A231))&gt;0,1,0))</f>
        <v/>
      </c>
      <c r="G231">
        <f>IF(A231="","",IF(OR(B231&lt;&gt;B230,C231&lt;&gt;C230,E231&lt;&gt;E230),G230+1,G230))</f>
        <v/>
      </c>
    </row>
    <row r="232">
      <c r="A232" s="20">
        <f>IF(A231="","",IF(A231+1&gt;Ввод!$B$4,"",A231+1))</f>
        <v/>
      </c>
      <c r="B232">
        <f>IF(A232="","",IFERROR(INDEX(Ввод!$B$12:$B$71,MATCH(A232,Ввод!$D$12:$D$71,1)),""))</f>
        <v/>
      </c>
      <c r="C232">
        <f>IF(A232="","",DATE(YEAR(A232),12,31)-DATE(YEAR(A232),1,1)+1)</f>
        <v/>
      </c>
      <c r="D232">
        <f>IF(A232="","",SUMIFS(Акты!$D$5:$D$16,Акты!$E$5:$E$16,"&lt;="&amp;A232)-SUMIFS(Оплаты!$B$6:$B$505,Оплаты!$A$6:$A$505,"&lt;"&amp;A232,Оплаты!$D$6:$D$505,"&lt;&gt;"))</f>
        <v/>
      </c>
      <c r="E232">
        <f>IF(A232="","",IF(SUMPRODUCT((Ввод!$F$12:$F$31&lt;&gt;"")*(Ввод!$F$12:$F$31&lt;=A232)*(Ввод!$G$12:$G$31&gt;=A232))&gt;0,1,0))</f>
        <v/>
      </c>
      <c r="G232">
        <f>IF(A232="","",IF(OR(B232&lt;&gt;B231,C232&lt;&gt;C231,E232&lt;&gt;E231),G231+1,G231))</f>
        <v/>
      </c>
    </row>
    <row r="233">
      <c r="A233" s="20">
        <f>IF(A232="","",IF(A232+1&gt;Ввод!$B$4,"",A232+1))</f>
        <v/>
      </c>
      <c r="B233">
        <f>IF(A233="","",IFERROR(INDEX(Ввод!$B$12:$B$71,MATCH(A233,Ввод!$D$12:$D$71,1)),""))</f>
        <v/>
      </c>
      <c r="C233">
        <f>IF(A233="","",DATE(YEAR(A233),12,31)-DATE(YEAR(A233),1,1)+1)</f>
        <v/>
      </c>
      <c r="D233">
        <f>IF(A233="","",SUMIFS(Акты!$D$5:$D$16,Акты!$E$5:$E$16,"&lt;="&amp;A233)-SUMIFS(Оплаты!$B$6:$B$505,Оплаты!$A$6:$A$505,"&lt;"&amp;A233,Оплаты!$D$6:$D$505,"&lt;&gt;"))</f>
        <v/>
      </c>
      <c r="E233">
        <f>IF(A233="","",IF(SUMPRODUCT((Ввод!$F$12:$F$31&lt;&gt;"")*(Ввод!$F$12:$F$31&lt;=A233)*(Ввод!$G$12:$G$31&gt;=A233))&gt;0,1,0))</f>
        <v/>
      </c>
      <c r="G233">
        <f>IF(A233="","",IF(OR(B233&lt;&gt;B232,C233&lt;&gt;C232,E233&lt;&gt;E232),G232+1,G232))</f>
        <v/>
      </c>
    </row>
    <row r="234">
      <c r="A234" s="20">
        <f>IF(A233="","",IF(A233+1&gt;Ввод!$B$4,"",A233+1))</f>
        <v/>
      </c>
      <c r="B234">
        <f>IF(A234="","",IFERROR(INDEX(Ввод!$B$12:$B$71,MATCH(A234,Ввод!$D$12:$D$71,1)),""))</f>
        <v/>
      </c>
      <c r="C234">
        <f>IF(A234="","",DATE(YEAR(A234),12,31)-DATE(YEAR(A234),1,1)+1)</f>
        <v/>
      </c>
      <c r="D234">
        <f>IF(A234="","",SUMIFS(Акты!$D$5:$D$16,Акты!$E$5:$E$16,"&lt;="&amp;A234)-SUMIFS(Оплаты!$B$6:$B$505,Оплаты!$A$6:$A$505,"&lt;"&amp;A234,Оплаты!$D$6:$D$505,"&lt;&gt;"))</f>
        <v/>
      </c>
      <c r="E234">
        <f>IF(A234="","",IF(SUMPRODUCT((Ввод!$F$12:$F$31&lt;&gt;"")*(Ввод!$F$12:$F$31&lt;=A234)*(Ввод!$G$12:$G$31&gt;=A234))&gt;0,1,0))</f>
        <v/>
      </c>
      <c r="G234">
        <f>IF(A234="","",IF(OR(B234&lt;&gt;B233,C234&lt;&gt;C233,E234&lt;&gt;E233),G233+1,G233))</f>
        <v/>
      </c>
    </row>
    <row r="235">
      <c r="A235" s="20">
        <f>IF(A234="","",IF(A234+1&gt;Ввод!$B$4,"",A234+1))</f>
        <v/>
      </c>
      <c r="B235">
        <f>IF(A235="","",IFERROR(INDEX(Ввод!$B$12:$B$71,MATCH(A235,Ввод!$D$12:$D$71,1)),""))</f>
        <v/>
      </c>
      <c r="C235">
        <f>IF(A235="","",DATE(YEAR(A235),12,31)-DATE(YEAR(A235),1,1)+1)</f>
        <v/>
      </c>
      <c r="D235">
        <f>IF(A235="","",SUMIFS(Акты!$D$5:$D$16,Акты!$E$5:$E$16,"&lt;="&amp;A235)-SUMIFS(Оплаты!$B$6:$B$505,Оплаты!$A$6:$A$505,"&lt;"&amp;A235,Оплаты!$D$6:$D$505,"&lt;&gt;"))</f>
        <v/>
      </c>
      <c r="E235">
        <f>IF(A235="","",IF(SUMPRODUCT((Ввод!$F$12:$F$31&lt;&gt;"")*(Ввод!$F$12:$F$31&lt;=A235)*(Ввод!$G$12:$G$31&gt;=A235))&gt;0,1,0))</f>
        <v/>
      </c>
      <c r="G235">
        <f>IF(A235="","",IF(OR(B235&lt;&gt;B234,C235&lt;&gt;C234,E235&lt;&gt;E234),G234+1,G234))</f>
        <v/>
      </c>
    </row>
    <row r="236">
      <c r="A236" s="20">
        <f>IF(A235="","",IF(A235+1&gt;Ввод!$B$4,"",A235+1))</f>
        <v/>
      </c>
      <c r="B236">
        <f>IF(A236="","",IFERROR(INDEX(Ввод!$B$12:$B$71,MATCH(A236,Ввод!$D$12:$D$71,1)),""))</f>
        <v/>
      </c>
      <c r="C236">
        <f>IF(A236="","",DATE(YEAR(A236),12,31)-DATE(YEAR(A236),1,1)+1)</f>
        <v/>
      </c>
      <c r="D236">
        <f>IF(A236="","",SUMIFS(Акты!$D$5:$D$16,Акты!$E$5:$E$16,"&lt;="&amp;A236)-SUMIFS(Оплаты!$B$6:$B$505,Оплаты!$A$6:$A$505,"&lt;"&amp;A236,Оплаты!$D$6:$D$505,"&lt;&gt;"))</f>
        <v/>
      </c>
      <c r="E236">
        <f>IF(A236="","",IF(SUMPRODUCT((Ввод!$F$12:$F$31&lt;&gt;"")*(Ввод!$F$12:$F$31&lt;=A236)*(Ввод!$G$12:$G$31&gt;=A236))&gt;0,1,0))</f>
        <v/>
      </c>
      <c r="G236">
        <f>IF(A236="","",IF(OR(B236&lt;&gt;B235,C236&lt;&gt;C235,E236&lt;&gt;E235),G235+1,G235))</f>
        <v/>
      </c>
    </row>
    <row r="237">
      <c r="A237" s="20">
        <f>IF(A236="","",IF(A236+1&gt;Ввод!$B$4,"",A236+1))</f>
        <v/>
      </c>
      <c r="B237">
        <f>IF(A237="","",IFERROR(INDEX(Ввод!$B$12:$B$71,MATCH(A237,Ввод!$D$12:$D$71,1)),""))</f>
        <v/>
      </c>
      <c r="C237">
        <f>IF(A237="","",DATE(YEAR(A237),12,31)-DATE(YEAR(A237),1,1)+1)</f>
        <v/>
      </c>
      <c r="D237">
        <f>IF(A237="","",SUMIFS(Акты!$D$5:$D$16,Акты!$E$5:$E$16,"&lt;="&amp;A237)-SUMIFS(Оплаты!$B$6:$B$505,Оплаты!$A$6:$A$505,"&lt;"&amp;A237,Оплаты!$D$6:$D$505,"&lt;&gt;"))</f>
        <v/>
      </c>
      <c r="E237">
        <f>IF(A237="","",IF(SUMPRODUCT((Ввод!$F$12:$F$31&lt;&gt;"")*(Ввод!$F$12:$F$31&lt;=A237)*(Ввод!$G$12:$G$31&gt;=A237))&gt;0,1,0))</f>
        <v/>
      </c>
      <c r="G237">
        <f>IF(A237="","",IF(OR(B237&lt;&gt;B236,C237&lt;&gt;C236,E237&lt;&gt;E236),G236+1,G236))</f>
        <v/>
      </c>
    </row>
    <row r="238">
      <c r="A238" s="20">
        <f>IF(A237="","",IF(A237+1&gt;Ввод!$B$4,"",A237+1))</f>
        <v/>
      </c>
      <c r="B238">
        <f>IF(A238="","",IFERROR(INDEX(Ввод!$B$12:$B$71,MATCH(A238,Ввод!$D$12:$D$71,1)),""))</f>
        <v/>
      </c>
      <c r="C238">
        <f>IF(A238="","",DATE(YEAR(A238),12,31)-DATE(YEAR(A238),1,1)+1)</f>
        <v/>
      </c>
      <c r="D238">
        <f>IF(A238="","",SUMIFS(Акты!$D$5:$D$16,Акты!$E$5:$E$16,"&lt;="&amp;A238)-SUMIFS(Оплаты!$B$6:$B$505,Оплаты!$A$6:$A$505,"&lt;"&amp;A238,Оплаты!$D$6:$D$505,"&lt;&gt;"))</f>
        <v/>
      </c>
      <c r="E238">
        <f>IF(A238="","",IF(SUMPRODUCT((Ввод!$F$12:$F$31&lt;&gt;"")*(Ввод!$F$12:$F$31&lt;=A238)*(Ввод!$G$12:$G$31&gt;=A238))&gt;0,1,0))</f>
        <v/>
      </c>
      <c r="G238">
        <f>IF(A238="","",IF(OR(B238&lt;&gt;B237,C238&lt;&gt;C237,E238&lt;&gt;E237),G237+1,G237))</f>
        <v/>
      </c>
    </row>
    <row r="239">
      <c r="A239" s="20">
        <f>IF(A238="","",IF(A238+1&gt;Ввод!$B$4,"",A238+1))</f>
        <v/>
      </c>
      <c r="B239">
        <f>IF(A239="","",IFERROR(INDEX(Ввод!$B$12:$B$71,MATCH(A239,Ввод!$D$12:$D$71,1)),""))</f>
        <v/>
      </c>
      <c r="C239">
        <f>IF(A239="","",DATE(YEAR(A239),12,31)-DATE(YEAR(A239),1,1)+1)</f>
        <v/>
      </c>
      <c r="D239">
        <f>IF(A239="","",SUMIFS(Акты!$D$5:$D$16,Акты!$E$5:$E$16,"&lt;="&amp;A239)-SUMIFS(Оплаты!$B$6:$B$505,Оплаты!$A$6:$A$505,"&lt;"&amp;A239,Оплаты!$D$6:$D$505,"&lt;&gt;"))</f>
        <v/>
      </c>
      <c r="E239">
        <f>IF(A239="","",IF(SUMPRODUCT((Ввод!$F$12:$F$31&lt;&gt;"")*(Ввод!$F$12:$F$31&lt;=A239)*(Ввод!$G$12:$G$31&gt;=A239))&gt;0,1,0))</f>
        <v/>
      </c>
      <c r="G239">
        <f>IF(A239="","",IF(OR(B239&lt;&gt;B238,C239&lt;&gt;C238,E239&lt;&gt;E238),G238+1,G238))</f>
        <v/>
      </c>
    </row>
    <row r="240">
      <c r="A240" s="20">
        <f>IF(A239="","",IF(A239+1&gt;Ввод!$B$4,"",A239+1))</f>
        <v/>
      </c>
      <c r="B240">
        <f>IF(A240="","",IFERROR(INDEX(Ввод!$B$12:$B$71,MATCH(A240,Ввод!$D$12:$D$71,1)),""))</f>
        <v/>
      </c>
      <c r="C240">
        <f>IF(A240="","",DATE(YEAR(A240),12,31)-DATE(YEAR(A240),1,1)+1)</f>
        <v/>
      </c>
      <c r="D240">
        <f>IF(A240="","",SUMIFS(Акты!$D$5:$D$16,Акты!$E$5:$E$16,"&lt;="&amp;A240)-SUMIFS(Оплаты!$B$6:$B$505,Оплаты!$A$6:$A$505,"&lt;"&amp;A240,Оплаты!$D$6:$D$505,"&lt;&gt;"))</f>
        <v/>
      </c>
      <c r="E240">
        <f>IF(A240="","",IF(SUMPRODUCT((Ввод!$F$12:$F$31&lt;&gt;"")*(Ввод!$F$12:$F$31&lt;=A240)*(Ввод!$G$12:$G$31&gt;=A240))&gt;0,1,0))</f>
        <v/>
      </c>
      <c r="G240">
        <f>IF(A240="","",IF(OR(B240&lt;&gt;B239,C240&lt;&gt;C239,E240&lt;&gt;E239),G239+1,G239))</f>
        <v/>
      </c>
    </row>
    <row r="241">
      <c r="A241" s="20">
        <f>IF(A240="","",IF(A240+1&gt;Ввод!$B$4,"",A240+1))</f>
        <v/>
      </c>
      <c r="B241">
        <f>IF(A241="","",IFERROR(INDEX(Ввод!$B$12:$B$71,MATCH(A241,Ввод!$D$12:$D$71,1)),""))</f>
        <v/>
      </c>
      <c r="C241">
        <f>IF(A241="","",DATE(YEAR(A241),12,31)-DATE(YEAR(A241),1,1)+1)</f>
        <v/>
      </c>
      <c r="D241">
        <f>IF(A241="","",SUMIFS(Акты!$D$5:$D$16,Акты!$E$5:$E$16,"&lt;="&amp;A241)-SUMIFS(Оплаты!$B$6:$B$505,Оплаты!$A$6:$A$505,"&lt;"&amp;A241,Оплаты!$D$6:$D$505,"&lt;&gt;"))</f>
        <v/>
      </c>
      <c r="E241">
        <f>IF(A241="","",IF(SUMPRODUCT((Ввод!$F$12:$F$31&lt;&gt;"")*(Ввод!$F$12:$F$31&lt;=A241)*(Ввод!$G$12:$G$31&gt;=A241))&gt;0,1,0))</f>
        <v/>
      </c>
      <c r="G241">
        <f>IF(A241="","",IF(OR(B241&lt;&gt;B240,C241&lt;&gt;C240,E241&lt;&gt;E240),G240+1,G240))</f>
        <v/>
      </c>
    </row>
    <row r="242">
      <c r="A242" s="20">
        <f>IF(A241="","",IF(A241+1&gt;Ввод!$B$4,"",A241+1))</f>
        <v/>
      </c>
      <c r="B242">
        <f>IF(A242="","",IFERROR(INDEX(Ввод!$B$12:$B$71,MATCH(A242,Ввод!$D$12:$D$71,1)),""))</f>
        <v/>
      </c>
      <c r="C242">
        <f>IF(A242="","",DATE(YEAR(A242),12,31)-DATE(YEAR(A242),1,1)+1)</f>
        <v/>
      </c>
      <c r="D242">
        <f>IF(A242="","",SUMIFS(Акты!$D$5:$D$16,Акты!$E$5:$E$16,"&lt;="&amp;A242)-SUMIFS(Оплаты!$B$6:$B$505,Оплаты!$A$6:$A$505,"&lt;"&amp;A242,Оплаты!$D$6:$D$505,"&lt;&gt;"))</f>
        <v/>
      </c>
      <c r="E242">
        <f>IF(A242="","",IF(SUMPRODUCT((Ввод!$F$12:$F$31&lt;&gt;"")*(Ввод!$F$12:$F$31&lt;=A242)*(Ввод!$G$12:$G$31&gt;=A242))&gt;0,1,0))</f>
        <v/>
      </c>
      <c r="G242">
        <f>IF(A242="","",IF(OR(B242&lt;&gt;B241,C242&lt;&gt;C241,E242&lt;&gt;E241),G241+1,G241))</f>
        <v/>
      </c>
    </row>
    <row r="243">
      <c r="A243" s="20">
        <f>IF(A242="","",IF(A242+1&gt;Ввод!$B$4,"",A242+1))</f>
        <v/>
      </c>
      <c r="B243">
        <f>IF(A243="","",IFERROR(INDEX(Ввод!$B$12:$B$71,MATCH(A243,Ввод!$D$12:$D$71,1)),""))</f>
        <v/>
      </c>
      <c r="C243">
        <f>IF(A243="","",DATE(YEAR(A243),12,31)-DATE(YEAR(A243),1,1)+1)</f>
        <v/>
      </c>
      <c r="D243">
        <f>IF(A243="","",SUMIFS(Акты!$D$5:$D$16,Акты!$E$5:$E$16,"&lt;="&amp;A243)-SUMIFS(Оплаты!$B$6:$B$505,Оплаты!$A$6:$A$505,"&lt;"&amp;A243,Оплаты!$D$6:$D$505,"&lt;&gt;"))</f>
        <v/>
      </c>
      <c r="E243">
        <f>IF(A243="","",IF(SUMPRODUCT((Ввод!$F$12:$F$31&lt;&gt;"")*(Ввод!$F$12:$F$31&lt;=A243)*(Ввод!$G$12:$G$31&gt;=A243))&gt;0,1,0))</f>
        <v/>
      </c>
      <c r="G243">
        <f>IF(A243="","",IF(OR(B243&lt;&gt;B242,C243&lt;&gt;C242,E243&lt;&gt;E242),G242+1,G242))</f>
        <v/>
      </c>
    </row>
    <row r="244">
      <c r="A244" s="20">
        <f>IF(A243="","",IF(A243+1&gt;Ввод!$B$4,"",A243+1))</f>
        <v/>
      </c>
      <c r="B244">
        <f>IF(A244="","",IFERROR(INDEX(Ввод!$B$12:$B$71,MATCH(A244,Ввод!$D$12:$D$71,1)),""))</f>
        <v/>
      </c>
      <c r="C244">
        <f>IF(A244="","",DATE(YEAR(A244),12,31)-DATE(YEAR(A244),1,1)+1)</f>
        <v/>
      </c>
      <c r="D244">
        <f>IF(A244="","",SUMIFS(Акты!$D$5:$D$16,Акты!$E$5:$E$16,"&lt;="&amp;A244)-SUMIFS(Оплаты!$B$6:$B$505,Оплаты!$A$6:$A$505,"&lt;"&amp;A244,Оплаты!$D$6:$D$505,"&lt;&gt;"))</f>
        <v/>
      </c>
      <c r="E244">
        <f>IF(A244="","",IF(SUMPRODUCT((Ввод!$F$12:$F$31&lt;&gt;"")*(Ввод!$F$12:$F$31&lt;=A244)*(Ввод!$G$12:$G$31&gt;=A244))&gt;0,1,0))</f>
        <v/>
      </c>
      <c r="G244">
        <f>IF(A244="","",IF(OR(B244&lt;&gt;B243,C244&lt;&gt;C243,E244&lt;&gt;E243),G243+1,G243))</f>
        <v/>
      </c>
    </row>
    <row r="245">
      <c r="A245" s="20">
        <f>IF(A244="","",IF(A244+1&gt;Ввод!$B$4,"",A244+1))</f>
        <v/>
      </c>
      <c r="B245">
        <f>IF(A245="","",IFERROR(INDEX(Ввод!$B$12:$B$71,MATCH(A245,Ввод!$D$12:$D$71,1)),""))</f>
        <v/>
      </c>
      <c r="C245">
        <f>IF(A245="","",DATE(YEAR(A245),12,31)-DATE(YEAR(A245),1,1)+1)</f>
        <v/>
      </c>
      <c r="D245">
        <f>IF(A245="","",SUMIFS(Акты!$D$5:$D$16,Акты!$E$5:$E$16,"&lt;="&amp;A245)-SUMIFS(Оплаты!$B$6:$B$505,Оплаты!$A$6:$A$505,"&lt;"&amp;A245,Оплаты!$D$6:$D$505,"&lt;&gt;"))</f>
        <v/>
      </c>
      <c r="E245">
        <f>IF(A245="","",IF(SUMPRODUCT((Ввод!$F$12:$F$31&lt;&gt;"")*(Ввод!$F$12:$F$31&lt;=A245)*(Ввод!$G$12:$G$31&gt;=A245))&gt;0,1,0))</f>
        <v/>
      </c>
      <c r="G245">
        <f>IF(A245="","",IF(OR(B245&lt;&gt;B244,C245&lt;&gt;C244,E245&lt;&gt;E244),G244+1,G244))</f>
        <v/>
      </c>
    </row>
    <row r="246">
      <c r="A246" s="20">
        <f>IF(A245="","",IF(A245+1&gt;Ввод!$B$4,"",A245+1))</f>
        <v/>
      </c>
      <c r="B246">
        <f>IF(A246="","",IFERROR(INDEX(Ввод!$B$12:$B$71,MATCH(A246,Ввод!$D$12:$D$71,1)),""))</f>
        <v/>
      </c>
      <c r="C246">
        <f>IF(A246="","",DATE(YEAR(A246),12,31)-DATE(YEAR(A246),1,1)+1)</f>
        <v/>
      </c>
      <c r="D246">
        <f>IF(A246="","",SUMIFS(Акты!$D$5:$D$16,Акты!$E$5:$E$16,"&lt;="&amp;A246)-SUMIFS(Оплаты!$B$6:$B$505,Оплаты!$A$6:$A$505,"&lt;"&amp;A246,Оплаты!$D$6:$D$505,"&lt;&gt;"))</f>
        <v/>
      </c>
      <c r="E246">
        <f>IF(A246="","",IF(SUMPRODUCT((Ввод!$F$12:$F$31&lt;&gt;"")*(Ввод!$F$12:$F$31&lt;=A246)*(Ввод!$G$12:$G$31&gt;=A246))&gt;0,1,0))</f>
        <v/>
      </c>
      <c r="G246">
        <f>IF(A246="","",IF(OR(B246&lt;&gt;B245,C246&lt;&gt;C245,E246&lt;&gt;E245),G245+1,G245))</f>
        <v/>
      </c>
    </row>
    <row r="247">
      <c r="A247" s="20">
        <f>IF(A246="","",IF(A246+1&gt;Ввод!$B$4,"",A246+1))</f>
        <v/>
      </c>
      <c r="B247">
        <f>IF(A247="","",IFERROR(INDEX(Ввод!$B$12:$B$71,MATCH(A247,Ввод!$D$12:$D$71,1)),""))</f>
        <v/>
      </c>
      <c r="C247">
        <f>IF(A247="","",DATE(YEAR(A247),12,31)-DATE(YEAR(A247),1,1)+1)</f>
        <v/>
      </c>
      <c r="D247">
        <f>IF(A247="","",SUMIFS(Акты!$D$5:$D$16,Акты!$E$5:$E$16,"&lt;="&amp;A247)-SUMIFS(Оплаты!$B$6:$B$505,Оплаты!$A$6:$A$505,"&lt;"&amp;A247,Оплаты!$D$6:$D$505,"&lt;&gt;"))</f>
        <v/>
      </c>
      <c r="E247">
        <f>IF(A247="","",IF(SUMPRODUCT((Ввод!$F$12:$F$31&lt;&gt;"")*(Ввод!$F$12:$F$31&lt;=A247)*(Ввод!$G$12:$G$31&gt;=A247))&gt;0,1,0))</f>
        <v/>
      </c>
      <c r="G247">
        <f>IF(A247="","",IF(OR(B247&lt;&gt;B246,C247&lt;&gt;C246,E247&lt;&gt;E246),G246+1,G246))</f>
        <v/>
      </c>
    </row>
    <row r="248">
      <c r="A248" s="20">
        <f>IF(A247="","",IF(A247+1&gt;Ввод!$B$4,"",A247+1))</f>
        <v/>
      </c>
      <c r="B248">
        <f>IF(A248="","",IFERROR(INDEX(Ввод!$B$12:$B$71,MATCH(A248,Ввод!$D$12:$D$71,1)),""))</f>
        <v/>
      </c>
      <c r="C248">
        <f>IF(A248="","",DATE(YEAR(A248),12,31)-DATE(YEAR(A248),1,1)+1)</f>
        <v/>
      </c>
      <c r="D248">
        <f>IF(A248="","",SUMIFS(Акты!$D$5:$D$16,Акты!$E$5:$E$16,"&lt;="&amp;A248)-SUMIFS(Оплаты!$B$6:$B$505,Оплаты!$A$6:$A$505,"&lt;"&amp;A248,Оплаты!$D$6:$D$505,"&lt;&gt;"))</f>
        <v/>
      </c>
      <c r="E248">
        <f>IF(A248="","",IF(SUMPRODUCT((Ввод!$F$12:$F$31&lt;&gt;"")*(Ввод!$F$12:$F$31&lt;=A248)*(Ввод!$G$12:$G$31&gt;=A248))&gt;0,1,0))</f>
        <v/>
      </c>
      <c r="G248">
        <f>IF(A248="","",IF(OR(B248&lt;&gt;B247,C248&lt;&gt;C247,E248&lt;&gt;E247),G247+1,G247))</f>
        <v/>
      </c>
    </row>
    <row r="249">
      <c r="A249" s="20">
        <f>IF(A248="","",IF(A248+1&gt;Ввод!$B$4,"",A248+1))</f>
        <v/>
      </c>
      <c r="B249">
        <f>IF(A249="","",IFERROR(INDEX(Ввод!$B$12:$B$71,MATCH(A249,Ввод!$D$12:$D$71,1)),""))</f>
        <v/>
      </c>
      <c r="C249">
        <f>IF(A249="","",DATE(YEAR(A249),12,31)-DATE(YEAR(A249),1,1)+1)</f>
        <v/>
      </c>
      <c r="D249">
        <f>IF(A249="","",SUMIFS(Акты!$D$5:$D$16,Акты!$E$5:$E$16,"&lt;="&amp;A249)-SUMIFS(Оплаты!$B$6:$B$505,Оплаты!$A$6:$A$505,"&lt;"&amp;A249,Оплаты!$D$6:$D$505,"&lt;&gt;"))</f>
        <v/>
      </c>
      <c r="E249">
        <f>IF(A249="","",IF(SUMPRODUCT((Ввод!$F$12:$F$31&lt;&gt;"")*(Ввод!$F$12:$F$31&lt;=A249)*(Ввод!$G$12:$G$31&gt;=A249))&gt;0,1,0))</f>
        <v/>
      </c>
      <c r="G249">
        <f>IF(A249="","",IF(OR(B249&lt;&gt;B248,C249&lt;&gt;C248,E249&lt;&gt;E248),G248+1,G248))</f>
        <v/>
      </c>
    </row>
    <row r="250">
      <c r="A250" s="20">
        <f>IF(A249="","",IF(A249+1&gt;Ввод!$B$4,"",A249+1))</f>
        <v/>
      </c>
      <c r="B250">
        <f>IF(A250="","",IFERROR(INDEX(Ввод!$B$12:$B$71,MATCH(A250,Ввод!$D$12:$D$71,1)),""))</f>
        <v/>
      </c>
      <c r="C250">
        <f>IF(A250="","",DATE(YEAR(A250),12,31)-DATE(YEAR(A250),1,1)+1)</f>
        <v/>
      </c>
      <c r="D250">
        <f>IF(A250="","",SUMIFS(Акты!$D$5:$D$16,Акты!$E$5:$E$16,"&lt;="&amp;A250)-SUMIFS(Оплаты!$B$6:$B$505,Оплаты!$A$6:$A$505,"&lt;"&amp;A250,Оплаты!$D$6:$D$505,"&lt;&gt;"))</f>
        <v/>
      </c>
      <c r="E250">
        <f>IF(A250="","",IF(SUMPRODUCT((Ввод!$F$12:$F$31&lt;&gt;"")*(Ввод!$F$12:$F$31&lt;=A250)*(Ввод!$G$12:$G$31&gt;=A250))&gt;0,1,0))</f>
        <v/>
      </c>
      <c r="G250">
        <f>IF(A250="","",IF(OR(B250&lt;&gt;B249,C250&lt;&gt;C249,E250&lt;&gt;E249),G249+1,G249))</f>
        <v/>
      </c>
    </row>
    <row r="251">
      <c r="A251" s="20">
        <f>IF(A250="","",IF(A250+1&gt;Ввод!$B$4,"",A250+1))</f>
        <v/>
      </c>
      <c r="B251">
        <f>IF(A251="","",IFERROR(INDEX(Ввод!$B$12:$B$71,MATCH(A251,Ввод!$D$12:$D$71,1)),""))</f>
        <v/>
      </c>
      <c r="C251">
        <f>IF(A251="","",DATE(YEAR(A251),12,31)-DATE(YEAR(A251),1,1)+1)</f>
        <v/>
      </c>
      <c r="D251">
        <f>IF(A251="","",SUMIFS(Акты!$D$5:$D$16,Акты!$E$5:$E$16,"&lt;="&amp;A251)-SUMIFS(Оплаты!$B$6:$B$505,Оплаты!$A$6:$A$505,"&lt;"&amp;A251,Оплаты!$D$6:$D$505,"&lt;&gt;"))</f>
        <v/>
      </c>
      <c r="E251">
        <f>IF(A251="","",IF(SUMPRODUCT((Ввод!$F$12:$F$31&lt;&gt;"")*(Ввод!$F$12:$F$31&lt;=A251)*(Ввод!$G$12:$G$31&gt;=A251))&gt;0,1,0))</f>
        <v/>
      </c>
      <c r="G251">
        <f>IF(A251="","",IF(OR(B251&lt;&gt;B250,C251&lt;&gt;C250,E251&lt;&gt;E250),G250+1,G250))</f>
        <v/>
      </c>
    </row>
    <row r="252">
      <c r="A252" s="20">
        <f>IF(A251="","",IF(A251+1&gt;Ввод!$B$4,"",A251+1))</f>
        <v/>
      </c>
      <c r="B252">
        <f>IF(A252="","",IFERROR(INDEX(Ввод!$B$12:$B$71,MATCH(A252,Ввод!$D$12:$D$71,1)),""))</f>
        <v/>
      </c>
      <c r="C252">
        <f>IF(A252="","",DATE(YEAR(A252),12,31)-DATE(YEAR(A252),1,1)+1)</f>
        <v/>
      </c>
      <c r="D252">
        <f>IF(A252="","",SUMIFS(Акты!$D$5:$D$16,Акты!$E$5:$E$16,"&lt;="&amp;A252)-SUMIFS(Оплаты!$B$6:$B$505,Оплаты!$A$6:$A$505,"&lt;"&amp;A252,Оплаты!$D$6:$D$505,"&lt;&gt;"))</f>
        <v/>
      </c>
      <c r="E252">
        <f>IF(A252="","",IF(SUMPRODUCT((Ввод!$F$12:$F$31&lt;&gt;"")*(Ввод!$F$12:$F$31&lt;=A252)*(Ввод!$G$12:$G$31&gt;=A252))&gt;0,1,0))</f>
        <v/>
      </c>
      <c r="G252">
        <f>IF(A252="","",IF(OR(B252&lt;&gt;B251,C252&lt;&gt;C251,E252&lt;&gt;E251),G251+1,G251))</f>
        <v/>
      </c>
    </row>
    <row r="253">
      <c r="A253" s="20">
        <f>IF(A252="","",IF(A252+1&gt;Ввод!$B$4,"",A252+1))</f>
        <v/>
      </c>
      <c r="B253">
        <f>IF(A253="","",IFERROR(INDEX(Ввод!$B$12:$B$71,MATCH(A253,Ввод!$D$12:$D$71,1)),""))</f>
        <v/>
      </c>
      <c r="C253">
        <f>IF(A253="","",DATE(YEAR(A253),12,31)-DATE(YEAR(A253),1,1)+1)</f>
        <v/>
      </c>
      <c r="D253">
        <f>IF(A253="","",SUMIFS(Акты!$D$5:$D$16,Акты!$E$5:$E$16,"&lt;="&amp;A253)-SUMIFS(Оплаты!$B$6:$B$505,Оплаты!$A$6:$A$505,"&lt;"&amp;A253,Оплаты!$D$6:$D$505,"&lt;&gt;"))</f>
        <v/>
      </c>
      <c r="E253">
        <f>IF(A253="","",IF(SUMPRODUCT((Ввод!$F$12:$F$31&lt;&gt;"")*(Ввод!$F$12:$F$31&lt;=A253)*(Ввод!$G$12:$G$31&gt;=A253))&gt;0,1,0))</f>
        <v/>
      </c>
      <c r="G253">
        <f>IF(A253="","",IF(OR(B253&lt;&gt;B252,C253&lt;&gt;C252,E253&lt;&gt;E252),G252+1,G252))</f>
        <v/>
      </c>
    </row>
    <row r="254">
      <c r="A254" s="20">
        <f>IF(A253="","",IF(A253+1&gt;Ввод!$B$4,"",A253+1))</f>
        <v/>
      </c>
      <c r="B254">
        <f>IF(A254="","",IFERROR(INDEX(Ввод!$B$12:$B$71,MATCH(A254,Ввод!$D$12:$D$71,1)),""))</f>
        <v/>
      </c>
      <c r="C254">
        <f>IF(A254="","",DATE(YEAR(A254),12,31)-DATE(YEAR(A254),1,1)+1)</f>
        <v/>
      </c>
      <c r="D254">
        <f>IF(A254="","",SUMIFS(Акты!$D$5:$D$16,Акты!$E$5:$E$16,"&lt;="&amp;A254)-SUMIFS(Оплаты!$B$6:$B$505,Оплаты!$A$6:$A$505,"&lt;"&amp;A254,Оплаты!$D$6:$D$505,"&lt;&gt;"))</f>
        <v/>
      </c>
      <c r="E254">
        <f>IF(A254="","",IF(SUMPRODUCT((Ввод!$F$12:$F$31&lt;&gt;"")*(Ввод!$F$12:$F$31&lt;=A254)*(Ввод!$G$12:$G$31&gt;=A254))&gt;0,1,0))</f>
        <v/>
      </c>
      <c r="G254">
        <f>IF(A254="","",IF(OR(B254&lt;&gt;B253,C254&lt;&gt;C253,E254&lt;&gt;E253),G253+1,G253))</f>
        <v/>
      </c>
    </row>
    <row r="255">
      <c r="A255" s="20">
        <f>IF(A254="","",IF(A254+1&gt;Ввод!$B$4,"",A254+1))</f>
        <v/>
      </c>
      <c r="B255">
        <f>IF(A255="","",IFERROR(INDEX(Ввод!$B$12:$B$71,MATCH(A255,Ввод!$D$12:$D$71,1)),""))</f>
        <v/>
      </c>
      <c r="C255">
        <f>IF(A255="","",DATE(YEAR(A255),12,31)-DATE(YEAR(A255),1,1)+1)</f>
        <v/>
      </c>
      <c r="D255">
        <f>IF(A255="","",SUMIFS(Акты!$D$5:$D$16,Акты!$E$5:$E$16,"&lt;="&amp;A255)-SUMIFS(Оплаты!$B$6:$B$505,Оплаты!$A$6:$A$505,"&lt;"&amp;A255,Оплаты!$D$6:$D$505,"&lt;&gt;"))</f>
        <v/>
      </c>
      <c r="E255">
        <f>IF(A255="","",IF(SUMPRODUCT((Ввод!$F$12:$F$31&lt;&gt;"")*(Ввод!$F$12:$F$31&lt;=A255)*(Ввод!$G$12:$G$31&gt;=A255))&gt;0,1,0))</f>
        <v/>
      </c>
      <c r="G255">
        <f>IF(A255="","",IF(OR(B255&lt;&gt;B254,C255&lt;&gt;C254,E255&lt;&gt;E254),G254+1,G254))</f>
        <v/>
      </c>
    </row>
    <row r="256">
      <c r="A256" s="20">
        <f>IF(A255="","",IF(A255+1&gt;Ввод!$B$4,"",A255+1))</f>
        <v/>
      </c>
      <c r="B256">
        <f>IF(A256="","",IFERROR(INDEX(Ввод!$B$12:$B$71,MATCH(A256,Ввод!$D$12:$D$71,1)),""))</f>
        <v/>
      </c>
      <c r="C256">
        <f>IF(A256="","",DATE(YEAR(A256),12,31)-DATE(YEAR(A256),1,1)+1)</f>
        <v/>
      </c>
      <c r="D256">
        <f>IF(A256="","",SUMIFS(Акты!$D$5:$D$16,Акты!$E$5:$E$16,"&lt;="&amp;A256)-SUMIFS(Оплаты!$B$6:$B$505,Оплаты!$A$6:$A$505,"&lt;"&amp;A256,Оплаты!$D$6:$D$505,"&lt;&gt;"))</f>
        <v/>
      </c>
      <c r="E256">
        <f>IF(A256="","",IF(SUMPRODUCT((Ввод!$F$12:$F$31&lt;&gt;"")*(Ввод!$F$12:$F$31&lt;=A256)*(Ввод!$G$12:$G$31&gt;=A256))&gt;0,1,0))</f>
        <v/>
      </c>
      <c r="G256">
        <f>IF(A256="","",IF(OR(B256&lt;&gt;B255,C256&lt;&gt;C255,E256&lt;&gt;E255),G255+1,G255))</f>
        <v/>
      </c>
    </row>
    <row r="257">
      <c r="A257" s="20">
        <f>IF(A256="","",IF(A256+1&gt;Ввод!$B$4,"",A256+1))</f>
        <v/>
      </c>
      <c r="B257">
        <f>IF(A257="","",IFERROR(INDEX(Ввод!$B$12:$B$71,MATCH(A257,Ввод!$D$12:$D$71,1)),""))</f>
        <v/>
      </c>
      <c r="C257">
        <f>IF(A257="","",DATE(YEAR(A257),12,31)-DATE(YEAR(A257),1,1)+1)</f>
        <v/>
      </c>
      <c r="D257">
        <f>IF(A257="","",SUMIFS(Акты!$D$5:$D$16,Акты!$E$5:$E$16,"&lt;="&amp;A257)-SUMIFS(Оплаты!$B$6:$B$505,Оплаты!$A$6:$A$505,"&lt;"&amp;A257,Оплаты!$D$6:$D$505,"&lt;&gt;"))</f>
        <v/>
      </c>
      <c r="E257">
        <f>IF(A257="","",IF(SUMPRODUCT((Ввод!$F$12:$F$31&lt;&gt;"")*(Ввод!$F$12:$F$31&lt;=A257)*(Ввод!$G$12:$G$31&gt;=A257))&gt;0,1,0))</f>
        <v/>
      </c>
      <c r="G257">
        <f>IF(A257="","",IF(OR(B257&lt;&gt;B256,C257&lt;&gt;C256,E257&lt;&gt;E256),G256+1,G256))</f>
        <v/>
      </c>
    </row>
    <row r="258">
      <c r="A258" s="20">
        <f>IF(A257="","",IF(A257+1&gt;Ввод!$B$4,"",A257+1))</f>
        <v/>
      </c>
      <c r="B258">
        <f>IF(A258="","",IFERROR(INDEX(Ввод!$B$12:$B$71,MATCH(A258,Ввод!$D$12:$D$71,1)),""))</f>
        <v/>
      </c>
      <c r="C258">
        <f>IF(A258="","",DATE(YEAR(A258),12,31)-DATE(YEAR(A258),1,1)+1)</f>
        <v/>
      </c>
      <c r="D258">
        <f>IF(A258="","",SUMIFS(Акты!$D$5:$D$16,Акты!$E$5:$E$16,"&lt;="&amp;A258)-SUMIFS(Оплаты!$B$6:$B$505,Оплаты!$A$6:$A$505,"&lt;"&amp;A258,Оплаты!$D$6:$D$505,"&lt;&gt;"))</f>
        <v/>
      </c>
      <c r="E258">
        <f>IF(A258="","",IF(SUMPRODUCT((Ввод!$F$12:$F$31&lt;&gt;"")*(Ввод!$F$12:$F$31&lt;=A258)*(Ввод!$G$12:$G$31&gt;=A258))&gt;0,1,0))</f>
        <v/>
      </c>
      <c r="G258">
        <f>IF(A258="","",IF(OR(B258&lt;&gt;B257,C258&lt;&gt;C257,E258&lt;&gt;E257),G257+1,G257))</f>
        <v/>
      </c>
    </row>
    <row r="259">
      <c r="A259" s="20">
        <f>IF(A258="","",IF(A258+1&gt;Ввод!$B$4,"",A258+1))</f>
        <v/>
      </c>
      <c r="B259">
        <f>IF(A259="","",IFERROR(INDEX(Ввод!$B$12:$B$71,MATCH(A259,Ввод!$D$12:$D$71,1)),""))</f>
        <v/>
      </c>
      <c r="C259">
        <f>IF(A259="","",DATE(YEAR(A259),12,31)-DATE(YEAR(A259),1,1)+1)</f>
        <v/>
      </c>
      <c r="D259">
        <f>IF(A259="","",SUMIFS(Акты!$D$5:$D$16,Акты!$E$5:$E$16,"&lt;="&amp;A259)-SUMIFS(Оплаты!$B$6:$B$505,Оплаты!$A$6:$A$505,"&lt;"&amp;A259,Оплаты!$D$6:$D$505,"&lt;&gt;"))</f>
        <v/>
      </c>
      <c r="E259">
        <f>IF(A259="","",IF(SUMPRODUCT((Ввод!$F$12:$F$31&lt;&gt;"")*(Ввод!$F$12:$F$31&lt;=A259)*(Ввод!$G$12:$G$31&gt;=A259))&gt;0,1,0))</f>
        <v/>
      </c>
      <c r="G259">
        <f>IF(A259="","",IF(OR(B259&lt;&gt;B258,C259&lt;&gt;C258,E259&lt;&gt;E258),G258+1,G258))</f>
        <v/>
      </c>
    </row>
    <row r="260">
      <c r="A260" s="20">
        <f>IF(A259="","",IF(A259+1&gt;Ввод!$B$4,"",A259+1))</f>
        <v/>
      </c>
      <c r="B260">
        <f>IF(A260="","",IFERROR(INDEX(Ввод!$B$12:$B$71,MATCH(A260,Ввод!$D$12:$D$71,1)),""))</f>
        <v/>
      </c>
      <c r="C260">
        <f>IF(A260="","",DATE(YEAR(A260),12,31)-DATE(YEAR(A260),1,1)+1)</f>
        <v/>
      </c>
      <c r="D260">
        <f>IF(A260="","",SUMIFS(Акты!$D$5:$D$16,Акты!$E$5:$E$16,"&lt;="&amp;A260)-SUMIFS(Оплаты!$B$6:$B$505,Оплаты!$A$6:$A$505,"&lt;"&amp;A260,Оплаты!$D$6:$D$505,"&lt;&gt;"))</f>
        <v/>
      </c>
      <c r="E260">
        <f>IF(A260="","",IF(SUMPRODUCT((Ввод!$F$12:$F$31&lt;&gt;"")*(Ввод!$F$12:$F$31&lt;=A260)*(Ввод!$G$12:$G$31&gt;=A260))&gt;0,1,0))</f>
        <v/>
      </c>
      <c r="G260">
        <f>IF(A260="","",IF(OR(B260&lt;&gt;B259,C260&lt;&gt;C259,E260&lt;&gt;E259),G259+1,G259))</f>
        <v/>
      </c>
    </row>
    <row r="261">
      <c r="A261" s="20">
        <f>IF(A260="","",IF(A260+1&gt;Ввод!$B$4,"",A260+1))</f>
        <v/>
      </c>
      <c r="B261">
        <f>IF(A261="","",IFERROR(INDEX(Ввод!$B$12:$B$71,MATCH(A261,Ввод!$D$12:$D$71,1)),""))</f>
        <v/>
      </c>
      <c r="C261">
        <f>IF(A261="","",DATE(YEAR(A261),12,31)-DATE(YEAR(A261),1,1)+1)</f>
        <v/>
      </c>
      <c r="D261">
        <f>IF(A261="","",SUMIFS(Акты!$D$5:$D$16,Акты!$E$5:$E$16,"&lt;="&amp;A261)-SUMIFS(Оплаты!$B$6:$B$505,Оплаты!$A$6:$A$505,"&lt;"&amp;A261,Оплаты!$D$6:$D$505,"&lt;&gt;"))</f>
        <v/>
      </c>
      <c r="E261">
        <f>IF(A261="","",IF(SUMPRODUCT((Ввод!$F$12:$F$31&lt;&gt;"")*(Ввод!$F$12:$F$31&lt;=A261)*(Ввод!$G$12:$G$31&gt;=A261))&gt;0,1,0))</f>
        <v/>
      </c>
      <c r="G261">
        <f>IF(A261="","",IF(OR(B261&lt;&gt;B260,C261&lt;&gt;C260,E261&lt;&gt;E260),G260+1,G260))</f>
        <v/>
      </c>
    </row>
    <row r="262">
      <c r="A262" s="20">
        <f>IF(A261="","",IF(A261+1&gt;Ввод!$B$4,"",A261+1))</f>
        <v/>
      </c>
      <c r="B262">
        <f>IF(A262="","",IFERROR(INDEX(Ввод!$B$12:$B$71,MATCH(A262,Ввод!$D$12:$D$71,1)),""))</f>
        <v/>
      </c>
      <c r="C262">
        <f>IF(A262="","",DATE(YEAR(A262),12,31)-DATE(YEAR(A262),1,1)+1)</f>
        <v/>
      </c>
      <c r="D262">
        <f>IF(A262="","",SUMIFS(Акты!$D$5:$D$16,Акты!$E$5:$E$16,"&lt;="&amp;A262)-SUMIFS(Оплаты!$B$6:$B$505,Оплаты!$A$6:$A$505,"&lt;"&amp;A262,Оплаты!$D$6:$D$505,"&lt;&gt;"))</f>
        <v/>
      </c>
      <c r="E262">
        <f>IF(A262="","",IF(SUMPRODUCT((Ввод!$F$12:$F$31&lt;&gt;"")*(Ввод!$F$12:$F$31&lt;=A262)*(Ввод!$G$12:$G$31&gt;=A262))&gt;0,1,0))</f>
        <v/>
      </c>
      <c r="G262">
        <f>IF(A262="","",IF(OR(B262&lt;&gt;B261,C262&lt;&gt;C261,E262&lt;&gt;E261),G261+1,G261))</f>
        <v/>
      </c>
    </row>
    <row r="263">
      <c r="A263" s="20">
        <f>IF(A262="","",IF(A262+1&gt;Ввод!$B$4,"",A262+1))</f>
        <v/>
      </c>
      <c r="B263">
        <f>IF(A263="","",IFERROR(INDEX(Ввод!$B$12:$B$71,MATCH(A263,Ввод!$D$12:$D$71,1)),""))</f>
        <v/>
      </c>
      <c r="C263">
        <f>IF(A263="","",DATE(YEAR(A263),12,31)-DATE(YEAR(A263),1,1)+1)</f>
        <v/>
      </c>
      <c r="D263">
        <f>IF(A263="","",SUMIFS(Акты!$D$5:$D$16,Акты!$E$5:$E$16,"&lt;="&amp;A263)-SUMIFS(Оплаты!$B$6:$B$505,Оплаты!$A$6:$A$505,"&lt;"&amp;A263,Оплаты!$D$6:$D$505,"&lt;&gt;"))</f>
        <v/>
      </c>
      <c r="E263">
        <f>IF(A263="","",IF(SUMPRODUCT((Ввод!$F$12:$F$31&lt;&gt;"")*(Ввод!$F$12:$F$31&lt;=A263)*(Ввод!$G$12:$G$31&gt;=A263))&gt;0,1,0))</f>
        <v/>
      </c>
      <c r="G263">
        <f>IF(A263="","",IF(OR(B263&lt;&gt;B262,C263&lt;&gt;C262,E263&lt;&gt;E262),G262+1,G262))</f>
        <v/>
      </c>
    </row>
    <row r="264">
      <c r="A264" s="20">
        <f>IF(A263="","",IF(A263+1&gt;Ввод!$B$4,"",A263+1))</f>
        <v/>
      </c>
      <c r="B264">
        <f>IF(A264="","",IFERROR(INDEX(Ввод!$B$12:$B$71,MATCH(A264,Ввод!$D$12:$D$71,1)),""))</f>
        <v/>
      </c>
      <c r="C264">
        <f>IF(A264="","",DATE(YEAR(A264),12,31)-DATE(YEAR(A264),1,1)+1)</f>
        <v/>
      </c>
      <c r="D264">
        <f>IF(A264="","",SUMIFS(Акты!$D$5:$D$16,Акты!$E$5:$E$16,"&lt;="&amp;A264)-SUMIFS(Оплаты!$B$6:$B$505,Оплаты!$A$6:$A$505,"&lt;"&amp;A264,Оплаты!$D$6:$D$505,"&lt;&gt;"))</f>
        <v/>
      </c>
      <c r="E264">
        <f>IF(A264="","",IF(SUMPRODUCT((Ввод!$F$12:$F$31&lt;&gt;"")*(Ввод!$F$12:$F$31&lt;=A264)*(Ввод!$G$12:$G$31&gt;=A264))&gt;0,1,0))</f>
        <v/>
      </c>
      <c r="G264">
        <f>IF(A264="","",IF(OR(B264&lt;&gt;B263,C264&lt;&gt;C263,E264&lt;&gt;E263),G263+1,G263))</f>
        <v/>
      </c>
    </row>
    <row r="265">
      <c r="A265" s="20">
        <f>IF(A264="","",IF(A264+1&gt;Ввод!$B$4,"",A264+1))</f>
        <v/>
      </c>
      <c r="B265">
        <f>IF(A265="","",IFERROR(INDEX(Ввод!$B$12:$B$71,MATCH(A265,Ввод!$D$12:$D$71,1)),""))</f>
        <v/>
      </c>
      <c r="C265">
        <f>IF(A265="","",DATE(YEAR(A265),12,31)-DATE(YEAR(A265),1,1)+1)</f>
        <v/>
      </c>
      <c r="D265">
        <f>IF(A265="","",SUMIFS(Акты!$D$5:$D$16,Акты!$E$5:$E$16,"&lt;="&amp;A265)-SUMIFS(Оплаты!$B$6:$B$505,Оплаты!$A$6:$A$505,"&lt;"&amp;A265,Оплаты!$D$6:$D$505,"&lt;&gt;"))</f>
        <v/>
      </c>
      <c r="E265">
        <f>IF(A265="","",IF(SUMPRODUCT((Ввод!$F$12:$F$31&lt;&gt;"")*(Ввод!$F$12:$F$31&lt;=A265)*(Ввод!$G$12:$G$31&gt;=A265))&gt;0,1,0))</f>
        <v/>
      </c>
      <c r="G265">
        <f>IF(A265="","",IF(OR(B265&lt;&gt;B264,C265&lt;&gt;C264,E265&lt;&gt;E264),G264+1,G264))</f>
        <v/>
      </c>
    </row>
    <row r="266">
      <c r="A266" s="20">
        <f>IF(A265="","",IF(A265+1&gt;Ввод!$B$4,"",A265+1))</f>
        <v/>
      </c>
      <c r="B266">
        <f>IF(A266="","",IFERROR(INDEX(Ввод!$B$12:$B$71,MATCH(A266,Ввод!$D$12:$D$71,1)),""))</f>
        <v/>
      </c>
      <c r="C266">
        <f>IF(A266="","",DATE(YEAR(A266),12,31)-DATE(YEAR(A266),1,1)+1)</f>
        <v/>
      </c>
      <c r="D266">
        <f>IF(A266="","",SUMIFS(Акты!$D$5:$D$16,Акты!$E$5:$E$16,"&lt;="&amp;A266)-SUMIFS(Оплаты!$B$6:$B$505,Оплаты!$A$6:$A$505,"&lt;"&amp;A266,Оплаты!$D$6:$D$505,"&lt;&gt;"))</f>
        <v/>
      </c>
      <c r="E266">
        <f>IF(A266="","",IF(SUMPRODUCT((Ввод!$F$12:$F$31&lt;&gt;"")*(Ввод!$F$12:$F$31&lt;=A266)*(Ввод!$G$12:$G$31&gt;=A266))&gt;0,1,0))</f>
        <v/>
      </c>
      <c r="G266">
        <f>IF(A266="","",IF(OR(B266&lt;&gt;B265,C266&lt;&gt;C265,E266&lt;&gt;E265),G265+1,G265))</f>
        <v/>
      </c>
    </row>
    <row r="267">
      <c r="A267" s="20">
        <f>IF(A266="","",IF(A266+1&gt;Ввод!$B$4,"",A266+1))</f>
        <v/>
      </c>
      <c r="B267">
        <f>IF(A267="","",IFERROR(INDEX(Ввод!$B$12:$B$71,MATCH(A267,Ввод!$D$12:$D$71,1)),""))</f>
        <v/>
      </c>
      <c r="C267">
        <f>IF(A267="","",DATE(YEAR(A267),12,31)-DATE(YEAR(A267),1,1)+1)</f>
        <v/>
      </c>
      <c r="D267">
        <f>IF(A267="","",SUMIFS(Акты!$D$5:$D$16,Акты!$E$5:$E$16,"&lt;="&amp;A267)-SUMIFS(Оплаты!$B$6:$B$505,Оплаты!$A$6:$A$505,"&lt;"&amp;A267,Оплаты!$D$6:$D$505,"&lt;&gt;"))</f>
        <v/>
      </c>
      <c r="E267">
        <f>IF(A267="","",IF(SUMPRODUCT((Ввод!$F$12:$F$31&lt;&gt;"")*(Ввод!$F$12:$F$31&lt;=A267)*(Ввод!$G$12:$G$31&gt;=A267))&gt;0,1,0))</f>
        <v/>
      </c>
      <c r="G267">
        <f>IF(A267="","",IF(OR(B267&lt;&gt;B266,C267&lt;&gt;C266,E267&lt;&gt;E266),G266+1,G266))</f>
        <v/>
      </c>
    </row>
    <row r="268">
      <c r="A268" s="20">
        <f>IF(A267="","",IF(A267+1&gt;Ввод!$B$4,"",A267+1))</f>
        <v/>
      </c>
      <c r="B268">
        <f>IF(A268="","",IFERROR(INDEX(Ввод!$B$12:$B$71,MATCH(A268,Ввод!$D$12:$D$71,1)),""))</f>
        <v/>
      </c>
      <c r="C268">
        <f>IF(A268="","",DATE(YEAR(A268),12,31)-DATE(YEAR(A268),1,1)+1)</f>
        <v/>
      </c>
      <c r="D268">
        <f>IF(A268="","",SUMIFS(Акты!$D$5:$D$16,Акты!$E$5:$E$16,"&lt;="&amp;A268)-SUMIFS(Оплаты!$B$6:$B$505,Оплаты!$A$6:$A$505,"&lt;"&amp;A268,Оплаты!$D$6:$D$505,"&lt;&gt;"))</f>
        <v/>
      </c>
      <c r="E268">
        <f>IF(A268="","",IF(SUMPRODUCT((Ввод!$F$12:$F$31&lt;&gt;"")*(Ввод!$F$12:$F$31&lt;=A268)*(Ввод!$G$12:$G$31&gt;=A268))&gt;0,1,0))</f>
        <v/>
      </c>
      <c r="G268">
        <f>IF(A268="","",IF(OR(B268&lt;&gt;B267,C268&lt;&gt;C267,E268&lt;&gt;E267),G267+1,G267))</f>
        <v/>
      </c>
    </row>
    <row r="269">
      <c r="A269" s="20">
        <f>IF(A268="","",IF(A268+1&gt;Ввод!$B$4,"",A268+1))</f>
        <v/>
      </c>
      <c r="B269">
        <f>IF(A269="","",IFERROR(INDEX(Ввод!$B$12:$B$71,MATCH(A269,Ввод!$D$12:$D$71,1)),""))</f>
        <v/>
      </c>
      <c r="C269">
        <f>IF(A269="","",DATE(YEAR(A269),12,31)-DATE(YEAR(A269),1,1)+1)</f>
        <v/>
      </c>
      <c r="D269">
        <f>IF(A269="","",SUMIFS(Акты!$D$5:$D$16,Акты!$E$5:$E$16,"&lt;="&amp;A269)-SUMIFS(Оплаты!$B$6:$B$505,Оплаты!$A$6:$A$505,"&lt;"&amp;A269,Оплаты!$D$6:$D$505,"&lt;&gt;"))</f>
        <v/>
      </c>
      <c r="E269">
        <f>IF(A269="","",IF(SUMPRODUCT((Ввод!$F$12:$F$31&lt;&gt;"")*(Ввод!$F$12:$F$31&lt;=A269)*(Ввод!$G$12:$G$31&gt;=A269))&gt;0,1,0))</f>
        <v/>
      </c>
      <c r="G269">
        <f>IF(A269="","",IF(OR(B269&lt;&gt;B268,C269&lt;&gt;C268,E269&lt;&gt;E268),G268+1,G268))</f>
        <v/>
      </c>
    </row>
    <row r="270">
      <c r="A270" s="20">
        <f>IF(A269="","",IF(A269+1&gt;Ввод!$B$4,"",A269+1))</f>
        <v/>
      </c>
      <c r="B270">
        <f>IF(A270="","",IFERROR(INDEX(Ввод!$B$12:$B$71,MATCH(A270,Ввод!$D$12:$D$71,1)),""))</f>
        <v/>
      </c>
      <c r="C270">
        <f>IF(A270="","",DATE(YEAR(A270),12,31)-DATE(YEAR(A270),1,1)+1)</f>
        <v/>
      </c>
      <c r="D270">
        <f>IF(A270="","",SUMIFS(Акты!$D$5:$D$16,Акты!$E$5:$E$16,"&lt;="&amp;A270)-SUMIFS(Оплаты!$B$6:$B$505,Оплаты!$A$6:$A$505,"&lt;"&amp;A270,Оплаты!$D$6:$D$505,"&lt;&gt;"))</f>
        <v/>
      </c>
      <c r="E270">
        <f>IF(A270="","",IF(SUMPRODUCT((Ввод!$F$12:$F$31&lt;&gt;"")*(Ввод!$F$12:$F$31&lt;=A270)*(Ввод!$G$12:$G$31&gt;=A270))&gt;0,1,0))</f>
        <v/>
      </c>
      <c r="G270">
        <f>IF(A270="","",IF(OR(B270&lt;&gt;B269,C270&lt;&gt;C269,E270&lt;&gt;E269),G269+1,G269))</f>
        <v/>
      </c>
    </row>
    <row r="271">
      <c r="A271" s="20">
        <f>IF(A270="","",IF(A270+1&gt;Ввод!$B$4,"",A270+1))</f>
        <v/>
      </c>
      <c r="B271">
        <f>IF(A271="","",IFERROR(INDEX(Ввод!$B$12:$B$71,MATCH(A271,Ввод!$D$12:$D$71,1)),""))</f>
        <v/>
      </c>
      <c r="C271">
        <f>IF(A271="","",DATE(YEAR(A271),12,31)-DATE(YEAR(A271),1,1)+1)</f>
        <v/>
      </c>
      <c r="D271">
        <f>IF(A271="","",SUMIFS(Акты!$D$5:$D$16,Акты!$E$5:$E$16,"&lt;="&amp;A271)-SUMIFS(Оплаты!$B$6:$B$505,Оплаты!$A$6:$A$505,"&lt;"&amp;A271,Оплаты!$D$6:$D$505,"&lt;&gt;"))</f>
        <v/>
      </c>
      <c r="E271">
        <f>IF(A271="","",IF(SUMPRODUCT((Ввод!$F$12:$F$31&lt;&gt;"")*(Ввод!$F$12:$F$31&lt;=A271)*(Ввод!$G$12:$G$31&gt;=A271))&gt;0,1,0))</f>
        <v/>
      </c>
      <c r="G271">
        <f>IF(A271="","",IF(OR(B271&lt;&gt;B270,C271&lt;&gt;C270,E271&lt;&gt;E270),G270+1,G270))</f>
        <v/>
      </c>
    </row>
    <row r="272">
      <c r="A272" s="20">
        <f>IF(A271="","",IF(A271+1&gt;Ввод!$B$4,"",A271+1))</f>
        <v/>
      </c>
      <c r="B272">
        <f>IF(A272="","",IFERROR(INDEX(Ввод!$B$12:$B$71,MATCH(A272,Ввод!$D$12:$D$71,1)),""))</f>
        <v/>
      </c>
      <c r="C272">
        <f>IF(A272="","",DATE(YEAR(A272),12,31)-DATE(YEAR(A272),1,1)+1)</f>
        <v/>
      </c>
      <c r="D272">
        <f>IF(A272="","",SUMIFS(Акты!$D$5:$D$16,Акты!$E$5:$E$16,"&lt;="&amp;A272)-SUMIFS(Оплаты!$B$6:$B$505,Оплаты!$A$6:$A$505,"&lt;"&amp;A272,Оплаты!$D$6:$D$505,"&lt;&gt;"))</f>
        <v/>
      </c>
      <c r="E272">
        <f>IF(A272="","",IF(SUMPRODUCT((Ввод!$F$12:$F$31&lt;&gt;"")*(Ввод!$F$12:$F$31&lt;=A272)*(Ввод!$G$12:$G$31&gt;=A272))&gt;0,1,0))</f>
        <v/>
      </c>
      <c r="G272">
        <f>IF(A272="","",IF(OR(B272&lt;&gt;B271,C272&lt;&gt;C271,E272&lt;&gt;E271),G271+1,G271))</f>
        <v/>
      </c>
    </row>
    <row r="273">
      <c r="A273" s="20">
        <f>IF(A272="","",IF(A272+1&gt;Ввод!$B$4,"",A272+1))</f>
        <v/>
      </c>
      <c r="B273">
        <f>IF(A273="","",IFERROR(INDEX(Ввод!$B$12:$B$71,MATCH(A273,Ввод!$D$12:$D$71,1)),""))</f>
        <v/>
      </c>
      <c r="C273">
        <f>IF(A273="","",DATE(YEAR(A273),12,31)-DATE(YEAR(A273),1,1)+1)</f>
        <v/>
      </c>
      <c r="D273">
        <f>IF(A273="","",SUMIFS(Акты!$D$5:$D$16,Акты!$E$5:$E$16,"&lt;="&amp;A273)-SUMIFS(Оплаты!$B$6:$B$505,Оплаты!$A$6:$A$505,"&lt;"&amp;A273,Оплаты!$D$6:$D$505,"&lt;&gt;"))</f>
        <v/>
      </c>
      <c r="E273">
        <f>IF(A273="","",IF(SUMPRODUCT((Ввод!$F$12:$F$31&lt;&gt;"")*(Ввод!$F$12:$F$31&lt;=A273)*(Ввод!$G$12:$G$31&gt;=A273))&gt;0,1,0))</f>
        <v/>
      </c>
      <c r="G273">
        <f>IF(A273="","",IF(OR(B273&lt;&gt;B272,C273&lt;&gt;C272,E273&lt;&gt;E272),G272+1,G272))</f>
        <v/>
      </c>
    </row>
    <row r="274">
      <c r="A274" s="20">
        <f>IF(A273="","",IF(A273+1&gt;Ввод!$B$4,"",A273+1))</f>
        <v/>
      </c>
      <c r="B274">
        <f>IF(A274="","",IFERROR(INDEX(Ввод!$B$12:$B$71,MATCH(A274,Ввод!$D$12:$D$71,1)),""))</f>
        <v/>
      </c>
      <c r="C274">
        <f>IF(A274="","",DATE(YEAR(A274),12,31)-DATE(YEAR(A274),1,1)+1)</f>
        <v/>
      </c>
      <c r="D274">
        <f>IF(A274="","",SUMIFS(Акты!$D$5:$D$16,Акты!$E$5:$E$16,"&lt;="&amp;A274)-SUMIFS(Оплаты!$B$6:$B$505,Оплаты!$A$6:$A$505,"&lt;"&amp;A274,Оплаты!$D$6:$D$505,"&lt;&gt;"))</f>
        <v/>
      </c>
      <c r="E274">
        <f>IF(A274="","",IF(SUMPRODUCT((Ввод!$F$12:$F$31&lt;&gt;"")*(Ввод!$F$12:$F$31&lt;=A274)*(Ввод!$G$12:$G$31&gt;=A274))&gt;0,1,0))</f>
        <v/>
      </c>
      <c r="G274">
        <f>IF(A274="","",IF(OR(B274&lt;&gt;B273,C274&lt;&gt;C273,E274&lt;&gt;E273),G273+1,G273))</f>
        <v/>
      </c>
    </row>
    <row r="275">
      <c r="A275" s="20">
        <f>IF(A274="","",IF(A274+1&gt;Ввод!$B$4,"",A274+1))</f>
        <v/>
      </c>
      <c r="B275">
        <f>IF(A275="","",IFERROR(INDEX(Ввод!$B$12:$B$71,MATCH(A275,Ввод!$D$12:$D$71,1)),""))</f>
        <v/>
      </c>
      <c r="C275">
        <f>IF(A275="","",DATE(YEAR(A275),12,31)-DATE(YEAR(A275),1,1)+1)</f>
        <v/>
      </c>
      <c r="D275">
        <f>IF(A275="","",SUMIFS(Акты!$D$5:$D$16,Акты!$E$5:$E$16,"&lt;="&amp;A275)-SUMIFS(Оплаты!$B$6:$B$505,Оплаты!$A$6:$A$505,"&lt;"&amp;A275,Оплаты!$D$6:$D$505,"&lt;&gt;"))</f>
        <v/>
      </c>
      <c r="E275">
        <f>IF(A275="","",IF(SUMPRODUCT((Ввод!$F$12:$F$31&lt;&gt;"")*(Ввод!$F$12:$F$31&lt;=A275)*(Ввод!$G$12:$G$31&gt;=A275))&gt;0,1,0))</f>
        <v/>
      </c>
      <c r="G275">
        <f>IF(A275="","",IF(OR(B275&lt;&gt;B274,C275&lt;&gt;C274,E275&lt;&gt;E274),G274+1,G274))</f>
        <v/>
      </c>
    </row>
    <row r="276">
      <c r="A276" s="20">
        <f>IF(A275="","",IF(A275+1&gt;Ввод!$B$4,"",A275+1))</f>
        <v/>
      </c>
      <c r="B276">
        <f>IF(A276="","",IFERROR(INDEX(Ввод!$B$12:$B$71,MATCH(A276,Ввод!$D$12:$D$71,1)),""))</f>
        <v/>
      </c>
      <c r="C276">
        <f>IF(A276="","",DATE(YEAR(A276),12,31)-DATE(YEAR(A276),1,1)+1)</f>
        <v/>
      </c>
      <c r="D276">
        <f>IF(A276="","",SUMIFS(Акты!$D$5:$D$16,Акты!$E$5:$E$16,"&lt;="&amp;A276)-SUMIFS(Оплаты!$B$6:$B$505,Оплаты!$A$6:$A$505,"&lt;"&amp;A276,Оплаты!$D$6:$D$505,"&lt;&gt;"))</f>
        <v/>
      </c>
      <c r="E276">
        <f>IF(A276="","",IF(SUMPRODUCT((Ввод!$F$12:$F$31&lt;&gt;"")*(Ввод!$F$12:$F$31&lt;=A276)*(Ввод!$G$12:$G$31&gt;=A276))&gt;0,1,0))</f>
        <v/>
      </c>
      <c r="G276">
        <f>IF(A276="","",IF(OR(B276&lt;&gt;B275,C276&lt;&gt;C275,E276&lt;&gt;E275),G275+1,G275))</f>
        <v/>
      </c>
    </row>
    <row r="277">
      <c r="A277" s="20">
        <f>IF(A276="","",IF(A276+1&gt;Ввод!$B$4,"",A276+1))</f>
        <v/>
      </c>
      <c r="B277">
        <f>IF(A277="","",IFERROR(INDEX(Ввод!$B$12:$B$71,MATCH(A277,Ввод!$D$12:$D$71,1)),""))</f>
        <v/>
      </c>
      <c r="C277">
        <f>IF(A277="","",DATE(YEAR(A277),12,31)-DATE(YEAR(A277),1,1)+1)</f>
        <v/>
      </c>
      <c r="D277">
        <f>IF(A277="","",SUMIFS(Акты!$D$5:$D$16,Акты!$E$5:$E$16,"&lt;="&amp;A277)-SUMIFS(Оплаты!$B$6:$B$505,Оплаты!$A$6:$A$505,"&lt;"&amp;A277,Оплаты!$D$6:$D$505,"&lt;&gt;"))</f>
        <v/>
      </c>
      <c r="E277">
        <f>IF(A277="","",IF(SUMPRODUCT((Ввод!$F$12:$F$31&lt;&gt;"")*(Ввод!$F$12:$F$31&lt;=A277)*(Ввод!$G$12:$G$31&gt;=A277))&gt;0,1,0))</f>
        <v/>
      </c>
      <c r="G277">
        <f>IF(A277="","",IF(OR(B277&lt;&gt;B276,C277&lt;&gt;C276,E277&lt;&gt;E276),G276+1,G276))</f>
        <v/>
      </c>
    </row>
    <row r="278">
      <c r="A278" s="20">
        <f>IF(A277="","",IF(A277+1&gt;Ввод!$B$4,"",A277+1))</f>
        <v/>
      </c>
      <c r="B278">
        <f>IF(A278="","",IFERROR(INDEX(Ввод!$B$12:$B$71,MATCH(A278,Ввод!$D$12:$D$71,1)),""))</f>
        <v/>
      </c>
      <c r="C278">
        <f>IF(A278="","",DATE(YEAR(A278),12,31)-DATE(YEAR(A278),1,1)+1)</f>
        <v/>
      </c>
      <c r="D278">
        <f>IF(A278="","",SUMIFS(Акты!$D$5:$D$16,Акты!$E$5:$E$16,"&lt;="&amp;A278)-SUMIFS(Оплаты!$B$6:$B$505,Оплаты!$A$6:$A$505,"&lt;"&amp;A278,Оплаты!$D$6:$D$505,"&lt;&gt;"))</f>
        <v/>
      </c>
      <c r="E278">
        <f>IF(A278="","",IF(SUMPRODUCT((Ввод!$F$12:$F$31&lt;&gt;"")*(Ввод!$F$12:$F$31&lt;=A278)*(Ввод!$G$12:$G$31&gt;=A278))&gt;0,1,0))</f>
        <v/>
      </c>
      <c r="G278">
        <f>IF(A278="","",IF(OR(B278&lt;&gt;B277,C278&lt;&gt;C277,E278&lt;&gt;E277),G277+1,G277))</f>
        <v/>
      </c>
    </row>
    <row r="279">
      <c r="A279" s="20">
        <f>IF(A278="","",IF(A278+1&gt;Ввод!$B$4,"",A278+1))</f>
        <v/>
      </c>
      <c r="B279">
        <f>IF(A279="","",IFERROR(INDEX(Ввод!$B$12:$B$71,MATCH(A279,Ввод!$D$12:$D$71,1)),""))</f>
        <v/>
      </c>
      <c r="C279">
        <f>IF(A279="","",DATE(YEAR(A279),12,31)-DATE(YEAR(A279),1,1)+1)</f>
        <v/>
      </c>
      <c r="D279">
        <f>IF(A279="","",SUMIFS(Акты!$D$5:$D$16,Акты!$E$5:$E$16,"&lt;="&amp;A279)-SUMIFS(Оплаты!$B$6:$B$505,Оплаты!$A$6:$A$505,"&lt;"&amp;A279,Оплаты!$D$6:$D$505,"&lt;&gt;"))</f>
        <v/>
      </c>
      <c r="E279">
        <f>IF(A279="","",IF(SUMPRODUCT((Ввод!$F$12:$F$31&lt;&gt;"")*(Ввод!$F$12:$F$31&lt;=A279)*(Ввод!$G$12:$G$31&gt;=A279))&gt;0,1,0))</f>
        <v/>
      </c>
      <c r="G279">
        <f>IF(A279="","",IF(OR(B279&lt;&gt;B278,C279&lt;&gt;C278,E279&lt;&gt;E278),G278+1,G278))</f>
        <v/>
      </c>
    </row>
    <row r="280">
      <c r="A280" s="20">
        <f>IF(A279="","",IF(A279+1&gt;Ввод!$B$4,"",A279+1))</f>
        <v/>
      </c>
      <c r="B280">
        <f>IF(A280="","",IFERROR(INDEX(Ввод!$B$12:$B$71,MATCH(A280,Ввод!$D$12:$D$71,1)),""))</f>
        <v/>
      </c>
      <c r="C280">
        <f>IF(A280="","",DATE(YEAR(A280),12,31)-DATE(YEAR(A280),1,1)+1)</f>
        <v/>
      </c>
      <c r="D280">
        <f>IF(A280="","",SUMIFS(Акты!$D$5:$D$16,Акты!$E$5:$E$16,"&lt;="&amp;A280)-SUMIFS(Оплаты!$B$6:$B$505,Оплаты!$A$6:$A$505,"&lt;"&amp;A280,Оплаты!$D$6:$D$505,"&lt;&gt;"))</f>
        <v/>
      </c>
      <c r="E280">
        <f>IF(A280="","",IF(SUMPRODUCT((Ввод!$F$12:$F$31&lt;&gt;"")*(Ввод!$F$12:$F$31&lt;=A280)*(Ввод!$G$12:$G$31&gt;=A280))&gt;0,1,0))</f>
        <v/>
      </c>
      <c r="G280">
        <f>IF(A280="","",IF(OR(B280&lt;&gt;B279,C280&lt;&gt;C279,E280&lt;&gt;E279),G279+1,G279))</f>
        <v/>
      </c>
    </row>
    <row r="281">
      <c r="A281" s="20">
        <f>IF(A280="","",IF(A280+1&gt;Ввод!$B$4,"",A280+1))</f>
        <v/>
      </c>
      <c r="B281">
        <f>IF(A281="","",IFERROR(INDEX(Ввод!$B$12:$B$71,MATCH(A281,Ввод!$D$12:$D$71,1)),""))</f>
        <v/>
      </c>
      <c r="C281">
        <f>IF(A281="","",DATE(YEAR(A281),12,31)-DATE(YEAR(A281),1,1)+1)</f>
        <v/>
      </c>
      <c r="D281">
        <f>IF(A281="","",SUMIFS(Акты!$D$5:$D$16,Акты!$E$5:$E$16,"&lt;="&amp;A281)-SUMIFS(Оплаты!$B$6:$B$505,Оплаты!$A$6:$A$505,"&lt;"&amp;A281,Оплаты!$D$6:$D$505,"&lt;&gt;"))</f>
        <v/>
      </c>
      <c r="E281">
        <f>IF(A281="","",IF(SUMPRODUCT((Ввод!$F$12:$F$31&lt;&gt;"")*(Ввод!$F$12:$F$31&lt;=A281)*(Ввод!$G$12:$G$31&gt;=A281))&gt;0,1,0))</f>
        <v/>
      </c>
      <c r="G281">
        <f>IF(A281="","",IF(OR(B281&lt;&gt;B280,C281&lt;&gt;C280,E281&lt;&gt;E280),G280+1,G280))</f>
        <v/>
      </c>
    </row>
    <row r="282">
      <c r="A282" s="20">
        <f>IF(A281="","",IF(A281+1&gt;Ввод!$B$4,"",A281+1))</f>
        <v/>
      </c>
      <c r="B282">
        <f>IF(A282="","",IFERROR(INDEX(Ввод!$B$12:$B$71,MATCH(A282,Ввод!$D$12:$D$71,1)),""))</f>
        <v/>
      </c>
      <c r="C282">
        <f>IF(A282="","",DATE(YEAR(A282),12,31)-DATE(YEAR(A282),1,1)+1)</f>
        <v/>
      </c>
      <c r="D282">
        <f>IF(A282="","",SUMIFS(Акты!$D$5:$D$16,Акты!$E$5:$E$16,"&lt;="&amp;A282)-SUMIFS(Оплаты!$B$6:$B$505,Оплаты!$A$6:$A$505,"&lt;"&amp;A282,Оплаты!$D$6:$D$505,"&lt;&gt;"))</f>
        <v/>
      </c>
      <c r="E282">
        <f>IF(A282="","",IF(SUMPRODUCT((Ввод!$F$12:$F$31&lt;&gt;"")*(Ввод!$F$12:$F$31&lt;=A282)*(Ввод!$G$12:$G$31&gt;=A282))&gt;0,1,0))</f>
        <v/>
      </c>
      <c r="G282">
        <f>IF(A282="","",IF(OR(B282&lt;&gt;B281,C282&lt;&gt;C281,E282&lt;&gt;E281),G281+1,G281))</f>
        <v/>
      </c>
    </row>
    <row r="283">
      <c r="A283" s="20">
        <f>IF(A282="","",IF(A282+1&gt;Ввод!$B$4,"",A282+1))</f>
        <v/>
      </c>
      <c r="B283">
        <f>IF(A283="","",IFERROR(INDEX(Ввод!$B$12:$B$71,MATCH(A283,Ввод!$D$12:$D$71,1)),""))</f>
        <v/>
      </c>
      <c r="C283">
        <f>IF(A283="","",DATE(YEAR(A283),12,31)-DATE(YEAR(A283),1,1)+1)</f>
        <v/>
      </c>
      <c r="D283">
        <f>IF(A283="","",SUMIFS(Акты!$D$5:$D$16,Акты!$E$5:$E$16,"&lt;="&amp;A283)-SUMIFS(Оплаты!$B$6:$B$505,Оплаты!$A$6:$A$505,"&lt;"&amp;A283,Оплаты!$D$6:$D$505,"&lt;&gt;"))</f>
        <v/>
      </c>
      <c r="E283">
        <f>IF(A283="","",IF(SUMPRODUCT((Ввод!$F$12:$F$31&lt;&gt;"")*(Ввод!$F$12:$F$31&lt;=A283)*(Ввод!$G$12:$G$31&gt;=A283))&gt;0,1,0))</f>
        <v/>
      </c>
      <c r="G283">
        <f>IF(A283="","",IF(OR(B283&lt;&gt;B282,C283&lt;&gt;C282,E283&lt;&gt;E282),G282+1,G282))</f>
        <v/>
      </c>
    </row>
    <row r="284">
      <c r="A284" s="20">
        <f>IF(A283="","",IF(A283+1&gt;Ввод!$B$4,"",A283+1))</f>
        <v/>
      </c>
      <c r="B284">
        <f>IF(A284="","",IFERROR(INDEX(Ввод!$B$12:$B$71,MATCH(A284,Ввод!$D$12:$D$71,1)),""))</f>
        <v/>
      </c>
      <c r="C284">
        <f>IF(A284="","",DATE(YEAR(A284),12,31)-DATE(YEAR(A284),1,1)+1)</f>
        <v/>
      </c>
      <c r="D284">
        <f>IF(A284="","",SUMIFS(Акты!$D$5:$D$16,Акты!$E$5:$E$16,"&lt;="&amp;A284)-SUMIFS(Оплаты!$B$6:$B$505,Оплаты!$A$6:$A$505,"&lt;"&amp;A284,Оплаты!$D$6:$D$505,"&lt;&gt;"))</f>
        <v/>
      </c>
      <c r="E284">
        <f>IF(A284="","",IF(SUMPRODUCT((Ввод!$F$12:$F$31&lt;&gt;"")*(Ввод!$F$12:$F$31&lt;=A284)*(Ввод!$G$12:$G$31&gt;=A284))&gt;0,1,0))</f>
        <v/>
      </c>
      <c r="G284">
        <f>IF(A284="","",IF(OR(B284&lt;&gt;B283,C284&lt;&gt;C283,E284&lt;&gt;E283),G283+1,G283))</f>
        <v/>
      </c>
    </row>
    <row r="285">
      <c r="A285" s="20">
        <f>IF(A284="","",IF(A284+1&gt;Ввод!$B$4,"",A284+1))</f>
        <v/>
      </c>
      <c r="B285">
        <f>IF(A285="","",IFERROR(INDEX(Ввод!$B$12:$B$71,MATCH(A285,Ввод!$D$12:$D$71,1)),""))</f>
        <v/>
      </c>
      <c r="C285">
        <f>IF(A285="","",DATE(YEAR(A285),12,31)-DATE(YEAR(A285),1,1)+1)</f>
        <v/>
      </c>
      <c r="D285">
        <f>IF(A285="","",SUMIFS(Акты!$D$5:$D$16,Акты!$E$5:$E$16,"&lt;="&amp;A285)-SUMIFS(Оплаты!$B$6:$B$505,Оплаты!$A$6:$A$505,"&lt;"&amp;A285,Оплаты!$D$6:$D$505,"&lt;&gt;"))</f>
        <v/>
      </c>
      <c r="E285">
        <f>IF(A285="","",IF(SUMPRODUCT((Ввод!$F$12:$F$31&lt;&gt;"")*(Ввод!$F$12:$F$31&lt;=A285)*(Ввод!$G$12:$G$31&gt;=A285))&gt;0,1,0))</f>
        <v/>
      </c>
      <c r="G285">
        <f>IF(A285="","",IF(OR(B285&lt;&gt;B284,C285&lt;&gt;C284,E285&lt;&gt;E284),G284+1,G284))</f>
        <v/>
      </c>
    </row>
    <row r="286">
      <c r="A286" s="20">
        <f>IF(A285="","",IF(A285+1&gt;Ввод!$B$4,"",A285+1))</f>
        <v/>
      </c>
      <c r="B286">
        <f>IF(A286="","",IFERROR(INDEX(Ввод!$B$12:$B$71,MATCH(A286,Ввод!$D$12:$D$71,1)),""))</f>
        <v/>
      </c>
      <c r="C286">
        <f>IF(A286="","",DATE(YEAR(A286),12,31)-DATE(YEAR(A286),1,1)+1)</f>
        <v/>
      </c>
      <c r="D286">
        <f>IF(A286="","",SUMIFS(Акты!$D$5:$D$16,Акты!$E$5:$E$16,"&lt;="&amp;A286)-SUMIFS(Оплаты!$B$6:$B$505,Оплаты!$A$6:$A$505,"&lt;"&amp;A286,Оплаты!$D$6:$D$505,"&lt;&gt;"))</f>
        <v/>
      </c>
      <c r="E286">
        <f>IF(A286="","",IF(SUMPRODUCT((Ввод!$F$12:$F$31&lt;&gt;"")*(Ввод!$F$12:$F$31&lt;=A286)*(Ввод!$G$12:$G$31&gt;=A286))&gt;0,1,0))</f>
        <v/>
      </c>
      <c r="G286">
        <f>IF(A286="","",IF(OR(B286&lt;&gt;B285,C286&lt;&gt;C285,E286&lt;&gt;E285),G285+1,G285))</f>
        <v/>
      </c>
    </row>
    <row r="287">
      <c r="A287" s="20">
        <f>IF(A286="","",IF(A286+1&gt;Ввод!$B$4,"",A286+1))</f>
        <v/>
      </c>
      <c r="B287">
        <f>IF(A287="","",IFERROR(INDEX(Ввод!$B$12:$B$71,MATCH(A287,Ввод!$D$12:$D$71,1)),""))</f>
        <v/>
      </c>
      <c r="C287">
        <f>IF(A287="","",DATE(YEAR(A287),12,31)-DATE(YEAR(A287),1,1)+1)</f>
        <v/>
      </c>
      <c r="D287">
        <f>IF(A287="","",SUMIFS(Акты!$D$5:$D$16,Акты!$E$5:$E$16,"&lt;="&amp;A287)-SUMIFS(Оплаты!$B$6:$B$505,Оплаты!$A$6:$A$505,"&lt;"&amp;A287,Оплаты!$D$6:$D$505,"&lt;&gt;"))</f>
        <v/>
      </c>
      <c r="E287">
        <f>IF(A287="","",IF(SUMPRODUCT((Ввод!$F$12:$F$31&lt;&gt;"")*(Ввод!$F$12:$F$31&lt;=A287)*(Ввод!$G$12:$G$31&gt;=A287))&gt;0,1,0))</f>
        <v/>
      </c>
      <c r="G287">
        <f>IF(A287="","",IF(OR(B287&lt;&gt;B286,C287&lt;&gt;C286,E287&lt;&gt;E286),G286+1,G286))</f>
        <v/>
      </c>
    </row>
    <row r="288">
      <c r="A288" s="20">
        <f>IF(A287="","",IF(A287+1&gt;Ввод!$B$4,"",A287+1))</f>
        <v/>
      </c>
      <c r="B288">
        <f>IF(A288="","",IFERROR(INDEX(Ввод!$B$12:$B$71,MATCH(A288,Ввод!$D$12:$D$71,1)),""))</f>
        <v/>
      </c>
      <c r="C288">
        <f>IF(A288="","",DATE(YEAR(A288),12,31)-DATE(YEAR(A288),1,1)+1)</f>
        <v/>
      </c>
      <c r="D288">
        <f>IF(A288="","",SUMIFS(Акты!$D$5:$D$16,Акты!$E$5:$E$16,"&lt;="&amp;A288)-SUMIFS(Оплаты!$B$6:$B$505,Оплаты!$A$6:$A$505,"&lt;"&amp;A288,Оплаты!$D$6:$D$505,"&lt;&gt;"))</f>
        <v/>
      </c>
      <c r="E288">
        <f>IF(A288="","",IF(SUMPRODUCT((Ввод!$F$12:$F$31&lt;&gt;"")*(Ввод!$F$12:$F$31&lt;=A288)*(Ввод!$G$12:$G$31&gt;=A288))&gt;0,1,0))</f>
        <v/>
      </c>
      <c r="G288">
        <f>IF(A288="","",IF(OR(B288&lt;&gt;B287,C288&lt;&gt;C287,E288&lt;&gt;E287),G287+1,G287))</f>
        <v/>
      </c>
    </row>
    <row r="289">
      <c r="A289" s="20">
        <f>IF(A288="","",IF(A288+1&gt;Ввод!$B$4,"",A288+1))</f>
        <v/>
      </c>
      <c r="B289">
        <f>IF(A289="","",IFERROR(INDEX(Ввод!$B$12:$B$71,MATCH(A289,Ввод!$D$12:$D$71,1)),""))</f>
        <v/>
      </c>
      <c r="C289">
        <f>IF(A289="","",DATE(YEAR(A289),12,31)-DATE(YEAR(A289),1,1)+1)</f>
        <v/>
      </c>
      <c r="D289">
        <f>IF(A289="","",SUMIFS(Акты!$D$5:$D$16,Акты!$E$5:$E$16,"&lt;="&amp;A289)-SUMIFS(Оплаты!$B$6:$B$505,Оплаты!$A$6:$A$505,"&lt;"&amp;A289,Оплаты!$D$6:$D$505,"&lt;&gt;"))</f>
        <v/>
      </c>
      <c r="E289">
        <f>IF(A289="","",IF(SUMPRODUCT((Ввод!$F$12:$F$31&lt;&gt;"")*(Ввод!$F$12:$F$31&lt;=A289)*(Ввод!$G$12:$G$31&gt;=A289))&gt;0,1,0))</f>
        <v/>
      </c>
      <c r="G289">
        <f>IF(A289="","",IF(OR(B289&lt;&gt;B288,C289&lt;&gt;C288,E289&lt;&gt;E288),G288+1,G288))</f>
        <v/>
      </c>
    </row>
    <row r="290">
      <c r="A290" s="20">
        <f>IF(A289="","",IF(A289+1&gt;Ввод!$B$4,"",A289+1))</f>
        <v/>
      </c>
      <c r="B290">
        <f>IF(A290="","",IFERROR(INDEX(Ввод!$B$12:$B$71,MATCH(A290,Ввод!$D$12:$D$71,1)),""))</f>
        <v/>
      </c>
      <c r="C290">
        <f>IF(A290="","",DATE(YEAR(A290),12,31)-DATE(YEAR(A290),1,1)+1)</f>
        <v/>
      </c>
      <c r="D290">
        <f>IF(A290="","",SUMIFS(Акты!$D$5:$D$16,Акты!$E$5:$E$16,"&lt;="&amp;A290)-SUMIFS(Оплаты!$B$6:$B$505,Оплаты!$A$6:$A$505,"&lt;"&amp;A290,Оплаты!$D$6:$D$505,"&lt;&gt;"))</f>
        <v/>
      </c>
      <c r="E290">
        <f>IF(A290="","",IF(SUMPRODUCT((Ввод!$F$12:$F$31&lt;&gt;"")*(Ввод!$F$12:$F$31&lt;=A290)*(Ввод!$G$12:$G$31&gt;=A290))&gt;0,1,0))</f>
        <v/>
      </c>
      <c r="G290">
        <f>IF(A290="","",IF(OR(B290&lt;&gt;B289,C290&lt;&gt;C289,E290&lt;&gt;E289),G289+1,G289))</f>
        <v/>
      </c>
    </row>
    <row r="291">
      <c r="A291" s="20">
        <f>IF(A290="","",IF(A290+1&gt;Ввод!$B$4,"",A290+1))</f>
        <v/>
      </c>
      <c r="B291">
        <f>IF(A291="","",IFERROR(INDEX(Ввод!$B$12:$B$71,MATCH(A291,Ввод!$D$12:$D$71,1)),""))</f>
        <v/>
      </c>
      <c r="C291">
        <f>IF(A291="","",DATE(YEAR(A291),12,31)-DATE(YEAR(A291),1,1)+1)</f>
        <v/>
      </c>
      <c r="D291">
        <f>IF(A291="","",SUMIFS(Акты!$D$5:$D$16,Акты!$E$5:$E$16,"&lt;="&amp;A291)-SUMIFS(Оплаты!$B$6:$B$505,Оплаты!$A$6:$A$505,"&lt;"&amp;A291,Оплаты!$D$6:$D$505,"&lt;&gt;"))</f>
        <v/>
      </c>
      <c r="E291">
        <f>IF(A291="","",IF(SUMPRODUCT((Ввод!$F$12:$F$31&lt;&gt;"")*(Ввод!$F$12:$F$31&lt;=A291)*(Ввод!$G$12:$G$31&gt;=A291))&gt;0,1,0))</f>
        <v/>
      </c>
      <c r="G291">
        <f>IF(A291="","",IF(OR(B291&lt;&gt;B290,C291&lt;&gt;C290,E291&lt;&gt;E290),G290+1,G290))</f>
        <v/>
      </c>
    </row>
    <row r="292">
      <c r="A292" s="20">
        <f>IF(A291="","",IF(A291+1&gt;Ввод!$B$4,"",A291+1))</f>
        <v/>
      </c>
      <c r="B292">
        <f>IF(A292="","",IFERROR(INDEX(Ввод!$B$12:$B$71,MATCH(A292,Ввод!$D$12:$D$71,1)),""))</f>
        <v/>
      </c>
      <c r="C292">
        <f>IF(A292="","",DATE(YEAR(A292),12,31)-DATE(YEAR(A292),1,1)+1)</f>
        <v/>
      </c>
      <c r="D292">
        <f>IF(A292="","",SUMIFS(Акты!$D$5:$D$16,Акты!$E$5:$E$16,"&lt;="&amp;A292)-SUMIFS(Оплаты!$B$6:$B$505,Оплаты!$A$6:$A$505,"&lt;"&amp;A292,Оплаты!$D$6:$D$505,"&lt;&gt;"))</f>
        <v/>
      </c>
      <c r="E292">
        <f>IF(A292="","",IF(SUMPRODUCT((Ввод!$F$12:$F$31&lt;&gt;"")*(Ввод!$F$12:$F$31&lt;=A292)*(Ввод!$G$12:$G$31&gt;=A292))&gt;0,1,0))</f>
        <v/>
      </c>
      <c r="G292">
        <f>IF(A292="","",IF(OR(B292&lt;&gt;B291,C292&lt;&gt;C291,E292&lt;&gt;E291),G291+1,G291))</f>
        <v/>
      </c>
    </row>
    <row r="293">
      <c r="A293" s="20">
        <f>IF(A292="","",IF(A292+1&gt;Ввод!$B$4,"",A292+1))</f>
        <v/>
      </c>
      <c r="B293">
        <f>IF(A293="","",IFERROR(INDEX(Ввод!$B$12:$B$71,MATCH(A293,Ввод!$D$12:$D$71,1)),""))</f>
        <v/>
      </c>
      <c r="C293">
        <f>IF(A293="","",DATE(YEAR(A293),12,31)-DATE(YEAR(A293),1,1)+1)</f>
        <v/>
      </c>
      <c r="D293">
        <f>IF(A293="","",SUMIFS(Акты!$D$5:$D$16,Акты!$E$5:$E$16,"&lt;="&amp;A293)-SUMIFS(Оплаты!$B$6:$B$505,Оплаты!$A$6:$A$505,"&lt;"&amp;A293,Оплаты!$D$6:$D$505,"&lt;&gt;"))</f>
        <v/>
      </c>
      <c r="E293">
        <f>IF(A293="","",IF(SUMPRODUCT((Ввод!$F$12:$F$31&lt;&gt;"")*(Ввод!$F$12:$F$31&lt;=A293)*(Ввод!$G$12:$G$31&gt;=A293))&gt;0,1,0))</f>
        <v/>
      </c>
      <c r="G293">
        <f>IF(A293="","",IF(OR(B293&lt;&gt;B292,C293&lt;&gt;C292,E293&lt;&gt;E292),G292+1,G292))</f>
        <v/>
      </c>
    </row>
    <row r="294">
      <c r="A294" s="20">
        <f>IF(A293="","",IF(A293+1&gt;Ввод!$B$4,"",A293+1))</f>
        <v/>
      </c>
      <c r="B294">
        <f>IF(A294="","",IFERROR(INDEX(Ввод!$B$12:$B$71,MATCH(A294,Ввод!$D$12:$D$71,1)),""))</f>
        <v/>
      </c>
      <c r="C294">
        <f>IF(A294="","",DATE(YEAR(A294),12,31)-DATE(YEAR(A294),1,1)+1)</f>
        <v/>
      </c>
      <c r="D294">
        <f>IF(A294="","",SUMIFS(Акты!$D$5:$D$16,Акты!$E$5:$E$16,"&lt;="&amp;A294)-SUMIFS(Оплаты!$B$6:$B$505,Оплаты!$A$6:$A$505,"&lt;"&amp;A294,Оплаты!$D$6:$D$505,"&lt;&gt;"))</f>
        <v/>
      </c>
      <c r="E294">
        <f>IF(A294="","",IF(SUMPRODUCT((Ввод!$F$12:$F$31&lt;&gt;"")*(Ввод!$F$12:$F$31&lt;=A294)*(Ввод!$G$12:$G$31&gt;=A294))&gt;0,1,0))</f>
        <v/>
      </c>
      <c r="G294">
        <f>IF(A294="","",IF(OR(B294&lt;&gt;B293,C294&lt;&gt;C293,E294&lt;&gt;E293),G293+1,G293))</f>
        <v/>
      </c>
    </row>
    <row r="295">
      <c r="A295" s="20">
        <f>IF(A294="","",IF(A294+1&gt;Ввод!$B$4,"",A294+1))</f>
        <v/>
      </c>
      <c r="B295">
        <f>IF(A295="","",IFERROR(INDEX(Ввод!$B$12:$B$71,MATCH(A295,Ввод!$D$12:$D$71,1)),""))</f>
        <v/>
      </c>
      <c r="C295">
        <f>IF(A295="","",DATE(YEAR(A295),12,31)-DATE(YEAR(A295),1,1)+1)</f>
        <v/>
      </c>
      <c r="D295">
        <f>IF(A295="","",SUMIFS(Акты!$D$5:$D$16,Акты!$E$5:$E$16,"&lt;="&amp;A295)-SUMIFS(Оплаты!$B$6:$B$505,Оплаты!$A$6:$A$505,"&lt;"&amp;A295,Оплаты!$D$6:$D$505,"&lt;&gt;"))</f>
        <v/>
      </c>
      <c r="E295">
        <f>IF(A295="","",IF(SUMPRODUCT((Ввод!$F$12:$F$31&lt;&gt;"")*(Ввод!$F$12:$F$31&lt;=A295)*(Ввод!$G$12:$G$31&gt;=A295))&gt;0,1,0))</f>
        <v/>
      </c>
      <c r="G295">
        <f>IF(A295="","",IF(OR(B295&lt;&gt;B294,C295&lt;&gt;C294,E295&lt;&gt;E294),G294+1,G294))</f>
        <v/>
      </c>
    </row>
    <row r="296">
      <c r="A296" s="20">
        <f>IF(A295="","",IF(A295+1&gt;Ввод!$B$4,"",A295+1))</f>
        <v/>
      </c>
      <c r="B296">
        <f>IF(A296="","",IFERROR(INDEX(Ввод!$B$12:$B$71,MATCH(A296,Ввод!$D$12:$D$71,1)),""))</f>
        <v/>
      </c>
      <c r="C296">
        <f>IF(A296="","",DATE(YEAR(A296),12,31)-DATE(YEAR(A296),1,1)+1)</f>
        <v/>
      </c>
      <c r="D296">
        <f>IF(A296="","",SUMIFS(Акты!$D$5:$D$16,Акты!$E$5:$E$16,"&lt;="&amp;A296)-SUMIFS(Оплаты!$B$6:$B$505,Оплаты!$A$6:$A$505,"&lt;"&amp;A296,Оплаты!$D$6:$D$505,"&lt;&gt;"))</f>
        <v/>
      </c>
      <c r="E296">
        <f>IF(A296="","",IF(SUMPRODUCT((Ввод!$F$12:$F$31&lt;&gt;"")*(Ввод!$F$12:$F$31&lt;=A296)*(Ввод!$G$12:$G$31&gt;=A296))&gt;0,1,0))</f>
        <v/>
      </c>
      <c r="G296">
        <f>IF(A296="","",IF(OR(B296&lt;&gt;B295,C296&lt;&gt;C295,E296&lt;&gt;E295),G295+1,G295))</f>
        <v/>
      </c>
    </row>
    <row r="297">
      <c r="A297" s="20">
        <f>IF(A296="","",IF(A296+1&gt;Ввод!$B$4,"",A296+1))</f>
        <v/>
      </c>
      <c r="B297">
        <f>IF(A297="","",IFERROR(INDEX(Ввод!$B$12:$B$71,MATCH(A297,Ввод!$D$12:$D$71,1)),""))</f>
        <v/>
      </c>
      <c r="C297">
        <f>IF(A297="","",DATE(YEAR(A297),12,31)-DATE(YEAR(A297),1,1)+1)</f>
        <v/>
      </c>
      <c r="D297">
        <f>IF(A297="","",SUMIFS(Акты!$D$5:$D$16,Акты!$E$5:$E$16,"&lt;="&amp;A297)-SUMIFS(Оплаты!$B$6:$B$505,Оплаты!$A$6:$A$505,"&lt;"&amp;A297,Оплаты!$D$6:$D$505,"&lt;&gt;"))</f>
        <v/>
      </c>
      <c r="E297">
        <f>IF(A297="","",IF(SUMPRODUCT((Ввод!$F$12:$F$31&lt;&gt;"")*(Ввод!$F$12:$F$31&lt;=A297)*(Ввод!$G$12:$G$31&gt;=A297))&gt;0,1,0))</f>
        <v/>
      </c>
      <c r="G297">
        <f>IF(A297="","",IF(OR(B297&lt;&gt;B296,C297&lt;&gt;C296,E297&lt;&gt;E296),G296+1,G296))</f>
        <v/>
      </c>
    </row>
    <row r="298">
      <c r="A298" s="20">
        <f>IF(A297="","",IF(A297+1&gt;Ввод!$B$4,"",A297+1))</f>
        <v/>
      </c>
      <c r="B298">
        <f>IF(A298="","",IFERROR(INDEX(Ввод!$B$12:$B$71,MATCH(A298,Ввод!$D$12:$D$71,1)),""))</f>
        <v/>
      </c>
      <c r="C298">
        <f>IF(A298="","",DATE(YEAR(A298),12,31)-DATE(YEAR(A298),1,1)+1)</f>
        <v/>
      </c>
      <c r="D298">
        <f>IF(A298="","",SUMIFS(Акты!$D$5:$D$16,Акты!$E$5:$E$16,"&lt;="&amp;A298)-SUMIFS(Оплаты!$B$6:$B$505,Оплаты!$A$6:$A$505,"&lt;"&amp;A298,Оплаты!$D$6:$D$505,"&lt;&gt;"))</f>
        <v/>
      </c>
      <c r="E298">
        <f>IF(A298="","",IF(SUMPRODUCT((Ввод!$F$12:$F$31&lt;&gt;"")*(Ввод!$F$12:$F$31&lt;=A298)*(Ввод!$G$12:$G$31&gt;=A298))&gt;0,1,0))</f>
        <v/>
      </c>
      <c r="G298">
        <f>IF(A298="","",IF(OR(B298&lt;&gt;B297,C298&lt;&gt;C297,E298&lt;&gt;E297),G297+1,G297))</f>
        <v/>
      </c>
    </row>
    <row r="299">
      <c r="A299" s="20">
        <f>IF(A298="","",IF(A298+1&gt;Ввод!$B$4,"",A298+1))</f>
        <v/>
      </c>
      <c r="B299">
        <f>IF(A299="","",IFERROR(INDEX(Ввод!$B$12:$B$71,MATCH(A299,Ввод!$D$12:$D$71,1)),""))</f>
        <v/>
      </c>
      <c r="C299">
        <f>IF(A299="","",DATE(YEAR(A299),12,31)-DATE(YEAR(A299),1,1)+1)</f>
        <v/>
      </c>
      <c r="D299">
        <f>IF(A299="","",SUMIFS(Акты!$D$5:$D$16,Акты!$E$5:$E$16,"&lt;="&amp;A299)-SUMIFS(Оплаты!$B$6:$B$505,Оплаты!$A$6:$A$505,"&lt;"&amp;A299,Оплаты!$D$6:$D$505,"&lt;&gt;"))</f>
        <v/>
      </c>
      <c r="E299">
        <f>IF(A299="","",IF(SUMPRODUCT((Ввод!$F$12:$F$31&lt;&gt;"")*(Ввод!$F$12:$F$31&lt;=A299)*(Ввод!$G$12:$G$31&gt;=A299))&gt;0,1,0))</f>
        <v/>
      </c>
      <c r="G299">
        <f>IF(A299="","",IF(OR(B299&lt;&gt;B298,C299&lt;&gt;C298,E299&lt;&gt;E298),G298+1,G298))</f>
        <v/>
      </c>
    </row>
    <row r="300">
      <c r="A300" s="20">
        <f>IF(A299="","",IF(A299+1&gt;Ввод!$B$4,"",A299+1))</f>
        <v/>
      </c>
      <c r="B300">
        <f>IF(A300="","",IFERROR(INDEX(Ввод!$B$12:$B$71,MATCH(A300,Ввод!$D$12:$D$71,1)),""))</f>
        <v/>
      </c>
      <c r="C300">
        <f>IF(A300="","",DATE(YEAR(A300),12,31)-DATE(YEAR(A300),1,1)+1)</f>
        <v/>
      </c>
      <c r="D300">
        <f>IF(A300="","",SUMIFS(Акты!$D$5:$D$16,Акты!$E$5:$E$16,"&lt;="&amp;A300)-SUMIFS(Оплаты!$B$6:$B$505,Оплаты!$A$6:$A$505,"&lt;"&amp;A300,Оплаты!$D$6:$D$505,"&lt;&gt;"))</f>
        <v/>
      </c>
      <c r="E300">
        <f>IF(A300="","",IF(SUMPRODUCT((Ввод!$F$12:$F$31&lt;&gt;"")*(Ввод!$F$12:$F$31&lt;=A300)*(Ввод!$G$12:$G$31&gt;=A300))&gt;0,1,0))</f>
        <v/>
      </c>
      <c r="G300">
        <f>IF(A300="","",IF(OR(B300&lt;&gt;B299,C300&lt;&gt;C299,E300&lt;&gt;E299),G299+1,G299))</f>
        <v/>
      </c>
    </row>
    <row r="301">
      <c r="A301" s="20">
        <f>IF(A300="","",IF(A300+1&gt;Ввод!$B$4,"",A300+1))</f>
        <v/>
      </c>
      <c r="B301">
        <f>IF(A301="","",IFERROR(INDEX(Ввод!$B$12:$B$71,MATCH(A301,Ввод!$D$12:$D$71,1)),""))</f>
        <v/>
      </c>
      <c r="C301">
        <f>IF(A301="","",DATE(YEAR(A301),12,31)-DATE(YEAR(A301),1,1)+1)</f>
        <v/>
      </c>
      <c r="D301">
        <f>IF(A301="","",SUMIFS(Акты!$D$5:$D$16,Акты!$E$5:$E$16,"&lt;="&amp;A301)-SUMIFS(Оплаты!$B$6:$B$505,Оплаты!$A$6:$A$505,"&lt;"&amp;A301,Оплаты!$D$6:$D$505,"&lt;&gt;"))</f>
        <v/>
      </c>
      <c r="E301">
        <f>IF(A301="","",IF(SUMPRODUCT((Ввод!$F$12:$F$31&lt;&gt;"")*(Ввод!$F$12:$F$31&lt;=A301)*(Ввод!$G$12:$G$31&gt;=A301))&gt;0,1,0))</f>
        <v/>
      </c>
      <c r="G301">
        <f>IF(A301="","",IF(OR(B301&lt;&gt;B300,C301&lt;&gt;C300,E301&lt;&gt;E300),G300+1,G300))</f>
        <v/>
      </c>
    </row>
    <row r="302">
      <c r="A302" s="20">
        <f>IF(A301="","",IF(A301+1&gt;Ввод!$B$4,"",A301+1))</f>
        <v/>
      </c>
      <c r="B302">
        <f>IF(A302="","",IFERROR(INDEX(Ввод!$B$12:$B$71,MATCH(A302,Ввод!$D$12:$D$71,1)),""))</f>
        <v/>
      </c>
      <c r="C302">
        <f>IF(A302="","",DATE(YEAR(A302),12,31)-DATE(YEAR(A302),1,1)+1)</f>
        <v/>
      </c>
      <c r="D302">
        <f>IF(A302="","",SUMIFS(Акты!$D$5:$D$16,Акты!$E$5:$E$16,"&lt;="&amp;A302)-SUMIFS(Оплаты!$B$6:$B$505,Оплаты!$A$6:$A$505,"&lt;"&amp;A302,Оплаты!$D$6:$D$505,"&lt;&gt;"))</f>
        <v/>
      </c>
      <c r="E302">
        <f>IF(A302="","",IF(SUMPRODUCT((Ввод!$F$12:$F$31&lt;&gt;"")*(Ввод!$F$12:$F$31&lt;=A302)*(Ввод!$G$12:$G$31&gt;=A302))&gt;0,1,0))</f>
        <v/>
      </c>
      <c r="G302">
        <f>IF(A302="","",IF(OR(B302&lt;&gt;B301,C302&lt;&gt;C301,E302&lt;&gt;E301),G301+1,G301))</f>
        <v/>
      </c>
    </row>
    <row r="303">
      <c r="A303" s="20">
        <f>IF(A302="","",IF(A302+1&gt;Ввод!$B$4,"",A302+1))</f>
        <v/>
      </c>
      <c r="B303">
        <f>IF(A303="","",IFERROR(INDEX(Ввод!$B$12:$B$71,MATCH(A303,Ввод!$D$12:$D$71,1)),""))</f>
        <v/>
      </c>
      <c r="C303">
        <f>IF(A303="","",DATE(YEAR(A303),12,31)-DATE(YEAR(A303),1,1)+1)</f>
        <v/>
      </c>
      <c r="D303">
        <f>IF(A303="","",SUMIFS(Акты!$D$5:$D$16,Акты!$E$5:$E$16,"&lt;="&amp;A303)-SUMIFS(Оплаты!$B$6:$B$505,Оплаты!$A$6:$A$505,"&lt;"&amp;A303,Оплаты!$D$6:$D$505,"&lt;&gt;"))</f>
        <v/>
      </c>
      <c r="E303">
        <f>IF(A303="","",IF(SUMPRODUCT((Ввод!$F$12:$F$31&lt;&gt;"")*(Ввод!$F$12:$F$31&lt;=A303)*(Ввод!$G$12:$G$31&gt;=A303))&gt;0,1,0))</f>
        <v/>
      </c>
      <c r="G303">
        <f>IF(A303="","",IF(OR(B303&lt;&gt;B302,C303&lt;&gt;C302,E303&lt;&gt;E302),G302+1,G302))</f>
        <v/>
      </c>
    </row>
    <row r="304">
      <c r="A304" s="20">
        <f>IF(A303="","",IF(A303+1&gt;Ввод!$B$4,"",A303+1))</f>
        <v/>
      </c>
      <c r="B304">
        <f>IF(A304="","",IFERROR(INDEX(Ввод!$B$12:$B$71,MATCH(A304,Ввод!$D$12:$D$71,1)),""))</f>
        <v/>
      </c>
      <c r="C304">
        <f>IF(A304="","",DATE(YEAR(A304),12,31)-DATE(YEAR(A304),1,1)+1)</f>
        <v/>
      </c>
      <c r="D304">
        <f>IF(A304="","",SUMIFS(Акты!$D$5:$D$16,Акты!$E$5:$E$16,"&lt;="&amp;A304)-SUMIFS(Оплаты!$B$6:$B$505,Оплаты!$A$6:$A$505,"&lt;"&amp;A304,Оплаты!$D$6:$D$505,"&lt;&gt;"))</f>
        <v/>
      </c>
      <c r="E304">
        <f>IF(A304="","",IF(SUMPRODUCT((Ввод!$F$12:$F$31&lt;&gt;"")*(Ввод!$F$12:$F$31&lt;=A304)*(Ввод!$G$12:$G$31&gt;=A304))&gt;0,1,0))</f>
        <v/>
      </c>
      <c r="G304">
        <f>IF(A304="","",IF(OR(B304&lt;&gt;B303,C304&lt;&gt;C303,E304&lt;&gt;E303),G303+1,G303))</f>
        <v/>
      </c>
    </row>
    <row r="305">
      <c r="A305" s="20">
        <f>IF(A304="","",IF(A304+1&gt;Ввод!$B$4,"",A304+1))</f>
        <v/>
      </c>
      <c r="B305">
        <f>IF(A305="","",IFERROR(INDEX(Ввод!$B$12:$B$71,MATCH(A305,Ввод!$D$12:$D$71,1)),""))</f>
        <v/>
      </c>
      <c r="C305">
        <f>IF(A305="","",DATE(YEAR(A305),12,31)-DATE(YEAR(A305),1,1)+1)</f>
        <v/>
      </c>
      <c r="D305">
        <f>IF(A305="","",SUMIFS(Акты!$D$5:$D$16,Акты!$E$5:$E$16,"&lt;="&amp;A305)-SUMIFS(Оплаты!$B$6:$B$505,Оплаты!$A$6:$A$505,"&lt;"&amp;A305,Оплаты!$D$6:$D$505,"&lt;&gt;"))</f>
        <v/>
      </c>
      <c r="E305">
        <f>IF(A305="","",IF(SUMPRODUCT((Ввод!$F$12:$F$31&lt;&gt;"")*(Ввод!$F$12:$F$31&lt;=A305)*(Ввод!$G$12:$G$31&gt;=A305))&gt;0,1,0))</f>
        <v/>
      </c>
      <c r="G305">
        <f>IF(A305="","",IF(OR(B305&lt;&gt;B304,C305&lt;&gt;C304,E305&lt;&gt;E304),G304+1,G304))</f>
        <v/>
      </c>
    </row>
    <row r="306">
      <c r="A306" s="20">
        <f>IF(A305="","",IF(A305+1&gt;Ввод!$B$4,"",A305+1))</f>
        <v/>
      </c>
      <c r="B306">
        <f>IF(A306="","",IFERROR(INDEX(Ввод!$B$12:$B$71,MATCH(A306,Ввод!$D$12:$D$71,1)),""))</f>
        <v/>
      </c>
      <c r="C306">
        <f>IF(A306="","",DATE(YEAR(A306),12,31)-DATE(YEAR(A306),1,1)+1)</f>
        <v/>
      </c>
      <c r="D306">
        <f>IF(A306="","",SUMIFS(Акты!$D$5:$D$16,Акты!$E$5:$E$16,"&lt;="&amp;A306)-SUMIFS(Оплаты!$B$6:$B$505,Оплаты!$A$6:$A$505,"&lt;"&amp;A306,Оплаты!$D$6:$D$505,"&lt;&gt;"))</f>
        <v/>
      </c>
      <c r="E306">
        <f>IF(A306="","",IF(SUMPRODUCT((Ввод!$F$12:$F$31&lt;&gt;"")*(Ввод!$F$12:$F$31&lt;=A306)*(Ввод!$G$12:$G$31&gt;=A306))&gt;0,1,0))</f>
        <v/>
      </c>
      <c r="G306">
        <f>IF(A306="","",IF(OR(B306&lt;&gt;B305,C306&lt;&gt;C305,E306&lt;&gt;E305),G305+1,G305))</f>
        <v/>
      </c>
    </row>
    <row r="307">
      <c r="A307" s="20">
        <f>IF(A306="","",IF(A306+1&gt;Ввод!$B$4,"",A306+1))</f>
        <v/>
      </c>
      <c r="B307">
        <f>IF(A307="","",IFERROR(INDEX(Ввод!$B$12:$B$71,MATCH(A307,Ввод!$D$12:$D$71,1)),""))</f>
        <v/>
      </c>
      <c r="C307">
        <f>IF(A307="","",DATE(YEAR(A307),12,31)-DATE(YEAR(A307),1,1)+1)</f>
        <v/>
      </c>
      <c r="D307">
        <f>IF(A307="","",SUMIFS(Акты!$D$5:$D$16,Акты!$E$5:$E$16,"&lt;="&amp;A307)-SUMIFS(Оплаты!$B$6:$B$505,Оплаты!$A$6:$A$505,"&lt;"&amp;A307,Оплаты!$D$6:$D$505,"&lt;&gt;"))</f>
        <v/>
      </c>
      <c r="E307">
        <f>IF(A307="","",IF(SUMPRODUCT((Ввод!$F$12:$F$31&lt;&gt;"")*(Ввод!$F$12:$F$31&lt;=A307)*(Ввод!$G$12:$G$31&gt;=A307))&gt;0,1,0))</f>
        <v/>
      </c>
      <c r="G307">
        <f>IF(A307="","",IF(OR(B307&lt;&gt;B306,C307&lt;&gt;C306,E307&lt;&gt;E306),G306+1,G306))</f>
        <v/>
      </c>
    </row>
    <row r="308">
      <c r="A308" s="20">
        <f>IF(A307="","",IF(A307+1&gt;Ввод!$B$4,"",A307+1))</f>
        <v/>
      </c>
      <c r="B308">
        <f>IF(A308="","",IFERROR(INDEX(Ввод!$B$12:$B$71,MATCH(A308,Ввод!$D$12:$D$71,1)),""))</f>
        <v/>
      </c>
      <c r="C308">
        <f>IF(A308="","",DATE(YEAR(A308),12,31)-DATE(YEAR(A308),1,1)+1)</f>
        <v/>
      </c>
      <c r="D308">
        <f>IF(A308="","",SUMIFS(Акты!$D$5:$D$16,Акты!$E$5:$E$16,"&lt;="&amp;A308)-SUMIFS(Оплаты!$B$6:$B$505,Оплаты!$A$6:$A$505,"&lt;"&amp;A308,Оплаты!$D$6:$D$505,"&lt;&gt;"))</f>
        <v/>
      </c>
      <c r="E308">
        <f>IF(A308="","",IF(SUMPRODUCT((Ввод!$F$12:$F$31&lt;&gt;"")*(Ввод!$F$12:$F$31&lt;=A308)*(Ввод!$G$12:$G$31&gt;=A308))&gt;0,1,0))</f>
        <v/>
      </c>
      <c r="G308">
        <f>IF(A308="","",IF(OR(B308&lt;&gt;B307,C308&lt;&gt;C307,E308&lt;&gt;E307),G307+1,G307))</f>
        <v/>
      </c>
    </row>
    <row r="309">
      <c r="A309" s="20">
        <f>IF(A308="","",IF(A308+1&gt;Ввод!$B$4,"",A308+1))</f>
        <v/>
      </c>
      <c r="B309">
        <f>IF(A309="","",IFERROR(INDEX(Ввод!$B$12:$B$71,MATCH(A309,Ввод!$D$12:$D$71,1)),""))</f>
        <v/>
      </c>
      <c r="C309">
        <f>IF(A309="","",DATE(YEAR(A309),12,31)-DATE(YEAR(A309),1,1)+1)</f>
        <v/>
      </c>
      <c r="D309">
        <f>IF(A309="","",SUMIFS(Акты!$D$5:$D$16,Акты!$E$5:$E$16,"&lt;="&amp;A309)-SUMIFS(Оплаты!$B$6:$B$505,Оплаты!$A$6:$A$505,"&lt;"&amp;A309,Оплаты!$D$6:$D$505,"&lt;&gt;"))</f>
        <v/>
      </c>
      <c r="E309">
        <f>IF(A309="","",IF(SUMPRODUCT((Ввод!$F$12:$F$31&lt;&gt;"")*(Ввод!$F$12:$F$31&lt;=A309)*(Ввод!$G$12:$G$31&gt;=A309))&gt;0,1,0))</f>
        <v/>
      </c>
      <c r="G309">
        <f>IF(A309="","",IF(OR(B309&lt;&gt;B308,C309&lt;&gt;C308,E309&lt;&gt;E308),G308+1,G308))</f>
        <v/>
      </c>
    </row>
    <row r="310">
      <c r="A310" s="20">
        <f>IF(A309="","",IF(A309+1&gt;Ввод!$B$4,"",A309+1))</f>
        <v/>
      </c>
      <c r="B310">
        <f>IF(A310="","",IFERROR(INDEX(Ввод!$B$12:$B$71,MATCH(A310,Ввод!$D$12:$D$71,1)),""))</f>
        <v/>
      </c>
      <c r="C310">
        <f>IF(A310="","",DATE(YEAR(A310),12,31)-DATE(YEAR(A310),1,1)+1)</f>
        <v/>
      </c>
      <c r="D310">
        <f>IF(A310="","",SUMIFS(Акты!$D$5:$D$16,Акты!$E$5:$E$16,"&lt;="&amp;A310)-SUMIFS(Оплаты!$B$6:$B$505,Оплаты!$A$6:$A$505,"&lt;"&amp;A310,Оплаты!$D$6:$D$505,"&lt;&gt;"))</f>
        <v/>
      </c>
      <c r="E310">
        <f>IF(A310="","",IF(SUMPRODUCT((Ввод!$F$12:$F$31&lt;&gt;"")*(Ввод!$F$12:$F$31&lt;=A310)*(Ввод!$G$12:$G$31&gt;=A310))&gt;0,1,0))</f>
        <v/>
      </c>
      <c r="G310">
        <f>IF(A310="","",IF(OR(B310&lt;&gt;B309,C310&lt;&gt;C309,E310&lt;&gt;E309),G309+1,G309))</f>
        <v/>
      </c>
    </row>
    <row r="311">
      <c r="A311" s="20">
        <f>IF(A310="","",IF(A310+1&gt;Ввод!$B$4,"",A310+1))</f>
        <v/>
      </c>
      <c r="B311">
        <f>IF(A311="","",IFERROR(INDEX(Ввод!$B$12:$B$71,MATCH(A311,Ввод!$D$12:$D$71,1)),""))</f>
        <v/>
      </c>
      <c r="C311">
        <f>IF(A311="","",DATE(YEAR(A311),12,31)-DATE(YEAR(A311),1,1)+1)</f>
        <v/>
      </c>
      <c r="D311">
        <f>IF(A311="","",SUMIFS(Акты!$D$5:$D$16,Акты!$E$5:$E$16,"&lt;="&amp;A311)-SUMIFS(Оплаты!$B$6:$B$505,Оплаты!$A$6:$A$505,"&lt;"&amp;A311,Оплаты!$D$6:$D$505,"&lt;&gt;"))</f>
        <v/>
      </c>
      <c r="E311">
        <f>IF(A311="","",IF(SUMPRODUCT((Ввод!$F$12:$F$31&lt;&gt;"")*(Ввод!$F$12:$F$31&lt;=A311)*(Ввод!$G$12:$G$31&gt;=A311))&gt;0,1,0))</f>
        <v/>
      </c>
      <c r="G311">
        <f>IF(A311="","",IF(OR(B311&lt;&gt;B310,C311&lt;&gt;C310,E311&lt;&gt;E310),G310+1,G310))</f>
        <v/>
      </c>
    </row>
    <row r="312">
      <c r="A312" s="20">
        <f>IF(A311="","",IF(A311+1&gt;Ввод!$B$4,"",A311+1))</f>
        <v/>
      </c>
      <c r="B312">
        <f>IF(A312="","",IFERROR(INDEX(Ввод!$B$12:$B$71,MATCH(A312,Ввод!$D$12:$D$71,1)),""))</f>
        <v/>
      </c>
      <c r="C312">
        <f>IF(A312="","",DATE(YEAR(A312),12,31)-DATE(YEAR(A312),1,1)+1)</f>
        <v/>
      </c>
      <c r="D312">
        <f>IF(A312="","",SUMIFS(Акты!$D$5:$D$16,Акты!$E$5:$E$16,"&lt;="&amp;A312)-SUMIFS(Оплаты!$B$6:$B$505,Оплаты!$A$6:$A$505,"&lt;"&amp;A312,Оплаты!$D$6:$D$505,"&lt;&gt;"))</f>
        <v/>
      </c>
      <c r="E312">
        <f>IF(A312="","",IF(SUMPRODUCT((Ввод!$F$12:$F$31&lt;&gt;"")*(Ввод!$F$12:$F$31&lt;=A312)*(Ввод!$G$12:$G$31&gt;=A312))&gt;0,1,0))</f>
        <v/>
      </c>
      <c r="G312">
        <f>IF(A312="","",IF(OR(B312&lt;&gt;B311,C312&lt;&gt;C311,E312&lt;&gt;E311),G311+1,G311))</f>
        <v/>
      </c>
    </row>
    <row r="313">
      <c r="A313" s="20">
        <f>IF(A312="","",IF(A312+1&gt;Ввод!$B$4,"",A312+1))</f>
        <v/>
      </c>
      <c r="B313">
        <f>IF(A313="","",IFERROR(INDEX(Ввод!$B$12:$B$71,MATCH(A313,Ввод!$D$12:$D$71,1)),""))</f>
        <v/>
      </c>
      <c r="C313">
        <f>IF(A313="","",DATE(YEAR(A313),12,31)-DATE(YEAR(A313),1,1)+1)</f>
        <v/>
      </c>
      <c r="D313">
        <f>IF(A313="","",SUMIFS(Акты!$D$5:$D$16,Акты!$E$5:$E$16,"&lt;="&amp;A313)-SUMIFS(Оплаты!$B$6:$B$505,Оплаты!$A$6:$A$505,"&lt;"&amp;A313,Оплаты!$D$6:$D$505,"&lt;&gt;"))</f>
        <v/>
      </c>
      <c r="E313">
        <f>IF(A313="","",IF(SUMPRODUCT((Ввод!$F$12:$F$31&lt;&gt;"")*(Ввод!$F$12:$F$31&lt;=A313)*(Ввод!$G$12:$G$31&gt;=A313))&gt;0,1,0))</f>
        <v/>
      </c>
      <c r="G313">
        <f>IF(A313="","",IF(OR(B313&lt;&gt;B312,C313&lt;&gt;C312,E313&lt;&gt;E312),G312+1,G312))</f>
        <v/>
      </c>
    </row>
    <row r="314">
      <c r="A314" s="20">
        <f>IF(A313="","",IF(A313+1&gt;Ввод!$B$4,"",A313+1))</f>
        <v/>
      </c>
      <c r="B314">
        <f>IF(A314="","",IFERROR(INDEX(Ввод!$B$12:$B$71,MATCH(A314,Ввод!$D$12:$D$71,1)),""))</f>
        <v/>
      </c>
      <c r="C314">
        <f>IF(A314="","",DATE(YEAR(A314),12,31)-DATE(YEAR(A314),1,1)+1)</f>
        <v/>
      </c>
      <c r="D314">
        <f>IF(A314="","",SUMIFS(Акты!$D$5:$D$16,Акты!$E$5:$E$16,"&lt;="&amp;A314)-SUMIFS(Оплаты!$B$6:$B$505,Оплаты!$A$6:$A$505,"&lt;"&amp;A314,Оплаты!$D$6:$D$505,"&lt;&gt;"))</f>
        <v/>
      </c>
      <c r="E314">
        <f>IF(A314="","",IF(SUMPRODUCT((Ввод!$F$12:$F$31&lt;&gt;"")*(Ввод!$F$12:$F$31&lt;=A314)*(Ввод!$G$12:$G$31&gt;=A314))&gt;0,1,0))</f>
        <v/>
      </c>
      <c r="G314">
        <f>IF(A314="","",IF(OR(B314&lt;&gt;B313,C314&lt;&gt;C313,E314&lt;&gt;E313),G313+1,G313))</f>
        <v/>
      </c>
    </row>
    <row r="315">
      <c r="A315" s="20">
        <f>IF(A314="","",IF(A314+1&gt;Ввод!$B$4,"",A314+1))</f>
        <v/>
      </c>
      <c r="B315">
        <f>IF(A315="","",IFERROR(INDEX(Ввод!$B$12:$B$71,MATCH(A315,Ввод!$D$12:$D$71,1)),""))</f>
        <v/>
      </c>
      <c r="C315">
        <f>IF(A315="","",DATE(YEAR(A315),12,31)-DATE(YEAR(A315),1,1)+1)</f>
        <v/>
      </c>
      <c r="D315">
        <f>IF(A315="","",SUMIFS(Акты!$D$5:$D$16,Акты!$E$5:$E$16,"&lt;="&amp;A315)-SUMIFS(Оплаты!$B$6:$B$505,Оплаты!$A$6:$A$505,"&lt;"&amp;A315,Оплаты!$D$6:$D$505,"&lt;&gt;"))</f>
        <v/>
      </c>
      <c r="E315">
        <f>IF(A315="","",IF(SUMPRODUCT((Ввод!$F$12:$F$31&lt;&gt;"")*(Ввод!$F$12:$F$31&lt;=A315)*(Ввод!$G$12:$G$31&gt;=A315))&gt;0,1,0))</f>
        <v/>
      </c>
      <c r="G315">
        <f>IF(A315="","",IF(OR(B315&lt;&gt;B314,C315&lt;&gt;C314,E315&lt;&gt;E314),G314+1,G314))</f>
        <v/>
      </c>
    </row>
    <row r="316">
      <c r="A316" s="20">
        <f>IF(A315="","",IF(A315+1&gt;Ввод!$B$4,"",A315+1))</f>
        <v/>
      </c>
      <c r="B316">
        <f>IF(A316="","",IFERROR(INDEX(Ввод!$B$12:$B$71,MATCH(A316,Ввод!$D$12:$D$71,1)),""))</f>
        <v/>
      </c>
      <c r="C316">
        <f>IF(A316="","",DATE(YEAR(A316),12,31)-DATE(YEAR(A316),1,1)+1)</f>
        <v/>
      </c>
      <c r="D316">
        <f>IF(A316="","",SUMIFS(Акты!$D$5:$D$16,Акты!$E$5:$E$16,"&lt;="&amp;A316)-SUMIFS(Оплаты!$B$6:$B$505,Оплаты!$A$6:$A$505,"&lt;"&amp;A316,Оплаты!$D$6:$D$505,"&lt;&gt;"))</f>
        <v/>
      </c>
      <c r="E316">
        <f>IF(A316="","",IF(SUMPRODUCT((Ввод!$F$12:$F$31&lt;&gt;"")*(Ввод!$F$12:$F$31&lt;=A316)*(Ввод!$G$12:$G$31&gt;=A316))&gt;0,1,0))</f>
        <v/>
      </c>
      <c r="G316">
        <f>IF(A316="","",IF(OR(B316&lt;&gt;B315,C316&lt;&gt;C315,E316&lt;&gt;E315),G315+1,G315))</f>
        <v/>
      </c>
    </row>
    <row r="317">
      <c r="A317" s="20">
        <f>IF(A316="","",IF(A316+1&gt;Ввод!$B$4,"",A316+1))</f>
        <v/>
      </c>
      <c r="B317">
        <f>IF(A317="","",IFERROR(INDEX(Ввод!$B$12:$B$71,MATCH(A317,Ввод!$D$12:$D$71,1)),""))</f>
        <v/>
      </c>
      <c r="C317">
        <f>IF(A317="","",DATE(YEAR(A317),12,31)-DATE(YEAR(A317),1,1)+1)</f>
        <v/>
      </c>
      <c r="D317">
        <f>IF(A317="","",SUMIFS(Акты!$D$5:$D$16,Акты!$E$5:$E$16,"&lt;="&amp;A317)-SUMIFS(Оплаты!$B$6:$B$505,Оплаты!$A$6:$A$505,"&lt;"&amp;A317,Оплаты!$D$6:$D$505,"&lt;&gt;"))</f>
        <v/>
      </c>
      <c r="E317">
        <f>IF(A317="","",IF(SUMPRODUCT((Ввод!$F$12:$F$31&lt;&gt;"")*(Ввод!$F$12:$F$31&lt;=A317)*(Ввод!$G$12:$G$31&gt;=A317))&gt;0,1,0))</f>
        <v/>
      </c>
      <c r="G317">
        <f>IF(A317="","",IF(OR(B317&lt;&gt;B316,C317&lt;&gt;C316,E317&lt;&gt;E316),G316+1,G316))</f>
        <v/>
      </c>
    </row>
    <row r="318">
      <c r="A318" s="20">
        <f>IF(A317="","",IF(A317+1&gt;Ввод!$B$4,"",A317+1))</f>
        <v/>
      </c>
      <c r="B318">
        <f>IF(A318="","",IFERROR(INDEX(Ввод!$B$12:$B$71,MATCH(A318,Ввод!$D$12:$D$71,1)),""))</f>
        <v/>
      </c>
      <c r="C318">
        <f>IF(A318="","",DATE(YEAR(A318),12,31)-DATE(YEAR(A318),1,1)+1)</f>
        <v/>
      </c>
      <c r="D318">
        <f>IF(A318="","",SUMIFS(Акты!$D$5:$D$16,Акты!$E$5:$E$16,"&lt;="&amp;A318)-SUMIFS(Оплаты!$B$6:$B$505,Оплаты!$A$6:$A$505,"&lt;"&amp;A318,Оплаты!$D$6:$D$505,"&lt;&gt;"))</f>
        <v/>
      </c>
      <c r="E318">
        <f>IF(A318="","",IF(SUMPRODUCT((Ввод!$F$12:$F$31&lt;&gt;"")*(Ввод!$F$12:$F$31&lt;=A318)*(Ввод!$G$12:$G$31&gt;=A318))&gt;0,1,0))</f>
        <v/>
      </c>
      <c r="G318">
        <f>IF(A318="","",IF(OR(B318&lt;&gt;B317,C318&lt;&gt;C317,E318&lt;&gt;E317),G317+1,G317))</f>
        <v/>
      </c>
    </row>
    <row r="319">
      <c r="A319" s="20">
        <f>IF(A318="","",IF(A318+1&gt;Ввод!$B$4,"",A318+1))</f>
        <v/>
      </c>
      <c r="B319">
        <f>IF(A319="","",IFERROR(INDEX(Ввод!$B$12:$B$71,MATCH(A319,Ввод!$D$12:$D$71,1)),""))</f>
        <v/>
      </c>
      <c r="C319">
        <f>IF(A319="","",DATE(YEAR(A319),12,31)-DATE(YEAR(A319),1,1)+1)</f>
        <v/>
      </c>
      <c r="D319">
        <f>IF(A319="","",SUMIFS(Акты!$D$5:$D$16,Акты!$E$5:$E$16,"&lt;="&amp;A319)-SUMIFS(Оплаты!$B$6:$B$505,Оплаты!$A$6:$A$505,"&lt;"&amp;A319,Оплаты!$D$6:$D$505,"&lt;&gt;"))</f>
        <v/>
      </c>
      <c r="E319">
        <f>IF(A319="","",IF(SUMPRODUCT((Ввод!$F$12:$F$31&lt;&gt;"")*(Ввод!$F$12:$F$31&lt;=A319)*(Ввод!$G$12:$G$31&gt;=A319))&gt;0,1,0))</f>
        <v/>
      </c>
      <c r="G319">
        <f>IF(A319="","",IF(OR(B319&lt;&gt;B318,C319&lt;&gt;C318,E319&lt;&gt;E318),G318+1,G318))</f>
        <v/>
      </c>
    </row>
    <row r="320">
      <c r="A320" s="20">
        <f>IF(A319="","",IF(A319+1&gt;Ввод!$B$4,"",A319+1))</f>
        <v/>
      </c>
      <c r="B320">
        <f>IF(A320="","",IFERROR(INDEX(Ввод!$B$12:$B$71,MATCH(A320,Ввод!$D$12:$D$71,1)),""))</f>
        <v/>
      </c>
      <c r="C320">
        <f>IF(A320="","",DATE(YEAR(A320),12,31)-DATE(YEAR(A320),1,1)+1)</f>
        <v/>
      </c>
      <c r="D320">
        <f>IF(A320="","",SUMIFS(Акты!$D$5:$D$16,Акты!$E$5:$E$16,"&lt;="&amp;A320)-SUMIFS(Оплаты!$B$6:$B$505,Оплаты!$A$6:$A$505,"&lt;"&amp;A320,Оплаты!$D$6:$D$505,"&lt;&gt;"))</f>
        <v/>
      </c>
      <c r="E320">
        <f>IF(A320="","",IF(SUMPRODUCT((Ввод!$F$12:$F$31&lt;&gt;"")*(Ввод!$F$12:$F$31&lt;=A320)*(Ввод!$G$12:$G$31&gt;=A320))&gt;0,1,0))</f>
        <v/>
      </c>
      <c r="G320">
        <f>IF(A320="","",IF(OR(B320&lt;&gt;B319,C320&lt;&gt;C319,E320&lt;&gt;E319),G319+1,G319))</f>
        <v/>
      </c>
    </row>
    <row r="321">
      <c r="A321" s="20">
        <f>IF(A320="","",IF(A320+1&gt;Ввод!$B$4,"",A320+1))</f>
        <v/>
      </c>
      <c r="B321">
        <f>IF(A321="","",IFERROR(INDEX(Ввод!$B$12:$B$71,MATCH(A321,Ввод!$D$12:$D$71,1)),""))</f>
        <v/>
      </c>
      <c r="C321">
        <f>IF(A321="","",DATE(YEAR(A321),12,31)-DATE(YEAR(A321),1,1)+1)</f>
        <v/>
      </c>
      <c r="D321">
        <f>IF(A321="","",SUMIFS(Акты!$D$5:$D$16,Акты!$E$5:$E$16,"&lt;="&amp;A321)-SUMIFS(Оплаты!$B$6:$B$505,Оплаты!$A$6:$A$505,"&lt;"&amp;A321,Оплаты!$D$6:$D$505,"&lt;&gt;"))</f>
        <v/>
      </c>
      <c r="E321">
        <f>IF(A321="","",IF(SUMPRODUCT((Ввод!$F$12:$F$31&lt;&gt;"")*(Ввод!$F$12:$F$31&lt;=A321)*(Ввод!$G$12:$G$31&gt;=A321))&gt;0,1,0))</f>
        <v/>
      </c>
      <c r="G321">
        <f>IF(A321="","",IF(OR(B321&lt;&gt;B320,C321&lt;&gt;C320,E321&lt;&gt;E320),G320+1,G320))</f>
        <v/>
      </c>
    </row>
    <row r="322">
      <c r="A322" s="20">
        <f>IF(A321="","",IF(A321+1&gt;Ввод!$B$4,"",A321+1))</f>
        <v/>
      </c>
      <c r="B322">
        <f>IF(A322="","",IFERROR(INDEX(Ввод!$B$12:$B$71,MATCH(A322,Ввод!$D$12:$D$71,1)),""))</f>
        <v/>
      </c>
      <c r="C322">
        <f>IF(A322="","",DATE(YEAR(A322),12,31)-DATE(YEAR(A322),1,1)+1)</f>
        <v/>
      </c>
      <c r="D322">
        <f>IF(A322="","",SUMIFS(Акты!$D$5:$D$16,Акты!$E$5:$E$16,"&lt;="&amp;A322)-SUMIFS(Оплаты!$B$6:$B$505,Оплаты!$A$6:$A$505,"&lt;"&amp;A322,Оплаты!$D$6:$D$505,"&lt;&gt;"))</f>
        <v/>
      </c>
      <c r="E322">
        <f>IF(A322="","",IF(SUMPRODUCT((Ввод!$F$12:$F$31&lt;&gt;"")*(Ввод!$F$12:$F$31&lt;=A322)*(Ввод!$G$12:$G$31&gt;=A322))&gt;0,1,0))</f>
        <v/>
      </c>
      <c r="G322">
        <f>IF(A322="","",IF(OR(B322&lt;&gt;B321,C322&lt;&gt;C321,E322&lt;&gt;E321),G321+1,G321))</f>
        <v/>
      </c>
    </row>
    <row r="323">
      <c r="A323" s="20">
        <f>IF(A322="","",IF(A322+1&gt;Ввод!$B$4,"",A322+1))</f>
        <v/>
      </c>
      <c r="B323">
        <f>IF(A323="","",IFERROR(INDEX(Ввод!$B$12:$B$71,MATCH(A323,Ввод!$D$12:$D$71,1)),""))</f>
        <v/>
      </c>
      <c r="C323">
        <f>IF(A323="","",DATE(YEAR(A323),12,31)-DATE(YEAR(A323),1,1)+1)</f>
        <v/>
      </c>
      <c r="D323">
        <f>IF(A323="","",SUMIFS(Акты!$D$5:$D$16,Акты!$E$5:$E$16,"&lt;="&amp;A323)-SUMIFS(Оплаты!$B$6:$B$505,Оплаты!$A$6:$A$505,"&lt;"&amp;A323,Оплаты!$D$6:$D$505,"&lt;&gt;"))</f>
        <v/>
      </c>
      <c r="E323">
        <f>IF(A323="","",IF(SUMPRODUCT((Ввод!$F$12:$F$31&lt;&gt;"")*(Ввод!$F$12:$F$31&lt;=A323)*(Ввод!$G$12:$G$31&gt;=A323))&gt;0,1,0))</f>
        <v/>
      </c>
      <c r="G323">
        <f>IF(A323="","",IF(OR(B323&lt;&gt;B322,C323&lt;&gt;C322,E323&lt;&gt;E322),G322+1,G322))</f>
        <v/>
      </c>
    </row>
    <row r="324">
      <c r="A324" s="20">
        <f>IF(A323="","",IF(A323+1&gt;Ввод!$B$4,"",A323+1))</f>
        <v/>
      </c>
      <c r="B324">
        <f>IF(A324="","",IFERROR(INDEX(Ввод!$B$12:$B$71,MATCH(A324,Ввод!$D$12:$D$71,1)),""))</f>
        <v/>
      </c>
      <c r="C324">
        <f>IF(A324="","",DATE(YEAR(A324),12,31)-DATE(YEAR(A324),1,1)+1)</f>
        <v/>
      </c>
      <c r="D324">
        <f>IF(A324="","",SUMIFS(Акты!$D$5:$D$16,Акты!$E$5:$E$16,"&lt;="&amp;A324)-SUMIFS(Оплаты!$B$6:$B$505,Оплаты!$A$6:$A$505,"&lt;"&amp;A324,Оплаты!$D$6:$D$505,"&lt;&gt;"))</f>
        <v/>
      </c>
      <c r="E324">
        <f>IF(A324="","",IF(SUMPRODUCT((Ввод!$F$12:$F$31&lt;&gt;"")*(Ввод!$F$12:$F$31&lt;=A324)*(Ввод!$G$12:$G$31&gt;=A324))&gt;0,1,0))</f>
        <v/>
      </c>
      <c r="G324">
        <f>IF(A324="","",IF(OR(B324&lt;&gt;B323,C324&lt;&gt;C323,E324&lt;&gt;E323),G323+1,G323))</f>
        <v/>
      </c>
    </row>
    <row r="325">
      <c r="A325" s="20">
        <f>IF(A324="","",IF(A324+1&gt;Ввод!$B$4,"",A324+1))</f>
        <v/>
      </c>
      <c r="B325">
        <f>IF(A325="","",IFERROR(INDEX(Ввод!$B$12:$B$71,MATCH(A325,Ввод!$D$12:$D$71,1)),""))</f>
        <v/>
      </c>
      <c r="C325">
        <f>IF(A325="","",DATE(YEAR(A325),12,31)-DATE(YEAR(A325),1,1)+1)</f>
        <v/>
      </c>
      <c r="D325">
        <f>IF(A325="","",SUMIFS(Акты!$D$5:$D$16,Акты!$E$5:$E$16,"&lt;="&amp;A325)-SUMIFS(Оплаты!$B$6:$B$505,Оплаты!$A$6:$A$505,"&lt;"&amp;A325,Оплаты!$D$6:$D$505,"&lt;&gt;"))</f>
        <v/>
      </c>
      <c r="E325">
        <f>IF(A325="","",IF(SUMPRODUCT((Ввод!$F$12:$F$31&lt;&gt;"")*(Ввод!$F$12:$F$31&lt;=A325)*(Ввод!$G$12:$G$31&gt;=A325))&gt;0,1,0))</f>
        <v/>
      </c>
      <c r="G325">
        <f>IF(A325="","",IF(OR(B325&lt;&gt;B324,C325&lt;&gt;C324,E325&lt;&gt;E324),G324+1,G324))</f>
        <v/>
      </c>
    </row>
    <row r="326">
      <c r="A326" s="20">
        <f>IF(A325="","",IF(A325+1&gt;Ввод!$B$4,"",A325+1))</f>
        <v/>
      </c>
      <c r="B326">
        <f>IF(A326="","",IFERROR(INDEX(Ввод!$B$12:$B$71,MATCH(A326,Ввод!$D$12:$D$71,1)),""))</f>
        <v/>
      </c>
      <c r="C326">
        <f>IF(A326="","",DATE(YEAR(A326),12,31)-DATE(YEAR(A326),1,1)+1)</f>
        <v/>
      </c>
      <c r="D326">
        <f>IF(A326="","",SUMIFS(Акты!$D$5:$D$16,Акты!$E$5:$E$16,"&lt;="&amp;A326)-SUMIFS(Оплаты!$B$6:$B$505,Оплаты!$A$6:$A$505,"&lt;"&amp;A326,Оплаты!$D$6:$D$505,"&lt;&gt;"))</f>
        <v/>
      </c>
      <c r="E326">
        <f>IF(A326="","",IF(SUMPRODUCT((Ввод!$F$12:$F$31&lt;&gt;"")*(Ввод!$F$12:$F$31&lt;=A326)*(Ввод!$G$12:$G$31&gt;=A326))&gt;0,1,0))</f>
        <v/>
      </c>
      <c r="G326">
        <f>IF(A326="","",IF(OR(B326&lt;&gt;B325,C326&lt;&gt;C325,E326&lt;&gt;E325),G325+1,G325))</f>
        <v/>
      </c>
    </row>
    <row r="327">
      <c r="A327" s="20">
        <f>IF(A326="","",IF(A326+1&gt;Ввод!$B$4,"",A326+1))</f>
        <v/>
      </c>
      <c r="B327">
        <f>IF(A327="","",IFERROR(INDEX(Ввод!$B$12:$B$71,MATCH(A327,Ввод!$D$12:$D$71,1)),""))</f>
        <v/>
      </c>
      <c r="C327">
        <f>IF(A327="","",DATE(YEAR(A327),12,31)-DATE(YEAR(A327),1,1)+1)</f>
        <v/>
      </c>
      <c r="D327">
        <f>IF(A327="","",SUMIFS(Акты!$D$5:$D$16,Акты!$E$5:$E$16,"&lt;="&amp;A327)-SUMIFS(Оплаты!$B$6:$B$505,Оплаты!$A$6:$A$505,"&lt;"&amp;A327,Оплаты!$D$6:$D$505,"&lt;&gt;"))</f>
        <v/>
      </c>
      <c r="E327">
        <f>IF(A327="","",IF(SUMPRODUCT((Ввод!$F$12:$F$31&lt;&gt;"")*(Ввод!$F$12:$F$31&lt;=A327)*(Ввод!$G$12:$G$31&gt;=A327))&gt;0,1,0))</f>
        <v/>
      </c>
      <c r="G327">
        <f>IF(A327="","",IF(OR(B327&lt;&gt;B326,C327&lt;&gt;C326,E327&lt;&gt;E326),G326+1,G326))</f>
        <v/>
      </c>
    </row>
    <row r="328">
      <c r="A328" s="20">
        <f>IF(A327="","",IF(A327+1&gt;Ввод!$B$4,"",A327+1))</f>
        <v/>
      </c>
      <c r="B328">
        <f>IF(A328="","",IFERROR(INDEX(Ввод!$B$12:$B$71,MATCH(A328,Ввод!$D$12:$D$71,1)),""))</f>
        <v/>
      </c>
      <c r="C328">
        <f>IF(A328="","",DATE(YEAR(A328),12,31)-DATE(YEAR(A328),1,1)+1)</f>
        <v/>
      </c>
      <c r="D328">
        <f>IF(A328="","",SUMIFS(Акты!$D$5:$D$16,Акты!$E$5:$E$16,"&lt;="&amp;A328)-SUMIFS(Оплаты!$B$6:$B$505,Оплаты!$A$6:$A$505,"&lt;"&amp;A328,Оплаты!$D$6:$D$505,"&lt;&gt;"))</f>
        <v/>
      </c>
      <c r="E328">
        <f>IF(A328="","",IF(SUMPRODUCT((Ввод!$F$12:$F$31&lt;&gt;"")*(Ввод!$F$12:$F$31&lt;=A328)*(Ввод!$G$12:$G$31&gt;=A328))&gt;0,1,0))</f>
        <v/>
      </c>
      <c r="G328">
        <f>IF(A328="","",IF(OR(B328&lt;&gt;B327,C328&lt;&gt;C327,E328&lt;&gt;E327),G327+1,G327))</f>
        <v/>
      </c>
    </row>
    <row r="329">
      <c r="A329" s="20">
        <f>IF(A328="","",IF(A328+1&gt;Ввод!$B$4,"",A328+1))</f>
        <v/>
      </c>
      <c r="B329">
        <f>IF(A329="","",IFERROR(INDEX(Ввод!$B$12:$B$71,MATCH(A329,Ввод!$D$12:$D$71,1)),""))</f>
        <v/>
      </c>
      <c r="C329">
        <f>IF(A329="","",DATE(YEAR(A329),12,31)-DATE(YEAR(A329),1,1)+1)</f>
        <v/>
      </c>
      <c r="D329">
        <f>IF(A329="","",SUMIFS(Акты!$D$5:$D$16,Акты!$E$5:$E$16,"&lt;="&amp;A329)-SUMIFS(Оплаты!$B$6:$B$505,Оплаты!$A$6:$A$505,"&lt;"&amp;A329,Оплаты!$D$6:$D$505,"&lt;&gt;"))</f>
        <v/>
      </c>
      <c r="E329">
        <f>IF(A329="","",IF(SUMPRODUCT((Ввод!$F$12:$F$31&lt;&gt;"")*(Ввод!$F$12:$F$31&lt;=A329)*(Ввод!$G$12:$G$31&gt;=A329))&gt;0,1,0))</f>
        <v/>
      </c>
      <c r="G329">
        <f>IF(A329="","",IF(OR(B329&lt;&gt;B328,C329&lt;&gt;C328,E329&lt;&gt;E328),G328+1,G328))</f>
        <v/>
      </c>
    </row>
    <row r="330">
      <c r="A330" s="20">
        <f>IF(A329="","",IF(A329+1&gt;Ввод!$B$4,"",A329+1))</f>
        <v/>
      </c>
      <c r="B330">
        <f>IF(A330="","",IFERROR(INDEX(Ввод!$B$12:$B$71,MATCH(A330,Ввод!$D$12:$D$71,1)),""))</f>
        <v/>
      </c>
      <c r="C330">
        <f>IF(A330="","",DATE(YEAR(A330),12,31)-DATE(YEAR(A330),1,1)+1)</f>
        <v/>
      </c>
      <c r="D330">
        <f>IF(A330="","",SUMIFS(Акты!$D$5:$D$16,Акты!$E$5:$E$16,"&lt;="&amp;A330)-SUMIFS(Оплаты!$B$6:$B$505,Оплаты!$A$6:$A$505,"&lt;"&amp;A330,Оплаты!$D$6:$D$505,"&lt;&gt;"))</f>
        <v/>
      </c>
      <c r="E330">
        <f>IF(A330="","",IF(SUMPRODUCT((Ввод!$F$12:$F$31&lt;&gt;"")*(Ввод!$F$12:$F$31&lt;=A330)*(Ввод!$G$12:$G$31&gt;=A330))&gt;0,1,0))</f>
        <v/>
      </c>
      <c r="G330">
        <f>IF(A330="","",IF(OR(B330&lt;&gt;B329,C330&lt;&gt;C329,E330&lt;&gt;E329),G329+1,G329))</f>
        <v/>
      </c>
    </row>
    <row r="331">
      <c r="A331" s="20">
        <f>IF(A330="","",IF(A330+1&gt;Ввод!$B$4,"",A330+1))</f>
        <v/>
      </c>
      <c r="B331">
        <f>IF(A331="","",IFERROR(INDEX(Ввод!$B$12:$B$71,MATCH(A331,Ввод!$D$12:$D$71,1)),""))</f>
        <v/>
      </c>
      <c r="C331">
        <f>IF(A331="","",DATE(YEAR(A331),12,31)-DATE(YEAR(A331),1,1)+1)</f>
        <v/>
      </c>
      <c r="D331">
        <f>IF(A331="","",SUMIFS(Акты!$D$5:$D$16,Акты!$E$5:$E$16,"&lt;="&amp;A331)-SUMIFS(Оплаты!$B$6:$B$505,Оплаты!$A$6:$A$505,"&lt;"&amp;A331,Оплаты!$D$6:$D$505,"&lt;&gt;"))</f>
        <v/>
      </c>
      <c r="E331">
        <f>IF(A331="","",IF(SUMPRODUCT((Ввод!$F$12:$F$31&lt;&gt;"")*(Ввод!$F$12:$F$31&lt;=A331)*(Ввод!$G$12:$G$31&gt;=A331))&gt;0,1,0))</f>
        <v/>
      </c>
      <c r="G331">
        <f>IF(A331="","",IF(OR(B331&lt;&gt;B330,C331&lt;&gt;C330,E331&lt;&gt;E330),G330+1,G330))</f>
        <v/>
      </c>
    </row>
    <row r="332">
      <c r="A332" s="20">
        <f>IF(A331="","",IF(A331+1&gt;Ввод!$B$4,"",A331+1))</f>
        <v/>
      </c>
      <c r="B332">
        <f>IF(A332="","",IFERROR(INDEX(Ввод!$B$12:$B$71,MATCH(A332,Ввод!$D$12:$D$71,1)),""))</f>
        <v/>
      </c>
      <c r="C332">
        <f>IF(A332="","",DATE(YEAR(A332),12,31)-DATE(YEAR(A332),1,1)+1)</f>
        <v/>
      </c>
      <c r="D332">
        <f>IF(A332="","",SUMIFS(Акты!$D$5:$D$16,Акты!$E$5:$E$16,"&lt;="&amp;A332)-SUMIFS(Оплаты!$B$6:$B$505,Оплаты!$A$6:$A$505,"&lt;"&amp;A332,Оплаты!$D$6:$D$505,"&lt;&gt;"))</f>
        <v/>
      </c>
      <c r="E332">
        <f>IF(A332="","",IF(SUMPRODUCT((Ввод!$F$12:$F$31&lt;&gt;"")*(Ввод!$F$12:$F$31&lt;=A332)*(Ввод!$G$12:$G$31&gt;=A332))&gt;0,1,0))</f>
        <v/>
      </c>
      <c r="G332">
        <f>IF(A332="","",IF(OR(B332&lt;&gt;B331,C332&lt;&gt;C331,E332&lt;&gt;E331),G331+1,G331))</f>
        <v/>
      </c>
    </row>
    <row r="333">
      <c r="A333" s="20">
        <f>IF(A332="","",IF(A332+1&gt;Ввод!$B$4,"",A332+1))</f>
        <v/>
      </c>
      <c r="B333">
        <f>IF(A333="","",IFERROR(INDEX(Ввод!$B$12:$B$71,MATCH(A333,Ввод!$D$12:$D$71,1)),""))</f>
        <v/>
      </c>
      <c r="C333">
        <f>IF(A333="","",DATE(YEAR(A333),12,31)-DATE(YEAR(A333),1,1)+1)</f>
        <v/>
      </c>
      <c r="D333">
        <f>IF(A333="","",SUMIFS(Акты!$D$5:$D$16,Акты!$E$5:$E$16,"&lt;="&amp;A333)-SUMIFS(Оплаты!$B$6:$B$505,Оплаты!$A$6:$A$505,"&lt;"&amp;A333,Оплаты!$D$6:$D$505,"&lt;&gt;"))</f>
        <v/>
      </c>
      <c r="E333">
        <f>IF(A333="","",IF(SUMPRODUCT((Ввод!$F$12:$F$31&lt;&gt;"")*(Ввод!$F$12:$F$31&lt;=A333)*(Ввод!$G$12:$G$31&gt;=A333))&gt;0,1,0))</f>
        <v/>
      </c>
      <c r="G333">
        <f>IF(A333="","",IF(OR(B333&lt;&gt;B332,C333&lt;&gt;C332,E333&lt;&gt;E332),G332+1,G332))</f>
        <v/>
      </c>
    </row>
    <row r="334">
      <c r="A334" s="20">
        <f>IF(A333="","",IF(A333+1&gt;Ввод!$B$4,"",A333+1))</f>
        <v/>
      </c>
      <c r="B334">
        <f>IF(A334="","",IFERROR(INDEX(Ввод!$B$12:$B$71,MATCH(A334,Ввод!$D$12:$D$71,1)),""))</f>
        <v/>
      </c>
      <c r="C334">
        <f>IF(A334="","",DATE(YEAR(A334),12,31)-DATE(YEAR(A334),1,1)+1)</f>
        <v/>
      </c>
      <c r="D334">
        <f>IF(A334="","",SUMIFS(Акты!$D$5:$D$16,Акты!$E$5:$E$16,"&lt;="&amp;A334)-SUMIFS(Оплаты!$B$6:$B$505,Оплаты!$A$6:$A$505,"&lt;"&amp;A334,Оплаты!$D$6:$D$505,"&lt;&gt;"))</f>
        <v/>
      </c>
      <c r="E334">
        <f>IF(A334="","",IF(SUMPRODUCT((Ввод!$F$12:$F$31&lt;&gt;"")*(Ввод!$F$12:$F$31&lt;=A334)*(Ввод!$G$12:$G$31&gt;=A334))&gt;0,1,0))</f>
        <v/>
      </c>
      <c r="G334">
        <f>IF(A334="","",IF(OR(B334&lt;&gt;B333,C334&lt;&gt;C333,E334&lt;&gt;E333),G333+1,G333))</f>
        <v/>
      </c>
    </row>
    <row r="335">
      <c r="A335" s="20">
        <f>IF(A334="","",IF(A334+1&gt;Ввод!$B$4,"",A334+1))</f>
        <v/>
      </c>
      <c r="B335">
        <f>IF(A335="","",IFERROR(INDEX(Ввод!$B$12:$B$71,MATCH(A335,Ввод!$D$12:$D$71,1)),""))</f>
        <v/>
      </c>
      <c r="C335">
        <f>IF(A335="","",DATE(YEAR(A335),12,31)-DATE(YEAR(A335),1,1)+1)</f>
        <v/>
      </c>
      <c r="D335">
        <f>IF(A335="","",SUMIFS(Акты!$D$5:$D$16,Акты!$E$5:$E$16,"&lt;="&amp;A335)-SUMIFS(Оплаты!$B$6:$B$505,Оплаты!$A$6:$A$505,"&lt;"&amp;A335,Оплаты!$D$6:$D$505,"&lt;&gt;"))</f>
        <v/>
      </c>
      <c r="E335">
        <f>IF(A335="","",IF(SUMPRODUCT((Ввод!$F$12:$F$31&lt;&gt;"")*(Ввод!$F$12:$F$31&lt;=A335)*(Ввод!$G$12:$G$31&gt;=A335))&gt;0,1,0))</f>
        <v/>
      </c>
      <c r="G335">
        <f>IF(A335="","",IF(OR(B335&lt;&gt;B334,C335&lt;&gt;C334,E335&lt;&gt;E334),G334+1,G334))</f>
        <v/>
      </c>
    </row>
    <row r="336">
      <c r="A336" s="20">
        <f>IF(A335="","",IF(A335+1&gt;Ввод!$B$4,"",A335+1))</f>
        <v/>
      </c>
      <c r="B336">
        <f>IF(A336="","",IFERROR(INDEX(Ввод!$B$12:$B$71,MATCH(A336,Ввод!$D$12:$D$71,1)),""))</f>
        <v/>
      </c>
      <c r="C336">
        <f>IF(A336="","",DATE(YEAR(A336),12,31)-DATE(YEAR(A336),1,1)+1)</f>
        <v/>
      </c>
      <c r="D336">
        <f>IF(A336="","",SUMIFS(Акты!$D$5:$D$16,Акты!$E$5:$E$16,"&lt;="&amp;A336)-SUMIFS(Оплаты!$B$6:$B$505,Оплаты!$A$6:$A$505,"&lt;"&amp;A336,Оплаты!$D$6:$D$505,"&lt;&gt;"))</f>
        <v/>
      </c>
      <c r="E336">
        <f>IF(A336="","",IF(SUMPRODUCT((Ввод!$F$12:$F$31&lt;&gt;"")*(Ввод!$F$12:$F$31&lt;=A336)*(Ввод!$G$12:$G$31&gt;=A336))&gt;0,1,0))</f>
        <v/>
      </c>
      <c r="G336">
        <f>IF(A336="","",IF(OR(B336&lt;&gt;B335,C336&lt;&gt;C335,E336&lt;&gt;E335),G335+1,G335))</f>
        <v/>
      </c>
    </row>
    <row r="337">
      <c r="A337" s="20">
        <f>IF(A336="","",IF(A336+1&gt;Ввод!$B$4,"",A336+1))</f>
        <v/>
      </c>
      <c r="B337">
        <f>IF(A337="","",IFERROR(INDEX(Ввод!$B$12:$B$71,MATCH(A337,Ввод!$D$12:$D$71,1)),""))</f>
        <v/>
      </c>
      <c r="C337">
        <f>IF(A337="","",DATE(YEAR(A337),12,31)-DATE(YEAR(A337),1,1)+1)</f>
        <v/>
      </c>
      <c r="D337">
        <f>IF(A337="","",SUMIFS(Акты!$D$5:$D$16,Акты!$E$5:$E$16,"&lt;="&amp;A337)-SUMIFS(Оплаты!$B$6:$B$505,Оплаты!$A$6:$A$505,"&lt;"&amp;A337,Оплаты!$D$6:$D$505,"&lt;&gt;"))</f>
        <v/>
      </c>
      <c r="E337">
        <f>IF(A337="","",IF(SUMPRODUCT((Ввод!$F$12:$F$31&lt;&gt;"")*(Ввод!$F$12:$F$31&lt;=A337)*(Ввод!$G$12:$G$31&gt;=A337))&gt;0,1,0))</f>
        <v/>
      </c>
      <c r="G337">
        <f>IF(A337="","",IF(OR(B337&lt;&gt;B336,C337&lt;&gt;C336,E337&lt;&gt;E336),G336+1,G336))</f>
        <v/>
      </c>
    </row>
    <row r="338">
      <c r="A338" s="20">
        <f>IF(A337="","",IF(A337+1&gt;Ввод!$B$4,"",A337+1))</f>
        <v/>
      </c>
      <c r="B338">
        <f>IF(A338="","",IFERROR(INDEX(Ввод!$B$12:$B$71,MATCH(A338,Ввод!$D$12:$D$71,1)),""))</f>
        <v/>
      </c>
      <c r="C338">
        <f>IF(A338="","",DATE(YEAR(A338),12,31)-DATE(YEAR(A338),1,1)+1)</f>
        <v/>
      </c>
      <c r="D338">
        <f>IF(A338="","",SUMIFS(Акты!$D$5:$D$16,Акты!$E$5:$E$16,"&lt;="&amp;A338)-SUMIFS(Оплаты!$B$6:$B$505,Оплаты!$A$6:$A$505,"&lt;"&amp;A338,Оплаты!$D$6:$D$505,"&lt;&gt;"))</f>
        <v/>
      </c>
      <c r="E338">
        <f>IF(A338="","",IF(SUMPRODUCT((Ввод!$F$12:$F$31&lt;&gt;"")*(Ввод!$F$12:$F$31&lt;=A338)*(Ввод!$G$12:$G$31&gt;=A338))&gt;0,1,0))</f>
        <v/>
      </c>
      <c r="G338">
        <f>IF(A338="","",IF(OR(B338&lt;&gt;B337,C338&lt;&gt;C337,E338&lt;&gt;E337),G337+1,G337))</f>
        <v/>
      </c>
    </row>
    <row r="339">
      <c r="A339" s="20">
        <f>IF(A338="","",IF(A338+1&gt;Ввод!$B$4,"",A338+1))</f>
        <v/>
      </c>
      <c r="B339">
        <f>IF(A339="","",IFERROR(INDEX(Ввод!$B$12:$B$71,MATCH(A339,Ввод!$D$12:$D$71,1)),""))</f>
        <v/>
      </c>
      <c r="C339">
        <f>IF(A339="","",DATE(YEAR(A339),12,31)-DATE(YEAR(A339),1,1)+1)</f>
        <v/>
      </c>
      <c r="D339">
        <f>IF(A339="","",SUMIFS(Акты!$D$5:$D$16,Акты!$E$5:$E$16,"&lt;="&amp;A339)-SUMIFS(Оплаты!$B$6:$B$505,Оплаты!$A$6:$A$505,"&lt;"&amp;A339,Оплаты!$D$6:$D$505,"&lt;&gt;"))</f>
        <v/>
      </c>
      <c r="E339">
        <f>IF(A339="","",IF(SUMPRODUCT((Ввод!$F$12:$F$31&lt;&gt;"")*(Ввод!$F$12:$F$31&lt;=A339)*(Ввод!$G$12:$G$31&gt;=A339))&gt;0,1,0))</f>
        <v/>
      </c>
      <c r="G339">
        <f>IF(A339="","",IF(OR(B339&lt;&gt;B338,C339&lt;&gt;C338,E339&lt;&gt;E338),G338+1,G338))</f>
        <v/>
      </c>
    </row>
    <row r="340">
      <c r="A340" s="20">
        <f>IF(A339="","",IF(A339+1&gt;Ввод!$B$4,"",A339+1))</f>
        <v/>
      </c>
      <c r="B340">
        <f>IF(A340="","",IFERROR(INDEX(Ввод!$B$12:$B$71,MATCH(A340,Ввод!$D$12:$D$71,1)),""))</f>
        <v/>
      </c>
      <c r="C340">
        <f>IF(A340="","",DATE(YEAR(A340),12,31)-DATE(YEAR(A340),1,1)+1)</f>
        <v/>
      </c>
      <c r="D340">
        <f>IF(A340="","",SUMIFS(Акты!$D$5:$D$16,Акты!$E$5:$E$16,"&lt;="&amp;A340)-SUMIFS(Оплаты!$B$6:$B$505,Оплаты!$A$6:$A$505,"&lt;"&amp;A340,Оплаты!$D$6:$D$505,"&lt;&gt;"))</f>
        <v/>
      </c>
      <c r="E340">
        <f>IF(A340="","",IF(SUMPRODUCT((Ввод!$F$12:$F$31&lt;&gt;"")*(Ввод!$F$12:$F$31&lt;=A340)*(Ввод!$G$12:$G$31&gt;=A340))&gt;0,1,0))</f>
        <v/>
      </c>
      <c r="G340">
        <f>IF(A340="","",IF(OR(B340&lt;&gt;B339,C340&lt;&gt;C339,E340&lt;&gt;E339),G339+1,G339))</f>
        <v/>
      </c>
    </row>
    <row r="341">
      <c r="A341" s="20">
        <f>IF(A340="","",IF(A340+1&gt;Ввод!$B$4,"",A340+1))</f>
        <v/>
      </c>
      <c r="B341">
        <f>IF(A341="","",IFERROR(INDEX(Ввод!$B$12:$B$71,MATCH(A341,Ввод!$D$12:$D$71,1)),""))</f>
        <v/>
      </c>
      <c r="C341">
        <f>IF(A341="","",DATE(YEAR(A341),12,31)-DATE(YEAR(A341),1,1)+1)</f>
        <v/>
      </c>
      <c r="D341">
        <f>IF(A341="","",SUMIFS(Акты!$D$5:$D$16,Акты!$E$5:$E$16,"&lt;="&amp;A341)-SUMIFS(Оплаты!$B$6:$B$505,Оплаты!$A$6:$A$505,"&lt;"&amp;A341,Оплаты!$D$6:$D$505,"&lt;&gt;"))</f>
        <v/>
      </c>
      <c r="E341">
        <f>IF(A341="","",IF(SUMPRODUCT((Ввод!$F$12:$F$31&lt;&gt;"")*(Ввод!$F$12:$F$31&lt;=A341)*(Ввод!$G$12:$G$31&gt;=A341))&gt;0,1,0))</f>
        <v/>
      </c>
      <c r="G341">
        <f>IF(A341="","",IF(OR(B341&lt;&gt;B340,C341&lt;&gt;C340,E341&lt;&gt;E340),G340+1,G340))</f>
        <v/>
      </c>
    </row>
    <row r="342">
      <c r="A342" s="20">
        <f>IF(A341="","",IF(A341+1&gt;Ввод!$B$4,"",A341+1))</f>
        <v/>
      </c>
      <c r="B342">
        <f>IF(A342="","",IFERROR(INDEX(Ввод!$B$12:$B$71,MATCH(A342,Ввод!$D$12:$D$71,1)),""))</f>
        <v/>
      </c>
      <c r="C342">
        <f>IF(A342="","",DATE(YEAR(A342),12,31)-DATE(YEAR(A342),1,1)+1)</f>
        <v/>
      </c>
      <c r="D342">
        <f>IF(A342="","",SUMIFS(Акты!$D$5:$D$16,Акты!$E$5:$E$16,"&lt;="&amp;A342)-SUMIFS(Оплаты!$B$6:$B$505,Оплаты!$A$6:$A$505,"&lt;"&amp;A342,Оплаты!$D$6:$D$505,"&lt;&gt;"))</f>
        <v/>
      </c>
      <c r="E342">
        <f>IF(A342="","",IF(SUMPRODUCT((Ввод!$F$12:$F$31&lt;&gt;"")*(Ввод!$F$12:$F$31&lt;=A342)*(Ввод!$G$12:$G$31&gt;=A342))&gt;0,1,0))</f>
        <v/>
      </c>
      <c r="G342">
        <f>IF(A342="","",IF(OR(B342&lt;&gt;B341,C342&lt;&gt;C341,E342&lt;&gt;E341),G341+1,G341))</f>
        <v/>
      </c>
    </row>
    <row r="343">
      <c r="A343" s="20">
        <f>IF(A342="","",IF(A342+1&gt;Ввод!$B$4,"",A342+1))</f>
        <v/>
      </c>
      <c r="B343">
        <f>IF(A343="","",IFERROR(INDEX(Ввод!$B$12:$B$71,MATCH(A343,Ввод!$D$12:$D$71,1)),""))</f>
        <v/>
      </c>
      <c r="C343">
        <f>IF(A343="","",DATE(YEAR(A343),12,31)-DATE(YEAR(A343),1,1)+1)</f>
        <v/>
      </c>
      <c r="D343">
        <f>IF(A343="","",SUMIFS(Акты!$D$5:$D$16,Акты!$E$5:$E$16,"&lt;="&amp;A343)-SUMIFS(Оплаты!$B$6:$B$505,Оплаты!$A$6:$A$505,"&lt;"&amp;A343,Оплаты!$D$6:$D$505,"&lt;&gt;"))</f>
        <v/>
      </c>
      <c r="E343">
        <f>IF(A343="","",IF(SUMPRODUCT((Ввод!$F$12:$F$31&lt;&gt;"")*(Ввод!$F$12:$F$31&lt;=A343)*(Ввод!$G$12:$G$31&gt;=A343))&gt;0,1,0))</f>
        <v/>
      </c>
      <c r="G343">
        <f>IF(A343="","",IF(OR(B343&lt;&gt;B342,C343&lt;&gt;C342,E343&lt;&gt;E342),G342+1,G342))</f>
        <v/>
      </c>
    </row>
    <row r="344">
      <c r="A344" s="20">
        <f>IF(A343="","",IF(A343+1&gt;Ввод!$B$4,"",A343+1))</f>
        <v/>
      </c>
      <c r="B344">
        <f>IF(A344="","",IFERROR(INDEX(Ввод!$B$12:$B$71,MATCH(A344,Ввод!$D$12:$D$71,1)),""))</f>
        <v/>
      </c>
      <c r="C344">
        <f>IF(A344="","",DATE(YEAR(A344),12,31)-DATE(YEAR(A344),1,1)+1)</f>
        <v/>
      </c>
      <c r="D344">
        <f>IF(A344="","",SUMIFS(Акты!$D$5:$D$16,Акты!$E$5:$E$16,"&lt;="&amp;A344)-SUMIFS(Оплаты!$B$6:$B$505,Оплаты!$A$6:$A$505,"&lt;"&amp;A344,Оплаты!$D$6:$D$505,"&lt;&gt;"))</f>
        <v/>
      </c>
      <c r="E344">
        <f>IF(A344="","",IF(SUMPRODUCT((Ввод!$F$12:$F$31&lt;&gt;"")*(Ввод!$F$12:$F$31&lt;=A344)*(Ввод!$G$12:$G$31&gt;=A344))&gt;0,1,0))</f>
        <v/>
      </c>
      <c r="G344">
        <f>IF(A344="","",IF(OR(B344&lt;&gt;B343,C344&lt;&gt;C343,E344&lt;&gt;E343),G343+1,G343))</f>
        <v/>
      </c>
    </row>
    <row r="345">
      <c r="A345" s="20">
        <f>IF(A344="","",IF(A344+1&gt;Ввод!$B$4,"",A344+1))</f>
        <v/>
      </c>
      <c r="B345">
        <f>IF(A345="","",IFERROR(INDEX(Ввод!$B$12:$B$71,MATCH(A345,Ввод!$D$12:$D$71,1)),""))</f>
        <v/>
      </c>
      <c r="C345">
        <f>IF(A345="","",DATE(YEAR(A345),12,31)-DATE(YEAR(A345),1,1)+1)</f>
        <v/>
      </c>
      <c r="D345">
        <f>IF(A345="","",SUMIFS(Акты!$D$5:$D$16,Акты!$E$5:$E$16,"&lt;="&amp;A345)-SUMIFS(Оплаты!$B$6:$B$505,Оплаты!$A$6:$A$505,"&lt;"&amp;A345,Оплаты!$D$6:$D$505,"&lt;&gt;"))</f>
        <v/>
      </c>
      <c r="E345">
        <f>IF(A345="","",IF(SUMPRODUCT((Ввод!$F$12:$F$31&lt;&gt;"")*(Ввод!$F$12:$F$31&lt;=A345)*(Ввод!$G$12:$G$31&gt;=A345))&gt;0,1,0))</f>
        <v/>
      </c>
      <c r="G345">
        <f>IF(A345="","",IF(OR(B345&lt;&gt;B344,C345&lt;&gt;C344,E345&lt;&gt;E344),G344+1,G344))</f>
        <v/>
      </c>
    </row>
    <row r="346">
      <c r="A346" s="20">
        <f>IF(A345="","",IF(A345+1&gt;Ввод!$B$4,"",A345+1))</f>
        <v/>
      </c>
      <c r="B346">
        <f>IF(A346="","",IFERROR(INDEX(Ввод!$B$12:$B$71,MATCH(A346,Ввод!$D$12:$D$71,1)),""))</f>
        <v/>
      </c>
      <c r="C346">
        <f>IF(A346="","",DATE(YEAR(A346),12,31)-DATE(YEAR(A346),1,1)+1)</f>
        <v/>
      </c>
      <c r="D346">
        <f>IF(A346="","",SUMIFS(Акты!$D$5:$D$16,Акты!$E$5:$E$16,"&lt;="&amp;A346)-SUMIFS(Оплаты!$B$6:$B$505,Оплаты!$A$6:$A$505,"&lt;"&amp;A346,Оплаты!$D$6:$D$505,"&lt;&gt;"))</f>
        <v/>
      </c>
      <c r="E346">
        <f>IF(A346="","",IF(SUMPRODUCT((Ввод!$F$12:$F$31&lt;&gt;"")*(Ввод!$F$12:$F$31&lt;=A346)*(Ввод!$G$12:$G$31&gt;=A346))&gt;0,1,0))</f>
        <v/>
      </c>
      <c r="G346">
        <f>IF(A346="","",IF(OR(B346&lt;&gt;B345,C346&lt;&gt;C345,E346&lt;&gt;E345),G345+1,G345))</f>
        <v/>
      </c>
    </row>
    <row r="347">
      <c r="A347" s="20">
        <f>IF(A346="","",IF(A346+1&gt;Ввод!$B$4,"",A346+1))</f>
        <v/>
      </c>
      <c r="B347">
        <f>IF(A347="","",IFERROR(INDEX(Ввод!$B$12:$B$71,MATCH(A347,Ввод!$D$12:$D$71,1)),""))</f>
        <v/>
      </c>
      <c r="C347">
        <f>IF(A347="","",DATE(YEAR(A347),12,31)-DATE(YEAR(A347),1,1)+1)</f>
        <v/>
      </c>
      <c r="D347">
        <f>IF(A347="","",SUMIFS(Акты!$D$5:$D$16,Акты!$E$5:$E$16,"&lt;="&amp;A347)-SUMIFS(Оплаты!$B$6:$B$505,Оплаты!$A$6:$A$505,"&lt;"&amp;A347,Оплаты!$D$6:$D$505,"&lt;&gt;"))</f>
        <v/>
      </c>
      <c r="E347">
        <f>IF(A347="","",IF(SUMPRODUCT((Ввод!$F$12:$F$31&lt;&gt;"")*(Ввод!$F$12:$F$31&lt;=A347)*(Ввод!$G$12:$G$31&gt;=A347))&gt;0,1,0))</f>
        <v/>
      </c>
      <c r="G347">
        <f>IF(A347="","",IF(OR(B347&lt;&gt;B346,C347&lt;&gt;C346,E347&lt;&gt;E346),G346+1,G346))</f>
        <v/>
      </c>
    </row>
    <row r="348">
      <c r="A348" s="20">
        <f>IF(A347="","",IF(A347+1&gt;Ввод!$B$4,"",A347+1))</f>
        <v/>
      </c>
      <c r="B348">
        <f>IF(A348="","",IFERROR(INDEX(Ввод!$B$12:$B$71,MATCH(A348,Ввод!$D$12:$D$71,1)),""))</f>
        <v/>
      </c>
      <c r="C348">
        <f>IF(A348="","",DATE(YEAR(A348),12,31)-DATE(YEAR(A348),1,1)+1)</f>
        <v/>
      </c>
      <c r="D348">
        <f>IF(A348="","",SUMIFS(Акты!$D$5:$D$16,Акты!$E$5:$E$16,"&lt;="&amp;A348)-SUMIFS(Оплаты!$B$6:$B$505,Оплаты!$A$6:$A$505,"&lt;"&amp;A348,Оплаты!$D$6:$D$505,"&lt;&gt;"))</f>
        <v/>
      </c>
      <c r="E348">
        <f>IF(A348="","",IF(SUMPRODUCT((Ввод!$F$12:$F$31&lt;&gt;"")*(Ввод!$F$12:$F$31&lt;=A348)*(Ввод!$G$12:$G$31&gt;=A348))&gt;0,1,0))</f>
        <v/>
      </c>
      <c r="G348">
        <f>IF(A348="","",IF(OR(B348&lt;&gt;B347,C348&lt;&gt;C347,E348&lt;&gt;E347),G347+1,G347))</f>
        <v/>
      </c>
    </row>
    <row r="349">
      <c r="A349" s="20">
        <f>IF(A348="","",IF(A348+1&gt;Ввод!$B$4,"",A348+1))</f>
        <v/>
      </c>
      <c r="B349">
        <f>IF(A349="","",IFERROR(INDEX(Ввод!$B$12:$B$71,MATCH(A349,Ввод!$D$12:$D$71,1)),""))</f>
        <v/>
      </c>
      <c r="C349">
        <f>IF(A349="","",DATE(YEAR(A349),12,31)-DATE(YEAR(A349),1,1)+1)</f>
        <v/>
      </c>
      <c r="D349">
        <f>IF(A349="","",SUMIFS(Акты!$D$5:$D$16,Акты!$E$5:$E$16,"&lt;="&amp;A349)-SUMIFS(Оплаты!$B$6:$B$505,Оплаты!$A$6:$A$505,"&lt;"&amp;A349,Оплаты!$D$6:$D$505,"&lt;&gt;"))</f>
        <v/>
      </c>
      <c r="E349">
        <f>IF(A349="","",IF(SUMPRODUCT((Ввод!$F$12:$F$31&lt;&gt;"")*(Ввод!$F$12:$F$31&lt;=A349)*(Ввод!$G$12:$G$31&gt;=A349))&gt;0,1,0))</f>
        <v/>
      </c>
      <c r="G349">
        <f>IF(A349="","",IF(OR(B349&lt;&gt;B348,C349&lt;&gt;C348,E349&lt;&gt;E348),G348+1,G348))</f>
        <v/>
      </c>
    </row>
    <row r="350">
      <c r="A350" s="20">
        <f>IF(A349="","",IF(A349+1&gt;Ввод!$B$4,"",A349+1))</f>
        <v/>
      </c>
      <c r="B350">
        <f>IF(A350="","",IFERROR(INDEX(Ввод!$B$12:$B$71,MATCH(A350,Ввод!$D$12:$D$71,1)),""))</f>
        <v/>
      </c>
      <c r="C350">
        <f>IF(A350="","",DATE(YEAR(A350),12,31)-DATE(YEAR(A350),1,1)+1)</f>
        <v/>
      </c>
      <c r="D350">
        <f>IF(A350="","",SUMIFS(Акты!$D$5:$D$16,Акты!$E$5:$E$16,"&lt;="&amp;A350)-SUMIFS(Оплаты!$B$6:$B$505,Оплаты!$A$6:$A$505,"&lt;"&amp;A350,Оплаты!$D$6:$D$505,"&lt;&gt;"))</f>
        <v/>
      </c>
      <c r="E350">
        <f>IF(A350="","",IF(SUMPRODUCT((Ввод!$F$12:$F$31&lt;&gt;"")*(Ввод!$F$12:$F$31&lt;=A350)*(Ввод!$G$12:$G$31&gt;=A350))&gt;0,1,0))</f>
        <v/>
      </c>
      <c r="G350">
        <f>IF(A350="","",IF(OR(B350&lt;&gt;B349,C350&lt;&gt;C349,E350&lt;&gt;E349),G349+1,G349))</f>
        <v/>
      </c>
    </row>
    <row r="351">
      <c r="A351" s="20">
        <f>IF(A350="","",IF(A350+1&gt;Ввод!$B$4,"",A350+1))</f>
        <v/>
      </c>
      <c r="B351">
        <f>IF(A351="","",IFERROR(INDEX(Ввод!$B$12:$B$71,MATCH(A351,Ввод!$D$12:$D$71,1)),""))</f>
        <v/>
      </c>
      <c r="C351">
        <f>IF(A351="","",DATE(YEAR(A351),12,31)-DATE(YEAR(A351),1,1)+1)</f>
        <v/>
      </c>
      <c r="D351">
        <f>IF(A351="","",SUMIFS(Акты!$D$5:$D$16,Акты!$E$5:$E$16,"&lt;="&amp;A351)-SUMIFS(Оплаты!$B$6:$B$505,Оплаты!$A$6:$A$505,"&lt;"&amp;A351,Оплаты!$D$6:$D$505,"&lt;&gt;"))</f>
        <v/>
      </c>
      <c r="E351">
        <f>IF(A351="","",IF(SUMPRODUCT((Ввод!$F$12:$F$31&lt;&gt;"")*(Ввод!$F$12:$F$31&lt;=A351)*(Ввод!$G$12:$G$31&gt;=A351))&gt;0,1,0))</f>
        <v/>
      </c>
      <c r="G351">
        <f>IF(A351="","",IF(OR(B351&lt;&gt;B350,C351&lt;&gt;C350,E351&lt;&gt;E350),G350+1,G350))</f>
        <v/>
      </c>
    </row>
    <row r="352">
      <c r="A352" s="20">
        <f>IF(A351="","",IF(A351+1&gt;Ввод!$B$4,"",A351+1))</f>
        <v/>
      </c>
      <c r="B352">
        <f>IF(A352="","",IFERROR(INDEX(Ввод!$B$12:$B$71,MATCH(A352,Ввод!$D$12:$D$71,1)),""))</f>
        <v/>
      </c>
      <c r="C352">
        <f>IF(A352="","",DATE(YEAR(A352),12,31)-DATE(YEAR(A352),1,1)+1)</f>
        <v/>
      </c>
      <c r="D352">
        <f>IF(A352="","",SUMIFS(Акты!$D$5:$D$16,Акты!$E$5:$E$16,"&lt;="&amp;A352)-SUMIFS(Оплаты!$B$6:$B$505,Оплаты!$A$6:$A$505,"&lt;"&amp;A352,Оплаты!$D$6:$D$505,"&lt;&gt;"))</f>
        <v/>
      </c>
      <c r="E352">
        <f>IF(A352="","",IF(SUMPRODUCT((Ввод!$F$12:$F$31&lt;&gt;"")*(Ввод!$F$12:$F$31&lt;=A352)*(Ввод!$G$12:$G$31&gt;=A352))&gt;0,1,0))</f>
        <v/>
      </c>
      <c r="G352">
        <f>IF(A352="","",IF(OR(B352&lt;&gt;B351,C352&lt;&gt;C351,E352&lt;&gt;E351),G351+1,G351))</f>
        <v/>
      </c>
    </row>
    <row r="353">
      <c r="A353" s="20">
        <f>IF(A352="","",IF(A352+1&gt;Ввод!$B$4,"",A352+1))</f>
        <v/>
      </c>
      <c r="B353">
        <f>IF(A353="","",IFERROR(INDEX(Ввод!$B$12:$B$71,MATCH(A353,Ввод!$D$12:$D$71,1)),""))</f>
        <v/>
      </c>
      <c r="C353">
        <f>IF(A353="","",DATE(YEAR(A353),12,31)-DATE(YEAR(A353),1,1)+1)</f>
        <v/>
      </c>
      <c r="D353">
        <f>IF(A353="","",SUMIFS(Акты!$D$5:$D$16,Акты!$E$5:$E$16,"&lt;="&amp;A353)-SUMIFS(Оплаты!$B$6:$B$505,Оплаты!$A$6:$A$505,"&lt;"&amp;A353,Оплаты!$D$6:$D$505,"&lt;&gt;"))</f>
        <v/>
      </c>
      <c r="E353">
        <f>IF(A353="","",IF(SUMPRODUCT((Ввод!$F$12:$F$31&lt;&gt;"")*(Ввод!$F$12:$F$31&lt;=A353)*(Ввод!$G$12:$G$31&gt;=A353))&gt;0,1,0))</f>
        <v/>
      </c>
      <c r="G353">
        <f>IF(A353="","",IF(OR(B353&lt;&gt;B352,C353&lt;&gt;C352,E353&lt;&gt;E352),G352+1,G352))</f>
        <v/>
      </c>
    </row>
    <row r="354">
      <c r="A354" s="20">
        <f>IF(A353="","",IF(A353+1&gt;Ввод!$B$4,"",A353+1))</f>
        <v/>
      </c>
      <c r="B354">
        <f>IF(A354="","",IFERROR(INDEX(Ввод!$B$12:$B$71,MATCH(A354,Ввод!$D$12:$D$71,1)),""))</f>
        <v/>
      </c>
      <c r="C354">
        <f>IF(A354="","",DATE(YEAR(A354),12,31)-DATE(YEAR(A354),1,1)+1)</f>
        <v/>
      </c>
      <c r="D354">
        <f>IF(A354="","",SUMIFS(Акты!$D$5:$D$16,Акты!$E$5:$E$16,"&lt;="&amp;A354)-SUMIFS(Оплаты!$B$6:$B$505,Оплаты!$A$6:$A$505,"&lt;"&amp;A354,Оплаты!$D$6:$D$505,"&lt;&gt;"))</f>
        <v/>
      </c>
      <c r="E354">
        <f>IF(A354="","",IF(SUMPRODUCT((Ввод!$F$12:$F$31&lt;&gt;"")*(Ввод!$F$12:$F$31&lt;=A354)*(Ввод!$G$12:$G$31&gt;=A354))&gt;0,1,0))</f>
        <v/>
      </c>
      <c r="G354">
        <f>IF(A354="","",IF(OR(B354&lt;&gt;B353,C354&lt;&gt;C353,E354&lt;&gt;E353),G353+1,G353))</f>
        <v/>
      </c>
    </row>
    <row r="355">
      <c r="A355" s="20">
        <f>IF(A354="","",IF(A354+1&gt;Ввод!$B$4,"",A354+1))</f>
        <v/>
      </c>
      <c r="B355">
        <f>IF(A355="","",IFERROR(INDEX(Ввод!$B$12:$B$71,MATCH(A355,Ввод!$D$12:$D$71,1)),""))</f>
        <v/>
      </c>
      <c r="C355">
        <f>IF(A355="","",DATE(YEAR(A355),12,31)-DATE(YEAR(A355),1,1)+1)</f>
        <v/>
      </c>
      <c r="D355">
        <f>IF(A355="","",SUMIFS(Акты!$D$5:$D$16,Акты!$E$5:$E$16,"&lt;="&amp;A355)-SUMIFS(Оплаты!$B$6:$B$505,Оплаты!$A$6:$A$505,"&lt;"&amp;A355,Оплаты!$D$6:$D$505,"&lt;&gt;"))</f>
        <v/>
      </c>
      <c r="E355">
        <f>IF(A355="","",IF(SUMPRODUCT((Ввод!$F$12:$F$31&lt;&gt;"")*(Ввод!$F$12:$F$31&lt;=A355)*(Ввод!$G$12:$G$31&gt;=A355))&gt;0,1,0))</f>
        <v/>
      </c>
      <c r="G355">
        <f>IF(A355="","",IF(OR(B355&lt;&gt;B354,C355&lt;&gt;C354,E355&lt;&gt;E354),G354+1,G354))</f>
        <v/>
      </c>
    </row>
    <row r="356">
      <c r="A356" s="20">
        <f>IF(A355="","",IF(A355+1&gt;Ввод!$B$4,"",A355+1))</f>
        <v/>
      </c>
      <c r="B356">
        <f>IF(A356="","",IFERROR(INDEX(Ввод!$B$12:$B$71,MATCH(A356,Ввод!$D$12:$D$71,1)),""))</f>
        <v/>
      </c>
      <c r="C356">
        <f>IF(A356="","",DATE(YEAR(A356),12,31)-DATE(YEAR(A356),1,1)+1)</f>
        <v/>
      </c>
      <c r="D356">
        <f>IF(A356="","",SUMIFS(Акты!$D$5:$D$16,Акты!$E$5:$E$16,"&lt;="&amp;A356)-SUMIFS(Оплаты!$B$6:$B$505,Оплаты!$A$6:$A$505,"&lt;"&amp;A356,Оплаты!$D$6:$D$505,"&lt;&gt;"))</f>
        <v/>
      </c>
      <c r="E356">
        <f>IF(A356="","",IF(SUMPRODUCT((Ввод!$F$12:$F$31&lt;&gt;"")*(Ввод!$F$12:$F$31&lt;=A356)*(Ввод!$G$12:$G$31&gt;=A356))&gt;0,1,0))</f>
        <v/>
      </c>
      <c r="G356">
        <f>IF(A356="","",IF(OR(B356&lt;&gt;B355,C356&lt;&gt;C355,E356&lt;&gt;E355),G355+1,G355))</f>
        <v/>
      </c>
    </row>
    <row r="357">
      <c r="A357" s="20">
        <f>IF(A356="","",IF(A356+1&gt;Ввод!$B$4,"",A356+1))</f>
        <v/>
      </c>
      <c r="B357">
        <f>IF(A357="","",IFERROR(INDEX(Ввод!$B$12:$B$71,MATCH(A357,Ввод!$D$12:$D$71,1)),""))</f>
        <v/>
      </c>
      <c r="C357">
        <f>IF(A357="","",DATE(YEAR(A357),12,31)-DATE(YEAR(A357),1,1)+1)</f>
        <v/>
      </c>
      <c r="D357">
        <f>IF(A357="","",SUMIFS(Акты!$D$5:$D$16,Акты!$E$5:$E$16,"&lt;="&amp;A357)-SUMIFS(Оплаты!$B$6:$B$505,Оплаты!$A$6:$A$505,"&lt;"&amp;A357,Оплаты!$D$6:$D$505,"&lt;&gt;"))</f>
        <v/>
      </c>
      <c r="E357">
        <f>IF(A357="","",IF(SUMPRODUCT((Ввод!$F$12:$F$31&lt;&gt;"")*(Ввод!$F$12:$F$31&lt;=A357)*(Ввод!$G$12:$G$31&gt;=A357))&gt;0,1,0))</f>
        <v/>
      </c>
      <c r="G357">
        <f>IF(A357="","",IF(OR(B357&lt;&gt;B356,C357&lt;&gt;C356,E357&lt;&gt;E356),G356+1,G356))</f>
        <v/>
      </c>
    </row>
    <row r="358">
      <c r="A358" s="20">
        <f>IF(A357="","",IF(A357+1&gt;Ввод!$B$4,"",A357+1))</f>
        <v/>
      </c>
      <c r="B358">
        <f>IF(A358="","",IFERROR(INDEX(Ввод!$B$12:$B$71,MATCH(A358,Ввод!$D$12:$D$71,1)),""))</f>
        <v/>
      </c>
      <c r="C358">
        <f>IF(A358="","",DATE(YEAR(A358),12,31)-DATE(YEAR(A358),1,1)+1)</f>
        <v/>
      </c>
      <c r="D358">
        <f>IF(A358="","",SUMIFS(Акты!$D$5:$D$16,Акты!$E$5:$E$16,"&lt;="&amp;A358)-SUMIFS(Оплаты!$B$6:$B$505,Оплаты!$A$6:$A$505,"&lt;"&amp;A358,Оплаты!$D$6:$D$505,"&lt;&gt;"))</f>
        <v/>
      </c>
      <c r="E358">
        <f>IF(A358="","",IF(SUMPRODUCT((Ввод!$F$12:$F$31&lt;&gt;"")*(Ввод!$F$12:$F$31&lt;=A358)*(Ввод!$G$12:$G$31&gt;=A358))&gt;0,1,0))</f>
        <v/>
      </c>
      <c r="G358">
        <f>IF(A358="","",IF(OR(B358&lt;&gt;B357,C358&lt;&gt;C357,E358&lt;&gt;E357),G357+1,G357))</f>
        <v/>
      </c>
    </row>
    <row r="359">
      <c r="A359" s="20">
        <f>IF(A358="","",IF(A358+1&gt;Ввод!$B$4,"",A358+1))</f>
        <v/>
      </c>
      <c r="B359">
        <f>IF(A359="","",IFERROR(INDEX(Ввод!$B$12:$B$71,MATCH(A359,Ввод!$D$12:$D$71,1)),""))</f>
        <v/>
      </c>
      <c r="C359">
        <f>IF(A359="","",DATE(YEAR(A359),12,31)-DATE(YEAR(A359),1,1)+1)</f>
        <v/>
      </c>
      <c r="D359">
        <f>IF(A359="","",SUMIFS(Акты!$D$5:$D$16,Акты!$E$5:$E$16,"&lt;="&amp;A359)-SUMIFS(Оплаты!$B$6:$B$505,Оплаты!$A$6:$A$505,"&lt;"&amp;A359,Оплаты!$D$6:$D$505,"&lt;&gt;"))</f>
        <v/>
      </c>
      <c r="E359">
        <f>IF(A359="","",IF(SUMPRODUCT((Ввод!$F$12:$F$31&lt;&gt;"")*(Ввод!$F$12:$F$31&lt;=A359)*(Ввод!$G$12:$G$31&gt;=A359))&gt;0,1,0))</f>
        <v/>
      </c>
      <c r="G359">
        <f>IF(A359="","",IF(OR(B359&lt;&gt;B358,C359&lt;&gt;C358,E359&lt;&gt;E358),G358+1,G358))</f>
        <v/>
      </c>
    </row>
    <row r="360">
      <c r="A360" s="20">
        <f>IF(A359="","",IF(A359+1&gt;Ввод!$B$4,"",A359+1))</f>
        <v/>
      </c>
      <c r="B360">
        <f>IF(A360="","",IFERROR(INDEX(Ввод!$B$12:$B$71,MATCH(A360,Ввод!$D$12:$D$71,1)),""))</f>
        <v/>
      </c>
      <c r="C360">
        <f>IF(A360="","",DATE(YEAR(A360),12,31)-DATE(YEAR(A360),1,1)+1)</f>
        <v/>
      </c>
      <c r="D360">
        <f>IF(A360="","",SUMIFS(Акты!$D$5:$D$16,Акты!$E$5:$E$16,"&lt;="&amp;A360)-SUMIFS(Оплаты!$B$6:$B$505,Оплаты!$A$6:$A$505,"&lt;"&amp;A360,Оплаты!$D$6:$D$505,"&lt;&gt;"))</f>
        <v/>
      </c>
      <c r="E360">
        <f>IF(A360="","",IF(SUMPRODUCT((Ввод!$F$12:$F$31&lt;&gt;"")*(Ввод!$F$12:$F$31&lt;=A360)*(Ввод!$G$12:$G$31&gt;=A360))&gt;0,1,0))</f>
        <v/>
      </c>
      <c r="G360">
        <f>IF(A360="","",IF(OR(B360&lt;&gt;B359,C360&lt;&gt;C359,E360&lt;&gt;E359),G359+1,G359))</f>
        <v/>
      </c>
    </row>
    <row r="361">
      <c r="A361" s="20">
        <f>IF(A360="","",IF(A360+1&gt;Ввод!$B$4,"",A360+1))</f>
        <v/>
      </c>
      <c r="B361">
        <f>IF(A361="","",IFERROR(INDEX(Ввод!$B$12:$B$71,MATCH(A361,Ввод!$D$12:$D$71,1)),""))</f>
        <v/>
      </c>
      <c r="C361">
        <f>IF(A361="","",DATE(YEAR(A361),12,31)-DATE(YEAR(A361),1,1)+1)</f>
        <v/>
      </c>
      <c r="D361">
        <f>IF(A361="","",SUMIFS(Акты!$D$5:$D$16,Акты!$E$5:$E$16,"&lt;="&amp;A361)-SUMIFS(Оплаты!$B$6:$B$505,Оплаты!$A$6:$A$505,"&lt;"&amp;A361,Оплаты!$D$6:$D$505,"&lt;&gt;"))</f>
        <v/>
      </c>
      <c r="E361">
        <f>IF(A361="","",IF(SUMPRODUCT((Ввод!$F$12:$F$31&lt;&gt;"")*(Ввод!$F$12:$F$31&lt;=A361)*(Ввод!$G$12:$G$31&gt;=A361))&gt;0,1,0))</f>
        <v/>
      </c>
      <c r="G361">
        <f>IF(A361="","",IF(OR(B361&lt;&gt;B360,C361&lt;&gt;C360,E361&lt;&gt;E360),G360+1,G360))</f>
        <v/>
      </c>
    </row>
    <row r="362">
      <c r="A362" s="20">
        <f>IF(A361="","",IF(A361+1&gt;Ввод!$B$4,"",A361+1))</f>
        <v/>
      </c>
      <c r="B362">
        <f>IF(A362="","",IFERROR(INDEX(Ввод!$B$12:$B$71,MATCH(A362,Ввод!$D$12:$D$71,1)),""))</f>
        <v/>
      </c>
      <c r="C362">
        <f>IF(A362="","",DATE(YEAR(A362),12,31)-DATE(YEAR(A362),1,1)+1)</f>
        <v/>
      </c>
      <c r="D362">
        <f>IF(A362="","",SUMIFS(Акты!$D$5:$D$16,Акты!$E$5:$E$16,"&lt;="&amp;A362)-SUMIFS(Оплаты!$B$6:$B$505,Оплаты!$A$6:$A$505,"&lt;"&amp;A362,Оплаты!$D$6:$D$505,"&lt;&gt;"))</f>
        <v/>
      </c>
      <c r="E362">
        <f>IF(A362="","",IF(SUMPRODUCT((Ввод!$F$12:$F$31&lt;&gt;"")*(Ввод!$F$12:$F$31&lt;=A362)*(Ввод!$G$12:$G$31&gt;=A362))&gt;0,1,0))</f>
        <v/>
      </c>
      <c r="G362">
        <f>IF(A362="","",IF(OR(B362&lt;&gt;B361,C362&lt;&gt;C361,E362&lt;&gt;E361),G361+1,G361))</f>
        <v/>
      </c>
    </row>
    <row r="363">
      <c r="A363" s="20">
        <f>IF(A362="","",IF(A362+1&gt;Ввод!$B$4,"",A362+1))</f>
        <v/>
      </c>
      <c r="B363">
        <f>IF(A363="","",IFERROR(INDEX(Ввод!$B$12:$B$71,MATCH(A363,Ввод!$D$12:$D$71,1)),""))</f>
        <v/>
      </c>
      <c r="C363">
        <f>IF(A363="","",DATE(YEAR(A363),12,31)-DATE(YEAR(A363),1,1)+1)</f>
        <v/>
      </c>
      <c r="D363">
        <f>IF(A363="","",SUMIFS(Акты!$D$5:$D$16,Акты!$E$5:$E$16,"&lt;="&amp;A363)-SUMIFS(Оплаты!$B$6:$B$505,Оплаты!$A$6:$A$505,"&lt;"&amp;A363,Оплаты!$D$6:$D$505,"&lt;&gt;"))</f>
        <v/>
      </c>
      <c r="E363">
        <f>IF(A363="","",IF(SUMPRODUCT((Ввод!$F$12:$F$31&lt;&gt;"")*(Ввод!$F$12:$F$31&lt;=A363)*(Ввод!$G$12:$G$31&gt;=A363))&gt;0,1,0))</f>
        <v/>
      </c>
      <c r="G363">
        <f>IF(A363="","",IF(OR(B363&lt;&gt;B362,C363&lt;&gt;C362,E363&lt;&gt;E362),G362+1,G362))</f>
        <v/>
      </c>
    </row>
    <row r="364">
      <c r="A364" s="20">
        <f>IF(A363="","",IF(A363+1&gt;Ввод!$B$4,"",A363+1))</f>
        <v/>
      </c>
      <c r="B364">
        <f>IF(A364="","",IFERROR(INDEX(Ввод!$B$12:$B$71,MATCH(A364,Ввод!$D$12:$D$71,1)),""))</f>
        <v/>
      </c>
      <c r="C364">
        <f>IF(A364="","",DATE(YEAR(A364),12,31)-DATE(YEAR(A364),1,1)+1)</f>
        <v/>
      </c>
      <c r="D364">
        <f>IF(A364="","",SUMIFS(Акты!$D$5:$D$16,Акты!$E$5:$E$16,"&lt;="&amp;A364)-SUMIFS(Оплаты!$B$6:$B$505,Оплаты!$A$6:$A$505,"&lt;"&amp;A364,Оплаты!$D$6:$D$505,"&lt;&gt;"))</f>
        <v/>
      </c>
      <c r="E364">
        <f>IF(A364="","",IF(SUMPRODUCT((Ввод!$F$12:$F$31&lt;&gt;"")*(Ввод!$F$12:$F$31&lt;=A364)*(Ввод!$G$12:$G$31&gt;=A364))&gt;0,1,0))</f>
        <v/>
      </c>
      <c r="G364">
        <f>IF(A364="","",IF(OR(B364&lt;&gt;B363,C364&lt;&gt;C363,E364&lt;&gt;E363),G363+1,G363))</f>
        <v/>
      </c>
    </row>
    <row r="365">
      <c r="A365" s="20">
        <f>IF(A364="","",IF(A364+1&gt;Ввод!$B$4,"",A364+1))</f>
        <v/>
      </c>
      <c r="B365">
        <f>IF(A365="","",IFERROR(INDEX(Ввод!$B$12:$B$71,MATCH(A365,Ввод!$D$12:$D$71,1)),""))</f>
        <v/>
      </c>
      <c r="C365">
        <f>IF(A365="","",DATE(YEAR(A365),12,31)-DATE(YEAR(A365),1,1)+1)</f>
        <v/>
      </c>
      <c r="D365">
        <f>IF(A365="","",SUMIFS(Акты!$D$5:$D$16,Акты!$E$5:$E$16,"&lt;="&amp;A365)-SUMIFS(Оплаты!$B$6:$B$505,Оплаты!$A$6:$A$505,"&lt;"&amp;A365,Оплаты!$D$6:$D$505,"&lt;&gt;"))</f>
        <v/>
      </c>
      <c r="E365">
        <f>IF(A365="","",IF(SUMPRODUCT((Ввод!$F$12:$F$31&lt;&gt;"")*(Ввод!$F$12:$F$31&lt;=A365)*(Ввод!$G$12:$G$31&gt;=A365))&gt;0,1,0))</f>
        <v/>
      </c>
      <c r="G365">
        <f>IF(A365="","",IF(OR(B365&lt;&gt;B364,C365&lt;&gt;C364,E365&lt;&gt;E364),G364+1,G364))</f>
        <v/>
      </c>
    </row>
    <row r="366">
      <c r="A366" s="20">
        <f>IF(A365="","",IF(A365+1&gt;Ввод!$B$4,"",A365+1))</f>
        <v/>
      </c>
      <c r="B366">
        <f>IF(A366="","",IFERROR(INDEX(Ввод!$B$12:$B$71,MATCH(A366,Ввод!$D$12:$D$71,1)),""))</f>
        <v/>
      </c>
      <c r="C366">
        <f>IF(A366="","",DATE(YEAR(A366),12,31)-DATE(YEAR(A366),1,1)+1)</f>
        <v/>
      </c>
      <c r="D366">
        <f>IF(A366="","",SUMIFS(Акты!$D$5:$D$16,Акты!$E$5:$E$16,"&lt;="&amp;A366)-SUMIFS(Оплаты!$B$6:$B$505,Оплаты!$A$6:$A$505,"&lt;"&amp;A366,Оплаты!$D$6:$D$505,"&lt;&gt;"))</f>
        <v/>
      </c>
      <c r="E366">
        <f>IF(A366="","",IF(SUMPRODUCT((Ввод!$F$12:$F$31&lt;&gt;"")*(Ввод!$F$12:$F$31&lt;=A366)*(Ввод!$G$12:$G$31&gt;=A366))&gt;0,1,0))</f>
        <v/>
      </c>
      <c r="G366">
        <f>IF(A366="","",IF(OR(B366&lt;&gt;B365,C366&lt;&gt;C365,E366&lt;&gt;E365),G365+1,G365))</f>
        <v/>
      </c>
    </row>
    <row r="367">
      <c r="A367" s="20">
        <f>IF(A366="","",IF(A366+1&gt;Ввод!$B$4,"",A366+1))</f>
        <v/>
      </c>
      <c r="B367">
        <f>IF(A367="","",IFERROR(INDEX(Ввод!$B$12:$B$71,MATCH(A367,Ввод!$D$12:$D$71,1)),""))</f>
        <v/>
      </c>
      <c r="C367">
        <f>IF(A367="","",DATE(YEAR(A367),12,31)-DATE(YEAR(A367),1,1)+1)</f>
        <v/>
      </c>
      <c r="D367">
        <f>IF(A367="","",SUMIFS(Акты!$D$5:$D$16,Акты!$E$5:$E$16,"&lt;="&amp;A367)-SUMIFS(Оплаты!$B$6:$B$505,Оплаты!$A$6:$A$505,"&lt;"&amp;A367,Оплаты!$D$6:$D$505,"&lt;&gt;"))</f>
        <v/>
      </c>
      <c r="E367">
        <f>IF(A367="","",IF(SUMPRODUCT((Ввод!$F$12:$F$31&lt;&gt;"")*(Ввод!$F$12:$F$31&lt;=A367)*(Ввод!$G$12:$G$31&gt;=A367))&gt;0,1,0))</f>
        <v/>
      </c>
      <c r="G367">
        <f>IF(A367="","",IF(OR(B367&lt;&gt;B366,C367&lt;&gt;C366,E367&lt;&gt;E366),G366+1,G366))</f>
        <v/>
      </c>
    </row>
    <row r="368">
      <c r="A368" s="20">
        <f>IF(A367="","",IF(A367+1&gt;Ввод!$B$4,"",A367+1))</f>
        <v/>
      </c>
      <c r="B368">
        <f>IF(A368="","",IFERROR(INDEX(Ввод!$B$12:$B$71,MATCH(A368,Ввод!$D$12:$D$71,1)),""))</f>
        <v/>
      </c>
      <c r="C368">
        <f>IF(A368="","",DATE(YEAR(A368),12,31)-DATE(YEAR(A368),1,1)+1)</f>
        <v/>
      </c>
      <c r="D368">
        <f>IF(A368="","",SUMIFS(Акты!$D$5:$D$16,Акты!$E$5:$E$16,"&lt;="&amp;A368)-SUMIFS(Оплаты!$B$6:$B$505,Оплаты!$A$6:$A$505,"&lt;"&amp;A368,Оплаты!$D$6:$D$505,"&lt;&gt;"))</f>
        <v/>
      </c>
      <c r="E368">
        <f>IF(A368="","",IF(SUMPRODUCT((Ввод!$F$12:$F$31&lt;&gt;"")*(Ввод!$F$12:$F$31&lt;=A368)*(Ввод!$G$12:$G$31&gt;=A368))&gt;0,1,0))</f>
        <v/>
      </c>
      <c r="G368">
        <f>IF(A368="","",IF(OR(B368&lt;&gt;B367,C368&lt;&gt;C367,E368&lt;&gt;E367),G367+1,G367))</f>
        <v/>
      </c>
    </row>
    <row r="369">
      <c r="A369" s="20">
        <f>IF(A368="","",IF(A368+1&gt;Ввод!$B$4,"",A368+1))</f>
        <v/>
      </c>
      <c r="B369">
        <f>IF(A369="","",IFERROR(INDEX(Ввод!$B$12:$B$71,MATCH(A369,Ввод!$D$12:$D$71,1)),""))</f>
        <v/>
      </c>
      <c r="C369">
        <f>IF(A369="","",DATE(YEAR(A369),12,31)-DATE(YEAR(A369),1,1)+1)</f>
        <v/>
      </c>
      <c r="D369">
        <f>IF(A369="","",SUMIFS(Акты!$D$5:$D$16,Акты!$E$5:$E$16,"&lt;="&amp;A369)-SUMIFS(Оплаты!$B$6:$B$505,Оплаты!$A$6:$A$505,"&lt;"&amp;A369,Оплаты!$D$6:$D$505,"&lt;&gt;"))</f>
        <v/>
      </c>
      <c r="E369">
        <f>IF(A369="","",IF(SUMPRODUCT((Ввод!$F$12:$F$31&lt;&gt;"")*(Ввод!$F$12:$F$31&lt;=A369)*(Ввод!$G$12:$G$31&gt;=A369))&gt;0,1,0))</f>
        <v/>
      </c>
      <c r="G369">
        <f>IF(A369="","",IF(OR(B369&lt;&gt;B368,C369&lt;&gt;C368,E369&lt;&gt;E368),G368+1,G368))</f>
        <v/>
      </c>
    </row>
    <row r="370">
      <c r="A370" s="20">
        <f>IF(A369="","",IF(A369+1&gt;Ввод!$B$4,"",A369+1))</f>
        <v/>
      </c>
      <c r="B370">
        <f>IF(A370="","",IFERROR(INDEX(Ввод!$B$12:$B$71,MATCH(A370,Ввод!$D$12:$D$71,1)),""))</f>
        <v/>
      </c>
      <c r="C370">
        <f>IF(A370="","",DATE(YEAR(A370),12,31)-DATE(YEAR(A370),1,1)+1)</f>
        <v/>
      </c>
      <c r="D370">
        <f>IF(A370="","",SUMIFS(Акты!$D$5:$D$16,Акты!$E$5:$E$16,"&lt;="&amp;A370)-SUMIFS(Оплаты!$B$6:$B$505,Оплаты!$A$6:$A$505,"&lt;"&amp;A370,Оплаты!$D$6:$D$505,"&lt;&gt;"))</f>
        <v/>
      </c>
      <c r="E370">
        <f>IF(A370="","",IF(SUMPRODUCT((Ввод!$F$12:$F$31&lt;&gt;"")*(Ввод!$F$12:$F$31&lt;=A370)*(Ввод!$G$12:$G$31&gt;=A370))&gt;0,1,0))</f>
        <v/>
      </c>
      <c r="G370">
        <f>IF(A370="","",IF(OR(B370&lt;&gt;B369,C370&lt;&gt;C369,E370&lt;&gt;E369),G369+1,G369))</f>
        <v/>
      </c>
    </row>
    <row r="371">
      <c r="A371" s="20">
        <f>IF(A370="","",IF(A370+1&gt;Ввод!$B$4,"",A370+1))</f>
        <v/>
      </c>
      <c r="B371">
        <f>IF(A371="","",IFERROR(INDEX(Ввод!$B$12:$B$71,MATCH(A371,Ввод!$D$12:$D$71,1)),""))</f>
        <v/>
      </c>
      <c r="C371">
        <f>IF(A371="","",DATE(YEAR(A371),12,31)-DATE(YEAR(A371),1,1)+1)</f>
        <v/>
      </c>
      <c r="D371">
        <f>IF(A371="","",SUMIFS(Акты!$D$5:$D$16,Акты!$E$5:$E$16,"&lt;="&amp;A371)-SUMIFS(Оплаты!$B$6:$B$505,Оплаты!$A$6:$A$505,"&lt;"&amp;A371,Оплаты!$D$6:$D$505,"&lt;&gt;"))</f>
        <v/>
      </c>
      <c r="E371">
        <f>IF(A371="","",IF(SUMPRODUCT((Ввод!$F$12:$F$31&lt;&gt;"")*(Ввод!$F$12:$F$31&lt;=A371)*(Ввод!$G$12:$G$31&gt;=A371))&gt;0,1,0))</f>
        <v/>
      </c>
      <c r="G371">
        <f>IF(A371="","",IF(OR(B371&lt;&gt;B370,C371&lt;&gt;C370,E371&lt;&gt;E370),G370+1,G370))</f>
        <v/>
      </c>
    </row>
    <row r="372">
      <c r="A372" s="20">
        <f>IF(A371="","",IF(A371+1&gt;Ввод!$B$4,"",A371+1))</f>
        <v/>
      </c>
      <c r="B372">
        <f>IF(A372="","",IFERROR(INDEX(Ввод!$B$12:$B$71,MATCH(A372,Ввод!$D$12:$D$71,1)),""))</f>
        <v/>
      </c>
      <c r="C372">
        <f>IF(A372="","",DATE(YEAR(A372),12,31)-DATE(YEAR(A372),1,1)+1)</f>
        <v/>
      </c>
      <c r="D372">
        <f>IF(A372="","",SUMIFS(Акты!$D$5:$D$16,Акты!$E$5:$E$16,"&lt;="&amp;A372)-SUMIFS(Оплаты!$B$6:$B$505,Оплаты!$A$6:$A$505,"&lt;"&amp;A372,Оплаты!$D$6:$D$505,"&lt;&gt;"))</f>
        <v/>
      </c>
      <c r="E372">
        <f>IF(A372="","",IF(SUMPRODUCT((Ввод!$F$12:$F$31&lt;&gt;"")*(Ввод!$F$12:$F$31&lt;=A372)*(Ввод!$G$12:$G$31&gt;=A372))&gt;0,1,0))</f>
        <v/>
      </c>
      <c r="G372">
        <f>IF(A372="","",IF(OR(B372&lt;&gt;B371,C372&lt;&gt;C371,E372&lt;&gt;E371),G371+1,G371))</f>
        <v/>
      </c>
    </row>
    <row r="373">
      <c r="A373" s="20">
        <f>IF(A372="","",IF(A372+1&gt;Ввод!$B$4,"",A372+1))</f>
        <v/>
      </c>
      <c r="B373">
        <f>IF(A373="","",IFERROR(INDEX(Ввод!$B$12:$B$71,MATCH(A373,Ввод!$D$12:$D$71,1)),""))</f>
        <v/>
      </c>
      <c r="C373">
        <f>IF(A373="","",DATE(YEAR(A373),12,31)-DATE(YEAR(A373),1,1)+1)</f>
        <v/>
      </c>
      <c r="D373">
        <f>IF(A373="","",SUMIFS(Акты!$D$5:$D$16,Акты!$E$5:$E$16,"&lt;="&amp;A373)-SUMIFS(Оплаты!$B$6:$B$505,Оплаты!$A$6:$A$505,"&lt;"&amp;A373,Оплаты!$D$6:$D$505,"&lt;&gt;"))</f>
        <v/>
      </c>
      <c r="E373">
        <f>IF(A373="","",IF(SUMPRODUCT((Ввод!$F$12:$F$31&lt;&gt;"")*(Ввод!$F$12:$F$31&lt;=A373)*(Ввод!$G$12:$G$31&gt;=A373))&gt;0,1,0))</f>
        <v/>
      </c>
      <c r="G373">
        <f>IF(A373="","",IF(OR(B373&lt;&gt;B372,C373&lt;&gt;C372,E373&lt;&gt;E372),G372+1,G372))</f>
        <v/>
      </c>
    </row>
    <row r="374">
      <c r="A374" s="20">
        <f>IF(A373="","",IF(A373+1&gt;Ввод!$B$4,"",A373+1))</f>
        <v/>
      </c>
      <c r="B374">
        <f>IF(A374="","",IFERROR(INDEX(Ввод!$B$12:$B$71,MATCH(A374,Ввод!$D$12:$D$71,1)),""))</f>
        <v/>
      </c>
      <c r="C374">
        <f>IF(A374="","",DATE(YEAR(A374),12,31)-DATE(YEAR(A374),1,1)+1)</f>
        <v/>
      </c>
      <c r="D374">
        <f>IF(A374="","",SUMIFS(Акты!$D$5:$D$16,Акты!$E$5:$E$16,"&lt;="&amp;A374)-SUMIFS(Оплаты!$B$6:$B$505,Оплаты!$A$6:$A$505,"&lt;"&amp;A374,Оплаты!$D$6:$D$505,"&lt;&gt;"))</f>
        <v/>
      </c>
      <c r="E374">
        <f>IF(A374="","",IF(SUMPRODUCT((Ввод!$F$12:$F$31&lt;&gt;"")*(Ввод!$F$12:$F$31&lt;=A374)*(Ввод!$G$12:$G$31&gt;=A374))&gt;0,1,0))</f>
        <v/>
      </c>
      <c r="G374">
        <f>IF(A374="","",IF(OR(B374&lt;&gt;B373,C374&lt;&gt;C373,E374&lt;&gt;E373),G373+1,G373))</f>
        <v/>
      </c>
    </row>
    <row r="375">
      <c r="A375" s="20">
        <f>IF(A374="","",IF(A374+1&gt;Ввод!$B$4,"",A374+1))</f>
        <v/>
      </c>
      <c r="B375">
        <f>IF(A375="","",IFERROR(INDEX(Ввод!$B$12:$B$71,MATCH(A375,Ввод!$D$12:$D$71,1)),""))</f>
        <v/>
      </c>
      <c r="C375">
        <f>IF(A375="","",DATE(YEAR(A375),12,31)-DATE(YEAR(A375),1,1)+1)</f>
        <v/>
      </c>
      <c r="D375">
        <f>IF(A375="","",SUMIFS(Акты!$D$5:$D$16,Акты!$E$5:$E$16,"&lt;="&amp;A375)-SUMIFS(Оплаты!$B$6:$B$505,Оплаты!$A$6:$A$505,"&lt;"&amp;A375,Оплаты!$D$6:$D$505,"&lt;&gt;"))</f>
        <v/>
      </c>
      <c r="E375">
        <f>IF(A375="","",IF(SUMPRODUCT((Ввод!$F$12:$F$31&lt;&gt;"")*(Ввод!$F$12:$F$31&lt;=A375)*(Ввод!$G$12:$G$31&gt;=A375))&gt;0,1,0))</f>
        <v/>
      </c>
      <c r="G375">
        <f>IF(A375="","",IF(OR(B375&lt;&gt;B374,C375&lt;&gt;C374,E375&lt;&gt;E374),G374+1,G374))</f>
        <v/>
      </c>
    </row>
    <row r="376">
      <c r="A376" s="20">
        <f>IF(A375="","",IF(A375+1&gt;Ввод!$B$4,"",A375+1))</f>
        <v/>
      </c>
      <c r="B376">
        <f>IF(A376="","",IFERROR(INDEX(Ввод!$B$12:$B$71,MATCH(A376,Ввод!$D$12:$D$71,1)),""))</f>
        <v/>
      </c>
      <c r="C376">
        <f>IF(A376="","",DATE(YEAR(A376),12,31)-DATE(YEAR(A376),1,1)+1)</f>
        <v/>
      </c>
      <c r="D376">
        <f>IF(A376="","",SUMIFS(Акты!$D$5:$D$16,Акты!$E$5:$E$16,"&lt;="&amp;A376)-SUMIFS(Оплаты!$B$6:$B$505,Оплаты!$A$6:$A$505,"&lt;"&amp;A376,Оплаты!$D$6:$D$505,"&lt;&gt;"))</f>
        <v/>
      </c>
      <c r="E376">
        <f>IF(A376="","",IF(SUMPRODUCT((Ввод!$F$12:$F$31&lt;&gt;"")*(Ввод!$F$12:$F$31&lt;=A376)*(Ввод!$G$12:$G$31&gt;=A376))&gt;0,1,0))</f>
        <v/>
      </c>
      <c r="G376">
        <f>IF(A376="","",IF(OR(B376&lt;&gt;B375,C376&lt;&gt;C375,E376&lt;&gt;E375),G375+1,G375))</f>
        <v/>
      </c>
    </row>
    <row r="377">
      <c r="A377" s="20">
        <f>IF(A376="","",IF(A376+1&gt;Ввод!$B$4,"",A376+1))</f>
        <v/>
      </c>
      <c r="B377">
        <f>IF(A377="","",IFERROR(INDEX(Ввод!$B$12:$B$71,MATCH(A377,Ввод!$D$12:$D$71,1)),""))</f>
        <v/>
      </c>
      <c r="C377">
        <f>IF(A377="","",DATE(YEAR(A377),12,31)-DATE(YEAR(A377),1,1)+1)</f>
        <v/>
      </c>
      <c r="D377">
        <f>IF(A377="","",SUMIFS(Акты!$D$5:$D$16,Акты!$E$5:$E$16,"&lt;="&amp;A377)-SUMIFS(Оплаты!$B$6:$B$505,Оплаты!$A$6:$A$505,"&lt;"&amp;A377,Оплаты!$D$6:$D$505,"&lt;&gt;"))</f>
        <v/>
      </c>
      <c r="E377">
        <f>IF(A377="","",IF(SUMPRODUCT((Ввод!$F$12:$F$31&lt;&gt;"")*(Ввод!$F$12:$F$31&lt;=A377)*(Ввод!$G$12:$G$31&gt;=A377))&gt;0,1,0))</f>
        <v/>
      </c>
      <c r="G377">
        <f>IF(A377="","",IF(OR(B377&lt;&gt;B376,C377&lt;&gt;C376,E377&lt;&gt;E376),G376+1,G376))</f>
        <v/>
      </c>
    </row>
    <row r="378">
      <c r="A378" s="20">
        <f>IF(A377="","",IF(A377+1&gt;Ввод!$B$4,"",A377+1))</f>
        <v/>
      </c>
      <c r="B378">
        <f>IF(A378="","",IFERROR(INDEX(Ввод!$B$12:$B$71,MATCH(A378,Ввод!$D$12:$D$71,1)),""))</f>
        <v/>
      </c>
      <c r="C378">
        <f>IF(A378="","",DATE(YEAR(A378),12,31)-DATE(YEAR(A378),1,1)+1)</f>
        <v/>
      </c>
      <c r="D378">
        <f>IF(A378="","",SUMIFS(Акты!$D$5:$D$16,Акты!$E$5:$E$16,"&lt;="&amp;A378)-SUMIFS(Оплаты!$B$6:$B$505,Оплаты!$A$6:$A$505,"&lt;"&amp;A378,Оплаты!$D$6:$D$505,"&lt;&gt;"))</f>
        <v/>
      </c>
      <c r="E378">
        <f>IF(A378="","",IF(SUMPRODUCT((Ввод!$F$12:$F$31&lt;&gt;"")*(Ввод!$F$12:$F$31&lt;=A378)*(Ввод!$G$12:$G$31&gt;=A378))&gt;0,1,0))</f>
        <v/>
      </c>
      <c r="G378">
        <f>IF(A378="","",IF(OR(B378&lt;&gt;B377,C378&lt;&gt;C377,E378&lt;&gt;E377),G377+1,G377))</f>
        <v/>
      </c>
    </row>
    <row r="379">
      <c r="A379" s="20">
        <f>IF(A378="","",IF(A378+1&gt;Ввод!$B$4,"",A378+1))</f>
        <v/>
      </c>
      <c r="B379">
        <f>IF(A379="","",IFERROR(INDEX(Ввод!$B$12:$B$71,MATCH(A379,Ввод!$D$12:$D$71,1)),""))</f>
        <v/>
      </c>
      <c r="C379">
        <f>IF(A379="","",DATE(YEAR(A379),12,31)-DATE(YEAR(A379),1,1)+1)</f>
        <v/>
      </c>
      <c r="D379">
        <f>IF(A379="","",SUMIFS(Акты!$D$5:$D$16,Акты!$E$5:$E$16,"&lt;="&amp;A379)-SUMIFS(Оплаты!$B$6:$B$505,Оплаты!$A$6:$A$505,"&lt;"&amp;A379,Оплаты!$D$6:$D$505,"&lt;&gt;"))</f>
        <v/>
      </c>
      <c r="E379">
        <f>IF(A379="","",IF(SUMPRODUCT((Ввод!$F$12:$F$31&lt;&gt;"")*(Ввод!$F$12:$F$31&lt;=A379)*(Ввод!$G$12:$G$31&gt;=A379))&gt;0,1,0))</f>
        <v/>
      </c>
      <c r="G379">
        <f>IF(A379="","",IF(OR(B379&lt;&gt;B378,C379&lt;&gt;C378,E379&lt;&gt;E378),G378+1,G378))</f>
        <v/>
      </c>
    </row>
    <row r="380">
      <c r="A380" s="20">
        <f>IF(A379="","",IF(A379+1&gt;Ввод!$B$4,"",A379+1))</f>
        <v/>
      </c>
      <c r="B380">
        <f>IF(A380="","",IFERROR(INDEX(Ввод!$B$12:$B$71,MATCH(A380,Ввод!$D$12:$D$71,1)),""))</f>
        <v/>
      </c>
      <c r="C380">
        <f>IF(A380="","",DATE(YEAR(A380),12,31)-DATE(YEAR(A380),1,1)+1)</f>
        <v/>
      </c>
      <c r="D380">
        <f>IF(A380="","",SUMIFS(Акты!$D$5:$D$16,Акты!$E$5:$E$16,"&lt;="&amp;A380)-SUMIFS(Оплаты!$B$6:$B$505,Оплаты!$A$6:$A$505,"&lt;"&amp;A380,Оплаты!$D$6:$D$505,"&lt;&gt;"))</f>
        <v/>
      </c>
      <c r="E380">
        <f>IF(A380="","",IF(SUMPRODUCT((Ввод!$F$12:$F$31&lt;&gt;"")*(Ввод!$F$12:$F$31&lt;=A380)*(Ввод!$G$12:$G$31&gt;=A380))&gt;0,1,0))</f>
        <v/>
      </c>
      <c r="G380">
        <f>IF(A380="","",IF(OR(B380&lt;&gt;B379,C380&lt;&gt;C379,E380&lt;&gt;E379),G379+1,G379))</f>
        <v/>
      </c>
    </row>
    <row r="381">
      <c r="A381" s="20">
        <f>IF(A380="","",IF(A380+1&gt;Ввод!$B$4,"",A380+1))</f>
        <v/>
      </c>
      <c r="B381">
        <f>IF(A381="","",IFERROR(INDEX(Ввод!$B$12:$B$71,MATCH(A381,Ввод!$D$12:$D$71,1)),""))</f>
        <v/>
      </c>
      <c r="C381">
        <f>IF(A381="","",DATE(YEAR(A381),12,31)-DATE(YEAR(A381),1,1)+1)</f>
        <v/>
      </c>
      <c r="D381">
        <f>IF(A381="","",SUMIFS(Акты!$D$5:$D$16,Акты!$E$5:$E$16,"&lt;="&amp;A381)-SUMIFS(Оплаты!$B$6:$B$505,Оплаты!$A$6:$A$505,"&lt;"&amp;A381,Оплаты!$D$6:$D$505,"&lt;&gt;"))</f>
        <v/>
      </c>
      <c r="E381">
        <f>IF(A381="","",IF(SUMPRODUCT((Ввод!$F$12:$F$31&lt;&gt;"")*(Ввод!$F$12:$F$31&lt;=A381)*(Ввод!$G$12:$G$31&gt;=A381))&gt;0,1,0))</f>
        <v/>
      </c>
      <c r="G381">
        <f>IF(A381="","",IF(OR(B381&lt;&gt;B380,C381&lt;&gt;C380,E381&lt;&gt;E380),G380+1,G380))</f>
        <v/>
      </c>
    </row>
    <row r="382">
      <c r="A382" s="20">
        <f>IF(A381="","",IF(A381+1&gt;Ввод!$B$4,"",A381+1))</f>
        <v/>
      </c>
      <c r="B382">
        <f>IF(A382="","",IFERROR(INDEX(Ввод!$B$12:$B$71,MATCH(A382,Ввод!$D$12:$D$71,1)),""))</f>
        <v/>
      </c>
      <c r="C382">
        <f>IF(A382="","",DATE(YEAR(A382),12,31)-DATE(YEAR(A382),1,1)+1)</f>
        <v/>
      </c>
      <c r="D382">
        <f>IF(A382="","",SUMIFS(Акты!$D$5:$D$16,Акты!$E$5:$E$16,"&lt;="&amp;A382)-SUMIFS(Оплаты!$B$6:$B$505,Оплаты!$A$6:$A$505,"&lt;"&amp;A382,Оплаты!$D$6:$D$505,"&lt;&gt;"))</f>
        <v/>
      </c>
      <c r="E382">
        <f>IF(A382="","",IF(SUMPRODUCT((Ввод!$F$12:$F$31&lt;&gt;"")*(Ввод!$F$12:$F$31&lt;=A382)*(Ввод!$G$12:$G$31&gt;=A382))&gt;0,1,0))</f>
        <v/>
      </c>
      <c r="G382">
        <f>IF(A382="","",IF(OR(B382&lt;&gt;B381,C382&lt;&gt;C381,E382&lt;&gt;E381),G381+1,G381))</f>
        <v/>
      </c>
    </row>
    <row r="383">
      <c r="A383" s="20">
        <f>IF(A382="","",IF(A382+1&gt;Ввод!$B$4,"",A382+1))</f>
        <v/>
      </c>
      <c r="B383">
        <f>IF(A383="","",IFERROR(INDEX(Ввод!$B$12:$B$71,MATCH(A383,Ввод!$D$12:$D$71,1)),""))</f>
        <v/>
      </c>
      <c r="C383">
        <f>IF(A383="","",DATE(YEAR(A383),12,31)-DATE(YEAR(A383),1,1)+1)</f>
        <v/>
      </c>
      <c r="D383">
        <f>IF(A383="","",SUMIFS(Акты!$D$5:$D$16,Акты!$E$5:$E$16,"&lt;="&amp;A383)-SUMIFS(Оплаты!$B$6:$B$505,Оплаты!$A$6:$A$505,"&lt;"&amp;A383,Оплаты!$D$6:$D$505,"&lt;&gt;"))</f>
        <v/>
      </c>
      <c r="E383">
        <f>IF(A383="","",IF(SUMPRODUCT((Ввод!$F$12:$F$31&lt;&gt;"")*(Ввод!$F$12:$F$31&lt;=A383)*(Ввод!$G$12:$G$31&gt;=A383))&gt;0,1,0))</f>
        <v/>
      </c>
      <c r="G383">
        <f>IF(A383="","",IF(OR(B383&lt;&gt;B382,C383&lt;&gt;C382,E383&lt;&gt;E382),G382+1,G382))</f>
        <v/>
      </c>
    </row>
    <row r="384">
      <c r="A384" s="20">
        <f>IF(A383="","",IF(A383+1&gt;Ввод!$B$4,"",A383+1))</f>
        <v/>
      </c>
      <c r="B384">
        <f>IF(A384="","",IFERROR(INDEX(Ввод!$B$12:$B$71,MATCH(A384,Ввод!$D$12:$D$71,1)),""))</f>
        <v/>
      </c>
      <c r="C384">
        <f>IF(A384="","",DATE(YEAR(A384),12,31)-DATE(YEAR(A384),1,1)+1)</f>
        <v/>
      </c>
      <c r="D384">
        <f>IF(A384="","",SUMIFS(Акты!$D$5:$D$16,Акты!$E$5:$E$16,"&lt;="&amp;A384)-SUMIFS(Оплаты!$B$6:$B$505,Оплаты!$A$6:$A$505,"&lt;"&amp;A384,Оплаты!$D$6:$D$505,"&lt;&gt;"))</f>
        <v/>
      </c>
      <c r="E384">
        <f>IF(A384="","",IF(SUMPRODUCT((Ввод!$F$12:$F$31&lt;&gt;"")*(Ввод!$F$12:$F$31&lt;=A384)*(Ввод!$G$12:$G$31&gt;=A384))&gt;0,1,0))</f>
        <v/>
      </c>
      <c r="G384">
        <f>IF(A384="","",IF(OR(B384&lt;&gt;B383,C384&lt;&gt;C383,E384&lt;&gt;E383),G383+1,G383))</f>
        <v/>
      </c>
    </row>
    <row r="385">
      <c r="A385" s="20">
        <f>IF(A384="","",IF(A384+1&gt;Ввод!$B$4,"",A384+1))</f>
        <v/>
      </c>
      <c r="B385">
        <f>IF(A385="","",IFERROR(INDEX(Ввод!$B$12:$B$71,MATCH(A385,Ввод!$D$12:$D$71,1)),""))</f>
        <v/>
      </c>
      <c r="C385">
        <f>IF(A385="","",DATE(YEAR(A385),12,31)-DATE(YEAR(A385),1,1)+1)</f>
        <v/>
      </c>
      <c r="D385">
        <f>IF(A385="","",SUMIFS(Акты!$D$5:$D$16,Акты!$E$5:$E$16,"&lt;="&amp;A385)-SUMIFS(Оплаты!$B$6:$B$505,Оплаты!$A$6:$A$505,"&lt;"&amp;A385,Оплаты!$D$6:$D$505,"&lt;&gt;"))</f>
        <v/>
      </c>
      <c r="E385">
        <f>IF(A385="","",IF(SUMPRODUCT((Ввод!$F$12:$F$31&lt;&gt;"")*(Ввод!$F$12:$F$31&lt;=A385)*(Ввод!$G$12:$G$31&gt;=A385))&gt;0,1,0))</f>
        <v/>
      </c>
      <c r="G385">
        <f>IF(A385="","",IF(OR(B385&lt;&gt;B384,C385&lt;&gt;C384,E385&lt;&gt;E384),G384+1,G384))</f>
        <v/>
      </c>
    </row>
    <row r="386">
      <c r="A386" s="20">
        <f>IF(A385="","",IF(A385+1&gt;Ввод!$B$4,"",A385+1))</f>
        <v/>
      </c>
      <c r="B386">
        <f>IF(A386="","",IFERROR(INDEX(Ввод!$B$12:$B$71,MATCH(A386,Ввод!$D$12:$D$71,1)),""))</f>
        <v/>
      </c>
      <c r="C386">
        <f>IF(A386="","",DATE(YEAR(A386),12,31)-DATE(YEAR(A386),1,1)+1)</f>
        <v/>
      </c>
      <c r="D386">
        <f>IF(A386="","",SUMIFS(Акты!$D$5:$D$16,Акты!$E$5:$E$16,"&lt;="&amp;A386)-SUMIFS(Оплаты!$B$6:$B$505,Оплаты!$A$6:$A$505,"&lt;"&amp;A386,Оплаты!$D$6:$D$505,"&lt;&gt;"))</f>
        <v/>
      </c>
      <c r="E386">
        <f>IF(A386="","",IF(SUMPRODUCT((Ввод!$F$12:$F$31&lt;&gt;"")*(Ввод!$F$12:$F$31&lt;=A386)*(Ввод!$G$12:$G$31&gt;=A386))&gt;0,1,0))</f>
        <v/>
      </c>
      <c r="G386">
        <f>IF(A386="","",IF(OR(B386&lt;&gt;B385,C386&lt;&gt;C385,E386&lt;&gt;E385),G385+1,G385))</f>
        <v/>
      </c>
    </row>
    <row r="387">
      <c r="A387" s="20">
        <f>IF(A386="","",IF(A386+1&gt;Ввод!$B$4,"",A386+1))</f>
        <v/>
      </c>
      <c r="B387">
        <f>IF(A387="","",IFERROR(INDEX(Ввод!$B$12:$B$71,MATCH(A387,Ввод!$D$12:$D$71,1)),""))</f>
        <v/>
      </c>
      <c r="C387">
        <f>IF(A387="","",DATE(YEAR(A387),12,31)-DATE(YEAR(A387),1,1)+1)</f>
        <v/>
      </c>
      <c r="D387">
        <f>IF(A387="","",SUMIFS(Акты!$D$5:$D$16,Акты!$E$5:$E$16,"&lt;="&amp;A387)-SUMIFS(Оплаты!$B$6:$B$505,Оплаты!$A$6:$A$505,"&lt;"&amp;A387,Оплаты!$D$6:$D$505,"&lt;&gt;"))</f>
        <v/>
      </c>
      <c r="E387">
        <f>IF(A387="","",IF(SUMPRODUCT((Ввод!$F$12:$F$31&lt;&gt;"")*(Ввод!$F$12:$F$31&lt;=A387)*(Ввод!$G$12:$G$31&gt;=A387))&gt;0,1,0))</f>
        <v/>
      </c>
      <c r="G387">
        <f>IF(A387="","",IF(OR(B387&lt;&gt;B386,C387&lt;&gt;C386,E387&lt;&gt;E386),G386+1,G386))</f>
        <v/>
      </c>
    </row>
    <row r="388">
      <c r="A388" s="20">
        <f>IF(A387="","",IF(A387+1&gt;Ввод!$B$4,"",A387+1))</f>
        <v/>
      </c>
      <c r="B388">
        <f>IF(A388="","",IFERROR(INDEX(Ввод!$B$12:$B$71,MATCH(A388,Ввод!$D$12:$D$71,1)),""))</f>
        <v/>
      </c>
      <c r="C388">
        <f>IF(A388="","",DATE(YEAR(A388),12,31)-DATE(YEAR(A388),1,1)+1)</f>
        <v/>
      </c>
      <c r="D388">
        <f>IF(A388="","",SUMIFS(Акты!$D$5:$D$16,Акты!$E$5:$E$16,"&lt;="&amp;A388)-SUMIFS(Оплаты!$B$6:$B$505,Оплаты!$A$6:$A$505,"&lt;"&amp;A388,Оплаты!$D$6:$D$505,"&lt;&gt;"))</f>
        <v/>
      </c>
      <c r="E388">
        <f>IF(A388="","",IF(SUMPRODUCT((Ввод!$F$12:$F$31&lt;&gt;"")*(Ввод!$F$12:$F$31&lt;=A388)*(Ввод!$G$12:$G$31&gt;=A388))&gt;0,1,0))</f>
        <v/>
      </c>
      <c r="G388">
        <f>IF(A388="","",IF(OR(B388&lt;&gt;B387,C388&lt;&gt;C387,E388&lt;&gt;E387),G387+1,G387))</f>
        <v/>
      </c>
    </row>
    <row r="389">
      <c r="A389" s="20">
        <f>IF(A388="","",IF(A388+1&gt;Ввод!$B$4,"",A388+1))</f>
        <v/>
      </c>
      <c r="B389">
        <f>IF(A389="","",IFERROR(INDEX(Ввод!$B$12:$B$71,MATCH(A389,Ввод!$D$12:$D$71,1)),""))</f>
        <v/>
      </c>
      <c r="C389">
        <f>IF(A389="","",DATE(YEAR(A389),12,31)-DATE(YEAR(A389),1,1)+1)</f>
        <v/>
      </c>
      <c r="D389">
        <f>IF(A389="","",SUMIFS(Акты!$D$5:$D$16,Акты!$E$5:$E$16,"&lt;="&amp;A389)-SUMIFS(Оплаты!$B$6:$B$505,Оплаты!$A$6:$A$505,"&lt;"&amp;A389,Оплаты!$D$6:$D$505,"&lt;&gt;"))</f>
        <v/>
      </c>
      <c r="E389">
        <f>IF(A389="","",IF(SUMPRODUCT((Ввод!$F$12:$F$31&lt;&gt;"")*(Ввод!$F$12:$F$31&lt;=A389)*(Ввод!$G$12:$G$31&gt;=A389))&gt;0,1,0))</f>
        <v/>
      </c>
      <c r="G389">
        <f>IF(A389="","",IF(OR(B389&lt;&gt;B388,C389&lt;&gt;C388,E389&lt;&gt;E388),G388+1,G388))</f>
        <v/>
      </c>
    </row>
    <row r="390">
      <c r="A390" s="20">
        <f>IF(A389="","",IF(A389+1&gt;Ввод!$B$4,"",A389+1))</f>
        <v/>
      </c>
      <c r="B390">
        <f>IF(A390="","",IFERROR(INDEX(Ввод!$B$12:$B$71,MATCH(A390,Ввод!$D$12:$D$71,1)),""))</f>
        <v/>
      </c>
      <c r="C390">
        <f>IF(A390="","",DATE(YEAR(A390),12,31)-DATE(YEAR(A390),1,1)+1)</f>
        <v/>
      </c>
      <c r="D390">
        <f>IF(A390="","",SUMIFS(Акты!$D$5:$D$16,Акты!$E$5:$E$16,"&lt;="&amp;A390)-SUMIFS(Оплаты!$B$6:$B$505,Оплаты!$A$6:$A$505,"&lt;"&amp;A390,Оплаты!$D$6:$D$505,"&lt;&gt;"))</f>
        <v/>
      </c>
      <c r="E390">
        <f>IF(A390="","",IF(SUMPRODUCT((Ввод!$F$12:$F$31&lt;&gt;"")*(Ввод!$F$12:$F$31&lt;=A390)*(Ввод!$G$12:$G$31&gt;=A390))&gt;0,1,0))</f>
        <v/>
      </c>
      <c r="G390">
        <f>IF(A390="","",IF(OR(B390&lt;&gt;B389,C390&lt;&gt;C389,E390&lt;&gt;E389),G389+1,G389))</f>
        <v/>
      </c>
    </row>
    <row r="391">
      <c r="A391" s="20">
        <f>IF(A390="","",IF(A390+1&gt;Ввод!$B$4,"",A390+1))</f>
        <v/>
      </c>
      <c r="B391">
        <f>IF(A391="","",IFERROR(INDEX(Ввод!$B$12:$B$71,MATCH(A391,Ввод!$D$12:$D$71,1)),""))</f>
        <v/>
      </c>
      <c r="C391">
        <f>IF(A391="","",DATE(YEAR(A391),12,31)-DATE(YEAR(A391),1,1)+1)</f>
        <v/>
      </c>
      <c r="D391">
        <f>IF(A391="","",SUMIFS(Акты!$D$5:$D$16,Акты!$E$5:$E$16,"&lt;="&amp;A391)-SUMIFS(Оплаты!$B$6:$B$505,Оплаты!$A$6:$A$505,"&lt;"&amp;A391,Оплаты!$D$6:$D$505,"&lt;&gt;"))</f>
        <v/>
      </c>
      <c r="E391">
        <f>IF(A391="","",IF(SUMPRODUCT((Ввод!$F$12:$F$31&lt;&gt;"")*(Ввод!$F$12:$F$31&lt;=A391)*(Ввод!$G$12:$G$31&gt;=A391))&gt;0,1,0))</f>
        <v/>
      </c>
      <c r="G391">
        <f>IF(A391="","",IF(OR(B391&lt;&gt;B390,C391&lt;&gt;C390,E391&lt;&gt;E390),G390+1,G390))</f>
        <v/>
      </c>
    </row>
    <row r="392">
      <c r="A392" s="20">
        <f>IF(A391="","",IF(A391+1&gt;Ввод!$B$4,"",A391+1))</f>
        <v/>
      </c>
      <c r="B392">
        <f>IF(A392="","",IFERROR(INDEX(Ввод!$B$12:$B$71,MATCH(A392,Ввод!$D$12:$D$71,1)),""))</f>
        <v/>
      </c>
      <c r="C392">
        <f>IF(A392="","",DATE(YEAR(A392),12,31)-DATE(YEAR(A392),1,1)+1)</f>
        <v/>
      </c>
      <c r="D392">
        <f>IF(A392="","",SUMIFS(Акты!$D$5:$D$16,Акты!$E$5:$E$16,"&lt;="&amp;A392)-SUMIFS(Оплаты!$B$6:$B$505,Оплаты!$A$6:$A$505,"&lt;"&amp;A392,Оплаты!$D$6:$D$505,"&lt;&gt;"))</f>
        <v/>
      </c>
      <c r="E392">
        <f>IF(A392="","",IF(SUMPRODUCT((Ввод!$F$12:$F$31&lt;&gt;"")*(Ввод!$F$12:$F$31&lt;=A392)*(Ввод!$G$12:$G$31&gt;=A392))&gt;0,1,0))</f>
        <v/>
      </c>
      <c r="G392">
        <f>IF(A392="","",IF(OR(B392&lt;&gt;B391,C392&lt;&gt;C391,E392&lt;&gt;E391),G391+1,G391))</f>
        <v/>
      </c>
    </row>
    <row r="393">
      <c r="A393" s="20">
        <f>IF(A392="","",IF(A392+1&gt;Ввод!$B$4,"",A392+1))</f>
        <v/>
      </c>
      <c r="B393">
        <f>IF(A393="","",IFERROR(INDEX(Ввод!$B$12:$B$71,MATCH(A393,Ввод!$D$12:$D$71,1)),""))</f>
        <v/>
      </c>
      <c r="C393">
        <f>IF(A393="","",DATE(YEAR(A393),12,31)-DATE(YEAR(A393),1,1)+1)</f>
        <v/>
      </c>
      <c r="D393">
        <f>IF(A393="","",SUMIFS(Акты!$D$5:$D$16,Акты!$E$5:$E$16,"&lt;="&amp;A393)-SUMIFS(Оплаты!$B$6:$B$505,Оплаты!$A$6:$A$505,"&lt;"&amp;A393,Оплаты!$D$6:$D$505,"&lt;&gt;"))</f>
        <v/>
      </c>
      <c r="E393">
        <f>IF(A393="","",IF(SUMPRODUCT((Ввод!$F$12:$F$31&lt;&gt;"")*(Ввод!$F$12:$F$31&lt;=A393)*(Ввод!$G$12:$G$31&gt;=A393))&gt;0,1,0))</f>
        <v/>
      </c>
      <c r="G393">
        <f>IF(A393="","",IF(OR(B393&lt;&gt;B392,C393&lt;&gt;C392,E393&lt;&gt;E392),G392+1,G392))</f>
        <v/>
      </c>
    </row>
    <row r="394">
      <c r="A394" s="20">
        <f>IF(A393="","",IF(A393+1&gt;Ввод!$B$4,"",A393+1))</f>
        <v/>
      </c>
      <c r="B394">
        <f>IF(A394="","",IFERROR(INDEX(Ввод!$B$12:$B$71,MATCH(A394,Ввод!$D$12:$D$71,1)),""))</f>
        <v/>
      </c>
      <c r="C394">
        <f>IF(A394="","",DATE(YEAR(A394),12,31)-DATE(YEAR(A394),1,1)+1)</f>
        <v/>
      </c>
      <c r="D394">
        <f>IF(A394="","",SUMIFS(Акты!$D$5:$D$16,Акты!$E$5:$E$16,"&lt;="&amp;A394)-SUMIFS(Оплаты!$B$6:$B$505,Оплаты!$A$6:$A$505,"&lt;"&amp;A394,Оплаты!$D$6:$D$505,"&lt;&gt;"))</f>
        <v/>
      </c>
      <c r="E394">
        <f>IF(A394="","",IF(SUMPRODUCT((Ввод!$F$12:$F$31&lt;&gt;"")*(Ввод!$F$12:$F$31&lt;=A394)*(Ввод!$G$12:$G$31&gt;=A394))&gt;0,1,0))</f>
        <v/>
      </c>
      <c r="G394">
        <f>IF(A394="","",IF(OR(B394&lt;&gt;B393,C394&lt;&gt;C393,E394&lt;&gt;E393),G393+1,G393))</f>
        <v/>
      </c>
    </row>
    <row r="395">
      <c r="A395" s="20">
        <f>IF(A394="","",IF(A394+1&gt;Ввод!$B$4,"",A394+1))</f>
        <v/>
      </c>
      <c r="B395">
        <f>IF(A395="","",IFERROR(INDEX(Ввод!$B$12:$B$71,MATCH(A395,Ввод!$D$12:$D$71,1)),""))</f>
        <v/>
      </c>
      <c r="C395">
        <f>IF(A395="","",DATE(YEAR(A395),12,31)-DATE(YEAR(A395),1,1)+1)</f>
        <v/>
      </c>
      <c r="D395">
        <f>IF(A395="","",SUMIFS(Акты!$D$5:$D$16,Акты!$E$5:$E$16,"&lt;="&amp;A395)-SUMIFS(Оплаты!$B$6:$B$505,Оплаты!$A$6:$A$505,"&lt;"&amp;A395,Оплаты!$D$6:$D$505,"&lt;&gt;"))</f>
        <v/>
      </c>
      <c r="E395">
        <f>IF(A395="","",IF(SUMPRODUCT((Ввод!$F$12:$F$31&lt;&gt;"")*(Ввод!$F$12:$F$31&lt;=A395)*(Ввод!$G$12:$G$31&gt;=A395))&gt;0,1,0))</f>
        <v/>
      </c>
      <c r="G395">
        <f>IF(A395="","",IF(OR(B395&lt;&gt;B394,C395&lt;&gt;C394,E395&lt;&gt;E394),G394+1,G394))</f>
        <v/>
      </c>
    </row>
    <row r="396">
      <c r="A396" s="20">
        <f>IF(A395="","",IF(A395+1&gt;Ввод!$B$4,"",A395+1))</f>
        <v/>
      </c>
      <c r="B396">
        <f>IF(A396="","",IFERROR(INDEX(Ввод!$B$12:$B$71,MATCH(A396,Ввод!$D$12:$D$71,1)),""))</f>
        <v/>
      </c>
      <c r="C396">
        <f>IF(A396="","",DATE(YEAR(A396),12,31)-DATE(YEAR(A396),1,1)+1)</f>
        <v/>
      </c>
      <c r="D396">
        <f>IF(A396="","",SUMIFS(Акты!$D$5:$D$16,Акты!$E$5:$E$16,"&lt;="&amp;A396)-SUMIFS(Оплаты!$B$6:$B$505,Оплаты!$A$6:$A$505,"&lt;"&amp;A396,Оплаты!$D$6:$D$505,"&lt;&gt;"))</f>
        <v/>
      </c>
      <c r="E396">
        <f>IF(A396="","",IF(SUMPRODUCT((Ввод!$F$12:$F$31&lt;&gt;"")*(Ввод!$F$12:$F$31&lt;=A396)*(Ввод!$G$12:$G$31&gt;=A396))&gt;0,1,0))</f>
        <v/>
      </c>
      <c r="G396">
        <f>IF(A396="","",IF(OR(B396&lt;&gt;B395,C396&lt;&gt;C395,E396&lt;&gt;E395),G395+1,G395))</f>
        <v/>
      </c>
    </row>
    <row r="397">
      <c r="A397" s="20">
        <f>IF(A396="","",IF(A396+1&gt;Ввод!$B$4,"",A396+1))</f>
        <v/>
      </c>
      <c r="B397">
        <f>IF(A397="","",IFERROR(INDEX(Ввод!$B$12:$B$71,MATCH(A397,Ввод!$D$12:$D$71,1)),""))</f>
        <v/>
      </c>
      <c r="C397">
        <f>IF(A397="","",DATE(YEAR(A397),12,31)-DATE(YEAR(A397),1,1)+1)</f>
        <v/>
      </c>
      <c r="D397">
        <f>IF(A397="","",SUMIFS(Акты!$D$5:$D$16,Акты!$E$5:$E$16,"&lt;="&amp;A397)-SUMIFS(Оплаты!$B$6:$B$505,Оплаты!$A$6:$A$505,"&lt;"&amp;A397,Оплаты!$D$6:$D$505,"&lt;&gt;"))</f>
        <v/>
      </c>
      <c r="E397">
        <f>IF(A397="","",IF(SUMPRODUCT((Ввод!$F$12:$F$31&lt;&gt;"")*(Ввод!$F$12:$F$31&lt;=A397)*(Ввод!$G$12:$G$31&gt;=A397))&gt;0,1,0))</f>
        <v/>
      </c>
      <c r="G397">
        <f>IF(A397="","",IF(OR(B397&lt;&gt;B396,C397&lt;&gt;C396,E397&lt;&gt;E396),G396+1,G396))</f>
        <v/>
      </c>
    </row>
    <row r="398">
      <c r="A398" s="20">
        <f>IF(A397="","",IF(A397+1&gt;Ввод!$B$4,"",A397+1))</f>
        <v/>
      </c>
      <c r="B398">
        <f>IF(A398="","",IFERROR(INDEX(Ввод!$B$12:$B$71,MATCH(A398,Ввод!$D$12:$D$71,1)),""))</f>
        <v/>
      </c>
      <c r="C398">
        <f>IF(A398="","",DATE(YEAR(A398),12,31)-DATE(YEAR(A398),1,1)+1)</f>
        <v/>
      </c>
      <c r="D398">
        <f>IF(A398="","",SUMIFS(Акты!$D$5:$D$16,Акты!$E$5:$E$16,"&lt;="&amp;A398)-SUMIFS(Оплаты!$B$6:$B$505,Оплаты!$A$6:$A$505,"&lt;"&amp;A398,Оплаты!$D$6:$D$505,"&lt;&gt;"))</f>
        <v/>
      </c>
      <c r="E398">
        <f>IF(A398="","",IF(SUMPRODUCT((Ввод!$F$12:$F$31&lt;&gt;"")*(Ввод!$F$12:$F$31&lt;=A398)*(Ввод!$G$12:$G$31&gt;=A398))&gt;0,1,0))</f>
        <v/>
      </c>
      <c r="G398">
        <f>IF(A398="","",IF(OR(B398&lt;&gt;B397,C398&lt;&gt;C397,E398&lt;&gt;E397),G397+1,G397))</f>
        <v/>
      </c>
    </row>
    <row r="399">
      <c r="A399" s="20">
        <f>IF(A398="","",IF(A398+1&gt;Ввод!$B$4,"",A398+1))</f>
        <v/>
      </c>
      <c r="B399">
        <f>IF(A399="","",IFERROR(INDEX(Ввод!$B$12:$B$71,MATCH(A399,Ввод!$D$12:$D$71,1)),""))</f>
        <v/>
      </c>
      <c r="C399">
        <f>IF(A399="","",DATE(YEAR(A399),12,31)-DATE(YEAR(A399),1,1)+1)</f>
        <v/>
      </c>
      <c r="D399">
        <f>IF(A399="","",SUMIFS(Акты!$D$5:$D$16,Акты!$E$5:$E$16,"&lt;="&amp;A399)-SUMIFS(Оплаты!$B$6:$B$505,Оплаты!$A$6:$A$505,"&lt;"&amp;A399,Оплаты!$D$6:$D$505,"&lt;&gt;"))</f>
        <v/>
      </c>
      <c r="E399">
        <f>IF(A399="","",IF(SUMPRODUCT((Ввод!$F$12:$F$31&lt;&gt;"")*(Ввод!$F$12:$F$31&lt;=A399)*(Ввод!$G$12:$G$31&gt;=A399))&gt;0,1,0))</f>
        <v/>
      </c>
      <c r="G399">
        <f>IF(A399="","",IF(OR(B399&lt;&gt;B398,C399&lt;&gt;C398,E399&lt;&gt;E398),G398+1,G398))</f>
        <v/>
      </c>
    </row>
    <row r="400">
      <c r="A400" s="20">
        <f>IF(A399="","",IF(A399+1&gt;Ввод!$B$4,"",A399+1))</f>
        <v/>
      </c>
      <c r="B400">
        <f>IF(A400="","",IFERROR(INDEX(Ввод!$B$12:$B$71,MATCH(A400,Ввод!$D$12:$D$71,1)),""))</f>
        <v/>
      </c>
      <c r="C400">
        <f>IF(A400="","",DATE(YEAR(A400),12,31)-DATE(YEAR(A400),1,1)+1)</f>
        <v/>
      </c>
      <c r="D400">
        <f>IF(A400="","",SUMIFS(Акты!$D$5:$D$16,Акты!$E$5:$E$16,"&lt;="&amp;A400)-SUMIFS(Оплаты!$B$6:$B$505,Оплаты!$A$6:$A$505,"&lt;"&amp;A400,Оплаты!$D$6:$D$505,"&lt;&gt;"))</f>
        <v/>
      </c>
      <c r="E400">
        <f>IF(A400="","",IF(SUMPRODUCT((Ввод!$F$12:$F$31&lt;&gt;"")*(Ввод!$F$12:$F$31&lt;=A400)*(Ввод!$G$12:$G$31&gt;=A400))&gt;0,1,0))</f>
        <v/>
      </c>
      <c r="G400">
        <f>IF(A400="","",IF(OR(B400&lt;&gt;B399,C400&lt;&gt;C399,E400&lt;&gt;E399),G399+1,G399))</f>
        <v/>
      </c>
    </row>
    <row r="401">
      <c r="A401" s="20">
        <f>IF(A400="","",IF(A400+1&gt;Ввод!$B$4,"",A400+1))</f>
        <v/>
      </c>
      <c r="B401">
        <f>IF(A401="","",IFERROR(INDEX(Ввод!$B$12:$B$71,MATCH(A401,Ввод!$D$12:$D$71,1)),""))</f>
        <v/>
      </c>
      <c r="C401">
        <f>IF(A401="","",DATE(YEAR(A401),12,31)-DATE(YEAR(A401),1,1)+1)</f>
        <v/>
      </c>
      <c r="D401">
        <f>IF(A401="","",SUMIFS(Акты!$D$5:$D$16,Акты!$E$5:$E$16,"&lt;="&amp;A401)-SUMIFS(Оплаты!$B$6:$B$505,Оплаты!$A$6:$A$505,"&lt;"&amp;A401,Оплаты!$D$6:$D$505,"&lt;&gt;"))</f>
        <v/>
      </c>
      <c r="E401">
        <f>IF(A401="","",IF(SUMPRODUCT((Ввод!$F$12:$F$31&lt;&gt;"")*(Ввод!$F$12:$F$31&lt;=A401)*(Ввод!$G$12:$G$31&gt;=A401))&gt;0,1,0))</f>
        <v/>
      </c>
      <c r="G401">
        <f>IF(A401="","",IF(OR(B401&lt;&gt;B400,C401&lt;&gt;C400,E401&lt;&gt;E400),G400+1,G400))</f>
        <v/>
      </c>
    </row>
    <row r="402">
      <c r="A402" s="20">
        <f>IF(A401="","",IF(A401+1&gt;Ввод!$B$4,"",A401+1))</f>
        <v/>
      </c>
      <c r="B402">
        <f>IF(A402="","",IFERROR(INDEX(Ввод!$B$12:$B$71,MATCH(A402,Ввод!$D$12:$D$71,1)),""))</f>
        <v/>
      </c>
      <c r="C402">
        <f>IF(A402="","",DATE(YEAR(A402),12,31)-DATE(YEAR(A402),1,1)+1)</f>
        <v/>
      </c>
      <c r="D402">
        <f>IF(A402="","",SUMIFS(Акты!$D$5:$D$16,Акты!$E$5:$E$16,"&lt;="&amp;A402)-SUMIFS(Оплаты!$B$6:$B$505,Оплаты!$A$6:$A$505,"&lt;"&amp;A402,Оплаты!$D$6:$D$505,"&lt;&gt;"))</f>
        <v/>
      </c>
      <c r="E402">
        <f>IF(A402="","",IF(SUMPRODUCT((Ввод!$F$12:$F$31&lt;&gt;"")*(Ввод!$F$12:$F$31&lt;=A402)*(Ввод!$G$12:$G$31&gt;=A402))&gt;0,1,0))</f>
        <v/>
      </c>
      <c r="G402">
        <f>IF(A402="","",IF(OR(B402&lt;&gt;B401,C402&lt;&gt;C401,E402&lt;&gt;E401),G401+1,G401))</f>
        <v/>
      </c>
    </row>
    <row r="403">
      <c r="A403" s="20">
        <f>IF(A402="","",IF(A402+1&gt;Ввод!$B$4,"",A402+1))</f>
        <v/>
      </c>
      <c r="B403">
        <f>IF(A403="","",IFERROR(INDEX(Ввод!$B$12:$B$71,MATCH(A403,Ввод!$D$12:$D$71,1)),""))</f>
        <v/>
      </c>
      <c r="C403">
        <f>IF(A403="","",DATE(YEAR(A403),12,31)-DATE(YEAR(A403),1,1)+1)</f>
        <v/>
      </c>
      <c r="D403">
        <f>IF(A403="","",SUMIFS(Акты!$D$5:$D$16,Акты!$E$5:$E$16,"&lt;="&amp;A403)-SUMIFS(Оплаты!$B$6:$B$505,Оплаты!$A$6:$A$505,"&lt;"&amp;A403,Оплаты!$D$6:$D$505,"&lt;&gt;"))</f>
        <v/>
      </c>
      <c r="E403">
        <f>IF(A403="","",IF(SUMPRODUCT((Ввод!$F$12:$F$31&lt;&gt;"")*(Ввод!$F$12:$F$31&lt;=A403)*(Ввод!$G$12:$G$31&gt;=A403))&gt;0,1,0))</f>
        <v/>
      </c>
      <c r="G403">
        <f>IF(A403="","",IF(OR(B403&lt;&gt;B402,C403&lt;&gt;C402,E403&lt;&gt;E402),G402+1,G402))</f>
        <v/>
      </c>
    </row>
    <row r="404">
      <c r="A404" s="20">
        <f>IF(A403="","",IF(A403+1&gt;Ввод!$B$4,"",A403+1))</f>
        <v/>
      </c>
      <c r="B404">
        <f>IF(A404="","",IFERROR(INDEX(Ввод!$B$12:$B$71,MATCH(A404,Ввод!$D$12:$D$71,1)),""))</f>
        <v/>
      </c>
      <c r="C404">
        <f>IF(A404="","",DATE(YEAR(A404),12,31)-DATE(YEAR(A404),1,1)+1)</f>
        <v/>
      </c>
      <c r="D404">
        <f>IF(A404="","",SUMIFS(Акты!$D$5:$D$16,Акты!$E$5:$E$16,"&lt;="&amp;A404)-SUMIFS(Оплаты!$B$6:$B$505,Оплаты!$A$6:$A$505,"&lt;"&amp;A404,Оплаты!$D$6:$D$505,"&lt;&gt;"))</f>
        <v/>
      </c>
      <c r="E404">
        <f>IF(A404="","",IF(SUMPRODUCT((Ввод!$F$12:$F$31&lt;&gt;"")*(Ввод!$F$12:$F$31&lt;=A404)*(Ввод!$G$12:$G$31&gt;=A404))&gt;0,1,0))</f>
        <v/>
      </c>
      <c r="G404">
        <f>IF(A404="","",IF(OR(B404&lt;&gt;B403,C404&lt;&gt;C403,E404&lt;&gt;E403),G403+1,G403))</f>
        <v/>
      </c>
    </row>
    <row r="405">
      <c r="A405" s="20">
        <f>IF(A404="","",IF(A404+1&gt;Ввод!$B$4,"",A404+1))</f>
        <v/>
      </c>
      <c r="B405">
        <f>IF(A405="","",IFERROR(INDEX(Ввод!$B$12:$B$71,MATCH(A405,Ввод!$D$12:$D$71,1)),""))</f>
        <v/>
      </c>
      <c r="C405">
        <f>IF(A405="","",DATE(YEAR(A405),12,31)-DATE(YEAR(A405),1,1)+1)</f>
        <v/>
      </c>
      <c r="D405">
        <f>IF(A405="","",SUMIFS(Акты!$D$5:$D$16,Акты!$E$5:$E$16,"&lt;="&amp;A405)-SUMIFS(Оплаты!$B$6:$B$505,Оплаты!$A$6:$A$505,"&lt;"&amp;A405,Оплаты!$D$6:$D$505,"&lt;&gt;"))</f>
        <v/>
      </c>
      <c r="E405">
        <f>IF(A405="","",IF(SUMPRODUCT((Ввод!$F$12:$F$31&lt;&gt;"")*(Ввод!$F$12:$F$31&lt;=A405)*(Ввод!$G$12:$G$31&gt;=A405))&gt;0,1,0))</f>
        <v/>
      </c>
      <c r="G405">
        <f>IF(A405="","",IF(OR(B405&lt;&gt;B404,C405&lt;&gt;C404,E405&lt;&gt;E404),G404+1,G404))</f>
        <v/>
      </c>
    </row>
    <row r="406">
      <c r="A406" s="20">
        <f>IF(A405="","",IF(A405+1&gt;Ввод!$B$4,"",A405+1))</f>
        <v/>
      </c>
      <c r="B406">
        <f>IF(A406="","",IFERROR(INDEX(Ввод!$B$12:$B$71,MATCH(A406,Ввод!$D$12:$D$71,1)),""))</f>
        <v/>
      </c>
      <c r="C406">
        <f>IF(A406="","",DATE(YEAR(A406),12,31)-DATE(YEAR(A406),1,1)+1)</f>
        <v/>
      </c>
      <c r="D406">
        <f>IF(A406="","",SUMIFS(Акты!$D$5:$D$16,Акты!$E$5:$E$16,"&lt;="&amp;A406)-SUMIFS(Оплаты!$B$6:$B$505,Оплаты!$A$6:$A$505,"&lt;"&amp;A406,Оплаты!$D$6:$D$505,"&lt;&gt;"))</f>
        <v/>
      </c>
      <c r="E406">
        <f>IF(A406="","",IF(SUMPRODUCT((Ввод!$F$12:$F$31&lt;&gt;"")*(Ввод!$F$12:$F$31&lt;=A406)*(Ввод!$G$12:$G$31&gt;=A406))&gt;0,1,0))</f>
        <v/>
      </c>
      <c r="G406">
        <f>IF(A406="","",IF(OR(B406&lt;&gt;B405,C406&lt;&gt;C405,E406&lt;&gt;E405),G405+1,G405))</f>
        <v/>
      </c>
    </row>
    <row r="407">
      <c r="A407" s="20">
        <f>IF(A406="","",IF(A406+1&gt;Ввод!$B$4,"",A406+1))</f>
        <v/>
      </c>
      <c r="B407">
        <f>IF(A407="","",IFERROR(INDEX(Ввод!$B$12:$B$71,MATCH(A407,Ввод!$D$12:$D$71,1)),""))</f>
        <v/>
      </c>
      <c r="C407">
        <f>IF(A407="","",DATE(YEAR(A407),12,31)-DATE(YEAR(A407),1,1)+1)</f>
        <v/>
      </c>
      <c r="D407">
        <f>IF(A407="","",SUMIFS(Акты!$D$5:$D$16,Акты!$E$5:$E$16,"&lt;="&amp;A407)-SUMIFS(Оплаты!$B$6:$B$505,Оплаты!$A$6:$A$505,"&lt;"&amp;A407,Оплаты!$D$6:$D$505,"&lt;&gt;"))</f>
        <v/>
      </c>
      <c r="E407">
        <f>IF(A407="","",IF(SUMPRODUCT((Ввод!$F$12:$F$31&lt;&gt;"")*(Ввод!$F$12:$F$31&lt;=A407)*(Ввод!$G$12:$G$31&gt;=A407))&gt;0,1,0))</f>
        <v/>
      </c>
      <c r="G407">
        <f>IF(A407="","",IF(OR(B407&lt;&gt;B406,C407&lt;&gt;C406,E407&lt;&gt;E406),G406+1,G406))</f>
        <v/>
      </c>
    </row>
    <row r="408">
      <c r="A408" s="20">
        <f>IF(A407="","",IF(A407+1&gt;Ввод!$B$4,"",A407+1))</f>
        <v/>
      </c>
      <c r="B408">
        <f>IF(A408="","",IFERROR(INDEX(Ввод!$B$12:$B$71,MATCH(A408,Ввод!$D$12:$D$71,1)),""))</f>
        <v/>
      </c>
      <c r="C408">
        <f>IF(A408="","",DATE(YEAR(A408),12,31)-DATE(YEAR(A408),1,1)+1)</f>
        <v/>
      </c>
      <c r="D408">
        <f>IF(A408="","",SUMIFS(Акты!$D$5:$D$16,Акты!$E$5:$E$16,"&lt;="&amp;A408)-SUMIFS(Оплаты!$B$6:$B$505,Оплаты!$A$6:$A$505,"&lt;"&amp;A408,Оплаты!$D$6:$D$505,"&lt;&gt;"))</f>
        <v/>
      </c>
      <c r="E408">
        <f>IF(A408="","",IF(SUMPRODUCT((Ввод!$F$12:$F$31&lt;&gt;"")*(Ввод!$F$12:$F$31&lt;=A408)*(Ввод!$G$12:$G$31&gt;=A408))&gt;0,1,0))</f>
        <v/>
      </c>
      <c r="G408">
        <f>IF(A408="","",IF(OR(B408&lt;&gt;B407,C408&lt;&gt;C407,E408&lt;&gt;E407),G407+1,G407))</f>
        <v/>
      </c>
    </row>
    <row r="409">
      <c r="A409" s="20">
        <f>IF(A408="","",IF(A408+1&gt;Ввод!$B$4,"",A408+1))</f>
        <v/>
      </c>
      <c r="B409">
        <f>IF(A409="","",IFERROR(INDEX(Ввод!$B$12:$B$71,MATCH(A409,Ввод!$D$12:$D$71,1)),""))</f>
        <v/>
      </c>
      <c r="C409">
        <f>IF(A409="","",DATE(YEAR(A409),12,31)-DATE(YEAR(A409),1,1)+1)</f>
        <v/>
      </c>
      <c r="D409">
        <f>IF(A409="","",SUMIFS(Акты!$D$5:$D$16,Акты!$E$5:$E$16,"&lt;="&amp;A409)-SUMIFS(Оплаты!$B$6:$B$505,Оплаты!$A$6:$A$505,"&lt;"&amp;A409,Оплаты!$D$6:$D$505,"&lt;&gt;"))</f>
        <v/>
      </c>
      <c r="E409">
        <f>IF(A409="","",IF(SUMPRODUCT((Ввод!$F$12:$F$31&lt;&gt;"")*(Ввод!$F$12:$F$31&lt;=A409)*(Ввод!$G$12:$G$31&gt;=A409))&gt;0,1,0))</f>
        <v/>
      </c>
      <c r="G409">
        <f>IF(A409="","",IF(OR(B409&lt;&gt;B408,C409&lt;&gt;C408,E409&lt;&gt;E408),G408+1,G408))</f>
        <v/>
      </c>
    </row>
    <row r="410">
      <c r="A410" s="20">
        <f>IF(A409="","",IF(A409+1&gt;Ввод!$B$4,"",A409+1))</f>
        <v/>
      </c>
      <c r="B410">
        <f>IF(A410="","",IFERROR(INDEX(Ввод!$B$12:$B$71,MATCH(A410,Ввод!$D$12:$D$71,1)),""))</f>
        <v/>
      </c>
      <c r="C410">
        <f>IF(A410="","",DATE(YEAR(A410),12,31)-DATE(YEAR(A410),1,1)+1)</f>
        <v/>
      </c>
      <c r="D410">
        <f>IF(A410="","",SUMIFS(Акты!$D$5:$D$16,Акты!$E$5:$E$16,"&lt;="&amp;A410)-SUMIFS(Оплаты!$B$6:$B$505,Оплаты!$A$6:$A$505,"&lt;"&amp;A410,Оплаты!$D$6:$D$505,"&lt;&gt;"))</f>
        <v/>
      </c>
      <c r="E410">
        <f>IF(A410="","",IF(SUMPRODUCT((Ввод!$F$12:$F$31&lt;&gt;"")*(Ввод!$F$12:$F$31&lt;=A410)*(Ввод!$G$12:$G$31&gt;=A410))&gt;0,1,0))</f>
        <v/>
      </c>
      <c r="G410">
        <f>IF(A410="","",IF(OR(B410&lt;&gt;B409,C410&lt;&gt;C409,E410&lt;&gt;E409),G409+1,G409))</f>
        <v/>
      </c>
    </row>
    <row r="411">
      <c r="A411" s="20">
        <f>IF(A410="","",IF(A410+1&gt;Ввод!$B$4,"",A410+1))</f>
        <v/>
      </c>
      <c r="B411">
        <f>IF(A411="","",IFERROR(INDEX(Ввод!$B$12:$B$71,MATCH(A411,Ввод!$D$12:$D$71,1)),""))</f>
        <v/>
      </c>
      <c r="C411">
        <f>IF(A411="","",DATE(YEAR(A411),12,31)-DATE(YEAR(A411),1,1)+1)</f>
        <v/>
      </c>
      <c r="D411">
        <f>IF(A411="","",SUMIFS(Акты!$D$5:$D$16,Акты!$E$5:$E$16,"&lt;="&amp;A411)-SUMIFS(Оплаты!$B$6:$B$505,Оплаты!$A$6:$A$505,"&lt;"&amp;A411,Оплаты!$D$6:$D$505,"&lt;&gt;"))</f>
        <v/>
      </c>
      <c r="E411">
        <f>IF(A411="","",IF(SUMPRODUCT((Ввод!$F$12:$F$31&lt;&gt;"")*(Ввод!$F$12:$F$31&lt;=A411)*(Ввод!$G$12:$G$31&gt;=A411))&gt;0,1,0))</f>
        <v/>
      </c>
      <c r="G411">
        <f>IF(A411="","",IF(OR(B411&lt;&gt;B410,C411&lt;&gt;C410,E411&lt;&gt;E410),G410+1,G410))</f>
        <v/>
      </c>
    </row>
    <row r="412">
      <c r="A412" s="20">
        <f>IF(A411="","",IF(A411+1&gt;Ввод!$B$4,"",A411+1))</f>
        <v/>
      </c>
      <c r="B412">
        <f>IF(A412="","",IFERROR(INDEX(Ввод!$B$12:$B$71,MATCH(A412,Ввод!$D$12:$D$71,1)),""))</f>
        <v/>
      </c>
      <c r="C412">
        <f>IF(A412="","",DATE(YEAR(A412),12,31)-DATE(YEAR(A412),1,1)+1)</f>
        <v/>
      </c>
      <c r="D412">
        <f>IF(A412="","",SUMIFS(Акты!$D$5:$D$16,Акты!$E$5:$E$16,"&lt;="&amp;A412)-SUMIFS(Оплаты!$B$6:$B$505,Оплаты!$A$6:$A$505,"&lt;"&amp;A412,Оплаты!$D$6:$D$505,"&lt;&gt;"))</f>
        <v/>
      </c>
      <c r="E412">
        <f>IF(A412="","",IF(SUMPRODUCT((Ввод!$F$12:$F$31&lt;&gt;"")*(Ввод!$F$12:$F$31&lt;=A412)*(Ввод!$G$12:$G$31&gt;=A412))&gt;0,1,0))</f>
        <v/>
      </c>
      <c r="G412">
        <f>IF(A412="","",IF(OR(B412&lt;&gt;B411,C412&lt;&gt;C411,E412&lt;&gt;E411),G411+1,G411))</f>
        <v/>
      </c>
    </row>
    <row r="413">
      <c r="A413" s="20">
        <f>IF(A412="","",IF(A412+1&gt;Ввод!$B$4,"",A412+1))</f>
        <v/>
      </c>
      <c r="B413">
        <f>IF(A413="","",IFERROR(INDEX(Ввод!$B$12:$B$71,MATCH(A413,Ввод!$D$12:$D$71,1)),""))</f>
        <v/>
      </c>
      <c r="C413">
        <f>IF(A413="","",DATE(YEAR(A413),12,31)-DATE(YEAR(A413),1,1)+1)</f>
        <v/>
      </c>
      <c r="D413">
        <f>IF(A413="","",SUMIFS(Акты!$D$5:$D$16,Акты!$E$5:$E$16,"&lt;="&amp;A413)-SUMIFS(Оплаты!$B$6:$B$505,Оплаты!$A$6:$A$505,"&lt;"&amp;A413,Оплаты!$D$6:$D$505,"&lt;&gt;"))</f>
        <v/>
      </c>
      <c r="E413">
        <f>IF(A413="","",IF(SUMPRODUCT((Ввод!$F$12:$F$31&lt;&gt;"")*(Ввод!$F$12:$F$31&lt;=A413)*(Ввод!$G$12:$G$31&gt;=A413))&gt;0,1,0))</f>
        <v/>
      </c>
      <c r="G413">
        <f>IF(A413="","",IF(OR(B413&lt;&gt;B412,C413&lt;&gt;C412,E413&lt;&gt;E412),G412+1,G412))</f>
        <v/>
      </c>
    </row>
    <row r="414">
      <c r="A414" s="20">
        <f>IF(A413="","",IF(A413+1&gt;Ввод!$B$4,"",A413+1))</f>
        <v/>
      </c>
      <c r="B414">
        <f>IF(A414="","",IFERROR(INDEX(Ввод!$B$12:$B$71,MATCH(A414,Ввод!$D$12:$D$71,1)),""))</f>
        <v/>
      </c>
      <c r="C414">
        <f>IF(A414="","",DATE(YEAR(A414),12,31)-DATE(YEAR(A414),1,1)+1)</f>
        <v/>
      </c>
      <c r="D414">
        <f>IF(A414="","",SUMIFS(Акты!$D$5:$D$16,Акты!$E$5:$E$16,"&lt;="&amp;A414)-SUMIFS(Оплаты!$B$6:$B$505,Оплаты!$A$6:$A$505,"&lt;"&amp;A414,Оплаты!$D$6:$D$505,"&lt;&gt;"))</f>
        <v/>
      </c>
      <c r="E414">
        <f>IF(A414="","",IF(SUMPRODUCT((Ввод!$F$12:$F$31&lt;&gt;"")*(Ввод!$F$12:$F$31&lt;=A414)*(Ввод!$G$12:$G$31&gt;=A414))&gt;0,1,0))</f>
        <v/>
      </c>
      <c r="G414">
        <f>IF(A414="","",IF(OR(B414&lt;&gt;B413,C414&lt;&gt;C413,E414&lt;&gt;E413),G413+1,G413))</f>
        <v/>
      </c>
    </row>
    <row r="415">
      <c r="A415" s="20">
        <f>IF(A414="","",IF(A414+1&gt;Ввод!$B$4,"",A414+1))</f>
        <v/>
      </c>
      <c r="B415">
        <f>IF(A415="","",IFERROR(INDEX(Ввод!$B$12:$B$71,MATCH(A415,Ввод!$D$12:$D$71,1)),""))</f>
        <v/>
      </c>
      <c r="C415">
        <f>IF(A415="","",DATE(YEAR(A415),12,31)-DATE(YEAR(A415),1,1)+1)</f>
        <v/>
      </c>
      <c r="D415">
        <f>IF(A415="","",SUMIFS(Акты!$D$5:$D$16,Акты!$E$5:$E$16,"&lt;="&amp;A415)-SUMIFS(Оплаты!$B$6:$B$505,Оплаты!$A$6:$A$505,"&lt;"&amp;A415,Оплаты!$D$6:$D$505,"&lt;&gt;"))</f>
        <v/>
      </c>
      <c r="E415">
        <f>IF(A415="","",IF(SUMPRODUCT((Ввод!$F$12:$F$31&lt;&gt;"")*(Ввод!$F$12:$F$31&lt;=A415)*(Ввод!$G$12:$G$31&gt;=A415))&gt;0,1,0))</f>
        <v/>
      </c>
      <c r="G415">
        <f>IF(A415="","",IF(OR(B415&lt;&gt;B414,C415&lt;&gt;C414,E415&lt;&gt;E414),G414+1,G414))</f>
        <v/>
      </c>
    </row>
    <row r="416">
      <c r="A416" s="20">
        <f>IF(A415="","",IF(A415+1&gt;Ввод!$B$4,"",A415+1))</f>
        <v/>
      </c>
      <c r="B416">
        <f>IF(A416="","",IFERROR(INDEX(Ввод!$B$12:$B$71,MATCH(A416,Ввод!$D$12:$D$71,1)),""))</f>
        <v/>
      </c>
      <c r="C416">
        <f>IF(A416="","",DATE(YEAR(A416),12,31)-DATE(YEAR(A416),1,1)+1)</f>
        <v/>
      </c>
      <c r="D416">
        <f>IF(A416="","",SUMIFS(Акты!$D$5:$D$16,Акты!$E$5:$E$16,"&lt;="&amp;A416)-SUMIFS(Оплаты!$B$6:$B$505,Оплаты!$A$6:$A$505,"&lt;"&amp;A416,Оплаты!$D$6:$D$505,"&lt;&gt;"))</f>
        <v/>
      </c>
      <c r="E416">
        <f>IF(A416="","",IF(SUMPRODUCT((Ввод!$F$12:$F$31&lt;&gt;"")*(Ввод!$F$12:$F$31&lt;=A416)*(Ввод!$G$12:$G$31&gt;=A416))&gt;0,1,0))</f>
        <v/>
      </c>
      <c r="G416">
        <f>IF(A416="","",IF(OR(B416&lt;&gt;B415,C416&lt;&gt;C415,E416&lt;&gt;E415),G415+1,G415))</f>
        <v/>
      </c>
    </row>
    <row r="417">
      <c r="A417" s="20">
        <f>IF(A416="","",IF(A416+1&gt;Ввод!$B$4,"",A416+1))</f>
        <v/>
      </c>
      <c r="B417">
        <f>IF(A417="","",IFERROR(INDEX(Ввод!$B$12:$B$71,MATCH(A417,Ввод!$D$12:$D$71,1)),""))</f>
        <v/>
      </c>
      <c r="C417">
        <f>IF(A417="","",DATE(YEAR(A417),12,31)-DATE(YEAR(A417),1,1)+1)</f>
        <v/>
      </c>
      <c r="D417">
        <f>IF(A417="","",SUMIFS(Акты!$D$5:$D$16,Акты!$E$5:$E$16,"&lt;="&amp;A417)-SUMIFS(Оплаты!$B$6:$B$505,Оплаты!$A$6:$A$505,"&lt;"&amp;A417,Оплаты!$D$6:$D$505,"&lt;&gt;"))</f>
        <v/>
      </c>
      <c r="E417">
        <f>IF(A417="","",IF(SUMPRODUCT((Ввод!$F$12:$F$31&lt;&gt;"")*(Ввод!$F$12:$F$31&lt;=A417)*(Ввод!$G$12:$G$31&gt;=A417))&gt;0,1,0))</f>
        <v/>
      </c>
      <c r="G417">
        <f>IF(A417="","",IF(OR(B417&lt;&gt;B416,C417&lt;&gt;C416,E417&lt;&gt;E416),G416+1,G416))</f>
        <v/>
      </c>
    </row>
    <row r="418">
      <c r="A418" s="20">
        <f>IF(A417="","",IF(A417+1&gt;Ввод!$B$4,"",A417+1))</f>
        <v/>
      </c>
      <c r="B418">
        <f>IF(A418="","",IFERROR(INDEX(Ввод!$B$12:$B$71,MATCH(A418,Ввод!$D$12:$D$71,1)),""))</f>
        <v/>
      </c>
      <c r="C418">
        <f>IF(A418="","",DATE(YEAR(A418),12,31)-DATE(YEAR(A418),1,1)+1)</f>
        <v/>
      </c>
      <c r="D418">
        <f>IF(A418="","",SUMIFS(Акты!$D$5:$D$16,Акты!$E$5:$E$16,"&lt;="&amp;A418)-SUMIFS(Оплаты!$B$6:$B$505,Оплаты!$A$6:$A$505,"&lt;"&amp;A418,Оплаты!$D$6:$D$505,"&lt;&gt;"))</f>
        <v/>
      </c>
      <c r="E418">
        <f>IF(A418="","",IF(SUMPRODUCT((Ввод!$F$12:$F$31&lt;&gt;"")*(Ввод!$F$12:$F$31&lt;=A418)*(Ввод!$G$12:$G$31&gt;=A418))&gt;0,1,0))</f>
        <v/>
      </c>
      <c r="G418">
        <f>IF(A418="","",IF(OR(B418&lt;&gt;B417,C418&lt;&gt;C417,E418&lt;&gt;E417),G417+1,G417))</f>
        <v/>
      </c>
    </row>
    <row r="419">
      <c r="A419" s="20">
        <f>IF(A418="","",IF(A418+1&gt;Ввод!$B$4,"",A418+1))</f>
        <v/>
      </c>
      <c r="B419">
        <f>IF(A419="","",IFERROR(INDEX(Ввод!$B$12:$B$71,MATCH(A419,Ввод!$D$12:$D$71,1)),""))</f>
        <v/>
      </c>
      <c r="C419">
        <f>IF(A419="","",DATE(YEAR(A419),12,31)-DATE(YEAR(A419),1,1)+1)</f>
        <v/>
      </c>
      <c r="D419">
        <f>IF(A419="","",SUMIFS(Акты!$D$5:$D$16,Акты!$E$5:$E$16,"&lt;="&amp;A419)-SUMIFS(Оплаты!$B$6:$B$505,Оплаты!$A$6:$A$505,"&lt;"&amp;A419,Оплаты!$D$6:$D$505,"&lt;&gt;"))</f>
        <v/>
      </c>
      <c r="E419">
        <f>IF(A419="","",IF(SUMPRODUCT((Ввод!$F$12:$F$31&lt;&gt;"")*(Ввод!$F$12:$F$31&lt;=A419)*(Ввод!$G$12:$G$31&gt;=A419))&gt;0,1,0))</f>
        <v/>
      </c>
      <c r="G419">
        <f>IF(A419="","",IF(OR(B419&lt;&gt;B418,C419&lt;&gt;C418,E419&lt;&gt;E418),G418+1,G418))</f>
        <v/>
      </c>
    </row>
    <row r="420">
      <c r="A420" s="20">
        <f>IF(A419="","",IF(A419+1&gt;Ввод!$B$4,"",A419+1))</f>
        <v/>
      </c>
      <c r="B420">
        <f>IF(A420="","",IFERROR(INDEX(Ввод!$B$12:$B$71,MATCH(A420,Ввод!$D$12:$D$71,1)),""))</f>
        <v/>
      </c>
      <c r="C420">
        <f>IF(A420="","",DATE(YEAR(A420),12,31)-DATE(YEAR(A420),1,1)+1)</f>
        <v/>
      </c>
      <c r="D420">
        <f>IF(A420="","",SUMIFS(Акты!$D$5:$D$16,Акты!$E$5:$E$16,"&lt;="&amp;A420)-SUMIFS(Оплаты!$B$6:$B$505,Оплаты!$A$6:$A$505,"&lt;"&amp;A420,Оплаты!$D$6:$D$505,"&lt;&gt;"))</f>
        <v/>
      </c>
      <c r="E420">
        <f>IF(A420="","",IF(SUMPRODUCT((Ввод!$F$12:$F$31&lt;&gt;"")*(Ввод!$F$12:$F$31&lt;=A420)*(Ввод!$G$12:$G$31&gt;=A420))&gt;0,1,0))</f>
        <v/>
      </c>
      <c r="G420">
        <f>IF(A420="","",IF(OR(B420&lt;&gt;B419,C420&lt;&gt;C419,E420&lt;&gt;E419),G419+1,G419))</f>
        <v/>
      </c>
    </row>
    <row r="421">
      <c r="A421" s="20">
        <f>IF(A420="","",IF(A420+1&gt;Ввод!$B$4,"",A420+1))</f>
        <v/>
      </c>
      <c r="B421">
        <f>IF(A421="","",IFERROR(INDEX(Ввод!$B$12:$B$71,MATCH(A421,Ввод!$D$12:$D$71,1)),""))</f>
        <v/>
      </c>
      <c r="C421">
        <f>IF(A421="","",DATE(YEAR(A421),12,31)-DATE(YEAR(A421),1,1)+1)</f>
        <v/>
      </c>
      <c r="D421">
        <f>IF(A421="","",SUMIFS(Акты!$D$5:$D$16,Акты!$E$5:$E$16,"&lt;="&amp;A421)-SUMIFS(Оплаты!$B$6:$B$505,Оплаты!$A$6:$A$505,"&lt;"&amp;A421,Оплаты!$D$6:$D$505,"&lt;&gt;"))</f>
        <v/>
      </c>
      <c r="E421">
        <f>IF(A421="","",IF(SUMPRODUCT((Ввод!$F$12:$F$31&lt;&gt;"")*(Ввод!$F$12:$F$31&lt;=A421)*(Ввод!$G$12:$G$31&gt;=A421))&gt;0,1,0))</f>
        <v/>
      </c>
      <c r="G421">
        <f>IF(A421="","",IF(OR(B421&lt;&gt;B420,C421&lt;&gt;C420,E421&lt;&gt;E420),G420+1,G420))</f>
        <v/>
      </c>
    </row>
    <row r="422">
      <c r="A422" s="20">
        <f>IF(A421="","",IF(A421+1&gt;Ввод!$B$4,"",A421+1))</f>
        <v/>
      </c>
      <c r="B422">
        <f>IF(A422="","",IFERROR(INDEX(Ввод!$B$12:$B$71,MATCH(A422,Ввод!$D$12:$D$71,1)),""))</f>
        <v/>
      </c>
      <c r="C422">
        <f>IF(A422="","",DATE(YEAR(A422),12,31)-DATE(YEAR(A422),1,1)+1)</f>
        <v/>
      </c>
      <c r="D422">
        <f>IF(A422="","",SUMIFS(Акты!$D$5:$D$16,Акты!$E$5:$E$16,"&lt;="&amp;A422)-SUMIFS(Оплаты!$B$6:$B$505,Оплаты!$A$6:$A$505,"&lt;"&amp;A422,Оплаты!$D$6:$D$505,"&lt;&gt;"))</f>
        <v/>
      </c>
      <c r="E422">
        <f>IF(A422="","",IF(SUMPRODUCT((Ввод!$F$12:$F$31&lt;&gt;"")*(Ввод!$F$12:$F$31&lt;=A422)*(Ввод!$G$12:$G$31&gt;=A422))&gt;0,1,0))</f>
        <v/>
      </c>
      <c r="G422">
        <f>IF(A422="","",IF(OR(B422&lt;&gt;B421,C422&lt;&gt;C421,E422&lt;&gt;E421),G421+1,G421))</f>
        <v/>
      </c>
    </row>
    <row r="423">
      <c r="A423" s="20">
        <f>IF(A422="","",IF(A422+1&gt;Ввод!$B$4,"",A422+1))</f>
        <v/>
      </c>
      <c r="B423">
        <f>IF(A423="","",IFERROR(INDEX(Ввод!$B$12:$B$71,MATCH(A423,Ввод!$D$12:$D$71,1)),""))</f>
        <v/>
      </c>
      <c r="C423">
        <f>IF(A423="","",DATE(YEAR(A423),12,31)-DATE(YEAR(A423),1,1)+1)</f>
        <v/>
      </c>
      <c r="D423">
        <f>IF(A423="","",SUMIFS(Акты!$D$5:$D$16,Акты!$E$5:$E$16,"&lt;="&amp;A423)-SUMIFS(Оплаты!$B$6:$B$505,Оплаты!$A$6:$A$505,"&lt;"&amp;A423,Оплаты!$D$6:$D$505,"&lt;&gt;"))</f>
        <v/>
      </c>
      <c r="E423">
        <f>IF(A423="","",IF(SUMPRODUCT((Ввод!$F$12:$F$31&lt;&gt;"")*(Ввод!$F$12:$F$31&lt;=A423)*(Ввод!$G$12:$G$31&gt;=A423))&gt;0,1,0))</f>
        <v/>
      </c>
      <c r="G423">
        <f>IF(A423="","",IF(OR(B423&lt;&gt;B422,C423&lt;&gt;C422,E423&lt;&gt;E422),G422+1,G422))</f>
        <v/>
      </c>
    </row>
    <row r="424">
      <c r="A424" s="20">
        <f>IF(A423="","",IF(A423+1&gt;Ввод!$B$4,"",A423+1))</f>
        <v/>
      </c>
      <c r="B424">
        <f>IF(A424="","",IFERROR(INDEX(Ввод!$B$12:$B$71,MATCH(A424,Ввод!$D$12:$D$71,1)),""))</f>
        <v/>
      </c>
      <c r="C424">
        <f>IF(A424="","",DATE(YEAR(A424),12,31)-DATE(YEAR(A424),1,1)+1)</f>
        <v/>
      </c>
      <c r="D424">
        <f>IF(A424="","",SUMIFS(Акты!$D$5:$D$16,Акты!$E$5:$E$16,"&lt;="&amp;A424)-SUMIFS(Оплаты!$B$6:$B$505,Оплаты!$A$6:$A$505,"&lt;"&amp;A424,Оплаты!$D$6:$D$505,"&lt;&gt;"))</f>
        <v/>
      </c>
      <c r="E424">
        <f>IF(A424="","",IF(SUMPRODUCT((Ввод!$F$12:$F$31&lt;&gt;"")*(Ввод!$F$12:$F$31&lt;=A424)*(Ввод!$G$12:$G$31&gt;=A424))&gt;0,1,0))</f>
        <v/>
      </c>
      <c r="G424">
        <f>IF(A424="","",IF(OR(B424&lt;&gt;B423,C424&lt;&gt;C423,E424&lt;&gt;E423),G423+1,G423))</f>
        <v/>
      </c>
    </row>
    <row r="425">
      <c r="A425" s="20">
        <f>IF(A424="","",IF(A424+1&gt;Ввод!$B$4,"",A424+1))</f>
        <v/>
      </c>
      <c r="B425">
        <f>IF(A425="","",IFERROR(INDEX(Ввод!$B$12:$B$71,MATCH(A425,Ввод!$D$12:$D$71,1)),""))</f>
        <v/>
      </c>
      <c r="C425">
        <f>IF(A425="","",DATE(YEAR(A425),12,31)-DATE(YEAR(A425),1,1)+1)</f>
        <v/>
      </c>
      <c r="D425">
        <f>IF(A425="","",SUMIFS(Акты!$D$5:$D$16,Акты!$E$5:$E$16,"&lt;="&amp;A425)-SUMIFS(Оплаты!$B$6:$B$505,Оплаты!$A$6:$A$505,"&lt;"&amp;A425,Оплаты!$D$6:$D$505,"&lt;&gt;"))</f>
        <v/>
      </c>
      <c r="E425">
        <f>IF(A425="","",IF(SUMPRODUCT((Ввод!$F$12:$F$31&lt;&gt;"")*(Ввод!$F$12:$F$31&lt;=A425)*(Ввод!$G$12:$G$31&gt;=A425))&gt;0,1,0))</f>
        <v/>
      </c>
      <c r="G425">
        <f>IF(A425="","",IF(OR(B425&lt;&gt;B424,C425&lt;&gt;C424,E425&lt;&gt;E424),G424+1,G424))</f>
        <v/>
      </c>
    </row>
    <row r="426">
      <c r="A426" s="20">
        <f>IF(A425="","",IF(A425+1&gt;Ввод!$B$4,"",A425+1))</f>
        <v/>
      </c>
      <c r="B426">
        <f>IF(A426="","",IFERROR(INDEX(Ввод!$B$12:$B$71,MATCH(A426,Ввод!$D$12:$D$71,1)),""))</f>
        <v/>
      </c>
      <c r="C426">
        <f>IF(A426="","",DATE(YEAR(A426),12,31)-DATE(YEAR(A426),1,1)+1)</f>
        <v/>
      </c>
      <c r="D426">
        <f>IF(A426="","",SUMIFS(Акты!$D$5:$D$16,Акты!$E$5:$E$16,"&lt;="&amp;A426)-SUMIFS(Оплаты!$B$6:$B$505,Оплаты!$A$6:$A$505,"&lt;"&amp;A426,Оплаты!$D$6:$D$505,"&lt;&gt;"))</f>
        <v/>
      </c>
      <c r="E426">
        <f>IF(A426="","",IF(SUMPRODUCT((Ввод!$F$12:$F$31&lt;&gt;"")*(Ввод!$F$12:$F$31&lt;=A426)*(Ввод!$G$12:$G$31&gt;=A426))&gt;0,1,0))</f>
        <v/>
      </c>
      <c r="G426">
        <f>IF(A426="","",IF(OR(B426&lt;&gt;B425,C426&lt;&gt;C425,E426&lt;&gt;E425),G425+1,G425))</f>
        <v/>
      </c>
    </row>
    <row r="427">
      <c r="A427" s="20">
        <f>IF(A426="","",IF(A426+1&gt;Ввод!$B$4,"",A426+1))</f>
        <v/>
      </c>
      <c r="B427">
        <f>IF(A427="","",IFERROR(INDEX(Ввод!$B$12:$B$71,MATCH(A427,Ввод!$D$12:$D$71,1)),""))</f>
        <v/>
      </c>
      <c r="C427">
        <f>IF(A427="","",DATE(YEAR(A427),12,31)-DATE(YEAR(A427),1,1)+1)</f>
        <v/>
      </c>
      <c r="D427">
        <f>IF(A427="","",SUMIFS(Акты!$D$5:$D$16,Акты!$E$5:$E$16,"&lt;="&amp;A427)-SUMIFS(Оплаты!$B$6:$B$505,Оплаты!$A$6:$A$505,"&lt;"&amp;A427,Оплаты!$D$6:$D$505,"&lt;&gt;"))</f>
        <v/>
      </c>
      <c r="E427">
        <f>IF(A427="","",IF(SUMPRODUCT((Ввод!$F$12:$F$31&lt;&gt;"")*(Ввод!$F$12:$F$31&lt;=A427)*(Ввод!$G$12:$G$31&gt;=A427))&gt;0,1,0))</f>
        <v/>
      </c>
      <c r="G427">
        <f>IF(A427="","",IF(OR(B427&lt;&gt;B426,C427&lt;&gt;C426,E427&lt;&gt;E426),G426+1,G426))</f>
        <v/>
      </c>
    </row>
    <row r="428">
      <c r="A428" s="20">
        <f>IF(A427="","",IF(A427+1&gt;Ввод!$B$4,"",A427+1))</f>
        <v/>
      </c>
      <c r="B428">
        <f>IF(A428="","",IFERROR(INDEX(Ввод!$B$12:$B$71,MATCH(A428,Ввод!$D$12:$D$71,1)),""))</f>
        <v/>
      </c>
      <c r="C428">
        <f>IF(A428="","",DATE(YEAR(A428),12,31)-DATE(YEAR(A428),1,1)+1)</f>
        <v/>
      </c>
      <c r="D428">
        <f>IF(A428="","",SUMIFS(Акты!$D$5:$D$16,Акты!$E$5:$E$16,"&lt;="&amp;A428)-SUMIFS(Оплаты!$B$6:$B$505,Оплаты!$A$6:$A$505,"&lt;"&amp;A428,Оплаты!$D$6:$D$505,"&lt;&gt;"))</f>
        <v/>
      </c>
      <c r="E428">
        <f>IF(A428="","",IF(SUMPRODUCT((Ввод!$F$12:$F$31&lt;&gt;"")*(Ввод!$F$12:$F$31&lt;=A428)*(Ввод!$G$12:$G$31&gt;=A428))&gt;0,1,0))</f>
        <v/>
      </c>
      <c r="G428">
        <f>IF(A428="","",IF(OR(B428&lt;&gt;B427,C428&lt;&gt;C427,E428&lt;&gt;E427),G427+1,G427))</f>
        <v/>
      </c>
    </row>
    <row r="429">
      <c r="A429" s="20">
        <f>IF(A428="","",IF(A428+1&gt;Ввод!$B$4,"",A428+1))</f>
        <v/>
      </c>
      <c r="B429">
        <f>IF(A429="","",IFERROR(INDEX(Ввод!$B$12:$B$71,MATCH(A429,Ввод!$D$12:$D$71,1)),""))</f>
        <v/>
      </c>
      <c r="C429">
        <f>IF(A429="","",DATE(YEAR(A429),12,31)-DATE(YEAR(A429),1,1)+1)</f>
        <v/>
      </c>
      <c r="D429">
        <f>IF(A429="","",SUMIFS(Акты!$D$5:$D$16,Акты!$E$5:$E$16,"&lt;="&amp;A429)-SUMIFS(Оплаты!$B$6:$B$505,Оплаты!$A$6:$A$505,"&lt;"&amp;A429,Оплаты!$D$6:$D$505,"&lt;&gt;"))</f>
        <v/>
      </c>
      <c r="E429">
        <f>IF(A429="","",IF(SUMPRODUCT((Ввод!$F$12:$F$31&lt;&gt;"")*(Ввод!$F$12:$F$31&lt;=A429)*(Ввод!$G$12:$G$31&gt;=A429))&gt;0,1,0))</f>
        <v/>
      </c>
      <c r="G429">
        <f>IF(A429="","",IF(OR(B429&lt;&gt;B428,C429&lt;&gt;C428,E429&lt;&gt;E428),G428+1,G428))</f>
        <v/>
      </c>
    </row>
    <row r="430">
      <c r="A430" s="20">
        <f>IF(A429="","",IF(A429+1&gt;Ввод!$B$4,"",A429+1))</f>
        <v/>
      </c>
      <c r="B430">
        <f>IF(A430="","",IFERROR(INDEX(Ввод!$B$12:$B$71,MATCH(A430,Ввод!$D$12:$D$71,1)),""))</f>
        <v/>
      </c>
      <c r="C430">
        <f>IF(A430="","",DATE(YEAR(A430),12,31)-DATE(YEAR(A430),1,1)+1)</f>
        <v/>
      </c>
      <c r="D430">
        <f>IF(A430="","",SUMIFS(Акты!$D$5:$D$16,Акты!$E$5:$E$16,"&lt;="&amp;A430)-SUMIFS(Оплаты!$B$6:$B$505,Оплаты!$A$6:$A$505,"&lt;"&amp;A430,Оплаты!$D$6:$D$505,"&lt;&gt;"))</f>
        <v/>
      </c>
      <c r="E430">
        <f>IF(A430="","",IF(SUMPRODUCT((Ввод!$F$12:$F$31&lt;&gt;"")*(Ввод!$F$12:$F$31&lt;=A430)*(Ввод!$G$12:$G$31&gt;=A430))&gt;0,1,0))</f>
        <v/>
      </c>
      <c r="G430">
        <f>IF(A430="","",IF(OR(B430&lt;&gt;B429,C430&lt;&gt;C429,E430&lt;&gt;E429),G429+1,G429))</f>
        <v/>
      </c>
    </row>
    <row r="431">
      <c r="A431" s="20">
        <f>IF(A430="","",IF(A430+1&gt;Ввод!$B$4,"",A430+1))</f>
        <v/>
      </c>
      <c r="B431">
        <f>IF(A431="","",IFERROR(INDEX(Ввод!$B$12:$B$71,MATCH(A431,Ввод!$D$12:$D$71,1)),""))</f>
        <v/>
      </c>
      <c r="C431">
        <f>IF(A431="","",DATE(YEAR(A431),12,31)-DATE(YEAR(A431),1,1)+1)</f>
        <v/>
      </c>
      <c r="D431">
        <f>IF(A431="","",SUMIFS(Акты!$D$5:$D$16,Акты!$E$5:$E$16,"&lt;="&amp;A431)-SUMIFS(Оплаты!$B$6:$B$505,Оплаты!$A$6:$A$505,"&lt;"&amp;A431,Оплаты!$D$6:$D$505,"&lt;&gt;"))</f>
        <v/>
      </c>
      <c r="E431">
        <f>IF(A431="","",IF(SUMPRODUCT((Ввод!$F$12:$F$31&lt;&gt;"")*(Ввод!$F$12:$F$31&lt;=A431)*(Ввод!$G$12:$G$31&gt;=A431))&gt;0,1,0))</f>
        <v/>
      </c>
      <c r="G431">
        <f>IF(A431="","",IF(OR(B431&lt;&gt;B430,C431&lt;&gt;C430,E431&lt;&gt;E430),G430+1,G430))</f>
        <v/>
      </c>
    </row>
    <row r="432">
      <c r="A432" s="20">
        <f>IF(A431="","",IF(A431+1&gt;Ввод!$B$4,"",A431+1))</f>
        <v/>
      </c>
      <c r="B432">
        <f>IF(A432="","",IFERROR(INDEX(Ввод!$B$12:$B$71,MATCH(A432,Ввод!$D$12:$D$71,1)),""))</f>
        <v/>
      </c>
      <c r="C432">
        <f>IF(A432="","",DATE(YEAR(A432),12,31)-DATE(YEAR(A432),1,1)+1)</f>
        <v/>
      </c>
      <c r="D432">
        <f>IF(A432="","",SUMIFS(Акты!$D$5:$D$16,Акты!$E$5:$E$16,"&lt;="&amp;A432)-SUMIFS(Оплаты!$B$6:$B$505,Оплаты!$A$6:$A$505,"&lt;"&amp;A432,Оплаты!$D$6:$D$505,"&lt;&gt;"))</f>
        <v/>
      </c>
      <c r="E432">
        <f>IF(A432="","",IF(SUMPRODUCT((Ввод!$F$12:$F$31&lt;&gt;"")*(Ввод!$F$12:$F$31&lt;=A432)*(Ввод!$G$12:$G$31&gt;=A432))&gt;0,1,0))</f>
        <v/>
      </c>
      <c r="G432">
        <f>IF(A432="","",IF(OR(B432&lt;&gt;B431,C432&lt;&gt;C431,E432&lt;&gt;E431),G431+1,G431))</f>
        <v/>
      </c>
    </row>
    <row r="433">
      <c r="A433" s="20">
        <f>IF(A432="","",IF(A432+1&gt;Ввод!$B$4,"",A432+1))</f>
        <v/>
      </c>
      <c r="B433">
        <f>IF(A433="","",IFERROR(INDEX(Ввод!$B$12:$B$71,MATCH(A433,Ввод!$D$12:$D$71,1)),""))</f>
        <v/>
      </c>
      <c r="C433">
        <f>IF(A433="","",DATE(YEAR(A433),12,31)-DATE(YEAR(A433),1,1)+1)</f>
        <v/>
      </c>
      <c r="D433">
        <f>IF(A433="","",SUMIFS(Акты!$D$5:$D$16,Акты!$E$5:$E$16,"&lt;="&amp;A433)-SUMIFS(Оплаты!$B$6:$B$505,Оплаты!$A$6:$A$505,"&lt;"&amp;A433,Оплаты!$D$6:$D$505,"&lt;&gt;"))</f>
        <v/>
      </c>
      <c r="E433">
        <f>IF(A433="","",IF(SUMPRODUCT((Ввод!$F$12:$F$31&lt;&gt;"")*(Ввод!$F$12:$F$31&lt;=A433)*(Ввод!$G$12:$G$31&gt;=A433))&gt;0,1,0))</f>
        <v/>
      </c>
      <c r="G433">
        <f>IF(A433="","",IF(OR(B433&lt;&gt;B432,C433&lt;&gt;C432,E433&lt;&gt;E432),G432+1,G432))</f>
        <v/>
      </c>
    </row>
    <row r="434">
      <c r="A434" s="20">
        <f>IF(A433="","",IF(A433+1&gt;Ввод!$B$4,"",A433+1))</f>
        <v/>
      </c>
      <c r="B434">
        <f>IF(A434="","",IFERROR(INDEX(Ввод!$B$12:$B$71,MATCH(A434,Ввод!$D$12:$D$71,1)),""))</f>
        <v/>
      </c>
      <c r="C434">
        <f>IF(A434="","",DATE(YEAR(A434),12,31)-DATE(YEAR(A434),1,1)+1)</f>
        <v/>
      </c>
      <c r="D434">
        <f>IF(A434="","",SUMIFS(Акты!$D$5:$D$16,Акты!$E$5:$E$16,"&lt;="&amp;A434)-SUMIFS(Оплаты!$B$6:$B$505,Оплаты!$A$6:$A$505,"&lt;"&amp;A434,Оплаты!$D$6:$D$505,"&lt;&gt;"))</f>
        <v/>
      </c>
      <c r="E434">
        <f>IF(A434="","",IF(SUMPRODUCT((Ввод!$F$12:$F$31&lt;&gt;"")*(Ввод!$F$12:$F$31&lt;=A434)*(Ввод!$G$12:$G$31&gt;=A434))&gt;0,1,0))</f>
        <v/>
      </c>
      <c r="G434">
        <f>IF(A434="","",IF(OR(B434&lt;&gt;B433,C434&lt;&gt;C433,E434&lt;&gt;E433),G433+1,G433))</f>
        <v/>
      </c>
    </row>
    <row r="435">
      <c r="A435" s="20">
        <f>IF(A434="","",IF(A434+1&gt;Ввод!$B$4,"",A434+1))</f>
        <v/>
      </c>
      <c r="B435">
        <f>IF(A435="","",IFERROR(INDEX(Ввод!$B$12:$B$71,MATCH(A435,Ввод!$D$12:$D$71,1)),""))</f>
        <v/>
      </c>
      <c r="C435">
        <f>IF(A435="","",DATE(YEAR(A435),12,31)-DATE(YEAR(A435),1,1)+1)</f>
        <v/>
      </c>
      <c r="D435">
        <f>IF(A435="","",SUMIFS(Акты!$D$5:$D$16,Акты!$E$5:$E$16,"&lt;="&amp;A435)-SUMIFS(Оплаты!$B$6:$B$505,Оплаты!$A$6:$A$505,"&lt;"&amp;A435,Оплаты!$D$6:$D$505,"&lt;&gt;"))</f>
        <v/>
      </c>
      <c r="E435">
        <f>IF(A435="","",IF(SUMPRODUCT((Ввод!$F$12:$F$31&lt;&gt;"")*(Ввод!$F$12:$F$31&lt;=A435)*(Ввод!$G$12:$G$31&gt;=A435))&gt;0,1,0))</f>
        <v/>
      </c>
      <c r="G435">
        <f>IF(A435="","",IF(OR(B435&lt;&gt;B434,C435&lt;&gt;C434,E435&lt;&gt;E434),G434+1,G434))</f>
        <v/>
      </c>
    </row>
    <row r="436">
      <c r="A436" s="20">
        <f>IF(A435="","",IF(A435+1&gt;Ввод!$B$4,"",A435+1))</f>
        <v/>
      </c>
      <c r="B436">
        <f>IF(A436="","",IFERROR(INDEX(Ввод!$B$12:$B$71,MATCH(A436,Ввод!$D$12:$D$71,1)),""))</f>
        <v/>
      </c>
      <c r="C436">
        <f>IF(A436="","",DATE(YEAR(A436),12,31)-DATE(YEAR(A436),1,1)+1)</f>
        <v/>
      </c>
      <c r="D436">
        <f>IF(A436="","",SUMIFS(Акты!$D$5:$D$16,Акты!$E$5:$E$16,"&lt;="&amp;A436)-SUMIFS(Оплаты!$B$6:$B$505,Оплаты!$A$6:$A$505,"&lt;"&amp;A436,Оплаты!$D$6:$D$505,"&lt;&gt;"))</f>
        <v/>
      </c>
      <c r="E436">
        <f>IF(A436="","",IF(SUMPRODUCT((Ввод!$F$12:$F$31&lt;&gt;"")*(Ввод!$F$12:$F$31&lt;=A436)*(Ввод!$G$12:$G$31&gt;=A436))&gt;0,1,0))</f>
        <v/>
      </c>
      <c r="G436">
        <f>IF(A436="","",IF(OR(B436&lt;&gt;B435,C436&lt;&gt;C435,E436&lt;&gt;E435),G435+1,G435))</f>
        <v/>
      </c>
    </row>
    <row r="437">
      <c r="A437" s="20">
        <f>IF(A436="","",IF(A436+1&gt;Ввод!$B$4,"",A436+1))</f>
        <v/>
      </c>
      <c r="B437">
        <f>IF(A437="","",IFERROR(INDEX(Ввод!$B$12:$B$71,MATCH(A437,Ввод!$D$12:$D$71,1)),""))</f>
        <v/>
      </c>
      <c r="C437">
        <f>IF(A437="","",DATE(YEAR(A437),12,31)-DATE(YEAR(A437),1,1)+1)</f>
        <v/>
      </c>
      <c r="D437">
        <f>IF(A437="","",SUMIFS(Акты!$D$5:$D$16,Акты!$E$5:$E$16,"&lt;="&amp;A437)-SUMIFS(Оплаты!$B$6:$B$505,Оплаты!$A$6:$A$505,"&lt;"&amp;A437,Оплаты!$D$6:$D$505,"&lt;&gt;"))</f>
        <v/>
      </c>
      <c r="E437">
        <f>IF(A437="","",IF(SUMPRODUCT((Ввод!$F$12:$F$31&lt;&gt;"")*(Ввод!$F$12:$F$31&lt;=A437)*(Ввод!$G$12:$G$31&gt;=A437))&gt;0,1,0))</f>
        <v/>
      </c>
      <c r="G437">
        <f>IF(A437="","",IF(OR(B437&lt;&gt;B436,C437&lt;&gt;C436,E437&lt;&gt;E436),G436+1,G436))</f>
        <v/>
      </c>
    </row>
    <row r="438">
      <c r="A438" s="20">
        <f>IF(A437="","",IF(A437+1&gt;Ввод!$B$4,"",A437+1))</f>
        <v/>
      </c>
      <c r="B438">
        <f>IF(A438="","",IFERROR(INDEX(Ввод!$B$12:$B$71,MATCH(A438,Ввод!$D$12:$D$71,1)),""))</f>
        <v/>
      </c>
      <c r="C438">
        <f>IF(A438="","",DATE(YEAR(A438),12,31)-DATE(YEAR(A438),1,1)+1)</f>
        <v/>
      </c>
      <c r="D438">
        <f>IF(A438="","",SUMIFS(Акты!$D$5:$D$16,Акты!$E$5:$E$16,"&lt;="&amp;A438)-SUMIFS(Оплаты!$B$6:$B$505,Оплаты!$A$6:$A$505,"&lt;"&amp;A438,Оплаты!$D$6:$D$505,"&lt;&gt;"))</f>
        <v/>
      </c>
      <c r="E438">
        <f>IF(A438="","",IF(SUMPRODUCT((Ввод!$F$12:$F$31&lt;&gt;"")*(Ввод!$F$12:$F$31&lt;=A438)*(Ввод!$G$12:$G$31&gt;=A438))&gt;0,1,0))</f>
        <v/>
      </c>
      <c r="G438">
        <f>IF(A438="","",IF(OR(B438&lt;&gt;B437,C438&lt;&gt;C437,E438&lt;&gt;E437),G437+1,G437))</f>
        <v/>
      </c>
    </row>
    <row r="439">
      <c r="A439" s="20">
        <f>IF(A438="","",IF(A438+1&gt;Ввод!$B$4,"",A438+1))</f>
        <v/>
      </c>
      <c r="B439">
        <f>IF(A439="","",IFERROR(INDEX(Ввод!$B$12:$B$71,MATCH(A439,Ввод!$D$12:$D$71,1)),""))</f>
        <v/>
      </c>
      <c r="C439">
        <f>IF(A439="","",DATE(YEAR(A439),12,31)-DATE(YEAR(A439),1,1)+1)</f>
        <v/>
      </c>
      <c r="D439">
        <f>IF(A439="","",SUMIFS(Акты!$D$5:$D$16,Акты!$E$5:$E$16,"&lt;="&amp;A439)-SUMIFS(Оплаты!$B$6:$B$505,Оплаты!$A$6:$A$505,"&lt;"&amp;A439,Оплаты!$D$6:$D$505,"&lt;&gt;"))</f>
        <v/>
      </c>
      <c r="E439">
        <f>IF(A439="","",IF(SUMPRODUCT((Ввод!$F$12:$F$31&lt;&gt;"")*(Ввод!$F$12:$F$31&lt;=A439)*(Ввод!$G$12:$G$31&gt;=A439))&gt;0,1,0))</f>
        <v/>
      </c>
      <c r="G439">
        <f>IF(A439="","",IF(OR(B439&lt;&gt;B438,C439&lt;&gt;C438,E439&lt;&gt;E438),G438+1,G438))</f>
        <v/>
      </c>
    </row>
    <row r="440">
      <c r="A440" s="20">
        <f>IF(A439="","",IF(A439+1&gt;Ввод!$B$4,"",A439+1))</f>
        <v/>
      </c>
      <c r="B440">
        <f>IF(A440="","",IFERROR(INDEX(Ввод!$B$12:$B$71,MATCH(A440,Ввод!$D$12:$D$71,1)),""))</f>
        <v/>
      </c>
      <c r="C440">
        <f>IF(A440="","",DATE(YEAR(A440),12,31)-DATE(YEAR(A440),1,1)+1)</f>
        <v/>
      </c>
      <c r="D440">
        <f>IF(A440="","",SUMIFS(Акты!$D$5:$D$16,Акты!$E$5:$E$16,"&lt;="&amp;A440)-SUMIFS(Оплаты!$B$6:$B$505,Оплаты!$A$6:$A$505,"&lt;"&amp;A440,Оплаты!$D$6:$D$505,"&lt;&gt;"))</f>
        <v/>
      </c>
      <c r="E440">
        <f>IF(A440="","",IF(SUMPRODUCT((Ввод!$F$12:$F$31&lt;&gt;"")*(Ввод!$F$12:$F$31&lt;=A440)*(Ввод!$G$12:$G$31&gt;=A440))&gt;0,1,0))</f>
        <v/>
      </c>
      <c r="G440">
        <f>IF(A440="","",IF(OR(B440&lt;&gt;B439,C440&lt;&gt;C439,E440&lt;&gt;E439),G439+1,G439))</f>
        <v/>
      </c>
    </row>
    <row r="441">
      <c r="A441" s="20">
        <f>IF(A440="","",IF(A440+1&gt;Ввод!$B$4,"",A440+1))</f>
        <v/>
      </c>
      <c r="B441">
        <f>IF(A441="","",IFERROR(INDEX(Ввод!$B$12:$B$71,MATCH(A441,Ввод!$D$12:$D$71,1)),""))</f>
        <v/>
      </c>
      <c r="C441">
        <f>IF(A441="","",DATE(YEAR(A441),12,31)-DATE(YEAR(A441),1,1)+1)</f>
        <v/>
      </c>
      <c r="D441">
        <f>IF(A441="","",SUMIFS(Акты!$D$5:$D$16,Акты!$E$5:$E$16,"&lt;="&amp;A441)-SUMIFS(Оплаты!$B$6:$B$505,Оплаты!$A$6:$A$505,"&lt;"&amp;A441,Оплаты!$D$6:$D$505,"&lt;&gt;"))</f>
        <v/>
      </c>
      <c r="E441">
        <f>IF(A441="","",IF(SUMPRODUCT((Ввод!$F$12:$F$31&lt;&gt;"")*(Ввод!$F$12:$F$31&lt;=A441)*(Ввод!$G$12:$G$31&gt;=A441))&gt;0,1,0))</f>
        <v/>
      </c>
      <c r="G441">
        <f>IF(A441="","",IF(OR(B441&lt;&gt;B440,C441&lt;&gt;C440,E441&lt;&gt;E440),G440+1,G440))</f>
        <v/>
      </c>
    </row>
    <row r="442">
      <c r="A442" s="20">
        <f>IF(A441="","",IF(A441+1&gt;Ввод!$B$4,"",A441+1))</f>
        <v/>
      </c>
      <c r="B442">
        <f>IF(A442="","",IFERROR(INDEX(Ввод!$B$12:$B$71,MATCH(A442,Ввод!$D$12:$D$71,1)),""))</f>
        <v/>
      </c>
      <c r="C442">
        <f>IF(A442="","",DATE(YEAR(A442),12,31)-DATE(YEAR(A442),1,1)+1)</f>
        <v/>
      </c>
      <c r="D442">
        <f>IF(A442="","",SUMIFS(Акты!$D$5:$D$16,Акты!$E$5:$E$16,"&lt;="&amp;A442)-SUMIFS(Оплаты!$B$6:$B$505,Оплаты!$A$6:$A$505,"&lt;"&amp;A442,Оплаты!$D$6:$D$505,"&lt;&gt;"))</f>
        <v/>
      </c>
      <c r="E442">
        <f>IF(A442="","",IF(SUMPRODUCT((Ввод!$F$12:$F$31&lt;&gt;"")*(Ввод!$F$12:$F$31&lt;=A442)*(Ввод!$G$12:$G$31&gt;=A442))&gt;0,1,0))</f>
        <v/>
      </c>
      <c r="G442">
        <f>IF(A442="","",IF(OR(B442&lt;&gt;B441,C442&lt;&gt;C441,E442&lt;&gt;E441),G441+1,G441))</f>
        <v/>
      </c>
    </row>
    <row r="443">
      <c r="A443" s="20">
        <f>IF(A442="","",IF(A442+1&gt;Ввод!$B$4,"",A442+1))</f>
        <v/>
      </c>
      <c r="B443">
        <f>IF(A443="","",IFERROR(INDEX(Ввод!$B$12:$B$71,MATCH(A443,Ввод!$D$12:$D$71,1)),""))</f>
        <v/>
      </c>
      <c r="C443">
        <f>IF(A443="","",DATE(YEAR(A443),12,31)-DATE(YEAR(A443),1,1)+1)</f>
        <v/>
      </c>
      <c r="D443">
        <f>IF(A443="","",SUMIFS(Акты!$D$5:$D$16,Акты!$E$5:$E$16,"&lt;="&amp;A443)-SUMIFS(Оплаты!$B$6:$B$505,Оплаты!$A$6:$A$505,"&lt;"&amp;A443,Оплаты!$D$6:$D$505,"&lt;&gt;"))</f>
        <v/>
      </c>
      <c r="E443">
        <f>IF(A443="","",IF(SUMPRODUCT((Ввод!$F$12:$F$31&lt;&gt;"")*(Ввод!$F$12:$F$31&lt;=A443)*(Ввод!$G$12:$G$31&gt;=A443))&gt;0,1,0))</f>
        <v/>
      </c>
      <c r="G443">
        <f>IF(A443="","",IF(OR(B443&lt;&gt;B442,C443&lt;&gt;C442,E443&lt;&gt;E442),G442+1,G442))</f>
        <v/>
      </c>
    </row>
    <row r="444">
      <c r="A444" s="20">
        <f>IF(A443="","",IF(A443+1&gt;Ввод!$B$4,"",A443+1))</f>
        <v/>
      </c>
      <c r="B444">
        <f>IF(A444="","",IFERROR(INDEX(Ввод!$B$12:$B$71,MATCH(A444,Ввод!$D$12:$D$71,1)),""))</f>
        <v/>
      </c>
      <c r="C444">
        <f>IF(A444="","",DATE(YEAR(A444),12,31)-DATE(YEAR(A444),1,1)+1)</f>
        <v/>
      </c>
      <c r="D444">
        <f>IF(A444="","",SUMIFS(Акты!$D$5:$D$16,Акты!$E$5:$E$16,"&lt;="&amp;A444)-SUMIFS(Оплаты!$B$6:$B$505,Оплаты!$A$6:$A$505,"&lt;"&amp;A444,Оплаты!$D$6:$D$505,"&lt;&gt;"))</f>
        <v/>
      </c>
      <c r="E444">
        <f>IF(A444="","",IF(SUMPRODUCT((Ввод!$F$12:$F$31&lt;&gt;"")*(Ввод!$F$12:$F$31&lt;=A444)*(Ввод!$G$12:$G$31&gt;=A444))&gt;0,1,0))</f>
        <v/>
      </c>
      <c r="G444">
        <f>IF(A444="","",IF(OR(B444&lt;&gt;B443,C444&lt;&gt;C443,E444&lt;&gt;E443),G443+1,G443))</f>
        <v/>
      </c>
    </row>
    <row r="445">
      <c r="A445" s="20">
        <f>IF(A444="","",IF(A444+1&gt;Ввод!$B$4,"",A444+1))</f>
        <v/>
      </c>
      <c r="B445">
        <f>IF(A445="","",IFERROR(INDEX(Ввод!$B$12:$B$71,MATCH(A445,Ввод!$D$12:$D$71,1)),""))</f>
        <v/>
      </c>
      <c r="C445">
        <f>IF(A445="","",DATE(YEAR(A445),12,31)-DATE(YEAR(A445),1,1)+1)</f>
        <v/>
      </c>
      <c r="D445">
        <f>IF(A445="","",SUMIFS(Акты!$D$5:$D$16,Акты!$E$5:$E$16,"&lt;="&amp;A445)-SUMIFS(Оплаты!$B$6:$B$505,Оплаты!$A$6:$A$505,"&lt;"&amp;A445,Оплаты!$D$6:$D$505,"&lt;&gt;"))</f>
        <v/>
      </c>
      <c r="E445">
        <f>IF(A445="","",IF(SUMPRODUCT((Ввод!$F$12:$F$31&lt;&gt;"")*(Ввод!$F$12:$F$31&lt;=A445)*(Ввод!$G$12:$G$31&gt;=A445))&gt;0,1,0))</f>
        <v/>
      </c>
      <c r="G445">
        <f>IF(A445="","",IF(OR(B445&lt;&gt;B444,C445&lt;&gt;C444,E445&lt;&gt;E444),G444+1,G444))</f>
        <v/>
      </c>
    </row>
    <row r="446">
      <c r="A446" s="20">
        <f>IF(A445="","",IF(A445+1&gt;Ввод!$B$4,"",A445+1))</f>
        <v/>
      </c>
      <c r="B446">
        <f>IF(A446="","",IFERROR(INDEX(Ввод!$B$12:$B$71,MATCH(A446,Ввод!$D$12:$D$71,1)),""))</f>
        <v/>
      </c>
      <c r="C446">
        <f>IF(A446="","",DATE(YEAR(A446),12,31)-DATE(YEAR(A446),1,1)+1)</f>
        <v/>
      </c>
      <c r="D446">
        <f>IF(A446="","",SUMIFS(Акты!$D$5:$D$16,Акты!$E$5:$E$16,"&lt;="&amp;A446)-SUMIFS(Оплаты!$B$6:$B$505,Оплаты!$A$6:$A$505,"&lt;"&amp;A446,Оплаты!$D$6:$D$505,"&lt;&gt;"))</f>
        <v/>
      </c>
      <c r="E446">
        <f>IF(A446="","",IF(SUMPRODUCT((Ввод!$F$12:$F$31&lt;&gt;"")*(Ввод!$F$12:$F$31&lt;=A446)*(Ввод!$G$12:$G$31&gt;=A446))&gt;0,1,0))</f>
        <v/>
      </c>
      <c r="G446">
        <f>IF(A446="","",IF(OR(B446&lt;&gt;B445,C446&lt;&gt;C445,E446&lt;&gt;E445),G445+1,G445))</f>
        <v/>
      </c>
    </row>
    <row r="447">
      <c r="A447" s="20">
        <f>IF(A446="","",IF(A446+1&gt;Ввод!$B$4,"",A446+1))</f>
        <v/>
      </c>
      <c r="B447">
        <f>IF(A447="","",IFERROR(INDEX(Ввод!$B$12:$B$71,MATCH(A447,Ввод!$D$12:$D$71,1)),""))</f>
        <v/>
      </c>
      <c r="C447">
        <f>IF(A447="","",DATE(YEAR(A447),12,31)-DATE(YEAR(A447),1,1)+1)</f>
        <v/>
      </c>
      <c r="D447">
        <f>IF(A447="","",SUMIFS(Акты!$D$5:$D$16,Акты!$E$5:$E$16,"&lt;="&amp;A447)-SUMIFS(Оплаты!$B$6:$B$505,Оплаты!$A$6:$A$505,"&lt;"&amp;A447,Оплаты!$D$6:$D$505,"&lt;&gt;"))</f>
        <v/>
      </c>
      <c r="E447">
        <f>IF(A447="","",IF(SUMPRODUCT((Ввод!$F$12:$F$31&lt;&gt;"")*(Ввод!$F$12:$F$31&lt;=A447)*(Ввод!$G$12:$G$31&gt;=A447))&gt;0,1,0))</f>
        <v/>
      </c>
      <c r="G447">
        <f>IF(A447="","",IF(OR(B447&lt;&gt;B446,C447&lt;&gt;C446,E447&lt;&gt;E446),G446+1,G446))</f>
        <v/>
      </c>
    </row>
    <row r="448">
      <c r="A448" s="20">
        <f>IF(A447="","",IF(A447+1&gt;Ввод!$B$4,"",A447+1))</f>
        <v/>
      </c>
      <c r="B448">
        <f>IF(A448="","",IFERROR(INDEX(Ввод!$B$12:$B$71,MATCH(A448,Ввод!$D$12:$D$71,1)),""))</f>
        <v/>
      </c>
      <c r="C448">
        <f>IF(A448="","",DATE(YEAR(A448),12,31)-DATE(YEAR(A448),1,1)+1)</f>
        <v/>
      </c>
      <c r="D448">
        <f>IF(A448="","",SUMIFS(Акты!$D$5:$D$16,Акты!$E$5:$E$16,"&lt;="&amp;A448)-SUMIFS(Оплаты!$B$6:$B$505,Оплаты!$A$6:$A$505,"&lt;"&amp;A448,Оплаты!$D$6:$D$505,"&lt;&gt;"))</f>
        <v/>
      </c>
      <c r="E448">
        <f>IF(A448="","",IF(SUMPRODUCT((Ввод!$F$12:$F$31&lt;&gt;"")*(Ввод!$F$12:$F$31&lt;=A448)*(Ввод!$G$12:$G$31&gt;=A448))&gt;0,1,0))</f>
        <v/>
      </c>
      <c r="G448">
        <f>IF(A448="","",IF(OR(B448&lt;&gt;B447,C448&lt;&gt;C447,E448&lt;&gt;E447),G447+1,G447))</f>
        <v/>
      </c>
    </row>
    <row r="449">
      <c r="A449" s="20">
        <f>IF(A448="","",IF(A448+1&gt;Ввод!$B$4,"",A448+1))</f>
        <v/>
      </c>
      <c r="B449">
        <f>IF(A449="","",IFERROR(INDEX(Ввод!$B$12:$B$71,MATCH(A449,Ввод!$D$12:$D$71,1)),""))</f>
        <v/>
      </c>
      <c r="C449">
        <f>IF(A449="","",DATE(YEAR(A449),12,31)-DATE(YEAR(A449),1,1)+1)</f>
        <v/>
      </c>
      <c r="D449">
        <f>IF(A449="","",SUMIFS(Акты!$D$5:$D$16,Акты!$E$5:$E$16,"&lt;="&amp;A449)-SUMIFS(Оплаты!$B$6:$B$505,Оплаты!$A$6:$A$505,"&lt;"&amp;A449,Оплаты!$D$6:$D$505,"&lt;&gt;"))</f>
        <v/>
      </c>
      <c r="E449">
        <f>IF(A449="","",IF(SUMPRODUCT((Ввод!$F$12:$F$31&lt;&gt;"")*(Ввод!$F$12:$F$31&lt;=A449)*(Ввод!$G$12:$G$31&gt;=A449))&gt;0,1,0))</f>
        <v/>
      </c>
      <c r="G449">
        <f>IF(A449="","",IF(OR(B449&lt;&gt;B448,C449&lt;&gt;C448,E449&lt;&gt;E448),G448+1,G448))</f>
        <v/>
      </c>
    </row>
    <row r="450">
      <c r="A450" s="20">
        <f>IF(A449="","",IF(A449+1&gt;Ввод!$B$4,"",A449+1))</f>
        <v/>
      </c>
      <c r="B450">
        <f>IF(A450="","",IFERROR(INDEX(Ввод!$B$12:$B$71,MATCH(A450,Ввод!$D$12:$D$71,1)),""))</f>
        <v/>
      </c>
      <c r="C450">
        <f>IF(A450="","",DATE(YEAR(A450),12,31)-DATE(YEAR(A450),1,1)+1)</f>
        <v/>
      </c>
      <c r="D450">
        <f>IF(A450="","",SUMIFS(Акты!$D$5:$D$16,Акты!$E$5:$E$16,"&lt;="&amp;A450)-SUMIFS(Оплаты!$B$6:$B$505,Оплаты!$A$6:$A$505,"&lt;"&amp;A450,Оплаты!$D$6:$D$505,"&lt;&gt;"))</f>
        <v/>
      </c>
      <c r="E450">
        <f>IF(A450="","",IF(SUMPRODUCT((Ввод!$F$12:$F$31&lt;&gt;"")*(Ввод!$F$12:$F$31&lt;=A450)*(Ввод!$G$12:$G$31&gt;=A450))&gt;0,1,0))</f>
        <v/>
      </c>
      <c r="G450">
        <f>IF(A450="","",IF(OR(B450&lt;&gt;B449,C450&lt;&gt;C449,E450&lt;&gt;E449),G449+1,G449))</f>
        <v/>
      </c>
    </row>
    <row r="451">
      <c r="A451" s="20">
        <f>IF(A450="","",IF(A450+1&gt;Ввод!$B$4,"",A450+1))</f>
        <v/>
      </c>
      <c r="B451">
        <f>IF(A451="","",IFERROR(INDEX(Ввод!$B$12:$B$71,MATCH(A451,Ввод!$D$12:$D$71,1)),""))</f>
        <v/>
      </c>
      <c r="C451">
        <f>IF(A451="","",DATE(YEAR(A451),12,31)-DATE(YEAR(A451),1,1)+1)</f>
        <v/>
      </c>
      <c r="D451">
        <f>IF(A451="","",SUMIFS(Акты!$D$5:$D$16,Акты!$E$5:$E$16,"&lt;="&amp;A451)-SUMIFS(Оплаты!$B$6:$B$505,Оплаты!$A$6:$A$505,"&lt;"&amp;A451,Оплаты!$D$6:$D$505,"&lt;&gt;"))</f>
        <v/>
      </c>
      <c r="E451">
        <f>IF(A451="","",IF(SUMPRODUCT((Ввод!$F$12:$F$31&lt;&gt;"")*(Ввод!$F$12:$F$31&lt;=A451)*(Ввод!$G$12:$G$31&gt;=A451))&gt;0,1,0))</f>
        <v/>
      </c>
      <c r="G451">
        <f>IF(A451="","",IF(OR(B451&lt;&gt;B450,C451&lt;&gt;C450,E451&lt;&gt;E450),G450+1,G450))</f>
        <v/>
      </c>
    </row>
    <row r="452">
      <c r="A452" s="20">
        <f>IF(A451="","",IF(A451+1&gt;Ввод!$B$4,"",A451+1))</f>
        <v/>
      </c>
      <c r="B452">
        <f>IF(A452="","",IFERROR(INDEX(Ввод!$B$12:$B$71,MATCH(A452,Ввод!$D$12:$D$71,1)),""))</f>
        <v/>
      </c>
      <c r="C452">
        <f>IF(A452="","",DATE(YEAR(A452),12,31)-DATE(YEAR(A452),1,1)+1)</f>
        <v/>
      </c>
      <c r="D452">
        <f>IF(A452="","",SUMIFS(Акты!$D$5:$D$16,Акты!$E$5:$E$16,"&lt;="&amp;A452)-SUMIFS(Оплаты!$B$6:$B$505,Оплаты!$A$6:$A$505,"&lt;"&amp;A452,Оплаты!$D$6:$D$505,"&lt;&gt;"))</f>
        <v/>
      </c>
      <c r="E452">
        <f>IF(A452="","",IF(SUMPRODUCT((Ввод!$F$12:$F$31&lt;&gt;"")*(Ввод!$F$12:$F$31&lt;=A452)*(Ввод!$G$12:$G$31&gt;=A452))&gt;0,1,0))</f>
        <v/>
      </c>
      <c r="G452">
        <f>IF(A452="","",IF(OR(B452&lt;&gt;B451,C452&lt;&gt;C451,E452&lt;&gt;E451),G451+1,G451))</f>
        <v/>
      </c>
    </row>
    <row r="453">
      <c r="A453" s="20">
        <f>IF(A452="","",IF(A452+1&gt;Ввод!$B$4,"",A452+1))</f>
        <v/>
      </c>
      <c r="B453">
        <f>IF(A453="","",IFERROR(INDEX(Ввод!$B$12:$B$71,MATCH(A453,Ввод!$D$12:$D$71,1)),""))</f>
        <v/>
      </c>
      <c r="C453">
        <f>IF(A453="","",DATE(YEAR(A453),12,31)-DATE(YEAR(A453),1,1)+1)</f>
        <v/>
      </c>
      <c r="D453">
        <f>IF(A453="","",SUMIFS(Акты!$D$5:$D$16,Акты!$E$5:$E$16,"&lt;="&amp;A453)-SUMIFS(Оплаты!$B$6:$B$505,Оплаты!$A$6:$A$505,"&lt;"&amp;A453,Оплаты!$D$6:$D$505,"&lt;&gt;"))</f>
        <v/>
      </c>
      <c r="E453">
        <f>IF(A453="","",IF(SUMPRODUCT((Ввод!$F$12:$F$31&lt;&gt;"")*(Ввод!$F$12:$F$31&lt;=A453)*(Ввод!$G$12:$G$31&gt;=A453))&gt;0,1,0))</f>
        <v/>
      </c>
      <c r="G453">
        <f>IF(A453="","",IF(OR(B453&lt;&gt;B452,C453&lt;&gt;C452,E453&lt;&gt;E452),G452+1,G452))</f>
        <v/>
      </c>
    </row>
    <row r="454">
      <c r="A454" s="20">
        <f>IF(A453="","",IF(A453+1&gt;Ввод!$B$4,"",A453+1))</f>
        <v/>
      </c>
      <c r="B454">
        <f>IF(A454="","",IFERROR(INDEX(Ввод!$B$12:$B$71,MATCH(A454,Ввод!$D$12:$D$71,1)),""))</f>
        <v/>
      </c>
      <c r="C454">
        <f>IF(A454="","",DATE(YEAR(A454),12,31)-DATE(YEAR(A454),1,1)+1)</f>
        <v/>
      </c>
      <c r="D454">
        <f>IF(A454="","",SUMIFS(Акты!$D$5:$D$16,Акты!$E$5:$E$16,"&lt;="&amp;A454)-SUMIFS(Оплаты!$B$6:$B$505,Оплаты!$A$6:$A$505,"&lt;"&amp;A454,Оплаты!$D$6:$D$505,"&lt;&gt;"))</f>
        <v/>
      </c>
      <c r="E454">
        <f>IF(A454="","",IF(SUMPRODUCT((Ввод!$F$12:$F$31&lt;&gt;"")*(Ввод!$F$12:$F$31&lt;=A454)*(Ввод!$G$12:$G$31&gt;=A454))&gt;0,1,0))</f>
        <v/>
      </c>
      <c r="G454">
        <f>IF(A454="","",IF(OR(B454&lt;&gt;B453,C454&lt;&gt;C453,E454&lt;&gt;E453),G453+1,G453))</f>
        <v/>
      </c>
    </row>
    <row r="455">
      <c r="A455" s="20">
        <f>IF(A454="","",IF(A454+1&gt;Ввод!$B$4,"",A454+1))</f>
        <v/>
      </c>
      <c r="B455">
        <f>IF(A455="","",IFERROR(INDEX(Ввод!$B$12:$B$71,MATCH(A455,Ввод!$D$12:$D$71,1)),""))</f>
        <v/>
      </c>
      <c r="C455">
        <f>IF(A455="","",DATE(YEAR(A455),12,31)-DATE(YEAR(A455),1,1)+1)</f>
        <v/>
      </c>
      <c r="D455">
        <f>IF(A455="","",SUMIFS(Акты!$D$5:$D$16,Акты!$E$5:$E$16,"&lt;="&amp;A455)-SUMIFS(Оплаты!$B$6:$B$505,Оплаты!$A$6:$A$505,"&lt;"&amp;A455,Оплаты!$D$6:$D$505,"&lt;&gt;"))</f>
        <v/>
      </c>
      <c r="E455">
        <f>IF(A455="","",IF(SUMPRODUCT((Ввод!$F$12:$F$31&lt;&gt;"")*(Ввод!$F$12:$F$31&lt;=A455)*(Ввод!$G$12:$G$31&gt;=A455))&gt;0,1,0))</f>
        <v/>
      </c>
      <c r="G455">
        <f>IF(A455="","",IF(OR(B455&lt;&gt;B454,C455&lt;&gt;C454,E455&lt;&gt;E454),G454+1,G454))</f>
        <v/>
      </c>
    </row>
    <row r="456">
      <c r="A456" s="20">
        <f>IF(A455="","",IF(A455+1&gt;Ввод!$B$4,"",A455+1))</f>
        <v/>
      </c>
      <c r="B456">
        <f>IF(A456="","",IFERROR(INDEX(Ввод!$B$12:$B$71,MATCH(A456,Ввод!$D$12:$D$71,1)),""))</f>
        <v/>
      </c>
      <c r="C456">
        <f>IF(A456="","",DATE(YEAR(A456),12,31)-DATE(YEAR(A456),1,1)+1)</f>
        <v/>
      </c>
      <c r="D456">
        <f>IF(A456="","",SUMIFS(Акты!$D$5:$D$16,Акты!$E$5:$E$16,"&lt;="&amp;A456)-SUMIFS(Оплаты!$B$6:$B$505,Оплаты!$A$6:$A$505,"&lt;"&amp;A456,Оплаты!$D$6:$D$505,"&lt;&gt;"))</f>
        <v/>
      </c>
      <c r="E456">
        <f>IF(A456="","",IF(SUMPRODUCT((Ввод!$F$12:$F$31&lt;&gt;"")*(Ввод!$F$12:$F$31&lt;=A456)*(Ввод!$G$12:$G$31&gt;=A456))&gt;0,1,0))</f>
        <v/>
      </c>
      <c r="G456">
        <f>IF(A456="","",IF(OR(B456&lt;&gt;B455,C456&lt;&gt;C455,E456&lt;&gt;E455),G455+1,G455))</f>
        <v/>
      </c>
    </row>
    <row r="457">
      <c r="A457" s="20">
        <f>IF(A456="","",IF(A456+1&gt;Ввод!$B$4,"",A456+1))</f>
        <v/>
      </c>
      <c r="B457">
        <f>IF(A457="","",IFERROR(INDEX(Ввод!$B$12:$B$71,MATCH(A457,Ввод!$D$12:$D$71,1)),""))</f>
        <v/>
      </c>
      <c r="C457">
        <f>IF(A457="","",DATE(YEAR(A457),12,31)-DATE(YEAR(A457),1,1)+1)</f>
        <v/>
      </c>
      <c r="D457">
        <f>IF(A457="","",SUMIFS(Акты!$D$5:$D$16,Акты!$E$5:$E$16,"&lt;="&amp;A457)-SUMIFS(Оплаты!$B$6:$B$505,Оплаты!$A$6:$A$505,"&lt;"&amp;A457,Оплаты!$D$6:$D$505,"&lt;&gt;"))</f>
        <v/>
      </c>
      <c r="E457">
        <f>IF(A457="","",IF(SUMPRODUCT((Ввод!$F$12:$F$31&lt;&gt;"")*(Ввод!$F$12:$F$31&lt;=A457)*(Ввод!$G$12:$G$31&gt;=A457))&gt;0,1,0))</f>
        <v/>
      </c>
      <c r="G457">
        <f>IF(A457="","",IF(OR(B457&lt;&gt;B456,C457&lt;&gt;C456,E457&lt;&gt;E456),G456+1,G456))</f>
        <v/>
      </c>
    </row>
    <row r="458">
      <c r="A458" s="20">
        <f>IF(A457="","",IF(A457+1&gt;Ввод!$B$4,"",A457+1))</f>
        <v/>
      </c>
      <c r="B458">
        <f>IF(A458="","",IFERROR(INDEX(Ввод!$B$12:$B$71,MATCH(A458,Ввод!$D$12:$D$71,1)),""))</f>
        <v/>
      </c>
      <c r="C458">
        <f>IF(A458="","",DATE(YEAR(A458),12,31)-DATE(YEAR(A458),1,1)+1)</f>
        <v/>
      </c>
      <c r="D458">
        <f>IF(A458="","",SUMIFS(Акты!$D$5:$D$16,Акты!$E$5:$E$16,"&lt;="&amp;A458)-SUMIFS(Оплаты!$B$6:$B$505,Оплаты!$A$6:$A$505,"&lt;"&amp;A458,Оплаты!$D$6:$D$505,"&lt;&gt;"))</f>
        <v/>
      </c>
      <c r="E458">
        <f>IF(A458="","",IF(SUMPRODUCT((Ввод!$F$12:$F$31&lt;&gt;"")*(Ввод!$F$12:$F$31&lt;=A458)*(Ввод!$G$12:$G$31&gt;=A458))&gt;0,1,0))</f>
        <v/>
      </c>
      <c r="G458">
        <f>IF(A458="","",IF(OR(B458&lt;&gt;B457,C458&lt;&gt;C457,E458&lt;&gt;E457),G457+1,G457))</f>
        <v/>
      </c>
    </row>
    <row r="459">
      <c r="A459" s="20">
        <f>IF(A458="","",IF(A458+1&gt;Ввод!$B$4,"",A458+1))</f>
        <v/>
      </c>
      <c r="B459">
        <f>IF(A459="","",IFERROR(INDEX(Ввод!$B$12:$B$71,MATCH(A459,Ввод!$D$12:$D$71,1)),""))</f>
        <v/>
      </c>
      <c r="C459">
        <f>IF(A459="","",DATE(YEAR(A459),12,31)-DATE(YEAR(A459),1,1)+1)</f>
        <v/>
      </c>
      <c r="D459">
        <f>IF(A459="","",SUMIFS(Акты!$D$5:$D$16,Акты!$E$5:$E$16,"&lt;="&amp;A459)-SUMIFS(Оплаты!$B$6:$B$505,Оплаты!$A$6:$A$505,"&lt;"&amp;A459,Оплаты!$D$6:$D$505,"&lt;&gt;"))</f>
        <v/>
      </c>
      <c r="E459">
        <f>IF(A459="","",IF(SUMPRODUCT((Ввод!$F$12:$F$31&lt;&gt;"")*(Ввод!$F$12:$F$31&lt;=A459)*(Ввод!$G$12:$G$31&gt;=A459))&gt;0,1,0))</f>
        <v/>
      </c>
      <c r="G459">
        <f>IF(A459="","",IF(OR(B459&lt;&gt;B458,C459&lt;&gt;C458,E459&lt;&gt;E458),G458+1,G458))</f>
        <v/>
      </c>
    </row>
    <row r="460">
      <c r="A460" s="20">
        <f>IF(A459="","",IF(A459+1&gt;Ввод!$B$4,"",A459+1))</f>
        <v/>
      </c>
      <c r="B460">
        <f>IF(A460="","",IFERROR(INDEX(Ввод!$B$12:$B$71,MATCH(A460,Ввод!$D$12:$D$71,1)),""))</f>
        <v/>
      </c>
      <c r="C460">
        <f>IF(A460="","",DATE(YEAR(A460),12,31)-DATE(YEAR(A460),1,1)+1)</f>
        <v/>
      </c>
      <c r="D460">
        <f>IF(A460="","",SUMIFS(Акты!$D$5:$D$16,Акты!$E$5:$E$16,"&lt;="&amp;A460)-SUMIFS(Оплаты!$B$6:$B$505,Оплаты!$A$6:$A$505,"&lt;"&amp;A460,Оплаты!$D$6:$D$505,"&lt;&gt;"))</f>
        <v/>
      </c>
      <c r="E460">
        <f>IF(A460="","",IF(SUMPRODUCT((Ввод!$F$12:$F$31&lt;&gt;"")*(Ввод!$F$12:$F$31&lt;=A460)*(Ввод!$G$12:$G$31&gt;=A460))&gt;0,1,0))</f>
        <v/>
      </c>
      <c r="G460">
        <f>IF(A460="","",IF(OR(B460&lt;&gt;B459,C460&lt;&gt;C459,E460&lt;&gt;E459),G459+1,G459))</f>
        <v/>
      </c>
    </row>
    <row r="461">
      <c r="A461" s="20">
        <f>IF(A460="","",IF(A460+1&gt;Ввод!$B$4,"",A460+1))</f>
        <v/>
      </c>
      <c r="B461">
        <f>IF(A461="","",IFERROR(INDEX(Ввод!$B$12:$B$71,MATCH(A461,Ввод!$D$12:$D$71,1)),""))</f>
        <v/>
      </c>
      <c r="C461">
        <f>IF(A461="","",DATE(YEAR(A461),12,31)-DATE(YEAR(A461),1,1)+1)</f>
        <v/>
      </c>
      <c r="D461">
        <f>IF(A461="","",SUMIFS(Акты!$D$5:$D$16,Акты!$E$5:$E$16,"&lt;="&amp;A461)-SUMIFS(Оплаты!$B$6:$B$505,Оплаты!$A$6:$A$505,"&lt;"&amp;A461,Оплаты!$D$6:$D$505,"&lt;&gt;"))</f>
        <v/>
      </c>
      <c r="E461">
        <f>IF(A461="","",IF(SUMPRODUCT((Ввод!$F$12:$F$31&lt;&gt;"")*(Ввод!$F$12:$F$31&lt;=A461)*(Ввод!$G$12:$G$31&gt;=A461))&gt;0,1,0))</f>
        <v/>
      </c>
      <c r="G461">
        <f>IF(A461="","",IF(OR(B461&lt;&gt;B460,C461&lt;&gt;C460,E461&lt;&gt;E460),G460+1,G460))</f>
        <v/>
      </c>
    </row>
    <row r="462">
      <c r="A462" s="20">
        <f>IF(A461="","",IF(A461+1&gt;Ввод!$B$4,"",A461+1))</f>
        <v/>
      </c>
      <c r="B462">
        <f>IF(A462="","",IFERROR(INDEX(Ввод!$B$12:$B$71,MATCH(A462,Ввод!$D$12:$D$71,1)),""))</f>
        <v/>
      </c>
      <c r="C462">
        <f>IF(A462="","",DATE(YEAR(A462),12,31)-DATE(YEAR(A462),1,1)+1)</f>
        <v/>
      </c>
      <c r="D462">
        <f>IF(A462="","",SUMIFS(Акты!$D$5:$D$16,Акты!$E$5:$E$16,"&lt;="&amp;A462)-SUMIFS(Оплаты!$B$6:$B$505,Оплаты!$A$6:$A$505,"&lt;"&amp;A462,Оплаты!$D$6:$D$505,"&lt;&gt;"))</f>
        <v/>
      </c>
      <c r="E462">
        <f>IF(A462="","",IF(SUMPRODUCT((Ввод!$F$12:$F$31&lt;&gt;"")*(Ввод!$F$12:$F$31&lt;=A462)*(Ввод!$G$12:$G$31&gt;=A462))&gt;0,1,0))</f>
        <v/>
      </c>
      <c r="G462">
        <f>IF(A462="","",IF(OR(B462&lt;&gt;B461,C462&lt;&gt;C461,E462&lt;&gt;E461),G461+1,G461))</f>
        <v/>
      </c>
    </row>
    <row r="463">
      <c r="A463" s="20">
        <f>IF(A462="","",IF(A462+1&gt;Ввод!$B$4,"",A462+1))</f>
        <v/>
      </c>
      <c r="B463">
        <f>IF(A463="","",IFERROR(INDEX(Ввод!$B$12:$B$71,MATCH(A463,Ввод!$D$12:$D$71,1)),""))</f>
        <v/>
      </c>
      <c r="C463">
        <f>IF(A463="","",DATE(YEAR(A463),12,31)-DATE(YEAR(A463),1,1)+1)</f>
        <v/>
      </c>
      <c r="D463">
        <f>IF(A463="","",SUMIFS(Акты!$D$5:$D$16,Акты!$E$5:$E$16,"&lt;="&amp;A463)-SUMIFS(Оплаты!$B$6:$B$505,Оплаты!$A$6:$A$505,"&lt;"&amp;A463,Оплаты!$D$6:$D$505,"&lt;&gt;"))</f>
        <v/>
      </c>
      <c r="E463">
        <f>IF(A463="","",IF(SUMPRODUCT((Ввод!$F$12:$F$31&lt;&gt;"")*(Ввод!$F$12:$F$31&lt;=A463)*(Ввод!$G$12:$G$31&gt;=A463))&gt;0,1,0))</f>
        <v/>
      </c>
      <c r="G463">
        <f>IF(A463="","",IF(OR(B463&lt;&gt;B462,C463&lt;&gt;C462,E463&lt;&gt;E462),G462+1,G462))</f>
        <v/>
      </c>
    </row>
    <row r="464">
      <c r="A464" s="20">
        <f>IF(A463="","",IF(A463+1&gt;Ввод!$B$4,"",A463+1))</f>
        <v/>
      </c>
      <c r="B464">
        <f>IF(A464="","",IFERROR(INDEX(Ввод!$B$12:$B$71,MATCH(A464,Ввод!$D$12:$D$71,1)),""))</f>
        <v/>
      </c>
      <c r="C464">
        <f>IF(A464="","",DATE(YEAR(A464),12,31)-DATE(YEAR(A464),1,1)+1)</f>
        <v/>
      </c>
      <c r="D464">
        <f>IF(A464="","",SUMIFS(Акты!$D$5:$D$16,Акты!$E$5:$E$16,"&lt;="&amp;A464)-SUMIFS(Оплаты!$B$6:$B$505,Оплаты!$A$6:$A$505,"&lt;"&amp;A464,Оплаты!$D$6:$D$505,"&lt;&gt;"))</f>
        <v/>
      </c>
      <c r="E464">
        <f>IF(A464="","",IF(SUMPRODUCT((Ввод!$F$12:$F$31&lt;&gt;"")*(Ввод!$F$12:$F$31&lt;=A464)*(Ввод!$G$12:$G$31&gt;=A464))&gt;0,1,0))</f>
        <v/>
      </c>
      <c r="G464">
        <f>IF(A464="","",IF(OR(B464&lt;&gt;B463,C464&lt;&gt;C463,E464&lt;&gt;E463),G463+1,G463))</f>
        <v/>
      </c>
    </row>
    <row r="465">
      <c r="A465" s="20">
        <f>IF(A464="","",IF(A464+1&gt;Ввод!$B$4,"",A464+1))</f>
        <v/>
      </c>
      <c r="B465">
        <f>IF(A465="","",IFERROR(INDEX(Ввод!$B$12:$B$71,MATCH(A465,Ввод!$D$12:$D$71,1)),""))</f>
        <v/>
      </c>
      <c r="C465">
        <f>IF(A465="","",DATE(YEAR(A465),12,31)-DATE(YEAR(A465),1,1)+1)</f>
        <v/>
      </c>
      <c r="D465">
        <f>IF(A465="","",SUMIFS(Акты!$D$5:$D$16,Акты!$E$5:$E$16,"&lt;="&amp;A465)-SUMIFS(Оплаты!$B$6:$B$505,Оплаты!$A$6:$A$505,"&lt;"&amp;A465,Оплаты!$D$6:$D$505,"&lt;&gt;"))</f>
        <v/>
      </c>
      <c r="E465">
        <f>IF(A465="","",IF(SUMPRODUCT((Ввод!$F$12:$F$31&lt;&gt;"")*(Ввод!$F$12:$F$31&lt;=A465)*(Ввод!$G$12:$G$31&gt;=A465))&gt;0,1,0))</f>
        <v/>
      </c>
      <c r="G465">
        <f>IF(A465="","",IF(OR(B465&lt;&gt;B464,C465&lt;&gt;C464,E465&lt;&gt;E464),G464+1,G464))</f>
        <v/>
      </c>
    </row>
    <row r="466">
      <c r="A466" s="20">
        <f>IF(A465="","",IF(A465+1&gt;Ввод!$B$4,"",A465+1))</f>
        <v/>
      </c>
      <c r="B466">
        <f>IF(A466="","",IFERROR(INDEX(Ввод!$B$12:$B$71,MATCH(A466,Ввод!$D$12:$D$71,1)),""))</f>
        <v/>
      </c>
      <c r="C466">
        <f>IF(A466="","",DATE(YEAR(A466),12,31)-DATE(YEAR(A466),1,1)+1)</f>
        <v/>
      </c>
      <c r="D466">
        <f>IF(A466="","",SUMIFS(Акты!$D$5:$D$16,Акты!$E$5:$E$16,"&lt;="&amp;A466)-SUMIFS(Оплаты!$B$6:$B$505,Оплаты!$A$6:$A$505,"&lt;"&amp;A466,Оплаты!$D$6:$D$505,"&lt;&gt;"))</f>
        <v/>
      </c>
      <c r="E466">
        <f>IF(A466="","",IF(SUMPRODUCT((Ввод!$F$12:$F$31&lt;&gt;"")*(Ввод!$F$12:$F$31&lt;=A466)*(Ввод!$G$12:$G$31&gt;=A466))&gt;0,1,0))</f>
        <v/>
      </c>
      <c r="G466">
        <f>IF(A466="","",IF(OR(B466&lt;&gt;B465,C466&lt;&gt;C465,E466&lt;&gt;E465),G465+1,G465))</f>
        <v/>
      </c>
    </row>
    <row r="467">
      <c r="A467" s="20">
        <f>IF(A466="","",IF(A466+1&gt;Ввод!$B$4,"",A466+1))</f>
        <v/>
      </c>
      <c r="B467">
        <f>IF(A467="","",IFERROR(INDEX(Ввод!$B$12:$B$71,MATCH(A467,Ввод!$D$12:$D$71,1)),""))</f>
        <v/>
      </c>
      <c r="C467">
        <f>IF(A467="","",DATE(YEAR(A467),12,31)-DATE(YEAR(A467),1,1)+1)</f>
        <v/>
      </c>
      <c r="D467">
        <f>IF(A467="","",SUMIFS(Акты!$D$5:$D$16,Акты!$E$5:$E$16,"&lt;="&amp;A467)-SUMIFS(Оплаты!$B$6:$B$505,Оплаты!$A$6:$A$505,"&lt;"&amp;A467,Оплаты!$D$6:$D$505,"&lt;&gt;"))</f>
        <v/>
      </c>
      <c r="E467">
        <f>IF(A467="","",IF(SUMPRODUCT((Ввод!$F$12:$F$31&lt;&gt;"")*(Ввод!$F$12:$F$31&lt;=A467)*(Ввод!$G$12:$G$31&gt;=A467))&gt;0,1,0))</f>
        <v/>
      </c>
      <c r="G467">
        <f>IF(A467="","",IF(OR(B467&lt;&gt;B466,C467&lt;&gt;C466,E467&lt;&gt;E466),G466+1,G466))</f>
        <v/>
      </c>
    </row>
    <row r="468">
      <c r="A468" s="20">
        <f>IF(A467="","",IF(A467+1&gt;Ввод!$B$4,"",A467+1))</f>
        <v/>
      </c>
      <c r="B468">
        <f>IF(A468="","",IFERROR(INDEX(Ввод!$B$12:$B$71,MATCH(A468,Ввод!$D$12:$D$71,1)),""))</f>
        <v/>
      </c>
      <c r="C468">
        <f>IF(A468="","",DATE(YEAR(A468),12,31)-DATE(YEAR(A468),1,1)+1)</f>
        <v/>
      </c>
      <c r="D468">
        <f>IF(A468="","",SUMIFS(Акты!$D$5:$D$16,Акты!$E$5:$E$16,"&lt;="&amp;A468)-SUMIFS(Оплаты!$B$6:$B$505,Оплаты!$A$6:$A$505,"&lt;"&amp;A468,Оплаты!$D$6:$D$505,"&lt;&gt;"))</f>
        <v/>
      </c>
      <c r="E468">
        <f>IF(A468="","",IF(SUMPRODUCT((Ввод!$F$12:$F$31&lt;&gt;"")*(Ввод!$F$12:$F$31&lt;=A468)*(Ввод!$G$12:$G$31&gt;=A468))&gt;0,1,0))</f>
        <v/>
      </c>
      <c r="G468">
        <f>IF(A468="","",IF(OR(B468&lt;&gt;B467,C468&lt;&gt;C467,E468&lt;&gt;E467),G467+1,G467))</f>
        <v/>
      </c>
    </row>
    <row r="469">
      <c r="A469" s="20">
        <f>IF(A468="","",IF(A468+1&gt;Ввод!$B$4,"",A468+1))</f>
        <v/>
      </c>
      <c r="B469">
        <f>IF(A469="","",IFERROR(INDEX(Ввод!$B$12:$B$71,MATCH(A469,Ввод!$D$12:$D$71,1)),""))</f>
        <v/>
      </c>
      <c r="C469">
        <f>IF(A469="","",DATE(YEAR(A469),12,31)-DATE(YEAR(A469),1,1)+1)</f>
        <v/>
      </c>
      <c r="D469">
        <f>IF(A469="","",SUMIFS(Акты!$D$5:$D$16,Акты!$E$5:$E$16,"&lt;="&amp;A469)-SUMIFS(Оплаты!$B$6:$B$505,Оплаты!$A$6:$A$505,"&lt;"&amp;A469,Оплаты!$D$6:$D$505,"&lt;&gt;"))</f>
        <v/>
      </c>
      <c r="E469">
        <f>IF(A469="","",IF(SUMPRODUCT((Ввод!$F$12:$F$31&lt;&gt;"")*(Ввод!$F$12:$F$31&lt;=A469)*(Ввод!$G$12:$G$31&gt;=A469))&gt;0,1,0))</f>
        <v/>
      </c>
      <c r="G469">
        <f>IF(A469="","",IF(OR(B469&lt;&gt;B468,C469&lt;&gt;C468,E469&lt;&gt;E468),G468+1,G468))</f>
        <v/>
      </c>
    </row>
    <row r="470">
      <c r="A470" s="20">
        <f>IF(A469="","",IF(A469+1&gt;Ввод!$B$4,"",A469+1))</f>
        <v/>
      </c>
      <c r="B470">
        <f>IF(A470="","",IFERROR(INDEX(Ввод!$B$12:$B$71,MATCH(A470,Ввод!$D$12:$D$71,1)),""))</f>
        <v/>
      </c>
      <c r="C470">
        <f>IF(A470="","",DATE(YEAR(A470),12,31)-DATE(YEAR(A470),1,1)+1)</f>
        <v/>
      </c>
      <c r="D470">
        <f>IF(A470="","",SUMIFS(Акты!$D$5:$D$16,Акты!$E$5:$E$16,"&lt;="&amp;A470)-SUMIFS(Оплаты!$B$6:$B$505,Оплаты!$A$6:$A$505,"&lt;"&amp;A470,Оплаты!$D$6:$D$505,"&lt;&gt;"))</f>
        <v/>
      </c>
      <c r="E470">
        <f>IF(A470="","",IF(SUMPRODUCT((Ввод!$F$12:$F$31&lt;&gt;"")*(Ввод!$F$12:$F$31&lt;=A470)*(Ввод!$G$12:$G$31&gt;=A470))&gt;0,1,0))</f>
        <v/>
      </c>
      <c r="G470">
        <f>IF(A470="","",IF(OR(B470&lt;&gt;B469,C470&lt;&gt;C469,E470&lt;&gt;E469),G469+1,G469))</f>
        <v/>
      </c>
    </row>
    <row r="471">
      <c r="A471" s="20">
        <f>IF(A470="","",IF(A470+1&gt;Ввод!$B$4,"",A470+1))</f>
        <v/>
      </c>
      <c r="B471">
        <f>IF(A471="","",IFERROR(INDEX(Ввод!$B$12:$B$71,MATCH(A471,Ввод!$D$12:$D$71,1)),""))</f>
        <v/>
      </c>
      <c r="C471">
        <f>IF(A471="","",DATE(YEAR(A471),12,31)-DATE(YEAR(A471),1,1)+1)</f>
        <v/>
      </c>
      <c r="D471">
        <f>IF(A471="","",SUMIFS(Акты!$D$5:$D$16,Акты!$E$5:$E$16,"&lt;="&amp;A471)-SUMIFS(Оплаты!$B$6:$B$505,Оплаты!$A$6:$A$505,"&lt;"&amp;A471,Оплаты!$D$6:$D$505,"&lt;&gt;"))</f>
        <v/>
      </c>
      <c r="E471">
        <f>IF(A471="","",IF(SUMPRODUCT((Ввод!$F$12:$F$31&lt;&gt;"")*(Ввод!$F$12:$F$31&lt;=A471)*(Ввод!$G$12:$G$31&gt;=A471))&gt;0,1,0))</f>
        <v/>
      </c>
      <c r="G471">
        <f>IF(A471="","",IF(OR(B471&lt;&gt;B470,C471&lt;&gt;C470,E471&lt;&gt;E470),G470+1,G470))</f>
        <v/>
      </c>
    </row>
    <row r="472">
      <c r="A472" s="20">
        <f>IF(A471="","",IF(A471+1&gt;Ввод!$B$4,"",A471+1))</f>
        <v/>
      </c>
      <c r="B472">
        <f>IF(A472="","",IFERROR(INDEX(Ввод!$B$12:$B$71,MATCH(A472,Ввод!$D$12:$D$71,1)),""))</f>
        <v/>
      </c>
      <c r="C472">
        <f>IF(A472="","",DATE(YEAR(A472),12,31)-DATE(YEAR(A472),1,1)+1)</f>
        <v/>
      </c>
      <c r="D472">
        <f>IF(A472="","",SUMIFS(Акты!$D$5:$D$16,Акты!$E$5:$E$16,"&lt;="&amp;A472)-SUMIFS(Оплаты!$B$6:$B$505,Оплаты!$A$6:$A$505,"&lt;"&amp;A472,Оплаты!$D$6:$D$505,"&lt;&gt;"))</f>
        <v/>
      </c>
      <c r="E472">
        <f>IF(A472="","",IF(SUMPRODUCT((Ввод!$F$12:$F$31&lt;&gt;"")*(Ввод!$F$12:$F$31&lt;=A472)*(Ввод!$G$12:$G$31&gt;=A472))&gt;0,1,0))</f>
        <v/>
      </c>
      <c r="G472">
        <f>IF(A472="","",IF(OR(B472&lt;&gt;B471,C472&lt;&gt;C471,E472&lt;&gt;E471),G471+1,G471))</f>
        <v/>
      </c>
    </row>
    <row r="473">
      <c r="A473" s="20">
        <f>IF(A472="","",IF(A472+1&gt;Ввод!$B$4,"",A472+1))</f>
        <v/>
      </c>
      <c r="B473">
        <f>IF(A473="","",IFERROR(INDEX(Ввод!$B$12:$B$71,MATCH(A473,Ввод!$D$12:$D$71,1)),""))</f>
        <v/>
      </c>
      <c r="C473">
        <f>IF(A473="","",DATE(YEAR(A473),12,31)-DATE(YEAR(A473),1,1)+1)</f>
        <v/>
      </c>
      <c r="D473">
        <f>IF(A473="","",SUMIFS(Акты!$D$5:$D$16,Акты!$E$5:$E$16,"&lt;="&amp;A473)-SUMIFS(Оплаты!$B$6:$B$505,Оплаты!$A$6:$A$505,"&lt;"&amp;A473,Оплаты!$D$6:$D$505,"&lt;&gt;"))</f>
        <v/>
      </c>
      <c r="E473">
        <f>IF(A473="","",IF(SUMPRODUCT((Ввод!$F$12:$F$31&lt;&gt;"")*(Ввод!$F$12:$F$31&lt;=A473)*(Ввод!$G$12:$G$31&gt;=A473))&gt;0,1,0))</f>
        <v/>
      </c>
      <c r="G473">
        <f>IF(A473="","",IF(OR(B473&lt;&gt;B472,C473&lt;&gt;C472,E473&lt;&gt;E472),G472+1,G472))</f>
        <v/>
      </c>
    </row>
    <row r="474">
      <c r="A474" s="20">
        <f>IF(A473="","",IF(A473+1&gt;Ввод!$B$4,"",A473+1))</f>
        <v/>
      </c>
      <c r="B474">
        <f>IF(A474="","",IFERROR(INDEX(Ввод!$B$12:$B$71,MATCH(A474,Ввод!$D$12:$D$71,1)),""))</f>
        <v/>
      </c>
      <c r="C474">
        <f>IF(A474="","",DATE(YEAR(A474),12,31)-DATE(YEAR(A474),1,1)+1)</f>
        <v/>
      </c>
      <c r="D474">
        <f>IF(A474="","",SUMIFS(Акты!$D$5:$D$16,Акты!$E$5:$E$16,"&lt;="&amp;A474)-SUMIFS(Оплаты!$B$6:$B$505,Оплаты!$A$6:$A$505,"&lt;"&amp;A474,Оплаты!$D$6:$D$505,"&lt;&gt;"))</f>
        <v/>
      </c>
      <c r="E474">
        <f>IF(A474="","",IF(SUMPRODUCT((Ввод!$F$12:$F$31&lt;&gt;"")*(Ввод!$F$12:$F$31&lt;=A474)*(Ввод!$G$12:$G$31&gt;=A474))&gt;0,1,0))</f>
        <v/>
      </c>
      <c r="G474">
        <f>IF(A474="","",IF(OR(B474&lt;&gt;B473,C474&lt;&gt;C473,E474&lt;&gt;E473),G473+1,G473))</f>
        <v/>
      </c>
    </row>
    <row r="475">
      <c r="A475" s="20">
        <f>IF(A474="","",IF(A474+1&gt;Ввод!$B$4,"",A474+1))</f>
        <v/>
      </c>
      <c r="B475">
        <f>IF(A475="","",IFERROR(INDEX(Ввод!$B$12:$B$71,MATCH(A475,Ввод!$D$12:$D$71,1)),""))</f>
        <v/>
      </c>
      <c r="C475">
        <f>IF(A475="","",DATE(YEAR(A475),12,31)-DATE(YEAR(A475),1,1)+1)</f>
        <v/>
      </c>
      <c r="D475">
        <f>IF(A475="","",SUMIFS(Акты!$D$5:$D$16,Акты!$E$5:$E$16,"&lt;="&amp;A475)-SUMIFS(Оплаты!$B$6:$B$505,Оплаты!$A$6:$A$505,"&lt;"&amp;A475,Оплаты!$D$6:$D$505,"&lt;&gt;"))</f>
        <v/>
      </c>
      <c r="E475">
        <f>IF(A475="","",IF(SUMPRODUCT((Ввод!$F$12:$F$31&lt;&gt;"")*(Ввод!$F$12:$F$31&lt;=A475)*(Ввод!$G$12:$G$31&gt;=A475))&gt;0,1,0))</f>
        <v/>
      </c>
      <c r="G475">
        <f>IF(A475="","",IF(OR(B475&lt;&gt;B474,C475&lt;&gt;C474,E475&lt;&gt;E474),G474+1,G474))</f>
        <v/>
      </c>
    </row>
    <row r="476">
      <c r="A476" s="20">
        <f>IF(A475="","",IF(A475+1&gt;Ввод!$B$4,"",A475+1))</f>
        <v/>
      </c>
      <c r="B476">
        <f>IF(A476="","",IFERROR(INDEX(Ввод!$B$12:$B$71,MATCH(A476,Ввод!$D$12:$D$71,1)),""))</f>
        <v/>
      </c>
      <c r="C476">
        <f>IF(A476="","",DATE(YEAR(A476),12,31)-DATE(YEAR(A476),1,1)+1)</f>
        <v/>
      </c>
      <c r="D476">
        <f>IF(A476="","",SUMIFS(Акты!$D$5:$D$16,Акты!$E$5:$E$16,"&lt;="&amp;A476)-SUMIFS(Оплаты!$B$6:$B$505,Оплаты!$A$6:$A$505,"&lt;"&amp;A476,Оплаты!$D$6:$D$505,"&lt;&gt;"))</f>
        <v/>
      </c>
      <c r="E476">
        <f>IF(A476="","",IF(SUMPRODUCT((Ввод!$F$12:$F$31&lt;&gt;"")*(Ввод!$F$12:$F$31&lt;=A476)*(Ввод!$G$12:$G$31&gt;=A476))&gt;0,1,0))</f>
        <v/>
      </c>
      <c r="G476">
        <f>IF(A476="","",IF(OR(B476&lt;&gt;B475,C476&lt;&gt;C475,E476&lt;&gt;E475),G475+1,G475))</f>
        <v/>
      </c>
    </row>
    <row r="477">
      <c r="A477" s="20">
        <f>IF(A476="","",IF(A476+1&gt;Ввод!$B$4,"",A476+1))</f>
        <v/>
      </c>
      <c r="B477">
        <f>IF(A477="","",IFERROR(INDEX(Ввод!$B$12:$B$71,MATCH(A477,Ввод!$D$12:$D$71,1)),""))</f>
        <v/>
      </c>
      <c r="C477">
        <f>IF(A477="","",DATE(YEAR(A477),12,31)-DATE(YEAR(A477),1,1)+1)</f>
        <v/>
      </c>
      <c r="D477">
        <f>IF(A477="","",SUMIFS(Акты!$D$5:$D$16,Акты!$E$5:$E$16,"&lt;="&amp;A477)-SUMIFS(Оплаты!$B$6:$B$505,Оплаты!$A$6:$A$505,"&lt;"&amp;A477,Оплаты!$D$6:$D$505,"&lt;&gt;"))</f>
        <v/>
      </c>
      <c r="E477">
        <f>IF(A477="","",IF(SUMPRODUCT((Ввод!$F$12:$F$31&lt;&gt;"")*(Ввод!$F$12:$F$31&lt;=A477)*(Ввод!$G$12:$G$31&gt;=A477))&gt;0,1,0))</f>
        <v/>
      </c>
      <c r="G477">
        <f>IF(A477="","",IF(OR(B477&lt;&gt;B476,C477&lt;&gt;C476,E477&lt;&gt;E476),G476+1,G476))</f>
        <v/>
      </c>
    </row>
    <row r="478">
      <c r="A478" s="20">
        <f>IF(A477="","",IF(A477+1&gt;Ввод!$B$4,"",A477+1))</f>
        <v/>
      </c>
      <c r="B478">
        <f>IF(A478="","",IFERROR(INDEX(Ввод!$B$12:$B$71,MATCH(A478,Ввод!$D$12:$D$71,1)),""))</f>
        <v/>
      </c>
      <c r="C478">
        <f>IF(A478="","",DATE(YEAR(A478),12,31)-DATE(YEAR(A478),1,1)+1)</f>
        <v/>
      </c>
      <c r="D478">
        <f>IF(A478="","",SUMIFS(Акты!$D$5:$D$16,Акты!$E$5:$E$16,"&lt;="&amp;A478)-SUMIFS(Оплаты!$B$6:$B$505,Оплаты!$A$6:$A$505,"&lt;"&amp;A478,Оплаты!$D$6:$D$505,"&lt;&gt;"))</f>
        <v/>
      </c>
      <c r="E478">
        <f>IF(A478="","",IF(SUMPRODUCT((Ввод!$F$12:$F$31&lt;&gt;"")*(Ввод!$F$12:$F$31&lt;=A478)*(Ввод!$G$12:$G$31&gt;=A478))&gt;0,1,0))</f>
        <v/>
      </c>
      <c r="G478">
        <f>IF(A478="","",IF(OR(B478&lt;&gt;B477,C478&lt;&gt;C477,E478&lt;&gt;E477),G477+1,G477))</f>
        <v/>
      </c>
    </row>
    <row r="479">
      <c r="A479" s="20">
        <f>IF(A478="","",IF(A478+1&gt;Ввод!$B$4,"",A478+1))</f>
        <v/>
      </c>
      <c r="B479">
        <f>IF(A479="","",IFERROR(INDEX(Ввод!$B$12:$B$71,MATCH(A479,Ввод!$D$12:$D$71,1)),""))</f>
        <v/>
      </c>
      <c r="C479">
        <f>IF(A479="","",DATE(YEAR(A479),12,31)-DATE(YEAR(A479),1,1)+1)</f>
        <v/>
      </c>
      <c r="D479">
        <f>IF(A479="","",SUMIFS(Акты!$D$5:$D$16,Акты!$E$5:$E$16,"&lt;="&amp;A479)-SUMIFS(Оплаты!$B$6:$B$505,Оплаты!$A$6:$A$505,"&lt;"&amp;A479,Оплаты!$D$6:$D$505,"&lt;&gt;"))</f>
        <v/>
      </c>
      <c r="E479">
        <f>IF(A479="","",IF(SUMPRODUCT((Ввод!$F$12:$F$31&lt;&gt;"")*(Ввод!$F$12:$F$31&lt;=A479)*(Ввод!$G$12:$G$31&gt;=A479))&gt;0,1,0))</f>
        <v/>
      </c>
      <c r="G479">
        <f>IF(A479="","",IF(OR(B479&lt;&gt;B478,C479&lt;&gt;C478,E479&lt;&gt;E478),G478+1,G478))</f>
        <v/>
      </c>
    </row>
    <row r="480">
      <c r="A480" s="20">
        <f>IF(A479="","",IF(A479+1&gt;Ввод!$B$4,"",A479+1))</f>
        <v/>
      </c>
      <c r="B480">
        <f>IF(A480="","",IFERROR(INDEX(Ввод!$B$12:$B$71,MATCH(A480,Ввод!$D$12:$D$71,1)),""))</f>
        <v/>
      </c>
      <c r="C480">
        <f>IF(A480="","",DATE(YEAR(A480),12,31)-DATE(YEAR(A480),1,1)+1)</f>
        <v/>
      </c>
      <c r="D480">
        <f>IF(A480="","",SUMIFS(Акты!$D$5:$D$16,Акты!$E$5:$E$16,"&lt;="&amp;A480)-SUMIFS(Оплаты!$B$6:$B$505,Оплаты!$A$6:$A$505,"&lt;"&amp;A480,Оплаты!$D$6:$D$505,"&lt;&gt;"))</f>
        <v/>
      </c>
      <c r="E480">
        <f>IF(A480="","",IF(SUMPRODUCT((Ввод!$F$12:$F$31&lt;&gt;"")*(Ввод!$F$12:$F$31&lt;=A480)*(Ввод!$G$12:$G$31&gt;=A480))&gt;0,1,0))</f>
        <v/>
      </c>
      <c r="G480">
        <f>IF(A480="","",IF(OR(B480&lt;&gt;B479,C480&lt;&gt;C479,E480&lt;&gt;E479),G479+1,G479))</f>
        <v/>
      </c>
    </row>
    <row r="481">
      <c r="A481" s="20">
        <f>IF(A480="","",IF(A480+1&gt;Ввод!$B$4,"",A480+1))</f>
        <v/>
      </c>
      <c r="B481">
        <f>IF(A481="","",IFERROR(INDEX(Ввод!$B$12:$B$71,MATCH(A481,Ввод!$D$12:$D$71,1)),""))</f>
        <v/>
      </c>
      <c r="C481">
        <f>IF(A481="","",DATE(YEAR(A481),12,31)-DATE(YEAR(A481),1,1)+1)</f>
        <v/>
      </c>
      <c r="D481">
        <f>IF(A481="","",SUMIFS(Акты!$D$5:$D$16,Акты!$E$5:$E$16,"&lt;="&amp;A481)-SUMIFS(Оплаты!$B$6:$B$505,Оплаты!$A$6:$A$505,"&lt;"&amp;A481,Оплаты!$D$6:$D$505,"&lt;&gt;"))</f>
        <v/>
      </c>
      <c r="E481">
        <f>IF(A481="","",IF(SUMPRODUCT((Ввод!$F$12:$F$31&lt;&gt;"")*(Ввод!$F$12:$F$31&lt;=A481)*(Ввод!$G$12:$G$31&gt;=A481))&gt;0,1,0))</f>
        <v/>
      </c>
      <c r="G481">
        <f>IF(A481="","",IF(OR(B481&lt;&gt;B480,C481&lt;&gt;C480,E481&lt;&gt;E480),G480+1,G480))</f>
        <v/>
      </c>
    </row>
    <row r="482">
      <c r="A482" s="20">
        <f>IF(A481="","",IF(A481+1&gt;Ввод!$B$4,"",A481+1))</f>
        <v/>
      </c>
      <c r="B482">
        <f>IF(A482="","",IFERROR(INDEX(Ввод!$B$12:$B$71,MATCH(A482,Ввод!$D$12:$D$71,1)),""))</f>
        <v/>
      </c>
      <c r="C482">
        <f>IF(A482="","",DATE(YEAR(A482),12,31)-DATE(YEAR(A482),1,1)+1)</f>
        <v/>
      </c>
      <c r="D482">
        <f>IF(A482="","",SUMIFS(Акты!$D$5:$D$16,Акты!$E$5:$E$16,"&lt;="&amp;A482)-SUMIFS(Оплаты!$B$6:$B$505,Оплаты!$A$6:$A$505,"&lt;"&amp;A482,Оплаты!$D$6:$D$505,"&lt;&gt;"))</f>
        <v/>
      </c>
      <c r="E482">
        <f>IF(A482="","",IF(SUMPRODUCT((Ввод!$F$12:$F$31&lt;&gt;"")*(Ввод!$F$12:$F$31&lt;=A482)*(Ввод!$G$12:$G$31&gt;=A482))&gt;0,1,0))</f>
        <v/>
      </c>
      <c r="G482">
        <f>IF(A482="","",IF(OR(B482&lt;&gt;B481,C482&lt;&gt;C481,E482&lt;&gt;E481),G481+1,G481))</f>
        <v/>
      </c>
    </row>
    <row r="483">
      <c r="A483" s="20">
        <f>IF(A482="","",IF(A482+1&gt;Ввод!$B$4,"",A482+1))</f>
        <v/>
      </c>
      <c r="B483">
        <f>IF(A483="","",IFERROR(INDEX(Ввод!$B$12:$B$71,MATCH(A483,Ввод!$D$12:$D$71,1)),""))</f>
        <v/>
      </c>
      <c r="C483">
        <f>IF(A483="","",DATE(YEAR(A483),12,31)-DATE(YEAR(A483),1,1)+1)</f>
        <v/>
      </c>
      <c r="D483">
        <f>IF(A483="","",SUMIFS(Акты!$D$5:$D$16,Акты!$E$5:$E$16,"&lt;="&amp;A483)-SUMIFS(Оплаты!$B$6:$B$505,Оплаты!$A$6:$A$505,"&lt;"&amp;A483,Оплаты!$D$6:$D$505,"&lt;&gt;"))</f>
        <v/>
      </c>
      <c r="E483">
        <f>IF(A483="","",IF(SUMPRODUCT((Ввод!$F$12:$F$31&lt;&gt;"")*(Ввод!$F$12:$F$31&lt;=A483)*(Ввод!$G$12:$G$31&gt;=A483))&gt;0,1,0))</f>
        <v/>
      </c>
      <c r="G483">
        <f>IF(A483="","",IF(OR(B483&lt;&gt;B482,C483&lt;&gt;C482,E483&lt;&gt;E482),G482+1,G482))</f>
        <v/>
      </c>
    </row>
    <row r="484">
      <c r="A484" s="20">
        <f>IF(A483="","",IF(A483+1&gt;Ввод!$B$4,"",A483+1))</f>
        <v/>
      </c>
      <c r="B484">
        <f>IF(A484="","",IFERROR(INDEX(Ввод!$B$12:$B$71,MATCH(A484,Ввод!$D$12:$D$71,1)),""))</f>
        <v/>
      </c>
      <c r="C484">
        <f>IF(A484="","",DATE(YEAR(A484),12,31)-DATE(YEAR(A484),1,1)+1)</f>
        <v/>
      </c>
      <c r="D484">
        <f>IF(A484="","",SUMIFS(Акты!$D$5:$D$16,Акты!$E$5:$E$16,"&lt;="&amp;A484)-SUMIFS(Оплаты!$B$6:$B$505,Оплаты!$A$6:$A$505,"&lt;"&amp;A484,Оплаты!$D$6:$D$505,"&lt;&gt;"))</f>
        <v/>
      </c>
      <c r="E484">
        <f>IF(A484="","",IF(SUMPRODUCT((Ввод!$F$12:$F$31&lt;&gt;"")*(Ввод!$F$12:$F$31&lt;=A484)*(Ввод!$G$12:$G$31&gt;=A484))&gt;0,1,0))</f>
        <v/>
      </c>
      <c r="G484">
        <f>IF(A484="","",IF(OR(B484&lt;&gt;B483,C484&lt;&gt;C483,E484&lt;&gt;E483),G483+1,G483))</f>
        <v/>
      </c>
    </row>
    <row r="485">
      <c r="A485" s="20">
        <f>IF(A484="","",IF(A484+1&gt;Ввод!$B$4,"",A484+1))</f>
        <v/>
      </c>
      <c r="B485">
        <f>IF(A485="","",IFERROR(INDEX(Ввод!$B$12:$B$71,MATCH(A485,Ввод!$D$12:$D$71,1)),""))</f>
        <v/>
      </c>
      <c r="C485">
        <f>IF(A485="","",DATE(YEAR(A485),12,31)-DATE(YEAR(A485),1,1)+1)</f>
        <v/>
      </c>
      <c r="D485">
        <f>IF(A485="","",SUMIFS(Акты!$D$5:$D$16,Акты!$E$5:$E$16,"&lt;="&amp;A485)-SUMIFS(Оплаты!$B$6:$B$505,Оплаты!$A$6:$A$505,"&lt;"&amp;A485,Оплаты!$D$6:$D$505,"&lt;&gt;"))</f>
        <v/>
      </c>
      <c r="E485">
        <f>IF(A485="","",IF(SUMPRODUCT((Ввод!$F$12:$F$31&lt;&gt;"")*(Ввод!$F$12:$F$31&lt;=A485)*(Ввод!$G$12:$G$31&gt;=A485))&gt;0,1,0))</f>
        <v/>
      </c>
      <c r="G485">
        <f>IF(A485="","",IF(OR(B485&lt;&gt;B484,C485&lt;&gt;C484,E485&lt;&gt;E484),G484+1,G484))</f>
        <v/>
      </c>
    </row>
    <row r="486">
      <c r="A486" s="20">
        <f>IF(A485="","",IF(A485+1&gt;Ввод!$B$4,"",A485+1))</f>
        <v/>
      </c>
      <c r="B486">
        <f>IF(A486="","",IFERROR(INDEX(Ввод!$B$12:$B$71,MATCH(A486,Ввод!$D$12:$D$71,1)),""))</f>
        <v/>
      </c>
      <c r="C486">
        <f>IF(A486="","",DATE(YEAR(A486),12,31)-DATE(YEAR(A486),1,1)+1)</f>
        <v/>
      </c>
      <c r="D486">
        <f>IF(A486="","",SUMIFS(Акты!$D$5:$D$16,Акты!$E$5:$E$16,"&lt;="&amp;A486)-SUMIFS(Оплаты!$B$6:$B$505,Оплаты!$A$6:$A$505,"&lt;"&amp;A486,Оплаты!$D$6:$D$505,"&lt;&gt;"))</f>
        <v/>
      </c>
      <c r="E486">
        <f>IF(A486="","",IF(SUMPRODUCT((Ввод!$F$12:$F$31&lt;&gt;"")*(Ввод!$F$12:$F$31&lt;=A486)*(Ввод!$G$12:$G$31&gt;=A486))&gt;0,1,0))</f>
        <v/>
      </c>
      <c r="G486">
        <f>IF(A486="","",IF(OR(B486&lt;&gt;B485,C486&lt;&gt;C485,E486&lt;&gt;E485),G485+1,G485))</f>
        <v/>
      </c>
    </row>
    <row r="487">
      <c r="A487" s="20">
        <f>IF(A486="","",IF(A486+1&gt;Ввод!$B$4,"",A486+1))</f>
        <v/>
      </c>
      <c r="B487">
        <f>IF(A487="","",IFERROR(INDEX(Ввод!$B$12:$B$71,MATCH(A487,Ввод!$D$12:$D$71,1)),""))</f>
        <v/>
      </c>
      <c r="C487">
        <f>IF(A487="","",DATE(YEAR(A487),12,31)-DATE(YEAR(A487),1,1)+1)</f>
        <v/>
      </c>
      <c r="D487">
        <f>IF(A487="","",SUMIFS(Акты!$D$5:$D$16,Акты!$E$5:$E$16,"&lt;="&amp;A487)-SUMIFS(Оплаты!$B$6:$B$505,Оплаты!$A$6:$A$505,"&lt;"&amp;A487,Оплаты!$D$6:$D$505,"&lt;&gt;"))</f>
        <v/>
      </c>
      <c r="E487">
        <f>IF(A487="","",IF(SUMPRODUCT((Ввод!$F$12:$F$31&lt;&gt;"")*(Ввод!$F$12:$F$31&lt;=A487)*(Ввод!$G$12:$G$31&gt;=A487))&gt;0,1,0))</f>
        <v/>
      </c>
      <c r="G487">
        <f>IF(A487="","",IF(OR(B487&lt;&gt;B486,C487&lt;&gt;C486,E487&lt;&gt;E486),G486+1,G486))</f>
        <v/>
      </c>
    </row>
    <row r="488">
      <c r="A488" s="20">
        <f>IF(A487="","",IF(A487+1&gt;Ввод!$B$4,"",A487+1))</f>
        <v/>
      </c>
      <c r="B488">
        <f>IF(A488="","",IFERROR(INDEX(Ввод!$B$12:$B$71,MATCH(A488,Ввод!$D$12:$D$71,1)),""))</f>
        <v/>
      </c>
      <c r="C488">
        <f>IF(A488="","",DATE(YEAR(A488),12,31)-DATE(YEAR(A488),1,1)+1)</f>
        <v/>
      </c>
      <c r="D488">
        <f>IF(A488="","",SUMIFS(Акты!$D$5:$D$16,Акты!$E$5:$E$16,"&lt;="&amp;A488)-SUMIFS(Оплаты!$B$6:$B$505,Оплаты!$A$6:$A$505,"&lt;"&amp;A488,Оплаты!$D$6:$D$505,"&lt;&gt;"))</f>
        <v/>
      </c>
      <c r="E488">
        <f>IF(A488="","",IF(SUMPRODUCT((Ввод!$F$12:$F$31&lt;&gt;"")*(Ввод!$F$12:$F$31&lt;=A488)*(Ввод!$G$12:$G$31&gt;=A488))&gt;0,1,0))</f>
        <v/>
      </c>
      <c r="G488">
        <f>IF(A488="","",IF(OR(B488&lt;&gt;B487,C488&lt;&gt;C487,E488&lt;&gt;E487),G487+1,G487))</f>
        <v/>
      </c>
    </row>
    <row r="489">
      <c r="A489" s="20">
        <f>IF(A488="","",IF(A488+1&gt;Ввод!$B$4,"",A488+1))</f>
        <v/>
      </c>
      <c r="B489">
        <f>IF(A489="","",IFERROR(INDEX(Ввод!$B$12:$B$71,MATCH(A489,Ввод!$D$12:$D$71,1)),""))</f>
        <v/>
      </c>
      <c r="C489">
        <f>IF(A489="","",DATE(YEAR(A489),12,31)-DATE(YEAR(A489),1,1)+1)</f>
        <v/>
      </c>
      <c r="D489">
        <f>IF(A489="","",SUMIFS(Акты!$D$5:$D$16,Акты!$E$5:$E$16,"&lt;="&amp;A489)-SUMIFS(Оплаты!$B$6:$B$505,Оплаты!$A$6:$A$505,"&lt;"&amp;A489,Оплаты!$D$6:$D$505,"&lt;&gt;"))</f>
        <v/>
      </c>
      <c r="E489">
        <f>IF(A489="","",IF(SUMPRODUCT((Ввод!$F$12:$F$31&lt;&gt;"")*(Ввод!$F$12:$F$31&lt;=A489)*(Ввод!$G$12:$G$31&gt;=A489))&gt;0,1,0))</f>
        <v/>
      </c>
      <c r="G489">
        <f>IF(A489="","",IF(OR(B489&lt;&gt;B488,C489&lt;&gt;C488,E489&lt;&gt;E488),G488+1,G488))</f>
        <v/>
      </c>
    </row>
    <row r="490">
      <c r="A490" s="20">
        <f>IF(A489="","",IF(A489+1&gt;Ввод!$B$4,"",A489+1))</f>
        <v/>
      </c>
      <c r="B490">
        <f>IF(A490="","",IFERROR(INDEX(Ввод!$B$12:$B$71,MATCH(A490,Ввод!$D$12:$D$71,1)),""))</f>
        <v/>
      </c>
      <c r="C490">
        <f>IF(A490="","",DATE(YEAR(A490),12,31)-DATE(YEAR(A490),1,1)+1)</f>
        <v/>
      </c>
      <c r="D490">
        <f>IF(A490="","",SUMIFS(Акты!$D$5:$D$16,Акты!$E$5:$E$16,"&lt;="&amp;A490)-SUMIFS(Оплаты!$B$6:$B$505,Оплаты!$A$6:$A$505,"&lt;"&amp;A490,Оплаты!$D$6:$D$505,"&lt;&gt;"))</f>
        <v/>
      </c>
      <c r="E490">
        <f>IF(A490="","",IF(SUMPRODUCT((Ввод!$F$12:$F$31&lt;&gt;"")*(Ввод!$F$12:$F$31&lt;=A490)*(Ввод!$G$12:$G$31&gt;=A490))&gt;0,1,0))</f>
        <v/>
      </c>
      <c r="G490">
        <f>IF(A490="","",IF(OR(B490&lt;&gt;B489,C490&lt;&gt;C489,E490&lt;&gt;E489),G489+1,G489))</f>
        <v/>
      </c>
    </row>
    <row r="491">
      <c r="A491" s="20">
        <f>IF(A490="","",IF(A490+1&gt;Ввод!$B$4,"",A490+1))</f>
        <v/>
      </c>
      <c r="B491">
        <f>IF(A491="","",IFERROR(INDEX(Ввод!$B$12:$B$71,MATCH(A491,Ввод!$D$12:$D$71,1)),""))</f>
        <v/>
      </c>
      <c r="C491">
        <f>IF(A491="","",DATE(YEAR(A491),12,31)-DATE(YEAR(A491),1,1)+1)</f>
        <v/>
      </c>
      <c r="D491">
        <f>IF(A491="","",SUMIFS(Акты!$D$5:$D$16,Акты!$E$5:$E$16,"&lt;="&amp;A491)-SUMIFS(Оплаты!$B$6:$B$505,Оплаты!$A$6:$A$505,"&lt;"&amp;A491,Оплаты!$D$6:$D$505,"&lt;&gt;"))</f>
        <v/>
      </c>
      <c r="E491">
        <f>IF(A491="","",IF(SUMPRODUCT((Ввод!$F$12:$F$31&lt;&gt;"")*(Ввод!$F$12:$F$31&lt;=A491)*(Ввод!$G$12:$G$31&gt;=A491))&gt;0,1,0))</f>
        <v/>
      </c>
      <c r="G491">
        <f>IF(A491="","",IF(OR(B491&lt;&gt;B490,C491&lt;&gt;C490,E491&lt;&gt;E490),G490+1,G490))</f>
        <v/>
      </c>
    </row>
    <row r="492">
      <c r="A492" s="20">
        <f>IF(A491="","",IF(A491+1&gt;Ввод!$B$4,"",A491+1))</f>
        <v/>
      </c>
      <c r="B492">
        <f>IF(A492="","",IFERROR(INDEX(Ввод!$B$12:$B$71,MATCH(A492,Ввод!$D$12:$D$71,1)),""))</f>
        <v/>
      </c>
      <c r="C492">
        <f>IF(A492="","",DATE(YEAR(A492),12,31)-DATE(YEAR(A492),1,1)+1)</f>
        <v/>
      </c>
      <c r="D492">
        <f>IF(A492="","",SUMIFS(Акты!$D$5:$D$16,Акты!$E$5:$E$16,"&lt;="&amp;A492)-SUMIFS(Оплаты!$B$6:$B$505,Оплаты!$A$6:$A$505,"&lt;"&amp;A492,Оплаты!$D$6:$D$505,"&lt;&gt;"))</f>
        <v/>
      </c>
      <c r="E492">
        <f>IF(A492="","",IF(SUMPRODUCT((Ввод!$F$12:$F$31&lt;&gt;"")*(Ввод!$F$12:$F$31&lt;=A492)*(Ввод!$G$12:$G$31&gt;=A492))&gt;0,1,0))</f>
        <v/>
      </c>
      <c r="G492">
        <f>IF(A492="","",IF(OR(B492&lt;&gt;B491,C492&lt;&gt;C491,E492&lt;&gt;E491),G491+1,G491))</f>
        <v/>
      </c>
    </row>
    <row r="493">
      <c r="A493" s="20">
        <f>IF(A492="","",IF(A492+1&gt;Ввод!$B$4,"",A492+1))</f>
        <v/>
      </c>
      <c r="B493">
        <f>IF(A493="","",IFERROR(INDEX(Ввод!$B$12:$B$71,MATCH(A493,Ввод!$D$12:$D$71,1)),""))</f>
        <v/>
      </c>
      <c r="C493">
        <f>IF(A493="","",DATE(YEAR(A493),12,31)-DATE(YEAR(A493),1,1)+1)</f>
        <v/>
      </c>
      <c r="D493">
        <f>IF(A493="","",SUMIFS(Акты!$D$5:$D$16,Акты!$E$5:$E$16,"&lt;="&amp;A493)-SUMIFS(Оплаты!$B$6:$B$505,Оплаты!$A$6:$A$505,"&lt;"&amp;A493,Оплаты!$D$6:$D$505,"&lt;&gt;"))</f>
        <v/>
      </c>
      <c r="E493">
        <f>IF(A493="","",IF(SUMPRODUCT((Ввод!$F$12:$F$31&lt;&gt;"")*(Ввод!$F$12:$F$31&lt;=A493)*(Ввод!$G$12:$G$31&gt;=A493))&gt;0,1,0))</f>
        <v/>
      </c>
      <c r="G493">
        <f>IF(A493="","",IF(OR(B493&lt;&gt;B492,C493&lt;&gt;C492,E493&lt;&gt;E492),G492+1,G492))</f>
        <v/>
      </c>
    </row>
    <row r="494">
      <c r="A494" s="20">
        <f>IF(A493="","",IF(A493+1&gt;Ввод!$B$4,"",A493+1))</f>
        <v/>
      </c>
      <c r="B494">
        <f>IF(A494="","",IFERROR(INDEX(Ввод!$B$12:$B$71,MATCH(A494,Ввод!$D$12:$D$71,1)),""))</f>
        <v/>
      </c>
      <c r="C494">
        <f>IF(A494="","",DATE(YEAR(A494),12,31)-DATE(YEAR(A494),1,1)+1)</f>
        <v/>
      </c>
      <c r="D494">
        <f>IF(A494="","",SUMIFS(Акты!$D$5:$D$16,Акты!$E$5:$E$16,"&lt;="&amp;A494)-SUMIFS(Оплаты!$B$6:$B$505,Оплаты!$A$6:$A$505,"&lt;"&amp;A494,Оплаты!$D$6:$D$505,"&lt;&gt;"))</f>
        <v/>
      </c>
      <c r="E494">
        <f>IF(A494="","",IF(SUMPRODUCT((Ввод!$F$12:$F$31&lt;&gt;"")*(Ввод!$F$12:$F$31&lt;=A494)*(Ввод!$G$12:$G$31&gt;=A494))&gt;0,1,0))</f>
        <v/>
      </c>
      <c r="G494">
        <f>IF(A494="","",IF(OR(B494&lt;&gt;B493,C494&lt;&gt;C493,E494&lt;&gt;E493),G493+1,G493))</f>
        <v/>
      </c>
    </row>
    <row r="495">
      <c r="A495" s="20">
        <f>IF(A494="","",IF(A494+1&gt;Ввод!$B$4,"",A494+1))</f>
        <v/>
      </c>
      <c r="B495">
        <f>IF(A495="","",IFERROR(INDEX(Ввод!$B$12:$B$71,MATCH(A495,Ввод!$D$12:$D$71,1)),""))</f>
        <v/>
      </c>
      <c r="C495">
        <f>IF(A495="","",DATE(YEAR(A495),12,31)-DATE(YEAR(A495),1,1)+1)</f>
        <v/>
      </c>
      <c r="D495">
        <f>IF(A495="","",SUMIFS(Акты!$D$5:$D$16,Акты!$E$5:$E$16,"&lt;="&amp;A495)-SUMIFS(Оплаты!$B$6:$B$505,Оплаты!$A$6:$A$505,"&lt;"&amp;A495,Оплаты!$D$6:$D$505,"&lt;&gt;"))</f>
        <v/>
      </c>
      <c r="E495">
        <f>IF(A495="","",IF(SUMPRODUCT((Ввод!$F$12:$F$31&lt;&gt;"")*(Ввод!$F$12:$F$31&lt;=A495)*(Ввод!$G$12:$G$31&gt;=A495))&gt;0,1,0))</f>
        <v/>
      </c>
      <c r="G495">
        <f>IF(A495="","",IF(OR(B495&lt;&gt;B494,C495&lt;&gt;C494,E495&lt;&gt;E494),G494+1,G494))</f>
        <v/>
      </c>
    </row>
    <row r="496">
      <c r="A496" s="20">
        <f>IF(A495="","",IF(A495+1&gt;Ввод!$B$4,"",A495+1))</f>
        <v/>
      </c>
      <c r="B496">
        <f>IF(A496="","",IFERROR(INDEX(Ввод!$B$12:$B$71,MATCH(A496,Ввод!$D$12:$D$71,1)),""))</f>
        <v/>
      </c>
      <c r="C496">
        <f>IF(A496="","",DATE(YEAR(A496),12,31)-DATE(YEAR(A496),1,1)+1)</f>
        <v/>
      </c>
      <c r="D496">
        <f>IF(A496="","",SUMIFS(Акты!$D$5:$D$16,Акты!$E$5:$E$16,"&lt;="&amp;A496)-SUMIFS(Оплаты!$B$6:$B$505,Оплаты!$A$6:$A$505,"&lt;"&amp;A496,Оплаты!$D$6:$D$505,"&lt;&gt;"))</f>
        <v/>
      </c>
      <c r="E496">
        <f>IF(A496="","",IF(SUMPRODUCT((Ввод!$F$12:$F$31&lt;&gt;"")*(Ввод!$F$12:$F$31&lt;=A496)*(Ввод!$G$12:$G$31&gt;=A496))&gt;0,1,0))</f>
        <v/>
      </c>
      <c r="G496">
        <f>IF(A496="","",IF(OR(B496&lt;&gt;B495,C496&lt;&gt;C495,E496&lt;&gt;E495),G495+1,G495))</f>
        <v/>
      </c>
    </row>
    <row r="497">
      <c r="A497" s="20">
        <f>IF(A496="","",IF(A496+1&gt;Ввод!$B$4,"",A496+1))</f>
        <v/>
      </c>
      <c r="B497">
        <f>IF(A497="","",IFERROR(INDEX(Ввод!$B$12:$B$71,MATCH(A497,Ввод!$D$12:$D$71,1)),""))</f>
        <v/>
      </c>
      <c r="C497">
        <f>IF(A497="","",DATE(YEAR(A497),12,31)-DATE(YEAR(A497),1,1)+1)</f>
        <v/>
      </c>
      <c r="D497">
        <f>IF(A497="","",SUMIFS(Акты!$D$5:$D$16,Акты!$E$5:$E$16,"&lt;="&amp;A497)-SUMIFS(Оплаты!$B$6:$B$505,Оплаты!$A$6:$A$505,"&lt;"&amp;A497,Оплаты!$D$6:$D$505,"&lt;&gt;"))</f>
        <v/>
      </c>
      <c r="E497">
        <f>IF(A497="","",IF(SUMPRODUCT((Ввод!$F$12:$F$31&lt;&gt;"")*(Ввод!$F$12:$F$31&lt;=A497)*(Ввод!$G$12:$G$31&gt;=A497))&gt;0,1,0))</f>
        <v/>
      </c>
      <c r="G497">
        <f>IF(A497="","",IF(OR(B497&lt;&gt;B496,C497&lt;&gt;C496,E497&lt;&gt;E496),G496+1,G496))</f>
        <v/>
      </c>
    </row>
    <row r="498">
      <c r="A498" s="20">
        <f>IF(A497="","",IF(A497+1&gt;Ввод!$B$4,"",A497+1))</f>
        <v/>
      </c>
      <c r="B498">
        <f>IF(A498="","",IFERROR(INDEX(Ввод!$B$12:$B$71,MATCH(A498,Ввод!$D$12:$D$71,1)),""))</f>
        <v/>
      </c>
      <c r="C498">
        <f>IF(A498="","",DATE(YEAR(A498),12,31)-DATE(YEAR(A498),1,1)+1)</f>
        <v/>
      </c>
      <c r="D498">
        <f>IF(A498="","",SUMIFS(Акты!$D$5:$D$16,Акты!$E$5:$E$16,"&lt;="&amp;A498)-SUMIFS(Оплаты!$B$6:$B$505,Оплаты!$A$6:$A$505,"&lt;"&amp;A498,Оплаты!$D$6:$D$505,"&lt;&gt;"))</f>
        <v/>
      </c>
      <c r="E498">
        <f>IF(A498="","",IF(SUMPRODUCT((Ввод!$F$12:$F$31&lt;&gt;"")*(Ввод!$F$12:$F$31&lt;=A498)*(Ввод!$G$12:$G$31&gt;=A498))&gt;0,1,0))</f>
        <v/>
      </c>
      <c r="G498">
        <f>IF(A498="","",IF(OR(B498&lt;&gt;B497,C498&lt;&gt;C497,E498&lt;&gt;E497),G497+1,G497))</f>
        <v/>
      </c>
    </row>
    <row r="499">
      <c r="A499" s="20">
        <f>IF(A498="","",IF(A498+1&gt;Ввод!$B$4,"",A498+1))</f>
        <v/>
      </c>
      <c r="B499">
        <f>IF(A499="","",IFERROR(INDEX(Ввод!$B$12:$B$71,MATCH(A499,Ввод!$D$12:$D$71,1)),""))</f>
        <v/>
      </c>
      <c r="C499">
        <f>IF(A499="","",DATE(YEAR(A499),12,31)-DATE(YEAR(A499),1,1)+1)</f>
        <v/>
      </c>
      <c r="D499">
        <f>IF(A499="","",SUMIFS(Акты!$D$5:$D$16,Акты!$E$5:$E$16,"&lt;="&amp;A499)-SUMIFS(Оплаты!$B$6:$B$505,Оплаты!$A$6:$A$505,"&lt;"&amp;A499,Оплаты!$D$6:$D$505,"&lt;&gt;"))</f>
        <v/>
      </c>
      <c r="E499">
        <f>IF(A499="","",IF(SUMPRODUCT((Ввод!$F$12:$F$31&lt;&gt;"")*(Ввод!$F$12:$F$31&lt;=A499)*(Ввод!$G$12:$G$31&gt;=A499))&gt;0,1,0))</f>
        <v/>
      </c>
      <c r="G499">
        <f>IF(A499="","",IF(OR(B499&lt;&gt;B498,C499&lt;&gt;C498,E499&lt;&gt;E498),G498+1,G498))</f>
        <v/>
      </c>
    </row>
    <row r="500">
      <c r="A500" s="20">
        <f>IF(A499="","",IF(A499+1&gt;Ввод!$B$4,"",A499+1))</f>
        <v/>
      </c>
      <c r="B500">
        <f>IF(A500="","",IFERROR(INDEX(Ввод!$B$12:$B$71,MATCH(A500,Ввод!$D$12:$D$71,1)),""))</f>
        <v/>
      </c>
      <c r="C500">
        <f>IF(A500="","",DATE(YEAR(A500),12,31)-DATE(YEAR(A500),1,1)+1)</f>
        <v/>
      </c>
      <c r="D500">
        <f>IF(A500="","",SUMIFS(Акты!$D$5:$D$16,Акты!$E$5:$E$16,"&lt;="&amp;A500)-SUMIFS(Оплаты!$B$6:$B$505,Оплаты!$A$6:$A$505,"&lt;"&amp;A500,Оплаты!$D$6:$D$505,"&lt;&gt;"))</f>
        <v/>
      </c>
      <c r="E500">
        <f>IF(A500="","",IF(SUMPRODUCT((Ввод!$F$12:$F$31&lt;&gt;"")*(Ввод!$F$12:$F$31&lt;=A500)*(Ввод!$G$12:$G$31&gt;=A500))&gt;0,1,0))</f>
        <v/>
      </c>
      <c r="G500">
        <f>IF(A500="","",IF(OR(B500&lt;&gt;B499,C500&lt;&gt;C499,E500&lt;&gt;E499),G499+1,G499))</f>
        <v/>
      </c>
    </row>
    <row r="501">
      <c r="A501" s="20">
        <f>IF(A500="","",IF(A500+1&gt;Ввод!$B$4,"",A500+1))</f>
        <v/>
      </c>
      <c r="B501">
        <f>IF(A501="","",IFERROR(INDEX(Ввод!$B$12:$B$71,MATCH(A501,Ввод!$D$12:$D$71,1)),""))</f>
        <v/>
      </c>
      <c r="C501">
        <f>IF(A501="","",DATE(YEAR(A501),12,31)-DATE(YEAR(A501),1,1)+1)</f>
        <v/>
      </c>
      <c r="D501">
        <f>IF(A501="","",SUMIFS(Акты!$D$5:$D$16,Акты!$E$5:$E$16,"&lt;="&amp;A501)-SUMIFS(Оплаты!$B$6:$B$505,Оплаты!$A$6:$A$505,"&lt;"&amp;A501,Оплаты!$D$6:$D$505,"&lt;&gt;"))</f>
        <v/>
      </c>
      <c r="E501">
        <f>IF(A501="","",IF(SUMPRODUCT((Ввод!$F$12:$F$31&lt;&gt;"")*(Ввод!$F$12:$F$31&lt;=A501)*(Ввод!$G$12:$G$31&gt;=A501))&gt;0,1,0))</f>
        <v/>
      </c>
      <c r="G501">
        <f>IF(A501="","",IF(OR(B501&lt;&gt;B500,C501&lt;&gt;C500,E501&lt;&gt;E500),G500+1,G500))</f>
        <v/>
      </c>
    </row>
    <row r="502">
      <c r="A502" s="20">
        <f>IF(A501="","",IF(A501+1&gt;Ввод!$B$4,"",A501+1))</f>
        <v/>
      </c>
      <c r="B502">
        <f>IF(A502="","",IFERROR(INDEX(Ввод!$B$12:$B$71,MATCH(A502,Ввод!$D$12:$D$71,1)),""))</f>
        <v/>
      </c>
      <c r="C502">
        <f>IF(A502="","",DATE(YEAR(A502),12,31)-DATE(YEAR(A502),1,1)+1)</f>
        <v/>
      </c>
      <c r="D502">
        <f>IF(A502="","",SUMIFS(Акты!$D$5:$D$16,Акты!$E$5:$E$16,"&lt;="&amp;A502)-SUMIFS(Оплаты!$B$6:$B$505,Оплаты!$A$6:$A$505,"&lt;"&amp;A502,Оплаты!$D$6:$D$505,"&lt;&gt;"))</f>
        <v/>
      </c>
      <c r="E502">
        <f>IF(A502="","",IF(SUMPRODUCT((Ввод!$F$12:$F$31&lt;&gt;"")*(Ввод!$F$12:$F$31&lt;=A502)*(Ввод!$G$12:$G$31&gt;=A502))&gt;0,1,0))</f>
        <v/>
      </c>
      <c r="G502">
        <f>IF(A502="","",IF(OR(B502&lt;&gt;B501,C502&lt;&gt;C501,E502&lt;&gt;E501),G501+1,G501))</f>
        <v/>
      </c>
    </row>
    <row r="503">
      <c r="A503" s="20">
        <f>IF(A502="","",IF(A502+1&gt;Ввод!$B$4,"",A502+1))</f>
        <v/>
      </c>
      <c r="B503">
        <f>IF(A503="","",IFERROR(INDEX(Ввод!$B$12:$B$71,MATCH(A503,Ввод!$D$12:$D$71,1)),""))</f>
        <v/>
      </c>
      <c r="C503">
        <f>IF(A503="","",DATE(YEAR(A503),12,31)-DATE(YEAR(A503),1,1)+1)</f>
        <v/>
      </c>
      <c r="D503">
        <f>IF(A503="","",SUMIFS(Акты!$D$5:$D$16,Акты!$E$5:$E$16,"&lt;="&amp;A503)-SUMIFS(Оплаты!$B$6:$B$505,Оплаты!$A$6:$A$505,"&lt;"&amp;A503,Оплаты!$D$6:$D$505,"&lt;&gt;"))</f>
        <v/>
      </c>
      <c r="E503">
        <f>IF(A503="","",IF(SUMPRODUCT((Ввод!$F$12:$F$31&lt;&gt;"")*(Ввод!$F$12:$F$31&lt;=A503)*(Ввод!$G$12:$G$31&gt;=A503))&gt;0,1,0))</f>
        <v/>
      </c>
      <c r="G503">
        <f>IF(A503="","",IF(OR(B503&lt;&gt;B502,C503&lt;&gt;C502,E503&lt;&gt;E502),G502+1,G502))</f>
        <v/>
      </c>
    </row>
    <row r="504">
      <c r="A504" s="20">
        <f>IF(A503="","",IF(A503+1&gt;Ввод!$B$4,"",A503+1))</f>
        <v/>
      </c>
      <c r="B504">
        <f>IF(A504="","",IFERROR(INDEX(Ввод!$B$12:$B$71,MATCH(A504,Ввод!$D$12:$D$71,1)),""))</f>
        <v/>
      </c>
      <c r="C504">
        <f>IF(A504="","",DATE(YEAR(A504),12,31)-DATE(YEAR(A504),1,1)+1)</f>
        <v/>
      </c>
      <c r="D504">
        <f>IF(A504="","",SUMIFS(Акты!$D$5:$D$16,Акты!$E$5:$E$16,"&lt;="&amp;A504)-SUMIFS(Оплаты!$B$6:$B$505,Оплаты!$A$6:$A$505,"&lt;"&amp;A504,Оплаты!$D$6:$D$505,"&lt;&gt;"))</f>
        <v/>
      </c>
      <c r="E504">
        <f>IF(A504="","",IF(SUMPRODUCT((Ввод!$F$12:$F$31&lt;&gt;"")*(Ввод!$F$12:$F$31&lt;=A504)*(Ввод!$G$12:$G$31&gt;=A504))&gt;0,1,0))</f>
        <v/>
      </c>
      <c r="G504">
        <f>IF(A504="","",IF(OR(B504&lt;&gt;B503,C504&lt;&gt;C503,E504&lt;&gt;E503),G503+1,G503))</f>
        <v/>
      </c>
    </row>
    <row r="505">
      <c r="A505" s="20">
        <f>IF(A504="","",IF(A504+1&gt;Ввод!$B$4,"",A504+1))</f>
        <v/>
      </c>
      <c r="B505">
        <f>IF(A505="","",IFERROR(INDEX(Ввод!$B$12:$B$71,MATCH(A505,Ввод!$D$12:$D$71,1)),""))</f>
        <v/>
      </c>
      <c r="C505">
        <f>IF(A505="","",DATE(YEAR(A505),12,31)-DATE(YEAR(A505),1,1)+1)</f>
        <v/>
      </c>
      <c r="D505">
        <f>IF(A505="","",SUMIFS(Акты!$D$5:$D$16,Акты!$E$5:$E$16,"&lt;="&amp;A505)-SUMIFS(Оплаты!$B$6:$B$505,Оплаты!$A$6:$A$505,"&lt;"&amp;A505,Оплаты!$D$6:$D$505,"&lt;&gt;"))</f>
        <v/>
      </c>
      <c r="E505">
        <f>IF(A505="","",IF(SUMPRODUCT((Ввод!$F$12:$F$31&lt;&gt;"")*(Ввод!$F$12:$F$31&lt;=A505)*(Ввод!$G$12:$G$31&gt;=A505))&gt;0,1,0))</f>
        <v/>
      </c>
      <c r="G505">
        <f>IF(A505="","",IF(OR(B505&lt;&gt;B504,C505&lt;&gt;C504,E505&lt;&gt;E504),G504+1,G504))</f>
        <v/>
      </c>
    </row>
    <row r="506">
      <c r="A506" s="20">
        <f>IF(A505="","",IF(A505+1&gt;Ввод!$B$4,"",A505+1))</f>
        <v/>
      </c>
      <c r="B506">
        <f>IF(A506="","",IFERROR(INDEX(Ввод!$B$12:$B$71,MATCH(A506,Ввод!$D$12:$D$71,1)),""))</f>
        <v/>
      </c>
      <c r="C506">
        <f>IF(A506="","",DATE(YEAR(A506),12,31)-DATE(YEAR(A506),1,1)+1)</f>
        <v/>
      </c>
      <c r="D506">
        <f>IF(A506="","",SUMIFS(Акты!$D$5:$D$16,Акты!$E$5:$E$16,"&lt;="&amp;A506)-SUMIFS(Оплаты!$B$6:$B$505,Оплаты!$A$6:$A$505,"&lt;"&amp;A506,Оплаты!$D$6:$D$505,"&lt;&gt;"))</f>
        <v/>
      </c>
      <c r="E506">
        <f>IF(A506="","",IF(SUMPRODUCT((Ввод!$F$12:$F$31&lt;&gt;"")*(Ввод!$F$12:$F$31&lt;=A506)*(Ввод!$G$12:$G$31&gt;=A506))&gt;0,1,0))</f>
        <v/>
      </c>
      <c r="G506">
        <f>IF(A506="","",IF(OR(B506&lt;&gt;B505,C506&lt;&gt;C505,E506&lt;&gt;E505),G505+1,G505))</f>
        <v/>
      </c>
    </row>
    <row r="507">
      <c r="A507" s="20">
        <f>IF(A506="","",IF(A506+1&gt;Ввод!$B$4,"",A506+1))</f>
        <v/>
      </c>
      <c r="B507">
        <f>IF(A507="","",IFERROR(INDEX(Ввод!$B$12:$B$71,MATCH(A507,Ввод!$D$12:$D$71,1)),""))</f>
        <v/>
      </c>
      <c r="C507">
        <f>IF(A507="","",DATE(YEAR(A507),12,31)-DATE(YEAR(A507),1,1)+1)</f>
        <v/>
      </c>
      <c r="D507">
        <f>IF(A507="","",SUMIFS(Акты!$D$5:$D$16,Акты!$E$5:$E$16,"&lt;="&amp;A507)-SUMIFS(Оплаты!$B$6:$B$505,Оплаты!$A$6:$A$505,"&lt;"&amp;A507,Оплаты!$D$6:$D$505,"&lt;&gt;"))</f>
        <v/>
      </c>
      <c r="E507">
        <f>IF(A507="","",IF(SUMPRODUCT((Ввод!$F$12:$F$31&lt;&gt;"")*(Ввод!$F$12:$F$31&lt;=A507)*(Ввод!$G$12:$G$31&gt;=A507))&gt;0,1,0))</f>
        <v/>
      </c>
      <c r="G507">
        <f>IF(A507="","",IF(OR(B507&lt;&gt;B506,C507&lt;&gt;C506,E507&lt;&gt;E506),G506+1,G506))</f>
        <v/>
      </c>
    </row>
    <row r="508">
      <c r="A508" s="20">
        <f>IF(A507="","",IF(A507+1&gt;Ввод!$B$4,"",A507+1))</f>
        <v/>
      </c>
      <c r="B508">
        <f>IF(A508="","",IFERROR(INDEX(Ввод!$B$12:$B$71,MATCH(A508,Ввод!$D$12:$D$71,1)),""))</f>
        <v/>
      </c>
      <c r="C508">
        <f>IF(A508="","",DATE(YEAR(A508),12,31)-DATE(YEAR(A508),1,1)+1)</f>
        <v/>
      </c>
      <c r="D508">
        <f>IF(A508="","",SUMIFS(Акты!$D$5:$D$16,Акты!$E$5:$E$16,"&lt;="&amp;A508)-SUMIFS(Оплаты!$B$6:$B$505,Оплаты!$A$6:$A$505,"&lt;"&amp;A508,Оплаты!$D$6:$D$505,"&lt;&gt;"))</f>
        <v/>
      </c>
      <c r="E508">
        <f>IF(A508="","",IF(SUMPRODUCT((Ввод!$F$12:$F$31&lt;&gt;"")*(Ввод!$F$12:$F$31&lt;=A508)*(Ввод!$G$12:$G$31&gt;=A508))&gt;0,1,0))</f>
        <v/>
      </c>
      <c r="G508">
        <f>IF(A508="","",IF(OR(B508&lt;&gt;B507,C508&lt;&gt;C507,E508&lt;&gt;E507),G507+1,G507))</f>
        <v/>
      </c>
    </row>
    <row r="509">
      <c r="A509" s="20">
        <f>IF(A508="","",IF(A508+1&gt;Ввод!$B$4,"",A508+1))</f>
        <v/>
      </c>
      <c r="B509">
        <f>IF(A509="","",IFERROR(INDEX(Ввод!$B$12:$B$71,MATCH(A509,Ввод!$D$12:$D$71,1)),""))</f>
        <v/>
      </c>
      <c r="C509">
        <f>IF(A509="","",DATE(YEAR(A509),12,31)-DATE(YEAR(A509),1,1)+1)</f>
        <v/>
      </c>
      <c r="D509">
        <f>IF(A509="","",SUMIFS(Акты!$D$5:$D$16,Акты!$E$5:$E$16,"&lt;="&amp;A509)-SUMIFS(Оплаты!$B$6:$B$505,Оплаты!$A$6:$A$505,"&lt;"&amp;A509,Оплаты!$D$6:$D$505,"&lt;&gt;"))</f>
        <v/>
      </c>
      <c r="E509">
        <f>IF(A509="","",IF(SUMPRODUCT((Ввод!$F$12:$F$31&lt;&gt;"")*(Ввод!$F$12:$F$31&lt;=A509)*(Ввод!$G$12:$G$31&gt;=A509))&gt;0,1,0))</f>
        <v/>
      </c>
      <c r="G509">
        <f>IF(A509="","",IF(OR(B509&lt;&gt;B508,C509&lt;&gt;C508,E509&lt;&gt;E508),G508+1,G508))</f>
        <v/>
      </c>
    </row>
    <row r="510">
      <c r="A510" s="20">
        <f>IF(A509="","",IF(A509+1&gt;Ввод!$B$4,"",A509+1))</f>
        <v/>
      </c>
      <c r="B510">
        <f>IF(A510="","",IFERROR(INDEX(Ввод!$B$12:$B$71,MATCH(A510,Ввод!$D$12:$D$71,1)),""))</f>
        <v/>
      </c>
      <c r="C510">
        <f>IF(A510="","",DATE(YEAR(A510),12,31)-DATE(YEAR(A510),1,1)+1)</f>
        <v/>
      </c>
      <c r="D510">
        <f>IF(A510="","",SUMIFS(Акты!$D$5:$D$16,Акты!$E$5:$E$16,"&lt;="&amp;A510)-SUMIFS(Оплаты!$B$6:$B$505,Оплаты!$A$6:$A$505,"&lt;"&amp;A510,Оплаты!$D$6:$D$505,"&lt;&gt;"))</f>
        <v/>
      </c>
      <c r="E510">
        <f>IF(A510="","",IF(SUMPRODUCT((Ввод!$F$12:$F$31&lt;&gt;"")*(Ввод!$F$12:$F$31&lt;=A510)*(Ввод!$G$12:$G$31&gt;=A510))&gt;0,1,0))</f>
        <v/>
      </c>
      <c r="G510">
        <f>IF(A510="","",IF(OR(B510&lt;&gt;B509,C510&lt;&gt;C509,E510&lt;&gt;E509),G509+1,G509))</f>
        <v/>
      </c>
    </row>
    <row r="511">
      <c r="A511" s="20">
        <f>IF(A510="","",IF(A510+1&gt;Ввод!$B$4,"",A510+1))</f>
        <v/>
      </c>
      <c r="B511">
        <f>IF(A511="","",IFERROR(INDEX(Ввод!$B$12:$B$71,MATCH(A511,Ввод!$D$12:$D$71,1)),""))</f>
        <v/>
      </c>
      <c r="C511">
        <f>IF(A511="","",DATE(YEAR(A511),12,31)-DATE(YEAR(A511),1,1)+1)</f>
        <v/>
      </c>
      <c r="D511">
        <f>IF(A511="","",SUMIFS(Акты!$D$5:$D$16,Акты!$E$5:$E$16,"&lt;="&amp;A511)-SUMIFS(Оплаты!$B$6:$B$505,Оплаты!$A$6:$A$505,"&lt;"&amp;A511,Оплаты!$D$6:$D$505,"&lt;&gt;"))</f>
        <v/>
      </c>
      <c r="E511">
        <f>IF(A511="","",IF(SUMPRODUCT((Ввод!$F$12:$F$31&lt;&gt;"")*(Ввод!$F$12:$F$31&lt;=A511)*(Ввод!$G$12:$G$31&gt;=A511))&gt;0,1,0))</f>
        <v/>
      </c>
      <c r="G511">
        <f>IF(A511="","",IF(OR(B511&lt;&gt;B510,C511&lt;&gt;C510,E511&lt;&gt;E510),G510+1,G510))</f>
        <v/>
      </c>
    </row>
    <row r="512">
      <c r="A512" s="20">
        <f>IF(A511="","",IF(A511+1&gt;Ввод!$B$4,"",A511+1))</f>
        <v/>
      </c>
      <c r="B512">
        <f>IF(A512="","",IFERROR(INDEX(Ввод!$B$12:$B$71,MATCH(A512,Ввод!$D$12:$D$71,1)),""))</f>
        <v/>
      </c>
      <c r="C512">
        <f>IF(A512="","",DATE(YEAR(A512),12,31)-DATE(YEAR(A512),1,1)+1)</f>
        <v/>
      </c>
      <c r="D512">
        <f>IF(A512="","",SUMIFS(Акты!$D$5:$D$16,Акты!$E$5:$E$16,"&lt;="&amp;A512)-SUMIFS(Оплаты!$B$6:$B$505,Оплаты!$A$6:$A$505,"&lt;"&amp;A512,Оплаты!$D$6:$D$505,"&lt;&gt;"))</f>
        <v/>
      </c>
      <c r="E512">
        <f>IF(A512="","",IF(SUMPRODUCT((Ввод!$F$12:$F$31&lt;&gt;"")*(Ввод!$F$12:$F$31&lt;=A512)*(Ввод!$G$12:$G$31&gt;=A512))&gt;0,1,0))</f>
        <v/>
      </c>
      <c r="G512">
        <f>IF(A512="","",IF(OR(B512&lt;&gt;B511,C512&lt;&gt;C511,E512&lt;&gt;E511),G511+1,G511))</f>
        <v/>
      </c>
    </row>
    <row r="513">
      <c r="A513" s="20">
        <f>IF(A512="","",IF(A512+1&gt;Ввод!$B$4,"",A512+1))</f>
        <v/>
      </c>
      <c r="B513">
        <f>IF(A513="","",IFERROR(INDEX(Ввод!$B$12:$B$71,MATCH(A513,Ввод!$D$12:$D$71,1)),""))</f>
        <v/>
      </c>
      <c r="C513">
        <f>IF(A513="","",DATE(YEAR(A513),12,31)-DATE(YEAR(A513),1,1)+1)</f>
        <v/>
      </c>
      <c r="D513">
        <f>IF(A513="","",SUMIFS(Акты!$D$5:$D$16,Акты!$E$5:$E$16,"&lt;="&amp;A513)-SUMIFS(Оплаты!$B$6:$B$505,Оплаты!$A$6:$A$505,"&lt;"&amp;A513,Оплаты!$D$6:$D$505,"&lt;&gt;"))</f>
        <v/>
      </c>
      <c r="E513">
        <f>IF(A513="","",IF(SUMPRODUCT((Ввод!$F$12:$F$31&lt;&gt;"")*(Ввод!$F$12:$F$31&lt;=A513)*(Ввод!$G$12:$G$31&gt;=A513))&gt;0,1,0))</f>
        <v/>
      </c>
      <c r="G513">
        <f>IF(A513="","",IF(OR(B513&lt;&gt;B512,C513&lt;&gt;C512,E513&lt;&gt;E512),G512+1,G512))</f>
        <v/>
      </c>
    </row>
    <row r="514">
      <c r="A514" s="20">
        <f>IF(A513="","",IF(A513+1&gt;Ввод!$B$4,"",A513+1))</f>
        <v/>
      </c>
      <c r="B514">
        <f>IF(A514="","",IFERROR(INDEX(Ввод!$B$12:$B$71,MATCH(A514,Ввод!$D$12:$D$71,1)),""))</f>
        <v/>
      </c>
      <c r="C514">
        <f>IF(A514="","",DATE(YEAR(A514),12,31)-DATE(YEAR(A514),1,1)+1)</f>
        <v/>
      </c>
      <c r="D514">
        <f>IF(A514="","",SUMIFS(Акты!$D$5:$D$16,Акты!$E$5:$E$16,"&lt;="&amp;A514)-SUMIFS(Оплаты!$B$6:$B$505,Оплаты!$A$6:$A$505,"&lt;"&amp;A514,Оплаты!$D$6:$D$505,"&lt;&gt;"))</f>
        <v/>
      </c>
      <c r="E514">
        <f>IF(A514="","",IF(SUMPRODUCT((Ввод!$F$12:$F$31&lt;&gt;"")*(Ввод!$F$12:$F$31&lt;=A514)*(Ввод!$G$12:$G$31&gt;=A514))&gt;0,1,0))</f>
        <v/>
      </c>
      <c r="G514">
        <f>IF(A514="","",IF(OR(B514&lt;&gt;B513,C514&lt;&gt;C513,E514&lt;&gt;E513),G513+1,G513))</f>
        <v/>
      </c>
    </row>
    <row r="515">
      <c r="A515" s="20">
        <f>IF(A514="","",IF(A514+1&gt;Ввод!$B$4,"",A514+1))</f>
        <v/>
      </c>
      <c r="B515">
        <f>IF(A515="","",IFERROR(INDEX(Ввод!$B$12:$B$71,MATCH(A515,Ввод!$D$12:$D$71,1)),""))</f>
        <v/>
      </c>
      <c r="C515">
        <f>IF(A515="","",DATE(YEAR(A515),12,31)-DATE(YEAR(A515),1,1)+1)</f>
        <v/>
      </c>
      <c r="D515">
        <f>IF(A515="","",SUMIFS(Акты!$D$5:$D$16,Акты!$E$5:$E$16,"&lt;="&amp;A515)-SUMIFS(Оплаты!$B$6:$B$505,Оплаты!$A$6:$A$505,"&lt;"&amp;A515,Оплаты!$D$6:$D$505,"&lt;&gt;"))</f>
        <v/>
      </c>
      <c r="E515">
        <f>IF(A515="","",IF(SUMPRODUCT((Ввод!$F$12:$F$31&lt;&gt;"")*(Ввод!$F$12:$F$31&lt;=A515)*(Ввод!$G$12:$G$31&gt;=A515))&gt;0,1,0))</f>
        <v/>
      </c>
      <c r="G515">
        <f>IF(A515="","",IF(OR(B515&lt;&gt;B514,C515&lt;&gt;C514,E515&lt;&gt;E514),G514+1,G514))</f>
        <v/>
      </c>
    </row>
    <row r="516">
      <c r="A516" s="20">
        <f>IF(A515="","",IF(A515+1&gt;Ввод!$B$4,"",A515+1))</f>
        <v/>
      </c>
      <c r="B516">
        <f>IF(A516="","",IFERROR(INDEX(Ввод!$B$12:$B$71,MATCH(A516,Ввод!$D$12:$D$71,1)),""))</f>
        <v/>
      </c>
      <c r="C516">
        <f>IF(A516="","",DATE(YEAR(A516),12,31)-DATE(YEAR(A516),1,1)+1)</f>
        <v/>
      </c>
      <c r="D516">
        <f>IF(A516="","",SUMIFS(Акты!$D$5:$D$16,Акты!$E$5:$E$16,"&lt;="&amp;A516)-SUMIFS(Оплаты!$B$6:$B$505,Оплаты!$A$6:$A$505,"&lt;"&amp;A516,Оплаты!$D$6:$D$505,"&lt;&gt;"))</f>
        <v/>
      </c>
      <c r="E516">
        <f>IF(A516="","",IF(SUMPRODUCT((Ввод!$F$12:$F$31&lt;&gt;"")*(Ввод!$F$12:$F$31&lt;=A516)*(Ввод!$G$12:$G$31&gt;=A516))&gt;0,1,0))</f>
        <v/>
      </c>
      <c r="G516">
        <f>IF(A516="","",IF(OR(B516&lt;&gt;B515,C516&lt;&gt;C515,E516&lt;&gt;E515),G515+1,G515))</f>
        <v/>
      </c>
    </row>
    <row r="517">
      <c r="A517" s="20">
        <f>IF(A516="","",IF(A516+1&gt;Ввод!$B$4,"",A516+1))</f>
        <v/>
      </c>
      <c r="B517">
        <f>IF(A517="","",IFERROR(INDEX(Ввод!$B$12:$B$71,MATCH(A517,Ввод!$D$12:$D$71,1)),""))</f>
        <v/>
      </c>
      <c r="C517">
        <f>IF(A517="","",DATE(YEAR(A517),12,31)-DATE(YEAR(A517),1,1)+1)</f>
        <v/>
      </c>
      <c r="D517">
        <f>IF(A517="","",SUMIFS(Акты!$D$5:$D$16,Акты!$E$5:$E$16,"&lt;="&amp;A517)-SUMIFS(Оплаты!$B$6:$B$505,Оплаты!$A$6:$A$505,"&lt;"&amp;A517,Оплаты!$D$6:$D$505,"&lt;&gt;"))</f>
        <v/>
      </c>
      <c r="E517">
        <f>IF(A517="","",IF(SUMPRODUCT((Ввод!$F$12:$F$31&lt;&gt;"")*(Ввод!$F$12:$F$31&lt;=A517)*(Ввод!$G$12:$G$31&gt;=A517))&gt;0,1,0))</f>
        <v/>
      </c>
      <c r="G517">
        <f>IF(A517="","",IF(OR(B517&lt;&gt;B516,C517&lt;&gt;C516,E517&lt;&gt;E516),G516+1,G516))</f>
        <v/>
      </c>
    </row>
    <row r="518">
      <c r="A518" s="20">
        <f>IF(A517="","",IF(A517+1&gt;Ввод!$B$4,"",A517+1))</f>
        <v/>
      </c>
      <c r="B518">
        <f>IF(A518="","",IFERROR(INDEX(Ввод!$B$12:$B$71,MATCH(A518,Ввод!$D$12:$D$71,1)),""))</f>
        <v/>
      </c>
      <c r="C518">
        <f>IF(A518="","",DATE(YEAR(A518),12,31)-DATE(YEAR(A518),1,1)+1)</f>
        <v/>
      </c>
      <c r="D518">
        <f>IF(A518="","",SUMIFS(Акты!$D$5:$D$16,Акты!$E$5:$E$16,"&lt;="&amp;A518)-SUMIFS(Оплаты!$B$6:$B$505,Оплаты!$A$6:$A$505,"&lt;"&amp;A518,Оплаты!$D$6:$D$505,"&lt;&gt;"))</f>
        <v/>
      </c>
      <c r="E518">
        <f>IF(A518="","",IF(SUMPRODUCT((Ввод!$F$12:$F$31&lt;&gt;"")*(Ввод!$F$12:$F$31&lt;=A518)*(Ввод!$G$12:$G$31&gt;=A518))&gt;0,1,0))</f>
        <v/>
      </c>
      <c r="G518">
        <f>IF(A518="","",IF(OR(B518&lt;&gt;B517,C518&lt;&gt;C517,E518&lt;&gt;E517),G517+1,G517))</f>
        <v/>
      </c>
    </row>
    <row r="519">
      <c r="A519" s="20">
        <f>IF(A518="","",IF(A518+1&gt;Ввод!$B$4,"",A518+1))</f>
        <v/>
      </c>
      <c r="B519">
        <f>IF(A519="","",IFERROR(INDEX(Ввод!$B$12:$B$71,MATCH(A519,Ввод!$D$12:$D$71,1)),""))</f>
        <v/>
      </c>
      <c r="C519">
        <f>IF(A519="","",DATE(YEAR(A519),12,31)-DATE(YEAR(A519),1,1)+1)</f>
        <v/>
      </c>
      <c r="D519">
        <f>IF(A519="","",SUMIFS(Акты!$D$5:$D$16,Акты!$E$5:$E$16,"&lt;="&amp;A519)-SUMIFS(Оплаты!$B$6:$B$505,Оплаты!$A$6:$A$505,"&lt;"&amp;A519,Оплаты!$D$6:$D$505,"&lt;&gt;"))</f>
        <v/>
      </c>
      <c r="E519">
        <f>IF(A519="","",IF(SUMPRODUCT((Ввод!$F$12:$F$31&lt;&gt;"")*(Ввод!$F$12:$F$31&lt;=A519)*(Ввод!$G$12:$G$31&gt;=A519))&gt;0,1,0))</f>
        <v/>
      </c>
      <c r="G519">
        <f>IF(A519="","",IF(OR(B519&lt;&gt;B518,C519&lt;&gt;C518,E519&lt;&gt;E518),G518+1,G518))</f>
        <v/>
      </c>
    </row>
    <row r="520">
      <c r="A520" s="20">
        <f>IF(A519="","",IF(A519+1&gt;Ввод!$B$4,"",A519+1))</f>
        <v/>
      </c>
      <c r="B520">
        <f>IF(A520="","",IFERROR(INDEX(Ввод!$B$12:$B$71,MATCH(A520,Ввод!$D$12:$D$71,1)),""))</f>
        <v/>
      </c>
      <c r="C520">
        <f>IF(A520="","",DATE(YEAR(A520),12,31)-DATE(YEAR(A520),1,1)+1)</f>
        <v/>
      </c>
      <c r="D520">
        <f>IF(A520="","",SUMIFS(Акты!$D$5:$D$16,Акты!$E$5:$E$16,"&lt;="&amp;A520)-SUMIFS(Оплаты!$B$6:$B$505,Оплаты!$A$6:$A$505,"&lt;"&amp;A520,Оплаты!$D$6:$D$505,"&lt;&gt;"))</f>
        <v/>
      </c>
      <c r="E520">
        <f>IF(A520="","",IF(SUMPRODUCT((Ввод!$F$12:$F$31&lt;&gt;"")*(Ввод!$F$12:$F$31&lt;=A520)*(Ввод!$G$12:$G$31&gt;=A520))&gt;0,1,0))</f>
        <v/>
      </c>
      <c r="G520">
        <f>IF(A520="","",IF(OR(B520&lt;&gt;B519,C520&lt;&gt;C519,E520&lt;&gt;E519),G519+1,G519))</f>
        <v/>
      </c>
    </row>
    <row r="521">
      <c r="A521" s="20">
        <f>IF(A520="","",IF(A520+1&gt;Ввод!$B$4,"",A520+1))</f>
        <v/>
      </c>
      <c r="B521">
        <f>IF(A521="","",IFERROR(INDEX(Ввод!$B$12:$B$71,MATCH(A521,Ввод!$D$12:$D$71,1)),""))</f>
        <v/>
      </c>
      <c r="C521">
        <f>IF(A521="","",DATE(YEAR(A521),12,31)-DATE(YEAR(A521),1,1)+1)</f>
        <v/>
      </c>
      <c r="D521">
        <f>IF(A521="","",SUMIFS(Акты!$D$5:$D$16,Акты!$E$5:$E$16,"&lt;="&amp;A521)-SUMIFS(Оплаты!$B$6:$B$505,Оплаты!$A$6:$A$505,"&lt;"&amp;A521,Оплаты!$D$6:$D$505,"&lt;&gt;"))</f>
        <v/>
      </c>
      <c r="E521">
        <f>IF(A521="","",IF(SUMPRODUCT((Ввод!$F$12:$F$31&lt;&gt;"")*(Ввод!$F$12:$F$31&lt;=A521)*(Ввод!$G$12:$G$31&gt;=A521))&gt;0,1,0))</f>
        <v/>
      </c>
      <c r="G521">
        <f>IF(A521="","",IF(OR(B521&lt;&gt;B520,C521&lt;&gt;C520,E521&lt;&gt;E520),G520+1,G520))</f>
        <v/>
      </c>
    </row>
    <row r="522">
      <c r="A522" s="20">
        <f>IF(A521="","",IF(A521+1&gt;Ввод!$B$4,"",A521+1))</f>
        <v/>
      </c>
      <c r="B522">
        <f>IF(A522="","",IFERROR(INDEX(Ввод!$B$12:$B$71,MATCH(A522,Ввод!$D$12:$D$71,1)),""))</f>
        <v/>
      </c>
      <c r="C522">
        <f>IF(A522="","",DATE(YEAR(A522),12,31)-DATE(YEAR(A522),1,1)+1)</f>
        <v/>
      </c>
      <c r="D522">
        <f>IF(A522="","",SUMIFS(Акты!$D$5:$D$16,Акты!$E$5:$E$16,"&lt;="&amp;A522)-SUMIFS(Оплаты!$B$6:$B$505,Оплаты!$A$6:$A$505,"&lt;"&amp;A522,Оплаты!$D$6:$D$505,"&lt;&gt;"))</f>
        <v/>
      </c>
      <c r="E522">
        <f>IF(A522="","",IF(SUMPRODUCT((Ввод!$F$12:$F$31&lt;&gt;"")*(Ввод!$F$12:$F$31&lt;=A522)*(Ввод!$G$12:$G$31&gt;=A522))&gt;0,1,0))</f>
        <v/>
      </c>
      <c r="G522">
        <f>IF(A522="","",IF(OR(B522&lt;&gt;B521,C522&lt;&gt;C521,E522&lt;&gt;E521),G521+1,G521))</f>
        <v/>
      </c>
    </row>
    <row r="523">
      <c r="A523" s="20">
        <f>IF(A522="","",IF(A522+1&gt;Ввод!$B$4,"",A522+1))</f>
        <v/>
      </c>
      <c r="B523">
        <f>IF(A523="","",IFERROR(INDEX(Ввод!$B$12:$B$71,MATCH(A523,Ввод!$D$12:$D$71,1)),""))</f>
        <v/>
      </c>
      <c r="C523">
        <f>IF(A523="","",DATE(YEAR(A523),12,31)-DATE(YEAR(A523),1,1)+1)</f>
        <v/>
      </c>
      <c r="D523">
        <f>IF(A523="","",SUMIFS(Акты!$D$5:$D$16,Акты!$E$5:$E$16,"&lt;="&amp;A523)-SUMIFS(Оплаты!$B$6:$B$505,Оплаты!$A$6:$A$505,"&lt;"&amp;A523,Оплаты!$D$6:$D$505,"&lt;&gt;"))</f>
        <v/>
      </c>
      <c r="E523">
        <f>IF(A523="","",IF(SUMPRODUCT((Ввод!$F$12:$F$31&lt;&gt;"")*(Ввод!$F$12:$F$31&lt;=A523)*(Ввод!$G$12:$G$31&gt;=A523))&gt;0,1,0))</f>
        <v/>
      </c>
      <c r="G523">
        <f>IF(A523="","",IF(OR(B523&lt;&gt;B522,C523&lt;&gt;C522,E523&lt;&gt;E522),G522+1,G522))</f>
        <v/>
      </c>
    </row>
    <row r="524">
      <c r="A524" s="20">
        <f>IF(A523="","",IF(A523+1&gt;Ввод!$B$4,"",A523+1))</f>
        <v/>
      </c>
      <c r="B524">
        <f>IF(A524="","",IFERROR(INDEX(Ввод!$B$12:$B$71,MATCH(A524,Ввод!$D$12:$D$71,1)),""))</f>
        <v/>
      </c>
      <c r="C524">
        <f>IF(A524="","",DATE(YEAR(A524),12,31)-DATE(YEAR(A524),1,1)+1)</f>
        <v/>
      </c>
      <c r="D524">
        <f>IF(A524="","",SUMIFS(Акты!$D$5:$D$16,Акты!$E$5:$E$16,"&lt;="&amp;A524)-SUMIFS(Оплаты!$B$6:$B$505,Оплаты!$A$6:$A$505,"&lt;"&amp;A524,Оплаты!$D$6:$D$505,"&lt;&gt;"))</f>
        <v/>
      </c>
      <c r="E524">
        <f>IF(A524="","",IF(SUMPRODUCT((Ввод!$F$12:$F$31&lt;&gt;"")*(Ввод!$F$12:$F$31&lt;=A524)*(Ввод!$G$12:$G$31&gt;=A524))&gt;0,1,0))</f>
        <v/>
      </c>
      <c r="G524">
        <f>IF(A524="","",IF(OR(B524&lt;&gt;B523,C524&lt;&gt;C523,E524&lt;&gt;E523),G523+1,G523))</f>
        <v/>
      </c>
    </row>
    <row r="525">
      <c r="A525" s="20">
        <f>IF(A524="","",IF(A524+1&gt;Ввод!$B$4,"",A524+1))</f>
        <v/>
      </c>
      <c r="B525">
        <f>IF(A525="","",IFERROR(INDEX(Ввод!$B$12:$B$71,MATCH(A525,Ввод!$D$12:$D$71,1)),""))</f>
        <v/>
      </c>
      <c r="C525">
        <f>IF(A525="","",DATE(YEAR(A525),12,31)-DATE(YEAR(A525),1,1)+1)</f>
        <v/>
      </c>
      <c r="D525">
        <f>IF(A525="","",SUMIFS(Акты!$D$5:$D$16,Акты!$E$5:$E$16,"&lt;="&amp;A525)-SUMIFS(Оплаты!$B$6:$B$505,Оплаты!$A$6:$A$505,"&lt;"&amp;A525,Оплаты!$D$6:$D$505,"&lt;&gt;"))</f>
        <v/>
      </c>
      <c r="E525">
        <f>IF(A525="","",IF(SUMPRODUCT((Ввод!$F$12:$F$31&lt;&gt;"")*(Ввод!$F$12:$F$31&lt;=A525)*(Ввод!$G$12:$G$31&gt;=A525))&gt;0,1,0))</f>
        <v/>
      </c>
      <c r="G525">
        <f>IF(A525="","",IF(OR(B525&lt;&gt;B524,C525&lt;&gt;C524,E525&lt;&gt;E524),G524+1,G524))</f>
        <v/>
      </c>
    </row>
    <row r="526">
      <c r="A526" s="20">
        <f>IF(A525="","",IF(A525+1&gt;Ввод!$B$4,"",A525+1))</f>
        <v/>
      </c>
      <c r="B526">
        <f>IF(A526="","",IFERROR(INDEX(Ввод!$B$12:$B$71,MATCH(A526,Ввод!$D$12:$D$71,1)),""))</f>
        <v/>
      </c>
      <c r="C526">
        <f>IF(A526="","",DATE(YEAR(A526),12,31)-DATE(YEAR(A526),1,1)+1)</f>
        <v/>
      </c>
      <c r="D526">
        <f>IF(A526="","",SUMIFS(Акты!$D$5:$D$16,Акты!$E$5:$E$16,"&lt;="&amp;A526)-SUMIFS(Оплаты!$B$6:$B$505,Оплаты!$A$6:$A$505,"&lt;"&amp;A526,Оплаты!$D$6:$D$505,"&lt;&gt;"))</f>
        <v/>
      </c>
      <c r="E526">
        <f>IF(A526="","",IF(SUMPRODUCT((Ввод!$F$12:$F$31&lt;&gt;"")*(Ввод!$F$12:$F$31&lt;=A526)*(Ввод!$G$12:$G$31&gt;=A526))&gt;0,1,0))</f>
        <v/>
      </c>
      <c r="G526">
        <f>IF(A526="","",IF(OR(B526&lt;&gt;B525,C526&lt;&gt;C525,E526&lt;&gt;E525),G525+1,G525))</f>
        <v/>
      </c>
    </row>
    <row r="527">
      <c r="A527" s="20">
        <f>IF(A526="","",IF(A526+1&gt;Ввод!$B$4,"",A526+1))</f>
        <v/>
      </c>
      <c r="B527">
        <f>IF(A527="","",IFERROR(INDEX(Ввод!$B$12:$B$71,MATCH(A527,Ввод!$D$12:$D$71,1)),""))</f>
        <v/>
      </c>
      <c r="C527">
        <f>IF(A527="","",DATE(YEAR(A527),12,31)-DATE(YEAR(A527),1,1)+1)</f>
        <v/>
      </c>
      <c r="D527">
        <f>IF(A527="","",SUMIFS(Акты!$D$5:$D$16,Акты!$E$5:$E$16,"&lt;="&amp;A527)-SUMIFS(Оплаты!$B$6:$B$505,Оплаты!$A$6:$A$505,"&lt;"&amp;A527,Оплаты!$D$6:$D$505,"&lt;&gt;"))</f>
        <v/>
      </c>
      <c r="E527">
        <f>IF(A527="","",IF(SUMPRODUCT((Ввод!$F$12:$F$31&lt;&gt;"")*(Ввод!$F$12:$F$31&lt;=A527)*(Ввод!$G$12:$G$31&gt;=A527))&gt;0,1,0))</f>
        <v/>
      </c>
      <c r="G527">
        <f>IF(A527="","",IF(OR(B527&lt;&gt;B526,C527&lt;&gt;C526,E527&lt;&gt;E526),G526+1,G526))</f>
        <v/>
      </c>
    </row>
    <row r="528">
      <c r="A528" s="20">
        <f>IF(A527="","",IF(A527+1&gt;Ввод!$B$4,"",A527+1))</f>
        <v/>
      </c>
      <c r="B528">
        <f>IF(A528="","",IFERROR(INDEX(Ввод!$B$12:$B$71,MATCH(A528,Ввод!$D$12:$D$71,1)),""))</f>
        <v/>
      </c>
      <c r="C528">
        <f>IF(A528="","",DATE(YEAR(A528),12,31)-DATE(YEAR(A528),1,1)+1)</f>
        <v/>
      </c>
      <c r="D528">
        <f>IF(A528="","",SUMIFS(Акты!$D$5:$D$16,Акты!$E$5:$E$16,"&lt;="&amp;A528)-SUMIFS(Оплаты!$B$6:$B$505,Оплаты!$A$6:$A$505,"&lt;"&amp;A528,Оплаты!$D$6:$D$505,"&lt;&gt;"))</f>
        <v/>
      </c>
      <c r="E528">
        <f>IF(A528="","",IF(SUMPRODUCT((Ввод!$F$12:$F$31&lt;&gt;"")*(Ввод!$F$12:$F$31&lt;=A528)*(Ввод!$G$12:$G$31&gt;=A528))&gt;0,1,0))</f>
        <v/>
      </c>
      <c r="G528">
        <f>IF(A528="","",IF(OR(B528&lt;&gt;B527,C528&lt;&gt;C527,E528&lt;&gt;E527),G527+1,G527))</f>
        <v/>
      </c>
    </row>
    <row r="529">
      <c r="A529" s="20">
        <f>IF(A528="","",IF(A528+1&gt;Ввод!$B$4,"",A528+1))</f>
        <v/>
      </c>
      <c r="B529">
        <f>IF(A529="","",IFERROR(INDEX(Ввод!$B$12:$B$71,MATCH(A529,Ввод!$D$12:$D$71,1)),""))</f>
        <v/>
      </c>
      <c r="C529">
        <f>IF(A529="","",DATE(YEAR(A529),12,31)-DATE(YEAR(A529),1,1)+1)</f>
        <v/>
      </c>
      <c r="D529">
        <f>IF(A529="","",SUMIFS(Акты!$D$5:$D$16,Акты!$E$5:$E$16,"&lt;="&amp;A529)-SUMIFS(Оплаты!$B$6:$B$505,Оплаты!$A$6:$A$505,"&lt;"&amp;A529,Оплаты!$D$6:$D$505,"&lt;&gt;"))</f>
        <v/>
      </c>
      <c r="E529">
        <f>IF(A529="","",IF(SUMPRODUCT((Ввод!$F$12:$F$31&lt;&gt;"")*(Ввод!$F$12:$F$31&lt;=A529)*(Ввод!$G$12:$G$31&gt;=A529))&gt;0,1,0))</f>
        <v/>
      </c>
      <c r="G529">
        <f>IF(A529="","",IF(OR(B529&lt;&gt;B528,C529&lt;&gt;C528,E529&lt;&gt;E528),G528+1,G528))</f>
        <v/>
      </c>
    </row>
    <row r="530">
      <c r="A530" s="20">
        <f>IF(A529="","",IF(A529+1&gt;Ввод!$B$4,"",A529+1))</f>
        <v/>
      </c>
      <c r="B530">
        <f>IF(A530="","",IFERROR(INDEX(Ввод!$B$12:$B$71,MATCH(A530,Ввод!$D$12:$D$71,1)),""))</f>
        <v/>
      </c>
      <c r="C530">
        <f>IF(A530="","",DATE(YEAR(A530),12,31)-DATE(YEAR(A530),1,1)+1)</f>
        <v/>
      </c>
      <c r="D530">
        <f>IF(A530="","",SUMIFS(Акты!$D$5:$D$16,Акты!$E$5:$E$16,"&lt;="&amp;A530)-SUMIFS(Оплаты!$B$6:$B$505,Оплаты!$A$6:$A$505,"&lt;"&amp;A530,Оплаты!$D$6:$D$505,"&lt;&gt;"))</f>
        <v/>
      </c>
      <c r="E530">
        <f>IF(A530="","",IF(SUMPRODUCT((Ввод!$F$12:$F$31&lt;&gt;"")*(Ввод!$F$12:$F$31&lt;=A530)*(Ввод!$G$12:$G$31&gt;=A530))&gt;0,1,0))</f>
        <v/>
      </c>
      <c r="G530">
        <f>IF(A530="","",IF(OR(B530&lt;&gt;B529,C530&lt;&gt;C529,E530&lt;&gt;E529),G529+1,G529))</f>
        <v/>
      </c>
    </row>
    <row r="531">
      <c r="A531" s="20">
        <f>IF(A530="","",IF(A530+1&gt;Ввод!$B$4,"",A530+1))</f>
        <v/>
      </c>
      <c r="B531">
        <f>IF(A531="","",IFERROR(INDEX(Ввод!$B$12:$B$71,MATCH(A531,Ввод!$D$12:$D$71,1)),""))</f>
        <v/>
      </c>
      <c r="C531">
        <f>IF(A531="","",DATE(YEAR(A531),12,31)-DATE(YEAR(A531),1,1)+1)</f>
        <v/>
      </c>
      <c r="D531">
        <f>IF(A531="","",SUMIFS(Акты!$D$5:$D$16,Акты!$E$5:$E$16,"&lt;="&amp;A531)-SUMIFS(Оплаты!$B$6:$B$505,Оплаты!$A$6:$A$505,"&lt;"&amp;A531,Оплаты!$D$6:$D$505,"&lt;&gt;"))</f>
        <v/>
      </c>
      <c r="E531">
        <f>IF(A531="","",IF(SUMPRODUCT((Ввод!$F$12:$F$31&lt;&gt;"")*(Ввод!$F$12:$F$31&lt;=A531)*(Ввод!$G$12:$G$31&gt;=A531))&gt;0,1,0))</f>
        <v/>
      </c>
      <c r="G531">
        <f>IF(A531="","",IF(OR(B531&lt;&gt;B530,C531&lt;&gt;C530,E531&lt;&gt;E530),G530+1,G530))</f>
        <v/>
      </c>
    </row>
    <row r="532">
      <c r="A532" s="20">
        <f>IF(A531="","",IF(A531+1&gt;Ввод!$B$4,"",A531+1))</f>
        <v/>
      </c>
      <c r="B532">
        <f>IF(A532="","",IFERROR(INDEX(Ввод!$B$12:$B$71,MATCH(A532,Ввод!$D$12:$D$71,1)),""))</f>
        <v/>
      </c>
      <c r="C532">
        <f>IF(A532="","",DATE(YEAR(A532),12,31)-DATE(YEAR(A532),1,1)+1)</f>
        <v/>
      </c>
      <c r="D532">
        <f>IF(A532="","",SUMIFS(Акты!$D$5:$D$16,Акты!$E$5:$E$16,"&lt;="&amp;A532)-SUMIFS(Оплаты!$B$6:$B$505,Оплаты!$A$6:$A$505,"&lt;"&amp;A532,Оплаты!$D$6:$D$505,"&lt;&gt;"))</f>
        <v/>
      </c>
      <c r="E532">
        <f>IF(A532="","",IF(SUMPRODUCT((Ввод!$F$12:$F$31&lt;&gt;"")*(Ввод!$F$12:$F$31&lt;=A532)*(Ввод!$G$12:$G$31&gt;=A532))&gt;0,1,0))</f>
        <v/>
      </c>
      <c r="G532">
        <f>IF(A532="","",IF(OR(B532&lt;&gt;B531,C532&lt;&gt;C531,E532&lt;&gt;E531),G531+1,G531))</f>
        <v/>
      </c>
    </row>
    <row r="533">
      <c r="A533" s="20">
        <f>IF(A532="","",IF(A532+1&gt;Ввод!$B$4,"",A532+1))</f>
        <v/>
      </c>
      <c r="B533">
        <f>IF(A533="","",IFERROR(INDEX(Ввод!$B$12:$B$71,MATCH(A533,Ввод!$D$12:$D$71,1)),""))</f>
        <v/>
      </c>
      <c r="C533">
        <f>IF(A533="","",DATE(YEAR(A533),12,31)-DATE(YEAR(A533),1,1)+1)</f>
        <v/>
      </c>
      <c r="D533">
        <f>IF(A533="","",SUMIFS(Акты!$D$5:$D$16,Акты!$E$5:$E$16,"&lt;="&amp;A533)-SUMIFS(Оплаты!$B$6:$B$505,Оплаты!$A$6:$A$505,"&lt;"&amp;A533,Оплаты!$D$6:$D$505,"&lt;&gt;"))</f>
        <v/>
      </c>
      <c r="E533">
        <f>IF(A533="","",IF(SUMPRODUCT((Ввод!$F$12:$F$31&lt;&gt;"")*(Ввод!$F$12:$F$31&lt;=A533)*(Ввод!$G$12:$G$31&gt;=A533))&gt;0,1,0))</f>
        <v/>
      </c>
      <c r="G533">
        <f>IF(A533="","",IF(OR(B533&lt;&gt;B532,C533&lt;&gt;C532,E533&lt;&gt;E532),G532+1,G532))</f>
        <v/>
      </c>
    </row>
    <row r="534">
      <c r="A534" s="20">
        <f>IF(A533="","",IF(A533+1&gt;Ввод!$B$4,"",A533+1))</f>
        <v/>
      </c>
      <c r="B534">
        <f>IF(A534="","",IFERROR(INDEX(Ввод!$B$12:$B$71,MATCH(A534,Ввод!$D$12:$D$71,1)),""))</f>
        <v/>
      </c>
      <c r="C534">
        <f>IF(A534="","",DATE(YEAR(A534),12,31)-DATE(YEAR(A534),1,1)+1)</f>
        <v/>
      </c>
      <c r="D534">
        <f>IF(A534="","",SUMIFS(Акты!$D$5:$D$16,Акты!$E$5:$E$16,"&lt;="&amp;A534)-SUMIFS(Оплаты!$B$6:$B$505,Оплаты!$A$6:$A$505,"&lt;"&amp;A534,Оплаты!$D$6:$D$505,"&lt;&gt;"))</f>
        <v/>
      </c>
      <c r="E534">
        <f>IF(A534="","",IF(SUMPRODUCT((Ввод!$F$12:$F$31&lt;&gt;"")*(Ввод!$F$12:$F$31&lt;=A534)*(Ввод!$G$12:$G$31&gt;=A534))&gt;0,1,0))</f>
        <v/>
      </c>
      <c r="G534">
        <f>IF(A534="","",IF(OR(B534&lt;&gt;B533,C534&lt;&gt;C533,E534&lt;&gt;E533),G533+1,G533))</f>
        <v/>
      </c>
    </row>
    <row r="535">
      <c r="A535" s="20">
        <f>IF(A534="","",IF(A534+1&gt;Ввод!$B$4,"",A534+1))</f>
        <v/>
      </c>
      <c r="B535">
        <f>IF(A535="","",IFERROR(INDEX(Ввод!$B$12:$B$71,MATCH(A535,Ввод!$D$12:$D$71,1)),""))</f>
        <v/>
      </c>
      <c r="C535">
        <f>IF(A535="","",DATE(YEAR(A535),12,31)-DATE(YEAR(A535),1,1)+1)</f>
        <v/>
      </c>
      <c r="D535">
        <f>IF(A535="","",SUMIFS(Акты!$D$5:$D$16,Акты!$E$5:$E$16,"&lt;="&amp;A535)-SUMIFS(Оплаты!$B$6:$B$505,Оплаты!$A$6:$A$505,"&lt;"&amp;A535,Оплаты!$D$6:$D$505,"&lt;&gt;"))</f>
        <v/>
      </c>
      <c r="E535">
        <f>IF(A535="","",IF(SUMPRODUCT((Ввод!$F$12:$F$31&lt;&gt;"")*(Ввод!$F$12:$F$31&lt;=A535)*(Ввод!$G$12:$G$31&gt;=A535))&gt;0,1,0))</f>
        <v/>
      </c>
      <c r="G535">
        <f>IF(A535="","",IF(OR(B535&lt;&gt;B534,C535&lt;&gt;C534,E535&lt;&gt;E534),G534+1,G534))</f>
        <v/>
      </c>
    </row>
    <row r="536">
      <c r="A536" s="20">
        <f>IF(A535="","",IF(A535+1&gt;Ввод!$B$4,"",A535+1))</f>
        <v/>
      </c>
      <c r="B536">
        <f>IF(A536="","",IFERROR(INDEX(Ввод!$B$12:$B$71,MATCH(A536,Ввод!$D$12:$D$71,1)),""))</f>
        <v/>
      </c>
      <c r="C536">
        <f>IF(A536="","",DATE(YEAR(A536),12,31)-DATE(YEAR(A536),1,1)+1)</f>
        <v/>
      </c>
      <c r="D536">
        <f>IF(A536="","",SUMIFS(Акты!$D$5:$D$16,Акты!$E$5:$E$16,"&lt;="&amp;A536)-SUMIFS(Оплаты!$B$6:$B$505,Оплаты!$A$6:$A$505,"&lt;"&amp;A536,Оплаты!$D$6:$D$505,"&lt;&gt;"))</f>
        <v/>
      </c>
      <c r="E536">
        <f>IF(A536="","",IF(SUMPRODUCT((Ввод!$F$12:$F$31&lt;&gt;"")*(Ввод!$F$12:$F$31&lt;=A536)*(Ввод!$G$12:$G$31&gt;=A536))&gt;0,1,0))</f>
        <v/>
      </c>
      <c r="G536">
        <f>IF(A536="","",IF(OR(B536&lt;&gt;B535,C536&lt;&gt;C535,E536&lt;&gt;E535),G535+1,G535))</f>
        <v/>
      </c>
    </row>
    <row r="537">
      <c r="A537" s="20">
        <f>IF(A536="","",IF(A536+1&gt;Ввод!$B$4,"",A536+1))</f>
        <v/>
      </c>
      <c r="B537">
        <f>IF(A537="","",IFERROR(INDEX(Ввод!$B$12:$B$71,MATCH(A537,Ввод!$D$12:$D$71,1)),""))</f>
        <v/>
      </c>
      <c r="C537">
        <f>IF(A537="","",DATE(YEAR(A537),12,31)-DATE(YEAR(A537),1,1)+1)</f>
        <v/>
      </c>
      <c r="D537">
        <f>IF(A537="","",SUMIFS(Акты!$D$5:$D$16,Акты!$E$5:$E$16,"&lt;="&amp;A537)-SUMIFS(Оплаты!$B$6:$B$505,Оплаты!$A$6:$A$505,"&lt;"&amp;A537,Оплаты!$D$6:$D$505,"&lt;&gt;"))</f>
        <v/>
      </c>
      <c r="E537">
        <f>IF(A537="","",IF(SUMPRODUCT((Ввод!$F$12:$F$31&lt;&gt;"")*(Ввод!$F$12:$F$31&lt;=A537)*(Ввод!$G$12:$G$31&gt;=A537))&gt;0,1,0))</f>
        <v/>
      </c>
      <c r="G537">
        <f>IF(A537="","",IF(OR(B537&lt;&gt;B536,C537&lt;&gt;C536,E537&lt;&gt;E536),G536+1,G536))</f>
        <v/>
      </c>
    </row>
    <row r="538">
      <c r="A538" s="20">
        <f>IF(A537="","",IF(A537+1&gt;Ввод!$B$4,"",A537+1))</f>
        <v/>
      </c>
      <c r="B538">
        <f>IF(A538="","",IFERROR(INDEX(Ввод!$B$12:$B$71,MATCH(A538,Ввод!$D$12:$D$71,1)),""))</f>
        <v/>
      </c>
      <c r="C538">
        <f>IF(A538="","",DATE(YEAR(A538),12,31)-DATE(YEAR(A538),1,1)+1)</f>
        <v/>
      </c>
      <c r="D538">
        <f>IF(A538="","",SUMIFS(Акты!$D$5:$D$16,Акты!$E$5:$E$16,"&lt;="&amp;A538)-SUMIFS(Оплаты!$B$6:$B$505,Оплаты!$A$6:$A$505,"&lt;"&amp;A538,Оплаты!$D$6:$D$505,"&lt;&gt;"))</f>
        <v/>
      </c>
      <c r="E538">
        <f>IF(A538="","",IF(SUMPRODUCT((Ввод!$F$12:$F$31&lt;&gt;"")*(Ввод!$F$12:$F$31&lt;=A538)*(Ввод!$G$12:$G$31&gt;=A538))&gt;0,1,0))</f>
        <v/>
      </c>
      <c r="G538">
        <f>IF(A538="","",IF(OR(B538&lt;&gt;B537,C538&lt;&gt;C537,E538&lt;&gt;E537),G537+1,G537))</f>
        <v/>
      </c>
    </row>
    <row r="539">
      <c r="A539" s="20">
        <f>IF(A538="","",IF(A538+1&gt;Ввод!$B$4,"",A538+1))</f>
        <v/>
      </c>
      <c r="B539">
        <f>IF(A539="","",IFERROR(INDEX(Ввод!$B$12:$B$71,MATCH(A539,Ввод!$D$12:$D$71,1)),""))</f>
        <v/>
      </c>
      <c r="C539">
        <f>IF(A539="","",DATE(YEAR(A539),12,31)-DATE(YEAR(A539),1,1)+1)</f>
        <v/>
      </c>
      <c r="D539">
        <f>IF(A539="","",SUMIFS(Акты!$D$5:$D$16,Акты!$E$5:$E$16,"&lt;="&amp;A539)-SUMIFS(Оплаты!$B$6:$B$505,Оплаты!$A$6:$A$505,"&lt;"&amp;A539,Оплаты!$D$6:$D$505,"&lt;&gt;"))</f>
        <v/>
      </c>
      <c r="E539">
        <f>IF(A539="","",IF(SUMPRODUCT((Ввод!$F$12:$F$31&lt;&gt;"")*(Ввод!$F$12:$F$31&lt;=A539)*(Ввод!$G$12:$G$31&gt;=A539))&gt;0,1,0))</f>
        <v/>
      </c>
      <c r="G539">
        <f>IF(A539="","",IF(OR(B539&lt;&gt;B538,C539&lt;&gt;C538,E539&lt;&gt;E538),G538+1,G538))</f>
        <v/>
      </c>
    </row>
    <row r="540">
      <c r="A540" s="20">
        <f>IF(A539="","",IF(A539+1&gt;Ввод!$B$4,"",A539+1))</f>
        <v/>
      </c>
      <c r="B540">
        <f>IF(A540="","",IFERROR(INDEX(Ввод!$B$12:$B$71,MATCH(A540,Ввод!$D$12:$D$71,1)),""))</f>
        <v/>
      </c>
      <c r="C540">
        <f>IF(A540="","",DATE(YEAR(A540),12,31)-DATE(YEAR(A540),1,1)+1)</f>
        <v/>
      </c>
      <c r="D540">
        <f>IF(A540="","",SUMIFS(Акты!$D$5:$D$16,Акты!$E$5:$E$16,"&lt;="&amp;A540)-SUMIFS(Оплаты!$B$6:$B$505,Оплаты!$A$6:$A$505,"&lt;"&amp;A540,Оплаты!$D$6:$D$505,"&lt;&gt;"))</f>
        <v/>
      </c>
      <c r="E540">
        <f>IF(A540="","",IF(SUMPRODUCT((Ввод!$F$12:$F$31&lt;&gt;"")*(Ввод!$F$12:$F$31&lt;=A540)*(Ввод!$G$12:$G$31&gt;=A540))&gt;0,1,0))</f>
        <v/>
      </c>
      <c r="G540">
        <f>IF(A540="","",IF(OR(B540&lt;&gt;B539,C540&lt;&gt;C539,E540&lt;&gt;E539),G539+1,G539))</f>
        <v/>
      </c>
    </row>
    <row r="541">
      <c r="A541" s="20">
        <f>IF(A540="","",IF(A540+1&gt;Ввод!$B$4,"",A540+1))</f>
        <v/>
      </c>
      <c r="B541">
        <f>IF(A541="","",IFERROR(INDEX(Ввод!$B$12:$B$71,MATCH(A541,Ввод!$D$12:$D$71,1)),""))</f>
        <v/>
      </c>
      <c r="C541">
        <f>IF(A541="","",DATE(YEAR(A541),12,31)-DATE(YEAR(A541),1,1)+1)</f>
        <v/>
      </c>
      <c r="D541">
        <f>IF(A541="","",SUMIFS(Акты!$D$5:$D$16,Акты!$E$5:$E$16,"&lt;="&amp;A541)-SUMIFS(Оплаты!$B$6:$B$505,Оплаты!$A$6:$A$505,"&lt;"&amp;A541,Оплаты!$D$6:$D$505,"&lt;&gt;"))</f>
        <v/>
      </c>
      <c r="E541">
        <f>IF(A541="","",IF(SUMPRODUCT((Ввод!$F$12:$F$31&lt;&gt;"")*(Ввод!$F$12:$F$31&lt;=A541)*(Ввод!$G$12:$G$31&gt;=A541))&gt;0,1,0))</f>
        <v/>
      </c>
      <c r="G541">
        <f>IF(A541="","",IF(OR(B541&lt;&gt;B540,C541&lt;&gt;C540,E541&lt;&gt;E540),G540+1,G540))</f>
        <v/>
      </c>
    </row>
    <row r="542">
      <c r="A542" s="20">
        <f>IF(A541="","",IF(A541+1&gt;Ввод!$B$4,"",A541+1))</f>
        <v/>
      </c>
      <c r="B542">
        <f>IF(A542="","",IFERROR(INDEX(Ввод!$B$12:$B$71,MATCH(A542,Ввод!$D$12:$D$71,1)),""))</f>
        <v/>
      </c>
      <c r="C542">
        <f>IF(A542="","",DATE(YEAR(A542),12,31)-DATE(YEAR(A542),1,1)+1)</f>
        <v/>
      </c>
      <c r="D542">
        <f>IF(A542="","",SUMIFS(Акты!$D$5:$D$16,Акты!$E$5:$E$16,"&lt;="&amp;A542)-SUMIFS(Оплаты!$B$6:$B$505,Оплаты!$A$6:$A$505,"&lt;"&amp;A542,Оплаты!$D$6:$D$505,"&lt;&gt;"))</f>
        <v/>
      </c>
      <c r="E542">
        <f>IF(A542="","",IF(SUMPRODUCT((Ввод!$F$12:$F$31&lt;&gt;"")*(Ввод!$F$12:$F$31&lt;=A542)*(Ввод!$G$12:$G$31&gt;=A542))&gt;0,1,0))</f>
        <v/>
      </c>
      <c r="G542">
        <f>IF(A542="","",IF(OR(B542&lt;&gt;B541,C542&lt;&gt;C541,E542&lt;&gt;E541),G541+1,G541))</f>
        <v/>
      </c>
    </row>
    <row r="543">
      <c r="A543" s="20">
        <f>IF(A542="","",IF(A542+1&gt;Ввод!$B$4,"",A542+1))</f>
        <v/>
      </c>
      <c r="B543">
        <f>IF(A543="","",IFERROR(INDEX(Ввод!$B$12:$B$71,MATCH(A543,Ввод!$D$12:$D$71,1)),""))</f>
        <v/>
      </c>
      <c r="C543">
        <f>IF(A543="","",DATE(YEAR(A543),12,31)-DATE(YEAR(A543),1,1)+1)</f>
        <v/>
      </c>
      <c r="D543">
        <f>IF(A543="","",SUMIFS(Акты!$D$5:$D$16,Акты!$E$5:$E$16,"&lt;="&amp;A543)-SUMIFS(Оплаты!$B$6:$B$505,Оплаты!$A$6:$A$505,"&lt;"&amp;A543,Оплаты!$D$6:$D$505,"&lt;&gt;"))</f>
        <v/>
      </c>
      <c r="E543">
        <f>IF(A543="","",IF(SUMPRODUCT((Ввод!$F$12:$F$31&lt;&gt;"")*(Ввод!$F$12:$F$31&lt;=A543)*(Ввод!$G$12:$G$31&gt;=A543))&gt;0,1,0))</f>
        <v/>
      </c>
      <c r="G543">
        <f>IF(A543="","",IF(OR(B543&lt;&gt;B542,C543&lt;&gt;C542,E543&lt;&gt;E542),G542+1,G542))</f>
        <v/>
      </c>
    </row>
    <row r="544">
      <c r="A544" s="20">
        <f>IF(A543="","",IF(A543+1&gt;Ввод!$B$4,"",A543+1))</f>
        <v/>
      </c>
      <c r="B544">
        <f>IF(A544="","",IFERROR(INDEX(Ввод!$B$12:$B$71,MATCH(A544,Ввод!$D$12:$D$71,1)),""))</f>
        <v/>
      </c>
      <c r="C544">
        <f>IF(A544="","",DATE(YEAR(A544),12,31)-DATE(YEAR(A544),1,1)+1)</f>
        <v/>
      </c>
      <c r="D544">
        <f>IF(A544="","",SUMIFS(Акты!$D$5:$D$16,Акты!$E$5:$E$16,"&lt;="&amp;A544)-SUMIFS(Оплаты!$B$6:$B$505,Оплаты!$A$6:$A$505,"&lt;"&amp;A544,Оплаты!$D$6:$D$505,"&lt;&gt;"))</f>
        <v/>
      </c>
      <c r="E544">
        <f>IF(A544="","",IF(SUMPRODUCT((Ввод!$F$12:$F$31&lt;&gt;"")*(Ввод!$F$12:$F$31&lt;=A544)*(Ввод!$G$12:$G$31&gt;=A544))&gt;0,1,0))</f>
        <v/>
      </c>
      <c r="G544">
        <f>IF(A544="","",IF(OR(B544&lt;&gt;B543,C544&lt;&gt;C543,E544&lt;&gt;E543),G543+1,G543))</f>
        <v/>
      </c>
    </row>
    <row r="545">
      <c r="A545" s="20">
        <f>IF(A544="","",IF(A544+1&gt;Ввод!$B$4,"",A544+1))</f>
        <v/>
      </c>
      <c r="B545">
        <f>IF(A545="","",IFERROR(INDEX(Ввод!$B$12:$B$71,MATCH(A545,Ввод!$D$12:$D$71,1)),""))</f>
        <v/>
      </c>
      <c r="C545">
        <f>IF(A545="","",DATE(YEAR(A545),12,31)-DATE(YEAR(A545),1,1)+1)</f>
        <v/>
      </c>
      <c r="D545">
        <f>IF(A545="","",SUMIFS(Акты!$D$5:$D$16,Акты!$E$5:$E$16,"&lt;="&amp;A545)-SUMIFS(Оплаты!$B$6:$B$505,Оплаты!$A$6:$A$505,"&lt;"&amp;A545,Оплаты!$D$6:$D$505,"&lt;&gt;"))</f>
        <v/>
      </c>
      <c r="E545">
        <f>IF(A545="","",IF(SUMPRODUCT((Ввод!$F$12:$F$31&lt;&gt;"")*(Ввод!$F$12:$F$31&lt;=A545)*(Ввод!$G$12:$G$31&gt;=A545))&gt;0,1,0))</f>
        <v/>
      </c>
      <c r="G545">
        <f>IF(A545="","",IF(OR(B545&lt;&gt;B544,C545&lt;&gt;C544,E545&lt;&gt;E544),G544+1,G544))</f>
        <v/>
      </c>
    </row>
    <row r="546">
      <c r="A546" s="20">
        <f>IF(A545="","",IF(A545+1&gt;Ввод!$B$4,"",A545+1))</f>
        <v/>
      </c>
      <c r="B546">
        <f>IF(A546="","",IFERROR(INDEX(Ввод!$B$12:$B$71,MATCH(A546,Ввод!$D$12:$D$71,1)),""))</f>
        <v/>
      </c>
      <c r="C546">
        <f>IF(A546="","",DATE(YEAR(A546),12,31)-DATE(YEAR(A546),1,1)+1)</f>
        <v/>
      </c>
      <c r="D546">
        <f>IF(A546="","",SUMIFS(Акты!$D$5:$D$16,Акты!$E$5:$E$16,"&lt;="&amp;A546)-SUMIFS(Оплаты!$B$6:$B$505,Оплаты!$A$6:$A$505,"&lt;"&amp;A546,Оплаты!$D$6:$D$505,"&lt;&gt;"))</f>
        <v/>
      </c>
      <c r="E546">
        <f>IF(A546="","",IF(SUMPRODUCT((Ввод!$F$12:$F$31&lt;&gt;"")*(Ввод!$F$12:$F$31&lt;=A546)*(Ввод!$G$12:$G$31&gt;=A546))&gt;0,1,0))</f>
        <v/>
      </c>
      <c r="G546">
        <f>IF(A546="","",IF(OR(B546&lt;&gt;B545,C546&lt;&gt;C545,E546&lt;&gt;E545),G545+1,G545))</f>
        <v/>
      </c>
    </row>
    <row r="547">
      <c r="A547" s="20">
        <f>IF(A546="","",IF(A546+1&gt;Ввод!$B$4,"",A546+1))</f>
        <v/>
      </c>
      <c r="B547">
        <f>IF(A547="","",IFERROR(INDEX(Ввод!$B$12:$B$71,MATCH(A547,Ввод!$D$12:$D$71,1)),""))</f>
        <v/>
      </c>
      <c r="C547">
        <f>IF(A547="","",DATE(YEAR(A547),12,31)-DATE(YEAR(A547),1,1)+1)</f>
        <v/>
      </c>
      <c r="D547">
        <f>IF(A547="","",SUMIFS(Акты!$D$5:$D$16,Акты!$E$5:$E$16,"&lt;="&amp;A547)-SUMIFS(Оплаты!$B$6:$B$505,Оплаты!$A$6:$A$505,"&lt;"&amp;A547,Оплаты!$D$6:$D$505,"&lt;&gt;"))</f>
        <v/>
      </c>
      <c r="E547">
        <f>IF(A547="","",IF(SUMPRODUCT((Ввод!$F$12:$F$31&lt;&gt;"")*(Ввод!$F$12:$F$31&lt;=A547)*(Ввод!$G$12:$G$31&gt;=A547))&gt;0,1,0))</f>
        <v/>
      </c>
      <c r="G547">
        <f>IF(A547="","",IF(OR(B547&lt;&gt;B546,C547&lt;&gt;C546,E547&lt;&gt;E546),G546+1,G546))</f>
        <v/>
      </c>
    </row>
    <row r="548">
      <c r="A548" s="20">
        <f>IF(A547="","",IF(A547+1&gt;Ввод!$B$4,"",A547+1))</f>
        <v/>
      </c>
      <c r="B548">
        <f>IF(A548="","",IFERROR(INDEX(Ввод!$B$12:$B$71,MATCH(A548,Ввод!$D$12:$D$71,1)),""))</f>
        <v/>
      </c>
      <c r="C548">
        <f>IF(A548="","",DATE(YEAR(A548),12,31)-DATE(YEAR(A548),1,1)+1)</f>
        <v/>
      </c>
      <c r="D548">
        <f>IF(A548="","",SUMIFS(Акты!$D$5:$D$16,Акты!$E$5:$E$16,"&lt;="&amp;A548)-SUMIFS(Оплаты!$B$6:$B$505,Оплаты!$A$6:$A$505,"&lt;"&amp;A548,Оплаты!$D$6:$D$505,"&lt;&gt;"))</f>
        <v/>
      </c>
      <c r="E548">
        <f>IF(A548="","",IF(SUMPRODUCT((Ввод!$F$12:$F$31&lt;&gt;"")*(Ввод!$F$12:$F$31&lt;=A548)*(Ввод!$G$12:$G$31&gt;=A548))&gt;0,1,0))</f>
        <v/>
      </c>
      <c r="G548">
        <f>IF(A548="","",IF(OR(B548&lt;&gt;B547,C548&lt;&gt;C547,E548&lt;&gt;E547),G547+1,G547))</f>
        <v/>
      </c>
    </row>
    <row r="549">
      <c r="A549" s="20">
        <f>IF(A548="","",IF(A548+1&gt;Ввод!$B$4,"",A548+1))</f>
        <v/>
      </c>
      <c r="B549">
        <f>IF(A549="","",IFERROR(INDEX(Ввод!$B$12:$B$71,MATCH(A549,Ввод!$D$12:$D$71,1)),""))</f>
        <v/>
      </c>
      <c r="C549">
        <f>IF(A549="","",DATE(YEAR(A549),12,31)-DATE(YEAR(A549),1,1)+1)</f>
        <v/>
      </c>
      <c r="D549">
        <f>IF(A549="","",SUMIFS(Акты!$D$5:$D$16,Акты!$E$5:$E$16,"&lt;="&amp;A549)-SUMIFS(Оплаты!$B$6:$B$505,Оплаты!$A$6:$A$505,"&lt;"&amp;A549,Оплаты!$D$6:$D$505,"&lt;&gt;"))</f>
        <v/>
      </c>
      <c r="E549">
        <f>IF(A549="","",IF(SUMPRODUCT((Ввод!$F$12:$F$31&lt;&gt;"")*(Ввод!$F$12:$F$31&lt;=A549)*(Ввод!$G$12:$G$31&gt;=A549))&gt;0,1,0))</f>
        <v/>
      </c>
      <c r="G549">
        <f>IF(A549="","",IF(OR(B549&lt;&gt;B548,C549&lt;&gt;C548,E549&lt;&gt;E548),G548+1,G548))</f>
        <v/>
      </c>
    </row>
    <row r="550">
      <c r="A550" s="20">
        <f>IF(A549="","",IF(A549+1&gt;Ввод!$B$4,"",A549+1))</f>
        <v/>
      </c>
      <c r="B550">
        <f>IF(A550="","",IFERROR(INDEX(Ввод!$B$12:$B$71,MATCH(A550,Ввод!$D$12:$D$71,1)),""))</f>
        <v/>
      </c>
      <c r="C550">
        <f>IF(A550="","",DATE(YEAR(A550),12,31)-DATE(YEAR(A550),1,1)+1)</f>
        <v/>
      </c>
      <c r="D550">
        <f>IF(A550="","",SUMIFS(Акты!$D$5:$D$16,Акты!$E$5:$E$16,"&lt;="&amp;A550)-SUMIFS(Оплаты!$B$6:$B$505,Оплаты!$A$6:$A$505,"&lt;"&amp;A550,Оплаты!$D$6:$D$505,"&lt;&gt;"))</f>
        <v/>
      </c>
      <c r="E550">
        <f>IF(A550="","",IF(SUMPRODUCT((Ввод!$F$12:$F$31&lt;&gt;"")*(Ввод!$F$12:$F$31&lt;=A550)*(Ввод!$G$12:$G$31&gt;=A550))&gt;0,1,0))</f>
        <v/>
      </c>
      <c r="G550">
        <f>IF(A550="","",IF(OR(B550&lt;&gt;B549,C550&lt;&gt;C549,E550&lt;&gt;E549),G549+1,G549))</f>
        <v/>
      </c>
    </row>
    <row r="551">
      <c r="A551" s="20">
        <f>IF(A550="","",IF(A550+1&gt;Ввод!$B$4,"",A550+1))</f>
        <v/>
      </c>
      <c r="B551">
        <f>IF(A551="","",IFERROR(INDEX(Ввод!$B$12:$B$71,MATCH(A551,Ввод!$D$12:$D$71,1)),""))</f>
        <v/>
      </c>
      <c r="C551">
        <f>IF(A551="","",DATE(YEAR(A551),12,31)-DATE(YEAR(A551),1,1)+1)</f>
        <v/>
      </c>
      <c r="D551">
        <f>IF(A551="","",SUMIFS(Акты!$D$5:$D$16,Акты!$E$5:$E$16,"&lt;="&amp;A551)-SUMIFS(Оплаты!$B$6:$B$505,Оплаты!$A$6:$A$505,"&lt;"&amp;A551,Оплаты!$D$6:$D$505,"&lt;&gt;"))</f>
        <v/>
      </c>
      <c r="E551">
        <f>IF(A551="","",IF(SUMPRODUCT((Ввод!$F$12:$F$31&lt;&gt;"")*(Ввод!$F$12:$F$31&lt;=A551)*(Ввод!$G$12:$G$31&gt;=A551))&gt;0,1,0))</f>
        <v/>
      </c>
      <c r="G551">
        <f>IF(A551="","",IF(OR(B551&lt;&gt;B550,C551&lt;&gt;C550,E551&lt;&gt;E550),G550+1,G550))</f>
        <v/>
      </c>
    </row>
    <row r="552">
      <c r="A552" s="20">
        <f>IF(A551="","",IF(A551+1&gt;Ввод!$B$4,"",A551+1))</f>
        <v/>
      </c>
      <c r="B552">
        <f>IF(A552="","",IFERROR(INDEX(Ввод!$B$12:$B$71,MATCH(A552,Ввод!$D$12:$D$71,1)),""))</f>
        <v/>
      </c>
      <c r="C552">
        <f>IF(A552="","",DATE(YEAR(A552),12,31)-DATE(YEAR(A552),1,1)+1)</f>
        <v/>
      </c>
      <c r="D552">
        <f>IF(A552="","",SUMIFS(Акты!$D$5:$D$16,Акты!$E$5:$E$16,"&lt;="&amp;A552)-SUMIFS(Оплаты!$B$6:$B$505,Оплаты!$A$6:$A$505,"&lt;"&amp;A552,Оплаты!$D$6:$D$505,"&lt;&gt;"))</f>
        <v/>
      </c>
      <c r="E552">
        <f>IF(A552="","",IF(SUMPRODUCT((Ввод!$F$12:$F$31&lt;&gt;"")*(Ввод!$F$12:$F$31&lt;=A552)*(Ввод!$G$12:$G$31&gt;=A552))&gt;0,1,0))</f>
        <v/>
      </c>
      <c r="G552">
        <f>IF(A552="","",IF(OR(B552&lt;&gt;B551,C552&lt;&gt;C551,E552&lt;&gt;E551),G551+1,G551))</f>
        <v/>
      </c>
    </row>
    <row r="553">
      <c r="A553" s="20">
        <f>IF(A552="","",IF(A552+1&gt;Ввод!$B$4,"",A552+1))</f>
        <v/>
      </c>
      <c r="B553">
        <f>IF(A553="","",IFERROR(INDEX(Ввод!$B$12:$B$71,MATCH(A553,Ввод!$D$12:$D$71,1)),""))</f>
        <v/>
      </c>
      <c r="C553">
        <f>IF(A553="","",DATE(YEAR(A553),12,31)-DATE(YEAR(A553),1,1)+1)</f>
        <v/>
      </c>
      <c r="D553">
        <f>IF(A553="","",SUMIFS(Акты!$D$5:$D$16,Акты!$E$5:$E$16,"&lt;="&amp;A553)-SUMIFS(Оплаты!$B$6:$B$505,Оплаты!$A$6:$A$505,"&lt;"&amp;A553,Оплаты!$D$6:$D$505,"&lt;&gt;"))</f>
        <v/>
      </c>
      <c r="E553">
        <f>IF(A553="","",IF(SUMPRODUCT((Ввод!$F$12:$F$31&lt;&gt;"")*(Ввод!$F$12:$F$31&lt;=A553)*(Ввод!$G$12:$G$31&gt;=A553))&gt;0,1,0))</f>
        <v/>
      </c>
      <c r="G553">
        <f>IF(A553="","",IF(OR(B553&lt;&gt;B552,C553&lt;&gt;C552,E553&lt;&gt;E552),G552+1,G552))</f>
        <v/>
      </c>
    </row>
    <row r="554">
      <c r="A554" s="20">
        <f>IF(A553="","",IF(A553+1&gt;Ввод!$B$4,"",A553+1))</f>
        <v/>
      </c>
      <c r="B554">
        <f>IF(A554="","",IFERROR(INDEX(Ввод!$B$12:$B$71,MATCH(A554,Ввод!$D$12:$D$71,1)),""))</f>
        <v/>
      </c>
      <c r="C554">
        <f>IF(A554="","",DATE(YEAR(A554),12,31)-DATE(YEAR(A554),1,1)+1)</f>
        <v/>
      </c>
      <c r="D554">
        <f>IF(A554="","",SUMIFS(Акты!$D$5:$D$16,Акты!$E$5:$E$16,"&lt;="&amp;A554)-SUMIFS(Оплаты!$B$6:$B$505,Оплаты!$A$6:$A$505,"&lt;"&amp;A554,Оплаты!$D$6:$D$505,"&lt;&gt;"))</f>
        <v/>
      </c>
      <c r="E554">
        <f>IF(A554="","",IF(SUMPRODUCT((Ввод!$F$12:$F$31&lt;&gt;"")*(Ввод!$F$12:$F$31&lt;=A554)*(Ввод!$G$12:$G$31&gt;=A554))&gt;0,1,0))</f>
        <v/>
      </c>
      <c r="G554">
        <f>IF(A554="","",IF(OR(B554&lt;&gt;B553,C554&lt;&gt;C553,E554&lt;&gt;E553),G553+1,G553))</f>
        <v/>
      </c>
    </row>
    <row r="555">
      <c r="A555" s="20">
        <f>IF(A554="","",IF(A554+1&gt;Ввод!$B$4,"",A554+1))</f>
        <v/>
      </c>
      <c r="B555">
        <f>IF(A555="","",IFERROR(INDEX(Ввод!$B$12:$B$71,MATCH(A555,Ввод!$D$12:$D$71,1)),""))</f>
        <v/>
      </c>
      <c r="C555">
        <f>IF(A555="","",DATE(YEAR(A555),12,31)-DATE(YEAR(A555),1,1)+1)</f>
        <v/>
      </c>
      <c r="D555">
        <f>IF(A555="","",SUMIFS(Акты!$D$5:$D$16,Акты!$E$5:$E$16,"&lt;="&amp;A555)-SUMIFS(Оплаты!$B$6:$B$505,Оплаты!$A$6:$A$505,"&lt;"&amp;A555,Оплаты!$D$6:$D$505,"&lt;&gt;"))</f>
        <v/>
      </c>
      <c r="E555">
        <f>IF(A555="","",IF(SUMPRODUCT((Ввод!$F$12:$F$31&lt;&gt;"")*(Ввод!$F$12:$F$31&lt;=A555)*(Ввод!$G$12:$G$31&gt;=A555))&gt;0,1,0))</f>
        <v/>
      </c>
      <c r="G555">
        <f>IF(A555="","",IF(OR(B555&lt;&gt;B554,C555&lt;&gt;C554,E555&lt;&gt;E554),G554+1,G554))</f>
        <v/>
      </c>
    </row>
    <row r="556">
      <c r="A556" s="20">
        <f>IF(A555="","",IF(A555+1&gt;Ввод!$B$4,"",A555+1))</f>
        <v/>
      </c>
      <c r="B556">
        <f>IF(A556="","",IFERROR(INDEX(Ввод!$B$12:$B$71,MATCH(A556,Ввод!$D$12:$D$71,1)),""))</f>
        <v/>
      </c>
      <c r="C556">
        <f>IF(A556="","",DATE(YEAR(A556),12,31)-DATE(YEAR(A556),1,1)+1)</f>
        <v/>
      </c>
      <c r="D556">
        <f>IF(A556="","",SUMIFS(Акты!$D$5:$D$16,Акты!$E$5:$E$16,"&lt;="&amp;A556)-SUMIFS(Оплаты!$B$6:$B$505,Оплаты!$A$6:$A$505,"&lt;"&amp;A556,Оплаты!$D$6:$D$505,"&lt;&gt;"))</f>
        <v/>
      </c>
      <c r="E556">
        <f>IF(A556="","",IF(SUMPRODUCT((Ввод!$F$12:$F$31&lt;&gt;"")*(Ввод!$F$12:$F$31&lt;=A556)*(Ввод!$G$12:$G$31&gt;=A556))&gt;0,1,0))</f>
        <v/>
      </c>
      <c r="G556">
        <f>IF(A556="","",IF(OR(B556&lt;&gt;B555,C556&lt;&gt;C555,E556&lt;&gt;E555),G555+1,G555))</f>
        <v/>
      </c>
    </row>
    <row r="557">
      <c r="A557" s="20">
        <f>IF(A556="","",IF(A556+1&gt;Ввод!$B$4,"",A556+1))</f>
        <v/>
      </c>
      <c r="B557">
        <f>IF(A557="","",IFERROR(INDEX(Ввод!$B$12:$B$71,MATCH(A557,Ввод!$D$12:$D$71,1)),""))</f>
        <v/>
      </c>
      <c r="C557">
        <f>IF(A557="","",DATE(YEAR(A557),12,31)-DATE(YEAR(A557),1,1)+1)</f>
        <v/>
      </c>
      <c r="D557">
        <f>IF(A557="","",SUMIFS(Акты!$D$5:$D$16,Акты!$E$5:$E$16,"&lt;="&amp;A557)-SUMIFS(Оплаты!$B$6:$B$505,Оплаты!$A$6:$A$505,"&lt;"&amp;A557,Оплаты!$D$6:$D$505,"&lt;&gt;"))</f>
        <v/>
      </c>
      <c r="E557">
        <f>IF(A557="","",IF(SUMPRODUCT((Ввод!$F$12:$F$31&lt;&gt;"")*(Ввод!$F$12:$F$31&lt;=A557)*(Ввод!$G$12:$G$31&gt;=A557))&gt;0,1,0))</f>
        <v/>
      </c>
      <c r="G557">
        <f>IF(A557="","",IF(OR(B557&lt;&gt;B556,C557&lt;&gt;C556,E557&lt;&gt;E556),G556+1,G556))</f>
        <v/>
      </c>
    </row>
    <row r="558">
      <c r="A558" s="20">
        <f>IF(A557="","",IF(A557+1&gt;Ввод!$B$4,"",A557+1))</f>
        <v/>
      </c>
      <c r="B558">
        <f>IF(A558="","",IFERROR(INDEX(Ввод!$B$12:$B$71,MATCH(A558,Ввод!$D$12:$D$71,1)),""))</f>
        <v/>
      </c>
      <c r="C558">
        <f>IF(A558="","",DATE(YEAR(A558),12,31)-DATE(YEAR(A558),1,1)+1)</f>
        <v/>
      </c>
      <c r="D558">
        <f>IF(A558="","",SUMIFS(Акты!$D$5:$D$16,Акты!$E$5:$E$16,"&lt;="&amp;A558)-SUMIFS(Оплаты!$B$6:$B$505,Оплаты!$A$6:$A$505,"&lt;"&amp;A558,Оплаты!$D$6:$D$505,"&lt;&gt;"))</f>
        <v/>
      </c>
      <c r="E558">
        <f>IF(A558="","",IF(SUMPRODUCT((Ввод!$F$12:$F$31&lt;&gt;"")*(Ввод!$F$12:$F$31&lt;=A558)*(Ввод!$G$12:$G$31&gt;=A558))&gt;0,1,0))</f>
        <v/>
      </c>
      <c r="G558">
        <f>IF(A558="","",IF(OR(B558&lt;&gt;B557,C558&lt;&gt;C557,E558&lt;&gt;E557),G557+1,G557))</f>
        <v/>
      </c>
    </row>
    <row r="559">
      <c r="A559" s="20">
        <f>IF(A558="","",IF(A558+1&gt;Ввод!$B$4,"",A558+1))</f>
        <v/>
      </c>
      <c r="B559">
        <f>IF(A559="","",IFERROR(INDEX(Ввод!$B$12:$B$71,MATCH(A559,Ввод!$D$12:$D$71,1)),""))</f>
        <v/>
      </c>
      <c r="C559">
        <f>IF(A559="","",DATE(YEAR(A559),12,31)-DATE(YEAR(A559),1,1)+1)</f>
        <v/>
      </c>
      <c r="D559">
        <f>IF(A559="","",SUMIFS(Акты!$D$5:$D$16,Акты!$E$5:$E$16,"&lt;="&amp;A559)-SUMIFS(Оплаты!$B$6:$B$505,Оплаты!$A$6:$A$505,"&lt;"&amp;A559,Оплаты!$D$6:$D$505,"&lt;&gt;"))</f>
        <v/>
      </c>
      <c r="E559">
        <f>IF(A559="","",IF(SUMPRODUCT((Ввод!$F$12:$F$31&lt;&gt;"")*(Ввод!$F$12:$F$31&lt;=A559)*(Ввод!$G$12:$G$31&gt;=A559))&gt;0,1,0))</f>
        <v/>
      </c>
      <c r="G559">
        <f>IF(A559="","",IF(OR(B559&lt;&gt;B558,C559&lt;&gt;C558,E559&lt;&gt;E558),G558+1,G558))</f>
        <v/>
      </c>
    </row>
    <row r="560">
      <c r="A560" s="20">
        <f>IF(A559="","",IF(A559+1&gt;Ввод!$B$4,"",A559+1))</f>
        <v/>
      </c>
      <c r="B560">
        <f>IF(A560="","",IFERROR(INDEX(Ввод!$B$12:$B$71,MATCH(A560,Ввод!$D$12:$D$71,1)),""))</f>
        <v/>
      </c>
      <c r="C560">
        <f>IF(A560="","",DATE(YEAR(A560),12,31)-DATE(YEAR(A560),1,1)+1)</f>
        <v/>
      </c>
      <c r="D560">
        <f>IF(A560="","",SUMIFS(Акты!$D$5:$D$16,Акты!$E$5:$E$16,"&lt;="&amp;A560)-SUMIFS(Оплаты!$B$6:$B$505,Оплаты!$A$6:$A$505,"&lt;"&amp;A560,Оплаты!$D$6:$D$505,"&lt;&gt;"))</f>
        <v/>
      </c>
      <c r="E560">
        <f>IF(A560="","",IF(SUMPRODUCT((Ввод!$F$12:$F$31&lt;&gt;"")*(Ввод!$F$12:$F$31&lt;=A560)*(Ввод!$G$12:$G$31&gt;=A560))&gt;0,1,0))</f>
        <v/>
      </c>
      <c r="G560">
        <f>IF(A560="","",IF(OR(B560&lt;&gt;B559,C560&lt;&gt;C559,E560&lt;&gt;E559),G559+1,G559))</f>
        <v/>
      </c>
    </row>
    <row r="561">
      <c r="A561" s="20">
        <f>IF(A560="","",IF(A560+1&gt;Ввод!$B$4,"",A560+1))</f>
        <v/>
      </c>
      <c r="B561">
        <f>IF(A561="","",IFERROR(INDEX(Ввод!$B$12:$B$71,MATCH(A561,Ввод!$D$12:$D$71,1)),""))</f>
        <v/>
      </c>
      <c r="C561">
        <f>IF(A561="","",DATE(YEAR(A561),12,31)-DATE(YEAR(A561),1,1)+1)</f>
        <v/>
      </c>
      <c r="D561">
        <f>IF(A561="","",SUMIFS(Акты!$D$5:$D$16,Акты!$E$5:$E$16,"&lt;="&amp;A561)-SUMIFS(Оплаты!$B$6:$B$505,Оплаты!$A$6:$A$505,"&lt;"&amp;A561,Оплаты!$D$6:$D$505,"&lt;&gt;"))</f>
        <v/>
      </c>
      <c r="E561">
        <f>IF(A561="","",IF(SUMPRODUCT((Ввод!$F$12:$F$31&lt;&gt;"")*(Ввод!$F$12:$F$31&lt;=A561)*(Ввод!$G$12:$G$31&gt;=A561))&gt;0,1,0))</f>
        <v/>
      </c>
      <c r="G561">
        <f>IF(A561="","",IF(OR(B561&lt;&gt;B560,C561&lt;&gt;C560,E561&lt;&gt;E560),G560+1,G560))</f>
        <v/>
      </c>
    </row>
    <row r="562">
      <c r="A562" s="20">
        <f>IF(A561="","",IF(A561+1&gt;Ввод!$B$4,"",A561+1))</f>
        <v/>
      </c>
      <c r="B562">
        <f>IF(A562="","",IFERROR(INDEX(Ввод!$B$12:$B$71,MATCH(A562,Ввод!$D$12:$D$71,1)),""))</f>
        <v/>
      </c>
      <c r="C562">
        <f>IF(A562="","",DATE(YEAR(A562),12,31)-DATE(YEAR(A562),1,1)+1)</f>
        <v/>
      </c>
      <c r="D562">
        <f>IF(A562="","",SUMIFS(Акты!$D$5:$D$16,Акты!$E$5:$E$16,"&lt;="&amp;A562)-SUMIFS(Оплаты!$B$6:$B$505,Оплаты!$A$6:$A$505,"&lt;"&amp;A562,Оплаты!$D$6:$D$505,"&lt;&gt;"))</f>
        <v/>
      </c>
      <c r="E562">
        <f>IF(A562="","",IF(SUMPRODUCT((Ввод!$F$12:$F$31&lt;&gt;"")*(Ввод!$F$12:$F$31&lt;=A562)*(Ввод!$G$12:$G$31&gt;=A562))&gt;0,1,0))</f>
        <v/>
      </c>
      <c r="G562">
        <f>IF(A562="","",IF(OR(B562&lt;&gt;B561,C562&lt;&gt;C561,E562&lt;&gt;E561),G561+1,G561))</f>
        <v/>
      </c>
    </row>
    <row r="563">
      <c r="A563" s="20">
        <f>IF(A562="","",IF(A562+1&gt;Ввод!$B$4,"",A562+1))</f>
        <v/>
      </c>
      <c r="B563">
        <f>IF(A563="","",IFERROR(INDEX(Ввод!$B$12:$B$71,MATCH(A563,Ввод!$D$12:$D$71,1)),""))</f>
        <v/>
      </c>
      <c r="C563">
        <f>IF(A563="","",DATE(YEAR(A563),12,31)-DATE(YEAR(A563),1,1)+1)</f>
        <v/>
      </c>
      <c r="D563">
        <f>IF(A563="","",SUMIFS(Акты!$D$5:$D$16,Акты!$E$5:$E$16,"&lt;="&amp;A563)-SUMIFS(Оплаты!$B$6:$B$505,Оплаты!$A$6:$A$505,"&lt;"&amp;A563,Оплаты!$D$6:$D$505,"&lt;&gt;"))</f>
        <v/>
      </c>
      <c r="E563">
        <f>IF(A563="","",IF(SUMPRODUCT((Ввод!$F$12:$F$31&lt;&gt;"")*(Ввод!$F$12:$F$31&lt;=A563)*(Ввод!$G$12:$G$31&gt;=A563))&gt;0,1,0))</f>
        <v/>
      </c>
      <c r="G563">
        <f>IF(A563="","",IF(OR(B563&lt;&gt;B562,C563&lt;&gt;C562,E563&lt;&gt;E562),G562+1,G562))</f>
        <v/>
      </c>
    </row>
    <row r="564">
      <c r="A564" s="20">
        <f>IF(A563="","",IF(A563+1&gt;Ввод!$B$4,"",A563+1))</f>
        <v/>
      </c>
      <c r="B564">
        <f>IF(A564="","",IFERROR(INDEX(Ввод!$B$12:$B$71,MATCH(A564,Ввод!$D$12:$D$71,1)),""))</f>
        <v/>
      </c>
      <c r="C564">
        <f>IF(A564="","",DATE(YEAR(A564),12,31)-DATE(YEAR(A564),1,1)+1)</f>
        <v/>
      </c>
      <c r="D564">
        <f>IF(A564="","",SUMIFS(Акты!$D$5:$D$16,Акты!$E$5:$E$16,"&lt;="&amp;A564)-SUMIFS(Оплаты!$B$6:$B$505,Оплаты!$A$6:$A$505,"&lt;"&amp;A564,Оплаты!$D$6:$D$505,"&lt;&gt;"))</f>
        <v/>
      </c>
      <c r="E564">
        <f>IF(A564="","",IF(SUMPRODUCT((Ввод!$F$12:$F$31&lt;&gt;"")*(Ввод!$F$12:$F$31&lt;=A564)*(Ввод!$G$12:$G$31&gt;=A564))&gt;0,1,0))</f>
        <v/>
      </c>
      <c r="G564">
        <f>IF(A564="","",IF(OR(B564&lt;&gt;B563,C564&lt;&gt;C563,E564&lt;&gt;E563),G563+1,G563))</f>
        <v/>
      </c>
    </row>
    <row r="565">
      <c r="A565" s="20">
        <f>IF(A564="","",IF(A564+1&gt;Ввод!$B$4,"",A564+1))</f>
        <v/>
      </c>
      <c r="B565">
        <f>IF(A565="","",IFERROR(INDEX(Ввод!$B$12:$B$71,MATCH(A565,Ввод!$D$12:$D$71,1)),""))</f>
        <v/>
      </c>
      <c r="C565">
        <f>IF(A565="","",DATE(YEAR(A565),12,31)-DATE(YEAR(A565),1,1)+1)</f>
        <v/>
      </c>
      <c r="D565">
        <f>IF(A565="","",SUMIFS(Акты!$D$5:$D$16,Акты!$E$5:$E$16,"&lt;="&amp;A565)-SUMIFS(Оплаты!$B$6:$B$505,Оплаты!$A$6:$A$505,"&lt;"&amp;A565,Оплаты!$D$6:$D$505,"&lt;&gt;"))</f>
        <v/>
      </c>
      <c r="E565">
        <f>IF(A565="","",IF(SUMPRODUCT((Ввод!$F$12:$F$31&lt;&gt;"")*(Ввод!$F$12:$F$31&lt;=A565)*(Ввод!$G$12:$G$31&gt;=A565))&gt;0,1,0))</f>
        <v/>
      </c>
      <c r="G565">
        <f>IF(A565="","",IF(OR(B565&lt;&gt;B564,C565&lt;&gt;C564,E565&lt;&gt;E564),G564+1,G564))</f>
        <v/>
      </c>
    </row>
    <row r="566">
      <c r="A566" s="20">
        <f>IF(A565="","",IF(A565+1&gt;Ввод!$B$4,"",A565+1))</f>
        <v/>
      </c>
      <c r="B566">
        <f>IF(A566="","",IFERROR(INDEX(Ввод!$B$12:$B$71,MATCH(A566,Ввод!$D$12:$D$71,1)),""))</f>
        <v/>
      </c>
      <c r="C566">
        <f>IF(A566="","",DATE(YEAR(A566),12,31)-DATE(YEAR(A566),1,1)+1)</f>
        <v/>
      </c>
      <c r="D566">
        <f>IF(A566="","",SUMIFS(Акты!$D$5:$D$16,Акты!$E$5:$E$16,"&lt;="&amp;A566)-SUMIFS(Оплаты!$B$6:$B$505,Оплаты!$A$6:$A$505,"&lt;"&amp;A566,Оплаты!$D$6:$D$505,"&lt;&gt;"))</f>
        <v/>
      </c>
      <c r="E566">
        <f>IF(A566="","",IF(SUMPRODUCT((Ввод!$F$12:$F$31&lt;&gt;"")*(Ввод!$F$12:$F$31&lt;=A566)*(Ввод!$G$12:$G$31&gt;=A566))&gt;0,1,0))</f>
        <v/>
      </c>
      <c r="G566">
        <f>IF(A566="","",IF(OR(B566&lt;&gt;B565,C566&lt;&gt;C565,E566&lt;&gt;E565),G565+1,G565))</f>
        <v/>
      </c>
    </row>
    <row r="567">
      <c r="A567" s="20">
        <f>IF(A566="","",IF(A566+1&gt;Ввод!$B$4,"",A566+1))</f>
        <v/>
      </c>
      <c r="B567">
        <f>IF(A567="","",IFERROR(INDEX(Ввод!$B$12:$B$71,MATCH(A567,Ввод!$D$12:$D$71,1)),""))</f>
        <v/>
      </c>
      <c r="C567">
        <f>IF(A567="","",DATE(YEAR(A567),12,31)-DATE(YEAR(A567),1,1)+1)</f>
        <v/>
      </c>
      <c r="D567">
        <f>IF(A567="","",SUMIFS(Акты!$D$5:$D$16,Акты!$E$5:$E$16,"&lt;="&amp;A567)-SUMIFS(Оплаты!$B$6:$B$505,Оплаты!$A$6:$A$505,"&lt;"&amp;A567,Оплаты!$D$6:$D$505,"&lt;&gt;"))</f>
        <v/>
      </c>
      <c r="E567">
        <f>IF(A567="","",IF(SUMPRODUCT((Ввод!$F$12:$F$31&lt;&gt;"")*(Ввод!$F$12:$F$31&lt;=A567)*(Ввод!$G$12:$G$31&gt;=A567))&gt;0,1,0))</f>
        <v/>
      </c>
      <c r="G567">
        <f>IF(A567="","",IF(OR(B567&lt;&gt;B566,C567&lt;&gt;C566,E567&lt;&gt;E566),G566+1,G566))</f>
        <v/>
      </c>
    </row>
    <row r="568">
      <c r="A568" s="20">
        <f>IF(A567="","",IF(A567+1&gt;Ввод!$B$4,"",A567+1))</f>
        <v/>
      </c>
      <c r="B568">
        <f>IF(A568="","",IFERROR(INDEX(Ввод!$B$12:$B$71,MATCH(A568,Ввод!$D$12:$D$71,1)),""))</f>
        <v/>
      </c>
      <c r="C568">
        <f>IF(A568="","",DATE(YEAR(A568),12,31)-DATE(YEAR(A568),1,1)+1)</f>
        <v/>
      </c>
      <c r="D568">
        <f>IF(A568="","",SUMIFS(Акты!$D$5:$D$16,Акты!$E$5:$E$16,"&lt;="&amp;A568)-SUMIFS(Оплаты!$B$6:$B$505,Оплаты!$A$6:$A$505,"&lt;"&amp;A568,Оплаты!$D$6:$D$505,"&lt;&gt;"))</f>
        <v/>
      </c>
      <c r="E568">
        <f>IF(A568="","",IF(SUMPRODUCT((Ввод!$F$12:$F$31&lt;&gt;"")*(Ввод!$F$12:$F$31&lt;=A568)*(Ввод!$G$12:$G$31&gt;=A568))&gt;0,1,0))</f>
        <v/>
      </c>
      <c r="G568">
        <f>IF(A568="","",IF(OR(B568&lt;&gt;B567,C568&lt;&gt;C567,E568&lt;&gt;E567),G567+1,G567))</f>
        <v/>
      </c>
    </row>
    <row r="569">
      <c r="A569" s="20">
        <f>IF(A568="","",IF(A568+1&gt;Ввод!$B$4,"",A568+1))</f>
        <v/>
      </c>
      <c r="B569">
        <f>IF(A569="","",IFERROR(INDEX(Ввод!$B$12:$B$71,MATCH(A569,Ввод!$D$12:$D$71,1)),""))</f>
        <v/>
      </c>
      <c r="C569">
        <f>IF(A569="","",DATE(YEAR(A569),12,31)-DATE(YEAR(A569),1,1)+1)</f>
        <v/>
      </c>
      <c r="D569">
        <f>IF(A569="","",SUMIFS(Акты!$D$5:$D$16,Акты!$E$5:$E$16,"&lt;="&amp;A569)-SUMIFS(Оплаты!$B$6:$B$505,Оплаты!$A$6:$A$505,"&lt;"&amp;A569,Оплаты!$D$6:$D$505,"&lt;&gt;"))</f>
        <v/>
      </c>
      <c r="E569">
        <f>IF(A569="","",IF(SUMPRODUCT((Ввод!$F$12:$F$31&lt;&gt;"")*(Ввод!$F$12:$F$31&lt;=A569)*(Ввод!$G$12:$G$31&gt;=A569))&gt;0,1,0))</f>
        <v/>
      </c>
      <c r="G569">
        <f>IF(A569="","",IF(OR(B569&lt;&gt;B568,C569&lt;&gt;C568,E569&lt;&gt;E568),G568+1,G568))</f>
        <v/>
      </c>
    </row>
    <row r="570">
      <c r="A570" s="20">
        <f>IF(A569="","",IF(A569+1&gt;Ввод!$B$4,"",A569+1))</f>
        <v/>
      </c>
      <c r="B570">
        <f>IF(A570="","",IFERROR(INDEX(Ввод!$B$12:$B$71,MATCH(A570,Ввод!$D$12:$D$71,1)),""))</f>
        <v/>
      </c>
      <c r="C570">
        <f>IF(A570="","",DATE(YEAR(A570),12,31)-DATE(YEAR(A570),1,1)+1)</f>
        <v/>
      </c>
      <c r="D570">
        <f>IF(A570="","",SUMIFS(Акты!$D$5:$D$16,Акты!$E$5:$E$16,"&lt;="&amp;A570)-SUMIFS(Оплаты!$B$6:$B$505,Оплаты!$A$6:$A$505,"&lt;"&amp;A570,Оплаты!$D$6:$D$505,"&lt;&gt;"))</f>
        <v/>
      </c>
      <c r="E570">
        <f>IF(A570="","",IF(SUMPRODUCT((Ввод!$F$12:$F$31&lt;&gt;"")*(Ввод!$F$12:$F$31&lt;=A570)*(Ввод!$G$12:$G$31&gt;=A570))&gt;0,1,0))</f>
        <v/>
      </c>
      <c r="G570">
        <f>IF(A570="","",IF(OR(B570&lt;&gt;B569,C570&lt;&gt;C569,E570&lt;&gt;E569),G569+1,G569))</f>
        <v/>
      </c>
    </row>
    <row r="571">
      <c r="A571" s="20">
        <f>IF(A570="","",IF(A570+1&gt;Ввод!$B$4,"",A570+1))</f>
        <v/>
      </c>
      <c r="B571">
        <f>IF(A571="","",IFERROR(INDEX(Ввод!$B$12:$B$71,MATCH(A571,Ввод!$D$12:$D$71,1)),""))</f>
        <v/>
      </c>
      <c r="C571">
        <f>IF(A571="","",DATE(YEAR(A571),12,31)-DATE(YEAR(A571),1,1)+1)</f>
        <v/>
      </c>
      <c r="D571">
        <f>IF(A571="","",SUMIFS(Акты!$D$5:$D$16,Акты!$E$5:$E$16,"&lt;="&amp;A571)-SUMIFS(Оплаты!$B$6:$B$505,Оплаты!$A$6:$A$505,"&lt;"&amp;A571,Оплаты!$D$6:$D$505,"&lt;&gt;"))</f>
        <v/>
      </c>
      <c r="E571">
        <f>IF(A571="","",IF(SUMPRODUCT((Ввод!$F$12:$F$31&lt;&gt;"")*(Ввод!$F$12:$F$31&lt;=A571)*(Ввод!$G$12:$G$31&gt;=A571))&gt;0,1,0))</f>
        <v/>
      </c>
      <c r="G571">
        <f>IF(A571="","",IF(OR(B571&lt;&gt;B570,C571&lt;&gt;C570,E571&lt;&gt;E570),G570+1,G570))</f>
        <v/>
      </c>
    </row>
    <row r="572">
      <c r="A572" s="20">
        <f>IF(A571="","",IF(A571+1&gt;Ввод!$B$4,"",A571+1))</f>
        <v/>
      </c>
      <c r="B572">
        <f>IF(A572="","",IFERROR(INDEX(Ввод!$B$12:$B$71,MATCH(A572,Ввод!$D$12:$D$71,1)),""))</f>
        <v/>
      </c>
      <c r="C572">
        <f>IF(A572="","",DATE(YEAR(A572),12,31)-DATE(YEAR(A572),1,1)+1)</f>
        <v/>
      </c>
      <c r="D572">
        <f>IF(A572="","",SUMIFS(Акты!$D$5:$D$16,Акты!$E$5:$E$16,"&lt;="&amp;A572)-SUMIFS(Оплаты!$B$6:$B$505,Оплаты!$A$6:$A$505,"&lt;"&amp;A572,Оплаты!$D$6:$D$505,"&lt;&gt;"))</f>
        <v/>
      </c>
      <c r="E572">
        <f>IF(A572="","",IF(SUMPRODUCT((Ввод!$F$12:$F$31&lt;&gt;"")*(Ввод!$F$12:$F$31&lt;=A572)*(Ввод!$G$12:$G$31&gt;=A572))&gt;0,1,0))</f>
        <v/>
      </c>
      <c r="G572">
        <f>IF(A572="","",IF(OR(B572&lt;&gt;B571,C572&lt;&gt;C571,E572&lt;&gt;E571),G571+1,G571))</f>
        <v/>
      </c>
    </row>
    <row r="573">
      <c r="A573" s="20">
        <f>IF(A572="","",IF(A572+1&gt;Ввод!$B$4,"",A572+1))</f>
        <v/>
      </c>
      <c r="B573">
        <f>IF(A573="","",IFERROR(INDEX(Ввод!$B$12:$B$71,MATCH(A573,Ввод!$D$12:$D$71,1)),""))</f>
        <v/>
      </c>
      <c r="C573">
        <f>IF(A573="","",DATE(YEAR(A573),12,31)-DATE(YEAR(A573),1,1)+1)</f>
        <v/>
      </c>
      <c r="D573">
        <f>IF(A573="","",SUMIFS(Акты!$D$5:$D$16,Акты!$E$5:$E$16,"&lt;="&amp;A573)-SUMIFS(Оплаты!$B$6:$B$505,Оплаты!$A$6:$A$505,"&lt;"&amp;A573,Оплаты!$D$6:$D$505,"&lt;&gt;"))</f>
        <v/>
      </c>
      <c r="E573">
        <f>IF(A573="","",IF(SUMPRODUCT((Ввод!$F$12:$F$31&lt;&gt;"")*(Ввод!$F$12:$F$31&lt;=A573)*(Ввод!$G$12:$G$31&gt;=A573))&gt;0,1,0))</f>
        <v/>
      </c>
      <c r="G573">
        <f>IF(A573="","",IF(OR(B573&lt;&gt;B572,C573&lt;&gt;C572,E573&lt;&gt;E572),G572+1,G572))</f>
        <v/>
      </c>
    </row>
    <row r="574">
      <c r="A574" s="20">
        <f>IF(A573="","",IF(A573+1&gt;Ввод!$B$4,"",A573+1))</f>
        <v/>
      </c>
      <c r="B574">
        <f>IF(A574="","",IFERROR(INDEX(Ввод!$B$12:$B$71,MATCH(A574,Ввод!$D$12:$D$71,1)),""))</f>
        <v/>
      </c>
      <c r="C574">
        <f>IF(A574="","",DATE(YEAR(A574),12,31)-DATE(YEAR(A574),1,1)+1)</f>
        <v/>
      </c>
      <c r="D574">
        <f>IF(A574="","",SUMIFS(Акты!$D$5:$D$16,Акты!$E$5:$E$16,"&lt;="&amp;A574)-SUMIFS(Оплаты!$B$6:$B$505,Оплаты!$A$6:$A$505,"&lt;"&amp;A574,Оплаты!$D$6:$D$505,"&lt;&gt;"))</f>
        <v/>
      </c>
      <c r="E574">
        <f>IF(A574="","",IF(SUMPRODUCT((Ввод!$F$12:$F$31&lt;&gt;"")*(Ввод!$F$12:$F$31&lt;=A574)*(Ввод!$G$12:$G$31&gt;=A574))&gt;0,1,0))</f>
        <v/>
      </c>
      <c r="G574">
        <f>IF(A574="","",IF(OR(B574&lt;&gt;B573,C574&lt;&gt;C573,E574&lt;&gt;E573),G573+1,G573))</f>
        <v/>
      </c>
    </row>
    <row r="575">
      <c r="A575" s="20">
        <f>IF(A574="","",IF(A574+1&gt;Ввод!$B$4,"",A574+1))</f>
        <v/>
      </c>
      <c r="B575">
        <f>IF(A575="","",IFERROR(INDEX(Ввод!$B$12:$B$71,MATCH(A575,Ввод!$D$12:$D$71,1)),""))</f>
        <v/>
      </c>
      <c r="C575">
        <f>IF(A575="","",DATE(YEAR(A575),12,31)-DATE(YEAR(A575),1,1)+1)</f>
        <v/>
      </c>
      <c r="D575">
        <f>IF(A575="","",SUMIFS(Акты!$D$5:$D$16,Акты!$E$5:$E$16,"&lt;="&amp;A575)-SUMIFS(Оплаты!$B$6:$B$505,Оплаты!$A$6:$A$505,"&lt;"&amp;A575,Оплаты!$D$6:$D$505,"&lt;&gt;"))</f>
        <v/>
      </c>
      <c r="E575">
        <f>IF(A575="","",IF(SUMPRODUCT((Ввод!$F$12:$F$31&lt;&gt;"")*(Ввод!$F$12:$F$31&lt;=A575)*(Ввод!$G$12:$G$31&gt;=A575))&gt;0,1,0))</f>
        <v/>
      </c>
      <c r="G575">
        <f>IF(A575="","",IF(OR(B575&lt;&gt;B574,C575&lt;&gt;C574,E575&lt;&gt;E574),G574+1,G574))</f>
        <v/>
      </c>
    </row>
    <row r="576">
      <c r="A576" s="20">
        <f>IF(A575="","",IF(A575+1&gt;Ввод!$B$4,"",A575+1))</f>
        <v/>
      </c>
      <c r="B576">
        <f>IF(A576="","",IFERROR(INDEX(Ввод!$B$12:$B$71,MATCH(A576,Ввод!$D$12:$D$71,1)),""))</f>
        <v/>
      </c>
      <c r="C576">
        <f>IF(A576="","",DATE(YEAR(A576),12,31)-DATE(YEAR(A576),1,1)+1)</f>
        <v/>
      </c>
      <c r="D576">
        <f>IF(A576="","",SUMIFS(Акты!$D$5:$D$16,Акты!$E$5:$E$16,"&lt;="&amp;A576)-SUMIFS(Оплаты!$B$6:$B$505,Оплаты!$A$6:$A$505,"&lt;"&amp;A576,Оплаты!$D$6:$D$505,"&lt;&gt;"))</f>
        <v/>
      </c>
      <c r="E576">
        <f>IF(A576="","",IF(SUMPRODUCT((Ввод!$F$12:$F$31&lt;&gt;"")*(Ввод!$F$12:$F$31&lt;=A576)*(Ввод!$G$12:$G$31&gt;=A576))&gt;0,1,0))</f>
        <v/>
      </c>
      <c r="G576">
        <f>IF(A576="","",IF(OR(B576&lt;&gt;B575,C576&lt;&gt;C575,E576&lt;&gt;E575),G575+1,G575))</f>
        <v/>
      </c>
    </row>
    <row r="577">
      <c r="A577" s="20">
        <f>IF(A576="","",IF(A576+1&gt;Ввод!$B$4,"",A576+1))</f>
        <v/>
      </c>
      <c r="B577">
        <f>IF(A577="","",IFERROR(INDEX(Ввод!$B$12:$B$71,MATCH(A577,Ввод!$D$12:$D$71,1)),""))</f>
        <v/>
      </c>
      <c r="C577">
        <f>IF(A577="","",DATE(YEAR(A577),12,31)-DATE(YEAR(A577),1,1)+1)</f>
        <v/>
      </c>
      <c r="D577">
        <f>IF(A577="","",SUMIFS(Акты!$D$5:$D$16,Акты!$E$5:$E$16,"&lt;="&amp;A577)-SUMIFS(Оплаты!$B$6:$B$505,Оплаты!$A$6:$A$505,"&lt;"&amp;A577,Оплаты!$D$6:$D$505,"&lt;&gt;"))</f>
        <v/>
      </c>
      <c r="E577">
        <f>IF(A577="","",IF(SUMPRODUCT((Ввод!$F$12:$F$31&lt;&gt;"")*(Ввод!$F$12:$F$31&lt;=A577)*(Ввод!$G$12:$G$31&gt;=A577))&gt;0,1,0))</f>
        <v/>
      </c>
      <c r="G577">
        <f>IF(A577="","",IF(OR(B577&lt;&gt;B576,C577&lt;&gt;C576,E577&lt;&gt;E576),G576+1,G576))</f>
        <v/>
      </c>
    </row>
    <row r="578">
      <c r="A578" s="20">
        <f>IF(A577="","",IF(A577+1&gt;Ввод!$B$4,"",A577+1))</f>
        <v/>
      </c>
      <c r="B578">
        <f>IF(A578="","",IFERROR(INDEX(Ввод!$B$12:$B$71,MATCH(A578,Ввод!$D$12:$D$71,1)),""))</f>
        <v/>
      </c>
      <c r="C578">
        <f>IF(A578="","",DATE(YEAR(A578),12,31)-DATE(YEAR(A578),1,1)+1)</f>
        <v/>
      </c>
      <c r="D578">
        <f>IF(A578="","",SUMIFS(Акты!$D$5:$D$16,Акты!$E$5:$E$16,"&lt;="&amp;A578)-SUMIFS(Оплаты!$B$6:$B$505,Оплаты!$A$6:$A$505,"&lt;"&amp;A578,Оплаты!$D$6:$D$505,"&lt;&gt;"))</f>
        <v/>
      </c>
      <c r="E578">
        <f>IF(A578="","",IF(SUMPRODUCT((Ввод!$F$12:$F$31&lt;&gt;"")*(Ввод!$F$12:$F$31&lt;=A578)*(Ввод!$G$12:$G$31&gt;=A578))&gt;0,1,0))</f>
        <v/>
      </c>
      <c r="G578">
        <f>IF(A578="","",IF(OR(B578&lt;&gt;B577,C578&lt;&gt;C577,E578&lt;&gt;E577),G577+1,G577))</f>
        <v/>
      </c>
    </row>
    <row r="579">
      <c r="A579" s="20">
        <f>IF(A578="","",IF(A578+1&gt;Ввод!$B$4,"",A578+1))</f>
        <v/>
      </c>
      <c r="B579">
        <f>IF(A579="","",IFERROR(INDEX(Ввод!$B$12:$B$71,MATCH(A579,Ввод!$D$12:$D$71,1)),""))</f>
        <v/>
      </c>
      <c r="C579">
        <f>IF(A579="","",DATE(YEAR(A579),12,31)-DATE(YEAR(A579),1,1)+1)</f>
        <v/>
      </c>
      <c r="D579">
        <f>IF(A579="","",SUMIFS(Акты!$D$5:$D$16,Акты!$E$5:$E$16,"&lt;="&amp;A579)-SUMIFS(Оплаты!$B$6:$B$505,Оплаты!$A$6:$A$505,"&lt;"&amp;A579,Оплаты!$D$6:$D$505,"&lt;&gt;"))</f>
        <v/>
      </c>
      <c r="E579">
        <f>IF(A579="","",IF(SUMPRODUCT((Ввод!$F$12:$F$31&lt;&gt;"")*(Ввод!$F$12:$F$31&lt;=A579)*(Ввод!$G$12:$G$31&gt;=A579))&gt;0,1,0))</f>
        <v/>
      </c>
      <c r="G579">
        <f>IF(A579="","",IF(OR(B579&lt;&gt;B578,C579&lt;&gt;C578,E579&lt;&gt;E578),G578+1,G578))</f>
        <v/>
      </c>
    </row>
    <row r="580">
      <c r="A580" s="20">
        <f>IF(A579="","",IF(A579+1&gt;Ввод!$B$4,"",A579+1))</f>
        <v/>
      </c>
      <c r="B580">
        <f>IF(A580="","",IFERROR(INDEX(Ввод!$B$12:$B$71,MATCH(A580,Ввод!$D$12:$D$71,1)),""))</f>
        <v/>
      </c>
      <c r="C580">
        <f>IF(A580="","",DATE(YEAR(A580),12,31)-DATE(YEAR(A580),1,1)+1)</f>
        <v/>
      </c>
      <c r="D580">
        <f>IF(A580="","",SUMIFS(Акты!$D$5:$D$16,Акты!$E$5:$E$16,"&lt;="&amp;A580)-SUMIFS(Оплаты!$B$6:$B$505,Оплаты!$A$6:$A$505,"&lt;"&amp;A580,Оплаты!$D$6:$D$505,"&lt;&gt;"))</f>
        <v/>
      </c>
      <c r="E580">
        <f>IF(A580="","",IF(SUMPRODUCT((Ввод!$F$12:$F$31&lt;&gt;"")*(Ввод!$F$12:$F$31&lt;=A580)*(Ввод!$G$12:$G$31&gt;=A580))&gt;0,1,0))</f>
        <v/>
      </c>
      <c r="G580">
        <f>IF(A580="","",IF(OR(B580&lt;&gt;B579,C580&lt;&gt;C579,E580&lt;&gt;E579),G579+1,G579))</f>
        <v/>
      </c>
    </row>
    <row r="581">
      <c r="A581" s="20">
        <f>IF(A580="","",IF(A580+1&gt;Ввод!$B$4,"",A580+1))</f>
        <v/>
      </c>
      <c r="B581">
        <f>IF(A581="","",IFERROR(INDEX(Ввод!$B$12:$B$71,MATCH(A581,Ввод!$D$12:$D$71,1)),""))</f>
        <v/>
      </c>
      <c r="C581">
        <f>IF(A581="","",DATE(YEAR(A581),12,31)-DATE(YEAR(A581),1,1)+1)</f>
        <v/>
      </c>
      <c r="D581">
        <f>IF(A581="","",SUMIFS(Акты!$D$5:$D$16,Акты!$E$5:$E$16,"&lt;="&amp;A581)-SUMIFS(Оплаты!$B$6:$B$505,Оплаты!$A$6:$A$505,"&lt;"&amp;A581,Оплаты!$D$6:$D$505,"&lt;&gt;"))</f>
        <v/>
      </c>
      <c r="E581">
        <f>IF(A581="","",IF(SUMPRODUCT((Ввод!$F$12:$F$31&lt;&gt;"")*(Ввод!$F$12:$F$31&lt;=A581)*(Ввод!$G$12:$G$31&gt;=A581))&gt;0,1,0))</f>
        <v/>
      </c>
      <c r="G581">
        <f>IF(A581="","",IF(OR(B581&lt;&gt;B580,C581&lt;&gt;C580,E581&lt;&gt;E580),G580+1,G580))</f>
        <v/>
      </c>
    </row>
    <row r="582">
      <c r="A582" s="20">
        <f>IF(A581="","",IF(A581+1&gt;Ввод!$B$4,"",A581+1))</f>
        <v/>
      </c>
      <c r="B582">
        <f>IF(A582="","",IFERROR(INDEX(Ввод!$B$12:$B$71,MATCH(A582,Ввод!$D$12:$D$71,1)),""))</f>
        <v/>
      </c>
      <c r="C582">
        <f>IF(A582="","",DATE(YEAR(A582),12,31)-DATE(YEAR(A582),1,1)+1)</f>
        <v/>
      </c>
      <c r="D582">
        <f>IF(A582="","",SUMIFS(Акты!$D$5:$D$16,Акты!$E$5:$E$16,"&lt;="&amp;A582)-SUMIFS(Оплаты!$B$6:$B$505,Оплаты!$A$6:$A$505,"&lt;"&amp;A582,Оплаты!$D$6:$D$505,"&lt;&gt;"))</f>
        <v/>
      </c>
      <c r="E582">
        <f>IF(A582="","",IF(SUMPRODUCT((Ввод!$F$12:$F$31&lt;&gt;"")*(Ввод!$F$12:$F$31&lt;=A582)*(Ввод!$G$12:$G$31&gt;=A582))&gt;0,1,0))</f>
        <v/>
      </c>
      <c r="G582">
        <f>IF(A582="","",IF(OR(B582&lt;&gt;B581,C582&lt;&gt;C581,E582&lt;&gt;E581),G581+1,G581))</f>
        <v/>
      </c>
    </row>
    <row r="583">
      <c r="A583" s="20">
        <f>IF(A582="","",IF(A582+1&gt;Ввод!$B$4,"",A582+1))</f>
        <v/>
      </c>
      <c r="B583">
        <f>IF(A583="","",IFERROR(INDEX(Ввод!$B$12:$B$71,MATCH(A583,Ввод!$D$12:$D$71,1)),""))</f>
        <v/>
      </c>
      <c r="C583">
        <f>IF(A583="","",DATE(YEAR(A583),12,31)-DATE(YEAR(A583),1,1)+1)</f>
        <v/>
      </c>
      <c r="D583">
        <f>IF(A583="","",SUMIFS(Акты!$D$5:$D$16,Акты!$E$5:$E$16,"&lt;="&amp;A583)-SUMIFS(Оплаты!$B$6:$B$505,Оплаты!$A$6:$A$505,"&lt;"&amp;A583,Оплаты!$D$6:$D$505,"&lt;&gt;"))</f>
        <v/>
      </c>
      <c r="E583">
        <f>IF(A583="","",IF(SUMPRODUCT((Ввод!$F$12:$F$31&lt;&gt;"")*(Ввод!$F$12:$F$31&lt;=A583)*(Ввод!$G$12:$G$31&gt;=A583))&gt;0,1,0))</f>
        <v/>
      </c>
      <c r="G583">
        <f>IF(A583="","",IF(OR(B583&lt;&gt;B582,C583&lt;&gt;C582,E583&lt;&gt;E582),G582+1,G582))</f>
        <v/>
      </c>
    </row>
    <row r="584">
      <c r="A584" s="20">
        <f>IF(A583="","",IF(A583+1&gt;Ввод!$B$4,"",A583+1))</f>
        <v/>
      </c>
      <c r="B584">
        <f>IF(A584="","",IFERROR(INDEX(Ввод!$B$12:$B$71,MATCH(A584,Ввод!$D$12:$D$71,1)),""))</f>
        <v/>
      </c>
      <c r="C584">
        <f>IF(A584="","",DATE(YEAR(A584),12,31)-DATE(YEAR(A584),1,1)+1)</f>
        <v/>
      </c>
      <c r="D584">
        <f>IF(A584="","",SUMIFS(Акты!$D$5:$D$16,Акты!$E$5:$E$16,"&lt;="&amp;A584)-SUMIFS(Оплаты!$B$6:$B$505,Оплаты!$A$6:$A$505,"&lt;"&amp;A584,Оплаты!$D$6:$D$505,"&lt;&gt;"))</f>
        <v/>
      </c>
      <c r="E584">
        <f>IF(A584="","",IF(SUMPRODUCT((Ввод!$F$12:$F$31&lt;&gt;"")*(Ввод!$F$12:$F$31&lt;=A584)*(Ввод!$G$12:$G$31&gt;=A584))&gt;0,1,0))</f>
        <v/>
      </c>
      <c r="G584">
        <f>IF(A584="","",IF(OR(B584&lt;&gt;B583,C584&lt;&gt;C583,E584&lt;&gt;E583),G583+1,G583))</f>
        <v/>
      </c>
    </row>
    <row r="585">
      <c r="A585" s="20">
        <f>IF(A584="","",IF(A584+1&gt;Ввод!$B$4,"",A584+1))</f>
        <v/>
      </c>
      <c r="B585">
        <f>IF(A585="","",IFERROR(INDEX(Ввод!$B$12:$B$71,MATCH(A585,Ввод!$D$12:$D$71,1)),""))</f>
        <v/>
      </c>
      <c r="C585">
        <f>IF(A585="","",DATE(YEAR(A585),12,31)-DATE(YEAR(A585),1,1)+1)</f>
        <v/>
      </c>
      <c r="D585">
        <f>IF(A585="","",SUMIFS(Акты!$D$5:$D$16,Акты!$E$5:$E$16,"&lt;="&amp;A585)-SUMIFS(Оплаты!$B$6:$B$505,Оплаты!$A$6:$A$505,"&lt;"&amp;A585,Оплаты!$D$6:$D$505,"&lt;&gt;"))</f>
        <v/>
      </c>
      <c r="E585">
        <f>IF(A585="","",IF(SUMPRODUCT((Ввод!$F$12:$F$31&lt;&gt;"")*(Ввод!$F$12:$F$31&lt;=A585)*(Ввод!$G$12:$G$31&gt;=A585))&gt;0,1,0))</f>
        <v/>
      </c>
      <c r="G585">
        <f>IF(A585="","",IF(OR(B585&lt;&gt;B584,C585&lt;&gt;C584,E585&lt;&gt;E584),G584+1,G584))</f>
        <v/>
      </c>
    </row>
    <row r="586">
      <c r="A586" s="20">
        <f>IF(A585="","",IF(A585+1&gt;Ввод!$B$4,"",A585+1))</f>
        <v/>
      </c>
      <c r="B586">
        <f>IF(A586="","",IFERROR(INDEX(Ввод!$B$12:$B$71,MATCH(A586,Ввод!$D$12:$D$71,1)),""))</f>
        <v/>
      </c>
      <c r="C586">
        <f>IF(A586="","",DATE(YEAR(A586),12,31)-DATE(YEAR(A586),1,1)+1)</f>
        <v/>
      </c>
      <c r="D586">
        <f>IF(A586="","",SUMIFS(Акты!$D$5:$D$16,Акты!$E$5:$E$16,"&lt;="&amp;A586)-SUMIFS(Оплаты!$B$6:$B$505,Оплаты!$A$6:$A$505,"&lt;"&amp;A586,Оплаты!$D$6:$D$505,"&lt;&gt;"))</f>
        <v/>
      </c>
      <c r="E586">
        <f>IF(A586="","",IF(SUMPRODUCT((Ввод!$F$12:$F$31&lt;&gt;"")*(Ввод!$F$12:$F$31&lt;=A586)*(Ввод!$G$12:$G$31&gt;=A586))&gt;0,1,0))</f>
        <v/>
      </c>
      <c r="G586">
        <f>IF(A586="","",IF(OR(B586&lt;&gt;B585,C586&lt;&gt;C585,E586&lt;&gt;E585),G585+1,G585))</f>
        <v/>
      </c>
    </row>
    <row r="587">
      <c r="A587" s="20">
        <f>IF(A586="","",IF(A586+1&gt;Ввод!$B$4,"",A586+1))</f>
        <v/>
      </c>
      <c r="B587">
        <f>IF(A587="","",IFERROR(INDEX(Ввод!$B$12:$B$71,MATCH(A587,Ввод!$D$12:$D$71,1)),""))</f>
        <v/>
      </c>
      <c r="C587">
        <f>IF(A587="","",DATE(YEAR(A587),12,31)-DATE(YEAR(A587),1,1)+1)</f>
        <v/>
      </c>
      <c r="D587">
        <f>IF(A587="","",SUMIFS(Акты!$D$5:$D$16,Акты!$E$5:$E$16,"&lt;="&amp;A587)-SUMIFS(Оплаты!$B$6:$B$505,Оплаты!$A$6:$A$505,"&lt;"&amp;A587,Оплаты!$D$6:$D$505,"&lt;&gt;"))</f>
        <v/>
      </c>
      <c r="E587">
        <f>IF(A587="","",IF(SUMPRODUCT((Ввод!$F$12:$F$31&lt;&gt;"")*(Ввод!$F$12:$F$31&lt;=A587)*(Ввод!$G$12:$G$31&gt;=A587))&gt;0,1,0))</f>
        <v/>
      </c>
      <c r="G587">
        <f>IF(A587="","",IF(OR(B587&lt;&gt;B586,C587&lt;&gt;C586,E587&lt;&gt;E586),G586+1,G586))</f>
        <v/>
      </c>
    </row>
    <row r="588">
      <c r="A588" s="20">
        <f>IF(A587="","",IF(A587+1&gt;Ввод!$B$4,"",A587+1))</f>
        <v/>
      </c>
      <c r="B588">
        <f>IF(A588="","",IFERROR(INDEX(Ввод!$B$12:$B$71,MATCH(A588,Ввод!$D$12:$D$71,1)),""))</f>
        <v/>
      </c>
      <c r="C588">
        <f>IF(A588="","",DATE(YEAR(A588),12,31)-DATE(YEAR(A588),1,1)+1)</f>
        <v/>
      </c>
      <c r="D588">
        <f>IF(A588="","",SUMIFS(Акты!$D$5:$D$16,Акты!$E$5:$E$16,"&lt;="&amp;A588)-SUMIFS(Оплаты!$B$6:$B$505,Оплаты!$A$6:$A$505,"&lt;"&amp;A588,Оплаты!$D$6:$D$505,"&lt;&gt;"))</f>
        <v/>
      </c>
      <c r="E588">
        <f>IF(A588="","",IF(SUMPRODUCT((Ввод!$F$12:$F$31&lt;&gt;"")*(Ввод!$F$12:$F$31&lt;=A588)*(Ввод!$G$12:$G$31&gt;=A588))&gt;0,1,0))</f>
        <v/>
      </c>
      <c r="G588">
        <f>IF(A588="","",IF(OR(B588&lt;&gt;B587,C588&lt;&gt;C587,E588&lt;&gt;E587),G587+1,G587))</f>
        <v/>
      </c>
    </row>
    <row r="589">
      <c r="A589" s="20">
        <f>IF(A588="","",IF(A588+1&gt;Ввод!$B$4,"",A588+1))</f>
        <v/>
      </c>
      <c r="B589">
        <f>IF(A589="","",IFERROR(INDEX(Ввод!$B$12:$B$71,MATCH(A589,Ввод!$D$12:$D$71,1)),""))</f>
        <v/>
      </c>
      <c r="C589">
        <f>IF(A589="","",DATE(YEAR(A589),12,31)-DATE(YEAR(A589),1,1)+1)</f>
        <v/>
      </c>
      <c r="D589">
        <f>IF(A589="","",SUMIFS(Акты!$D$5:$D$16,Акты!$E$5:$E$16,"&lt;="&amp;A589)-SUMIFS(Оплаты!$B$6:$B$505,Оплаты!$A$6:$A$505,"&lt;"&amp;A589,Оплаты!$D$6:$D$505,"&lt;&gt;"))</f>
        <v/>
      </c>
      <c r="E589">
        <f>IF(A589="","",IF(SUMPRODUCT((Ввод!$F$12:$F$31&lt;&gt;"")*(Ввод!$F$12:$F$31&lt;=A589)*(Ввод!$G$12:$G$31&gt;=A589))&gt;0,1,0))</f>
        <v/>
      </c>
      <c r="G589">
        <f>IF(A589="","",IF(OR(B589&lt;&gt;B588,C589&lt;&gt;C588,E589&lt;&gt;E588),G588+1,G588))</f>
        <v/>
      </c>
    </row>
    <row r="590">
      <c r="A590" s="20">
        <f>IF(A589="","",IF(A589+1&gt;Ввод!$B$4,"",A589+1))</f>
        <v/>
      </c>
      <c r="B590">
        <f>IF(A590="","",IFERROR(INDEX(Ввод!$B$12:$B$71,MATCH(A590,Ввод!$D$12:$D$71,1)),""))</f>
        <v/>
      </c>
      <c r="C590">
        <f>IF(A590="","",DATE(YEAR(A590),12,31)-DATE(YEAR(A590),1,1)+1)</f>
        <v/>
      </c>
      <c r="D590">
        <f>IF(A590="","",SUMIFS(Акты!$D$5:$D$16,Акты!$E$5:$E$16,"&lt;="&amp;A590)-SUMIFS(Оплаты!$B$6:$B$505,Оплаты!$A$6:$A$505,"&lt;"&amp;A590,Оплаты!$D$6:$D$505,"&lt;&gt;"))</f>
        <v/>
      </c>
      <c r="E590">
        <f>IF(A590="","",IF(SUMPRODUCT((Ввод!$F$12:$F$31&lt;&gt;"")*(Ввод!$F$12:$F$31&lt;=A590)*(Ввод!$G$12:$G$31&gt;=A590))&gt;0,1,0))</f>
        <v/>
      </c>
      <c r="G590">
        <f>IF(A590="","",IF(OR(B590&lt;&gt;B589,C590&lt;&gt;C589,E590&lt;&gt;E589),G589+1,G589))</f>
        <v/>
      </c>
    </row>
    <row r="591">
      <c r="A591" s="20">
        <f>IF(A590="","",IF(A590+1&gt;Ввод!$B$4,"",A590+1))</f>
        <v/>
      </c>
      <c r="B591">
        <f>IF(A591="","",IFERROR(INDEX(Ввод!$B$12:$B$71,MATCH(A591,Ввод!$D$12:$D$71,1)),""))</f>
        <v/>
      </c>
      <c r="C591">
        <f>IF(A591="","",DATE(YEAR(A591),12,31)-DATE(YEAR(A591),1,1)+1)</f>
        <v/>
      </c>
      <c r="D591">
        <f>IF(A591="","",SUMIFS(Акты!$D$5:$D$16,Акты!$E$5:$E$16,"&lt;="&amp;A591)-SUMIFS(Оплаты!$B$6:$B$505,Оплаты!$A$6:$A$505,"&lt;"&amp;A591,Оплаты!$D$6:$D$505,"&lt;&gt;"))</f>
        <v/>
      </c>
      <c r="E591">
        <f>IF(A591="","",IF(SUMPRODUCT((Ввод!$F$12:$F$31&lt;&gt;"")*(Ввод!$F$12:$F$31&lt;=A591)*(Ввод!$G$12:$G$31&gt;=A591))&gt;0,1,0))</f>
        <v/>
      </c>
      <c r="G591">
        <f>IF(A591="","",IF(OR(B591&lt;&gt;B590,C591&lt;&gt;C590,E591&lt;&gt;E590),G590+1,G590))</f>
        <v/>
      </c>
    </row>
    <row r="592">
      <c r="A592" s="20">
        <f>IF(A591="","",IF(A591+1&gt;Ввод!$B$4,"",A591+1))</f>
        <v/>
      </c>
      <c r="B592">
        <f>IF(A592="","",IFERROR(INDEX(Ввод!$B$12:$B$71,MATCH(A592,Ввод!$D$12:$D$71,1)),""))</f>
        <v/>
      </c>
      <c r="C592">
        <f>IF(A592="","",DATE(YEAR(A592),12,31)-DATE(YEAR(A592),1,1)+1)</f>
        <v/>
      </c>
      <c r="D592">
        <f>IF(A592="","",SUMIFS(Акты!$D$5:$D$16,Акты!$E$5:$E$16,"&lt;="&amp;A592)-SUMIFS(Оплаты!$B$6:$B$505,Оплаты!$A$6:$A$505,"&lt;"&amp;A592,Оплаты!$D$6:$D$505,"&lt;&gt;"))</f>
        <v/>
      </c>
      <c r="E592">
        <f>IF(A592="","",IF(SUMPRODUCT((Ввод!$F$12:$F$31&lt;&gt;"")*(Ввод!$F$12:$F$31&lt;=A592)*(Ввод!$G$12:$G$31&gt;=A592))&gt;0,1,0))</f>
        <v/>
      </c>
      <c r="G592">
        <f>IF(A592="","",IF(OR(B592&lt;&gt;B591,C592&lt;&gt;C591,E592&lt;&gt;E591),G591+1,G591))</f>
        <v/>
      </c>
    </row>
    <row r="593">
      <c r="A593" s="20">
        <f>IF(A592="","",IF(A592+1&gt;Ввод!$B$4,"",A592+1))</f>
        <v/>
      </c>
      <c r="B593">
        <f>IF(A593="","",IFERROR(INDEX(Ввод!$B$12:$B$71,MATCH(A593,Ввод!$D$12:$D$71,1)),""))</f>
        <v/>
      </c>
      <c r="C593">
        <f>IF(A593="","",DATE(YEAR(A593),12,31)-DATE(YEAR(A593),1,1)+1)</f>
        <v/>
      </c>
      <c r="D593">
        <f>IF(A593="","",SUMIFS(Акты!$D$5:$D$16,Акты!$E$5:$E$16,"&lt;="&amp;A593)-SUMIFS(Оплаты!$B$6:$B$505,Оплаты!$A$6:$A$505,"&lt;"&amp;A593,Оплаты!$D$6:$D$505,"&lt;&gt;"))</f>
        <v/>
      </c>
      <c r="E593">
        <f>IF(A593="","",IF(SUMPRODUCT((Ввод!$F$12:$F$31&lt;&gt;"")*(Ввод!$F$12:$F$31&lt;=A593)*(Ввод!$G$12:$G$31&gt;=A593))&gt;0,1,0))</f>
        <v/>
      </c>
      <c r="G593">
        <f>IF(A593="","",IF(OR(B593&lt;&gt;B592,C593&lt;&gt;C592,E593&lt;&gt;E592),G592+1,G592))</f>
        <v/>
      </c>
    </row>
    <row r="594">
      <c r="A594" s="20">
        <f>IF(A593="","",IF(A593+1&gt;Ввод!$B$4,"",A593+1))</f>
        <v/>
      </c>
      <c r="B594">
        <f>IF(A594="","",IFERROR(INDEX(Ввод!$B$12:$B$71,MATCH(A594,Ввод!$D$12:$D$71,1)),""))</f>
        <v/>
      </c>
      <c r="C594">
        <f>IF(A594="","",DATE(YEAR(A594),12,31)-DATE(YEAR(A594),1,1)+1)</f>
        <v/>
      </c>
      <c r="D594">
        <f>IF(A594="","",SUMIFS(Акты!$D$5:$D$16,Акты!$E$5:$E$16,"&lt;="&amp;A594)-SUMIFS(Оплаты!$B$6:$B$505,Оплаты!$A$6:$A$505,"&lt;"&amp;A594,Оплаты!$D$6:$D$505,"&lt;&gt;"))</f>
        <v/>
      </c>
      <c r="E594">
        <f>IF(A594="","",IF(SUMPRODUCT((Ввод!$F$12:$F$31&lt;&gt;"")*(Ввод!$F$12:$F$31&lt;=A594)*(Ввод!$G$12:$G$31&gt;=A594))&gt;0,1,0))</f>
        <v/>
      </c>
      <c r="G594">
        <f>IF(A594="","",IF(OR(B594&lt;&gt;B593,C594&lt;&gt;C593,E594&lt;&gt;E593),G593+1,G593))</f>
        <v/>
      </c>
    </row>
    <row r="595">
      <c r="A595" s="20">
        <f>IF(A594="","",IF(A594+1&gt;Ввод!$B$4,"",A594+1))</f>
        <v/>
      </c>
      <c r="B595">
        <f>IF(A595="","",IFERROR(INDEX(Ввод!$B$12:$B$71,MATCH(A595,Ввод!$D$12:$D$71,1)),""))</f>
        <v/>
      </c>
      <c r="C595">
        <f>IF(A595="","",DATE(YEAR(A595),12,31)-DATE(YEAR(A595),1,1)+1)</f>
        <v/>
      </c>
      <c r="D595">
        <f>IF(A595="","",SUMIFS(Акты!$D$5:$D$16,Акты!$E$5:$E$16,"&lt;="&amp;A595)-SUMIFS(Оплаты!$B$6:$B$505,Оплаты!$A$6:$A$505,"&lt;"&amp;A595,Оплаты!$D$6:$D$505,"&lt;&gt;"))</f>
        <v/>
      </c>
      <c r="E595">
        <f>IF(A595="","",IF(SUMPRODUCT((Ввод!$F$12:$F$31&lt;&gt;"")*(Ввод!$F$12:$F$31&lt;=A595)*(Ввод!$G$12:$G$31&gt;=A595))&gt;0,1,0))</f>
        <v/>
      </c>
      <c r="G595">
        <f>IF(A595="","",IF(OR(B595&lt;&gt;B594,C595&lt;&gt;C594,E595&lt;&gt;E594),G594+1,G594))</f>
        <v/>
      </c>
    </row>
    <row r="596">
      <c r="A596" s="20">
        <f>IF(A595="","",IF(A595+1&gt;Ввод!$B$4,"",A595+1))</f>
        <v/>
      </c>
      <c r="B596">
        <f>IF(A596="","",IFERROR(INDEX(Ввод!$B$12:$B$71,MATCH(A596,Ввод!$D$12:$D$71,1)),""))</f>
        <v/>
      </c>
      <c r="C596">
        <f>IF(A596="","",DATE(YEAR(A596),12,31)-DATE(YEAR(A596),1,1)+1)</f>
        <v/>
      </c>
      <c r="D596">
        <f>IF(A596="","",SUMIFS(Акты!$D$5:$D$16,Акты!$E$5:$E$16,"&lt;="&amp;A596)-SUMIFS(Оплаты!$B$6:$B$505,Оплаты!$A$6:$A$505,"&lt;"&amp;A596,Оплаты!$D$6:$D$505,"&lt;&gt;"))</f>
        <v/>
      </c>
      <c r="E596">
        <f>IF(A596="","",IF(SUMPRODUCT((Ввод!$F$12:$F$31&lt;&gt;"")*(Ввод!$F$12:$F$31&lt;=A596)*(Ввод!$G$12:$G$31&gt;=A596))&gt;0,1,0))</f>
        <v/>
      </c>
      <c r="G596">
        <f>IF(A596="","",IF(OR(B596&lt;&gt;B595,C596&lt;&gt;C595,E596&lt;&gt;E595),G595+1,G595))</f>
        <v/>
      </c>
    </row>
    <row r="597">
      <c r="A597" s="20">
        <f>IF(A596="","",IF(A596+1&gt;Ввод!$B$4,"",A596+1))</f>
        <v/>
      </c>
      <c r="B597">
        <f>IF(A597="","",IFERROR(INDEX(Ввод!$B$12:$B$71,MATCH(A597,Ввод!$D$12:$D$71,1)),""))</f>
        <v/>
      </c>
      <c r="C597">
        <f>IF(A597="","",DATE(YEAR(A597),12,31)-DATE(YEAR(A597),1,1)+1)</f>
        <v/>
      </c>
      <c r="D597">
        <f>IF(A597="","",SUMIFS(Акты!$D$5:$D$16,Акты!$E$5:$E$16,"&lt;="&amp;A597)-SUMIFS(Оплаты!$B$6:$B$505,Оплаты!$A$6:$A$505,"&lt;"&amp;A597,Оплаты!$D$6:$D$505,"&lt;&gt;"))</f>
        <v/>
      </c>
      <c r="E597">
        <f>IF(A597="","",IF(SUMPRODUCT((Ввод!$F$12:$F$31&lt;&gt;"")*(Ввод!$F$12:$F$31&lt;=A597)*(Ввод!$G$12:$G$31&gt;=A597))&gt;0,1,0))</f>
        <v/>
      </c>
      <c r="G597">
        <f>IF(A597="","",IF(OR(B597&lt;&gt;B596,C597&lt;&gt;C596,E597&lt;&gt;E596),G596+1,G596))</f>
        <v/>
      </c>
    </row>
    <row r="598">
      <c r="A598" s="20">
        <f>IF(A597="","",IF(A597+1&gt;Ввод!$B$4,"",A597+1))</f>
        <v/>
      </c>
      <c r="B598">
        <f>IF(A598="","",IFERROR(INDEX(Ввод!$B$12:$B$71,MATCH(A598,Ввод!$D$12:$D$71,1)),""))</f>
        <v/>
      </c>
      <c r="C598">
        <f>IF(A598="","",DATE(YEAR(A598),12,31)-DATE(YEAR(A598),1,1)+1)</f>
        <v/>
      </c>
      <c r="D598">
        <f>IF(A598="","",SUMIFS(Акты!$D$5:$D$16,Акты!$E$5:$E$16,"&lt;="&amp;A598)-SUMIFS(Оплаты!$B$6:$B$505,Оплаты!$A$6:$A$505,"&lt;"&amp;A598,Оплаты!$D$6:$D$505,"&lt;&gt;"))</f>
        <v/>
      </c>
      <c r="E598">
        <f>IF(A598="","",IF(SUMPRODUCT((Ввод!$F$12:$F$31&lt;&gt;"")*(Ввод!$F$12:$F$31&lt;=A598)*(Ввод!$G$12:$G$31&gt;=A598))&gt;0,1,0))</f>
        <v/>
      </c>
      <c r="G598">
        <f>IF(A598="","",IF(OR(B598&lt;&gt;B597,C598&lt;&gt;C597,E598&lt;&gt;E597),G597+1,G597))</f>
        <v/>
      </c>
    </row>
    <row r="599">
      <c r="A599" s="20">
        <f>IF(A598="","",IF(A598+1&gt;Ввод!$B$4,"",A598+1))</f>
        <v/>
      </c>
      <c r="B599">
        <f>IF(A599="","",IFERROR(INDEX(Ввод!$B$12:$B$71,MATCH(A599,Ввод!$D$12:$D$71,1)),""))</f>
        <v/>
      </c>
      <c r="C599">
        <f>IF(A599="","",DATE(YEAR(A599),12,31)-DATE(YEAR(A599),1,1)+1)</f>
        <v/>
      </c>
      <c r="D599">
        <f>IF(A599="","",SUMIFS(Акты!$D$5:$D$16,Акты!$E$5:$E$16,"&lt;="&amp;A599)-SUMIFS(Оплаты!$B$6:$B$505,Оплаты!$A$6:$A$505,"&lt;"&amp;A599,Оплаты!$D$6:$D$505,"&lt;&gt;"))</f>
        <v/>
      </c>
      <c r="E599">
        <f>IF(A599="","",IF(SUMPRODUCT((Ввод!$F$12:$F$31&lt;&gt;"")*(Ввод!$F$12:$F$31&lt;=A599)*(Ввод!$G$12:$G$31&gt;=A599))&gt;0,1,0))</f>
        <v/>
      </c>
      <c r="G599">
        <f>IF(A599="","",IF(OR(B599&lt;&gt;B598,C599&lt;&gt;C598,E599&lt;&gt;E598),G598+1,G598))</f>
        <v/>
      </c>
    </row>
    <row r="600">
      <c r="A600" s="20">
        <f>IF(A599="","",IF(A599+1&gt;Ввод!$B$4,"",A599+1))</f>
        <v/>
      </c>
      <c r="B600">
        <f>IF(A600="","",IFERROR(INDEX(Ввод!$B$12:$B$71,MATCH(A600,Ввод!$D$12:$D$71,1)),""))</f>
        <v/>
      </c>
      <c r="C600">
        <f>IF(A600="","",DATE(YEAR(A600),12,31)-DATE(YEAR(A600),1,1)+1)</f>
        <v/>
      </c>
      <c r="D600">
        <f>IF(A600="","",SUMIFS(Акты!$D$5:$D$16,Акты!$E$5:$E$16,"&lt;="&amp;A600)-SUMIFS(Оплаты!$B$6:$B$505,Оплаты!$A$6:$A$505,"&lt;"&amp;A600,Оплаты!$D$6:$D$505,"&lt;&gt;"))</f>
        <v/>
      </c>
      <c r="E600">
        <f>IF(A600="","",IF(SUMPRODUCT((Ввод!$F$12:$F$31&lt;&gt;"")*(Ввод!$F$12:$F$31&lt;=A600)*(Ввод!$G$12:$G$31&gt;=A600))&gt;0,1,0))</f>
        <v/>
      </c>
      <c r="G600">
        <f>IF(A600="","",IF(OR(B600&lt;&gt;B599,C600&lt;&gt;C599,E600&lt;&gt;E599),G599+1,G599))</f>
        <v/>
      </c>
    </row>
    <row r="601">
      <c r="A601" s="20">
        <f>IF(A600="","",IF(A600+1&gt;Ввод!$B$4,"",A600+1))</f>
        <v/>
      </c>
      <c r="B601">
        <f>IF(A601="","",IFERROR(INDEX(Ввод!$B$12:$B$71,MATCH(A601,Ввод!$D$12:$D$71,1)),""))</f>
        <v/>
      </c>
      <c r="C601">
        <f>IF(A601="","",DATE(YEAR(A601),12,31)-DATE(YEAR(A601),1,1)+1)</f>
        <v/>
      </c>
      <c r="D601">
        <f>IF(A601="","",SUMIFS(Акты!$D$5:$D$16,Акты!$E$5:$E$16,"&lt;="&amp;A601)-SUMIFS(Оплаты!$B$6:$B$505,Оплаты!$A$6:$A$505,"&lt;"&amp;A601,Оплаты!$D$6:$D$505,"&lt;&gt;"))</f>
        <v/>
      </c>
      <c r="E601">
        <f>IF(A601="","",IF(SUMPRODUCT((Ввод!$F$12:$F$31&lt;&gt;"")*(Ввод!$F$12:$F$31&lt;=A601)*(Ввод!$G$12:$G$31&gt;=A601))&gt;0,1,0))</f>
        <v/>
      </c>
      <c r="G601">
        <f>IF(A601="","",IF(OR(B601&lt;&gt;B600,C601&lt;&gt;C600,E601&lt;&gt;E600),G600+1,G600))</f>
        <v/>
      </c>
    </row>
    <row r="602">
      <c r="A602" s="20">
        <f>IF(A601="","",IF(A601+1&gt;Ввод!$B$4,"",A601+1))</f>
        <v/>
      </c>
      <c r="B602">
        <f>IF(A602="","",IFERROR(INDEX(Ввод!$B$12:$B$71,MATCH(A602,Ввод!$D$12:$D$71,1)),""))</f>
        <v/>
      </c>
      <c r="C602">
        <f>IF(A602="","",DATE(YEAR(A602),12,31)-DATE(YEAR(A602),1,1)+1)</f>
        <v/>
      </c>
      <c r="D602">
        <f>IF(A602="","",SUMIFS(Акты!$D$5:$D$16,Акты!$E$5:$E$16,"&lt;="&amp;A602)-SUMIFS(Оплаты!$B$6:$B$505,Оплаты!$A$6:$A$505,"&lt;"&amp;A602,Оплаты!$D$6:$D$505,"&lt;&gt;"))</f>
        <v/>
      </c>
      <c r="E602">
        <f>IF(A602="","",IF(SUMPRODUCT((Ввод!$F$12:$F$31&lt;&gt;"")*(Ввод!$F$12:$F$31&lt;=A602)*(Ввод!$G$12:$G$31&gt;=A602))&gt;0,1,0))</f>
        <v/>
      </c>
      <c r="G602">
        <f>IF(A602="","",IF(OR(B602&lt;&gt;B601,C602&lt;&gt;C601,E602&lt;&gt;E601),G601+1,G601))</f>
        <v/>
      </c>
    </row>
    <row r="603">
      <c r="A603" s="20">
        <f>IF(A602="","",IF(A602+1&gt;Ввод!$B$4,"",A602+1))</f>
        <v/>
      </c>
      <c r="B603">
        <f>IF(A603="","",IFERROR(INDEX(Ввод!$B$12:$B$71,MATCH(A603,Ввод!$D$12:$D$71,1)),""))</f>
        <v/>
      </c>
      <c r="C603">
        <f>IF(A603="","",DATE(YEAR(A603),12,31)-DATE(YEAR(A603),1,1)+1)</f>
        <v/>
      </c>
      <c r="D603">
        <f>IF(A603="","",SUMIFS(Акты!$D$5:$D$16,Акты!$E$5:$E$16,"&lt;="&amp;A603)-SUMIFS(Оплаты!$B$6:$B$505,Оплаты!$A$6:$A$505,"&lt;"&amp;A603,Оплаты!$D$6:$D$505,"&lt;&gt;"))</f>
        <v/>
      </c>
      <c r="E603">
        <f>IF(A603="","",IF(SUMPRODUCT((Ввод!$F$12:$F$31&lt;&gt;"")*(Ввод!$F$12:$F$31&lt;=A603)*(Ввод!$G$12:$G$31&gt;=A603))&gt;0,1,0))</f>
        <v/>
      </c>
      <c r="G603">
        <f>IF(A603="","",IF(OR(B603&lt;&gt;B602,C603&lt;&gt;C602,E603&lt;&gt;E602),G602+1,G602))</f>
        <v/>
      </c>
    </row>
    <row r="604">
      <c r="A604" s="20">
        <f>IF(A603="","",IF(A603+1&gt;Ввод!$B$4,"",A603+1))</f>
        <v/>
      </c>
      <c r="B604">
        <f>IF(A604="","",IFERROR(INDEX(Ввод!$B$12:$B$71,MATCH(A604,Ввод!$D$12:$D$71,1)),""))</f>
        <v/>
      </c>
      <c r="C604">
        <f>IF(A604="","",DATE(YEAR(A604),12,31)-DATE(YEAR(A604),1,1)+1)</f>
        <v/>
      </c>
      <c r="D604">
        <f>IF(A604="","",SUMIFS(Акты!$D$5:$D$16,Акты!$E$5:$E$16,"&lt;="&amp;A604)-SUMIFS(Оплаты!$B$6:$B$505,Оплаты!$A$6:$A$505,"&lt;"&amp;A604,Оплаты!$D$6:$D$505,"&lt;&gt;"))</f>
        <v/>
      </c>
      <c r="E604">
        <f>IF(A604="","",IF(SUMPRODUCT((Ввод!$F$12:$F$31&lt;&gt;"")*(Ввод!$F$12:$F$31&lt;=A604)*(Ввод!$G$12:$G$31&gt;=A604))&gt;0,1,0))</f>
        <v/>
      </c>
      <c r="G604">
        <f>IF(A604="","",IF(OR(B604&lt;&gt;B603,C604&lt;&gt;C603,E604&lt;&gt;E603),G603+1,G603))</f>
        <v/>
      </c>
    </row>
    <row r="605">
      <c r="A605" s="20">
        <f>IF(A604="","",IF(A604+1&gt;Ввод!$B$4,"",A604+1))</f>
        <v/>
      </c>
      <c r="B605">
        <f>IF(A605="","",IFERROR(INDEX(Ввод!$B$12:$B$71,MATCH(A605,Ввод!$D$12:$D$71,1)),""))</f>
        <v/>
      </c>
      <c r="C605">
        <f>IF(A605="","",DATE(YEAR(A605),12,31)-DATE(YEAR(A605),1,1)+1)</f>
        <v/>
      </c>
      <c r="D605">
        <f>IF(A605="","",SUMIFS(Акты!$D$5:$D$16,Акты!$E$5:$E$16,"&lt;="&amp;A605)-SUMIFS(Оплаты!$B$6:$B$505,Оплаты!$A$6:$A$505,"&lt;"&amp;A605,Оплаты!$D$6:$D$505,"&lt;&gt;"))</f>
        <v/>
      </c>
      <c r="E605">
        <f>IF(A605="","",IF(SUMPRODUCT((Ввод!$F$12:$F$31&lt;&gt;"")*(Ввод!$F$12:$F$31&lt;=A605)*(Ввод!$G$12:$G$31&gt;=A605))&gt;0,1,0))</f>
        <v/>
      </c>
      <c r="G605">
        <f>IF(A605="","",IF(OR(B605&lt;&gt;B604,C605&lt;&gt;C604,E605&lt;&gt;E604),G604+1,G604))</f>
        <v/>
      </c>
    </row>
    <row r="606">
      <c r="A606" s="20">
        <f>IF(A605="","",IF(A605+1&gt;Ввод!$B$4,"",A605+1))</f>
        <v/>
      </c>
      <c r="B606">
        <f>IF(A606="","",IFERROR(INDEX(Ввод!$B$12:$B$71,MATCH(A606,Ввод!$D$12:$D$71,1)),""))</f>
        <v/>
      </c>
      <c r="C606">
        <f>IF(A606="","",DATE(YEAR(A606),12,31)-DATE(YEAR(A606),1,1)+1)</f>
        <v/>
      </c>
      <c r="D606">
        <f>IF(A606="","",SUMIFS(Акты!$D$5:$D$16,Акты!$E$5:$E$16,"&lt;="&amp;A606)-SUMIFS(Оплаты!$B$6:$B$505,Оплаты!$A$6:$A$505,"&lt;"&amp;A606,Оплаты!$D$6:$D$505,"&lt;&gt;"))</f>
        <v/>
      </c>
      <c r="E606">
        <f>IF(A606="","",IF(SUMPRODUCT((Ввод!$F$12:$F$31&lt;&gt;"")*(Ввод!$F$12:$F$31&lt;=A606)*(Ввод!$G$12:$G$31&gt;=A606))&gt;0,1,0))</f>
        <v/>
      </c>
      <c r="G606">
        <f>IF(A606="","",IF(OR(B606&lt;&gt;B605,C606&lt;&gt;C605,E606&lt;&gt;E605),G605+1,G605))</f>
        <v/>
      </c>
    </row>
    <row r="607">
      <c r="A607" s="20">
        <f>IF(A606="","",IF(A606+1&gt;Ввод!$B$4,"",A606+1))</f>
        <v/>
      </c>
      <c r="B607">
        <f>IF(A607="","",IFERROR(INDEX(Ввод!$B$12:$B$71,MATCH(A607,Ввод!$D$12:$D$71,1)),""))</f>
        <v/>
      </c>
      <c r="C607">
        <f>IF(A607="","",DATE(YEAR(A607),12,31)-DATE(YEAR(A607),1,1)+1)</f>
        <v/>
      </c>
      <c r="D607">
        <f>IF(A607="","",SUMIFS(Акты!$D$5:$D$16,Акты!$E$5:$E$16,"&lt;="&amp;A607)-SUMIFS(Оплаты!$B$6:$B$505,Оплаты!$A$6:$A$505,"&lt;"&amp;A607,Оплаты!$D$6:$D$505,"&lt;&gt;"))</f>
        <v/>
      </c>
      <c r="E607">
        <f>IF(A607="","",IF(SUMPRODUCT((Ввод!$F$12:$F$31&lt;&gt;"")*(Ввод!$F$12:$F$31&lt;=A607)*(Ввод!$G$12:$G$31&gt;=A607))&gt;0,1,0))</f>
        <v/>
      </c>
      <c r="G607">
        <f>IF(A607="","",IF(OR(B607&lt;&gt;B606,C607&lt;&gt;C606,E607&lt;&gt;E606),G606+1,G606))</f>
        <v/>
      </c>
    </row>
    <row r="608">
      <c r="A608" s="20">
        <f>IF(A607="","",IF(A607+1&gt;Ввод!$B$4,"",A607+1))</f>
        <v/>
      </c>
      <c r="B608">
        <f>IF(A608="","",IFERROR(INDEX(Ввод!$B$12:$B$71,MATCH(A608,Ввод!$D$12:$D$71,1)),""))</f>
        <v/>
      </c>
      <c r="C608">
        <f>IF(A608="","",DATE(YEAR(A608),12,31)-DATE(YEAR(A608),1,1)+1)</f>
        <v/>
      </c>
      <c r="D608">
        <f>IF(A608="","",SUMIFS(Акты!$D$5:$D$16,Акты!$E$5:$E$16,"&lt;="&amp;A608)-SUMIFS(Оплаты!$B$6:$B$505,Оплаты!$A$6:$A$505,"&lt;"&amp;A608,Оплаты!$D$6:$D$505,"&lt;&gt;"))</f>
        <v/>
      </c>
      <c r="E608">
        <f>IF(A608="","",IF(SUMPRODUCT((Ввод!$F$12:$F$31&lt;&gt;"")*(Ввод!$F$12:$F$31&lt;=A608)*(Ввод!$G$12:$G$31&gt;=A608))&gt;0,1,0))</f>
        <v/>
      </c>
      <c r="G608">
        <f>IF(A608="","",IF(OR(B608&lt;&gt;B607,C608&lt;&gt;C607,E608&lt;&gt;E607),G607+1,G607))</f>
        <v/>
      </c>
    </row>
    <row r="609">
      <c r="A609" s="20">
        <f>IF(A608="","",IF(A608+1&gt;Ввод!$B$4,"",A608+1))</f>
        <v/>
      </c>
      <c r="B609">
        <f>IF(A609="","",IFERROR(INDEX(Ввод!$B$12:$B$71,MATCH(A609,Ввод!$D$12:$D$71,1)),""))</f>
        <v/>
      </c>
      <c r="C609">
        <f>IF(A609="","",DATE(YEAR(A609),12,31)-DATE(YEAR(A609),1,1)+1)</f>
        <v/>
      </c>
      <c r="D609">
        <f>IF(A609="","",SUMIFS(Акты!$D$5:$D$16,Акты!$E$5:$E$16,"&lt;="&amp;A609)-SUMIFS(Оплаты!$B$6:$B$505,Оплаты!$A$6:$A$505,"&lt;"&amp;A609,Оплаты!$D$6:$D$505,"&lt;&gt;"))</f>
        <v/>
      </c>
      <c r="E609">
        <f>IF(A609="","",IF(SUMPRODUCT((Ввод!$F$12:$F$31&lt;&gt;"")*(Ввод!$F$12:$F$31&lt;=A609)*(Ввод!$G$12:$G$31&gt;=A609))&gt;0,1,0))</f>
        <v/>
      </c>
      <c r="G609">
        <f>IF(A609="","",IF(OR(B609&lt;&gt;B608,C609&lt;&gt;C608,E609&lt;&gt;E608),G608+1,G608))</f>
        <v/>
      </c>
    </row>
    <row r="610">
      <c r="A610" s="20">
        <f>IF(A609="","",IF(A609+1&gt;Ввод!$B$4,"",A609+1))</f>
        <v/>
      </c>
      <c r="B610">
        <f>IF(A610="","",IFERROR(INDEX(Ввод!$B$12:$B$71,MATCH(A610,Ввод!$D$12:$D$71,1)),""))</f>
        <v/>
      </c>
      <c r="C610">
        <f>IF(A610="","",DATE(YEAR(A610),12,31)-DATE(YEAR(A610),1,1)+1)</f>
        <v/>
      </c>
      <c r="D610">
        <f>IF(A610="","",SUMIFS(Акты!$D$5:$D$16,Акты!$E$5:$E$16,"&lt;="&amp;A610)-SUMIFS(Оплаты!$B$6:$B$505,Оплаты!$A$6:$A$505,"&lt;"&amp;A610,Оплаты!$D$6:$D$505,"&lt;&gt;"))</f>
        <v/>
      </c>
      <c r="E610">
        <f>IF(A610="","",IF(SUMPRODUCT((Ввод!$F$12:$F$31&lt;&gt;"")*(Ввод!$F$12:$F$31&lt;=A610)*(Ввод!$G$12:$G$31&gt;=A610))&gt;0,1,0))</f>
        <v/>
      </c>
      <c r="G610">
        <f>IF(A610="","",IF(OR(B610&lt;&gt;B609,C610&lt;&gt;C609,E610&lt;&gt;E609),G609+1,G609))</f>
        <v/>
      </c>
    </row>
    <row r="611">
      <c r="A611" s="20">
        <f>IF(A610="","",IF(A610+1&gt;Ввод!$B$4,"",A610+1))</f>
        <v/>
      </c>
      <c r="B611">
        <f>IF(A611="","",IFERROR(INDEX(Ввод!$B$12:$B$71,MATCH(A611,Ввод!$D$12:$D$71,1)),""))</f>
        <v/>
      </c>
      <c r="C611">
        <f>IF(A611="","",DATE(YEAR(A611),12,31)-DATE(YEAR(A611),1,1)+1)</f>
        <v/>
      </c>
      <c r="D611">
        <f>IF(A611="","",SUMIFS(Акты!$D$5:$D$16,Акты!$E$5:$E$16,"&lt;="&amp;A611)-SUMIFS(Оплаты!$B$6:$B$505,Оплаты!$A$6:$A$505,"&lt;"&amp;A611,Оплаты!$D$6:$D$505,"&lt;&gt;"))</f>
        <v/>
      </c>
      <c r="E611">
        <f>IF(A611="","",IF(SUMPRODUCT((Ввод!$F$12:$F$31&lt;&gt;"")*(Ввод!$F$12:$F$31&lt;=A611)*(Ввод!$G$12:$G$31&gt;=A611))&gt;0,1,0))</f>
        <v/>
      </c>
      <c r="G611">
        <f>IF(A611="","",IF(OR(B611&lt;&gt;B610,C611&lt;&gt;C610,E611&lt;&gt;E610),G610+1,G610))</f>
        <v/>
      </c>
    </row>
    <row r="612">
      <c r="A612" s="20">
        <f>IF(A611="","",IF(A611+1&gt;Ввод!$B$4,"",A611+1))</f>
        <v/>
      </c>
      <c r="B612">
        <f>IF(A612="","",IFERROR(INDEX(Ввод!$B$12:$B$71,MATCH(A612,Ввод!$D$12:$D$71,1)),""))</f>
        <v/>
      </c>
      <c r="C612">
        <f>IF(A612="","",DATE(YEAR(A612),12,31)-DATE(YEAR(A612),1,1)+1)</f>
        <v/>
      </c>
      <c r="D612">
        <f>IF(A612="","",SUMIFS(Акты!$D$5:$D$16,Акты!$E$5:$E$16,"&lt;="&amp;A612)-SUMIFS(Оплаты!$B$6:$B$505,Оплаты!$A$6:$A$505,"&lt;"&amp;A612,Оплаты!$D$6:$D$505,"&lt;&gt;"))</f>
        <v/>
      </c>
      <c r="E612">
        <f>IF(A612="","",IF(SUMPRODUCT((Ввод!$F$12:$F$31&lt;&gt;"")*(Ввод!$F$12:$F$31&lt;=A612)*(Ввод!$G$12:$G$31&gt;=A612))&gt;0,1,0))</f>
        <v/>
      </c>
      <c r="G612">
        <f>IF(A612="","",IF(OR(B612&lt;&gt;B611,C612&lt;&gt;C611,E612&lt;&gt;E611),G611+1,G611))</f>
        <v/>
      </c>
    </row>
    <row r="613">
      <c r="A613" s="20">
        <f>IF(A612="","",IF(A612+1&gt;Ввод!$B$4,"",A612+1))</f>
        <v/>
      </c>
      <c r="B613">
        <f>IF(A613="","",IFERROR(INDEX(Ввод!$B$12:$B$71,MATCH(A613,Ввод!$D$12:$D$71,1)),""))</f>
        <v/>
      </c>
      <c r="C613">
        <f>IF(A613="","",DATE(YEAR(A613),12,31)-DATE(YEAR(A613),1,1)+1)</f>
        <v/>
      </c>
      <c r="D613">
        <f>IF(A613="","",SUMIFS(Акты!$D$5:$D$16,Акты!$E$5:$E$16,"&lt;="&amp;A613)-SUMIFS(Оплаты!$B$6:$B$505,Оплаты!$A$6:$A$505,"&lt;"&amp;A613,Оплаты!$D$6:$D$505,"&lt;&gt;"))</f>
        <v/>
      </c>
      <c r="E613">
        <f>IF(A613="","",IF(SUMPRODUCT((Ввод!$F$12:$F$31&lt;&gt;"")*(Ввод!$F$12:$F$31&lt;=A613)*(Ввод!$G$12:$G$31&gt;=A613))&gt;0,1,0))</f>
        <v/>
      </c>
      <c r="G613">
        <f>IF(A613="","",IF(OR(B613&lt;&gt;B612,C613&lt;&gt;C612,E613&lt;&gt;E612),G612+1,G612))</f>
        <v/>
      </c>
    </row>
    <row r="614">
      <c r="A614" s="20">
        <f>IF(A613="","",IF(A613+1&gt;Ввод!$B$4,"",A613+1))</f>
        <v/>
      </c>
      <c r="B614">
        <f>IF(A614="","",IFERROR(INDEX(Ввод!$B$12:$B$71,MATCH(A614,Ввод!$D$12:$D$71,1)),""))</f>
        <v/>
      </c>
      <c r="C614">
        <f>IF(A614="","",DATE(YEAR(A614),12,31)-DATE(YEAR(A614),1,1)+1)</f>
        <v/>
      </c>
      <c r="D614">
        <f>IF(A614="","",SUMIFS(Акты!$D$5:$D$16,Акты!$E$5:$E$16,"&lt;="&amp;A614)-SUMIFS(Оплаты!$B$6:$B$505,Оплаты!$A$6:$A$505,"&lt;"&amp;A614,Оплаты!$D$6:$D$505,"&lt;&gt;"))</f>
        <v/>
      </c>
      <c r="E614">
        <f>IF(A614="","",IF(SUMPRODUCT((Ввод!$F$12:$F$31&lt;&gt;"")*(Ввод!$F$12:$F$31&lt;=A614)*(Ввод!$G$12:$G$31&gt;=A614))&gt;0,1,0))</f>
        <v/>
      </c>
      <c r="G614">
        <f>IF(A614="","",IF(OR(B614&lt;&gt;B613,C614&lt;&gt;C613,E614&lt;&gt;E613),G613+1,G613))</f>
        <v/>
      </c>
    </row>
    <row r="615">
      <c r="A615" s="20">
        <f>IF(A614="","",IF(A614+1&gt;Ввод!$B$4,"",A614+1))</f>
        <v/>
      </c>
      <c r="B615">
        <f>IF(A615="","",IFERROR(INDEX(Ввод!$B$12:$B$71,MATCH(A615,Ввод!$D$12:$D$71,1)),""))</f>
        <v/>
      </c>
      <c r="C615">
        <f>IF(A615="","",DATE(YEAR(A615),12,31)-DATE(YEAR(A615),1,1)+1)</f>
        <v/>
      </c>
      <c r="D615">
        <f>IF(A615="","",SUMIFS(Акты!$D$5:$D$16,Акты!$E$5:$E$16,"&lt;="&amp;A615)-SUMIFS(Оплаты!$B$6:$B$505,Оплаты!$A$6:$A$505,"&lt;"&amp;A615,Оплаты!$D$6:$D$505,"&lt;&gt;"))</f>
        <v/>
      </c>
      <c r="E615">
        <f>IF(A615="","",IF(SUMPRODUCT((Ввод!$F$12:$F$31&lt;&gt;"")*(Ввод!$F$12:$F$31&lt;=A615)*(Ввод!$G$12:$G$31&gt;=A615))&gt;0,1,0))</f>
        <v/>
      </c>
      <c r="G615">
        <f>IF(A615="","",IF(OR(B615&lt;&gt;B614,C615&lt;&gt;C614,E615&lt;&gt;E614),G614+1,G614))</f>
        <v/>
      </c>
    </row>
    <row r="616">
      <c r="A616" s="20">
        <f>IF(A615="","",IF(A615+1&gt;Ввод!$B$4,"",A615+1))</f>
        <v/>
      </c>
      <c r="B616">
        <f>IF(A616="","",IFERROR(INDEX(Ввод!$B$12:$B$71,MATCH(A616,Ввод!$D$12:$D$71,1)),""))</f>
        <v/>
      </c>
      <c r="C616">
        <f>IF(A616="","",DATE(YEAR(A616),12,31)-DATE(YEAR(A616),1,1)+1)</f>
        <v/>
      </c>
      <c r="D616">
        <f>IF(A616="","",SUMIFS(Акты!$D$5:$D$16,Акты!$E$5:$E$16,"&lt;="&amp;A616)-SUMIFS(Оплаты!$B$6:$B$505,Оплаты!$A$6:$A$505,"&lt;"&amp;A616,Оплаты!$D$6:$D$505,"&lt;&gt;"))</f>
        <v/>
      </c>
      <c r="E616">
        <f>IF(A616="","",IF(SUMPRODUCT((Ввод!$F$12:$F$31&lt;&gt;"")*(Ввод!$F$12:$F$31&lt;=A616)*(Ввод!$G$12:$G$31&gt;=A616))&gt;0,1,0))</f>
        <v/>
      </c>
      <c r="G616">
        <f>IF(A616="","",IF(OR(B616&lt;&gt;B615,C616&lt;&gt;C615,E616&lt;&gt;E615),G615+1,G615))</f>
        <v/>
      </c>
    </row>
    <row r="617">
      <c r="A617" s="20">
        <f>IF(A616="","",IF(A616+1&gt;Ввод!$B$4,"",A616+1))</f>
        <v/>
      </c>
      <c r="B617">
        <f>IF(A617="","",IFERROR(INDEX(Ввод!$B$12:$B$71,MATCH(A617,Ввод!$D$12:$D$71,1)),""))</f>
        <v/>
      </c>
      <c r="C617">
        <f>IF(A617="","",DATE(YEAR(A617),12,31)-DATE(YEAR(A617),1,1)+1)</f>
        <v/>
      </c>
      <c r="D617">
        <f>IF(A617="","",SUMIFS(Акты!$D$5:$D$16,Акты!$E$5:$E$16,"&lt;="&amp;A617)-SUMIFS(Оплаты!$B$6:$B$505,Оплаты!$A$6:$A$505,"&lt;"&amp;A617,Оплаты!$D$6:$D$505,"&lt;&gt;"))</f>
        <v/>
      </c>
      <c r="E617">
        <f>IF(A617="","",IF(SUMPRODUCT((Ввод!$F$12:$F$31&lt;&gt;"")*(Ввод!$F$12:$F$31&lt;=A617)*(Ввод!$G$12:$G$31&gt;=A617))&gt;0,1,0))</f>
        <v/>
      </c>
      <c r="G617">
        <f>IF(A617="","",IF(OR(B617&lt;&gt;B616,C617&lt;&gt;C616,E617&lt;&gt;E616),G616+1,G616))</f>
        <v/>
      </c>
    </row>
    <row r="618">
      <c r="A618" s="20">
        <f>IF(A617="","",IF(A617+1&gt;Ввод!$B$4,"",A617+1))</f>
        <v/>
      </c>
      <c r="B618">
        <f>IF(A618="","",IFERROR(INDEX(Ввод!$B$12:$B$71,MATCH(A618,Ввод!$D$12:$D$71,1)),""))</f>
        <v/>
      </c>
      <c r="C618">
        <f>IF(A618="","",DATE(YEAR(A618),12,31)-DATE(YEAR(A618),1,1)+1)</f>
        <v/>
      </c>
      <c r="D618">
        <f>IF(A618="","",SUMIFS(Акты!$D$5:$D$16,Акты!$E$5:$E$16,"&lt;="&amp;A618)-SUMIFS(Оплаты!$B$6:$B$505,Оплаты!$A$6:$A$505,"&lt;"&amp;A618,Оплаты!$D$6:$D$505,"&lt;&gt;"))</f>
        <v/>
      </c>
      <c r="E618">
        <f>IF(A618="","",IF(SUMPRODUCT((Ввод!$F$12:$F$31&lt;&gt;"")*(Ввод!$F$12:$F$31&lt;=A618)*(Ввод!$G$12:$G$31&gt;=A618))&gt;0,1,0))</f>
        <v/>
      </c>
      <c r="G618">
        <f>IF(A618="","",IF(OR(B618&lt;&gt;B617,C618&lt;&gt;C617,E618&lt;&gt;E617),G617+1,G617))</f>
        <v/>
      </c>
    </row>
    <row r="619">
      <c r="A619" s="20">
        <f>IF(A618="","",IF(A618+1&gt;Ввод!$B$4,"",A618+1))</f>
        <v/>
      </c>
      <c r="B619">
        <f>IF(A619="","",IFERROR(INDEX(Ввод!$B$12:$B$71,MATCH(A619,Ввод!$D$12:$D$71,1)),""))</f>
        <v/>
      </c>
      <c r="C619">
        <f>IF(A619="","",DATE(YEAR(A619),12,31)-DATE(YEAR(A619),1,1)+1)</f>
        <v/>
      </c>
      <c r="D619">
        <f>IF(A619="","",SUMIFS(Акты!$D$5:$D$16,Акты!$E$5:$E$16,"&lt;="&amp;A619)-SUMIFS(Оплаты!$B$6:$B$505,Оплаты!$A$6:$A$505,"&lt;"&amp;A619,Оплаты!$D$6:$D$505,"&lt;&gt;"))</f>
        <v/>
      </c>
      <c r="E619">
        <f>IF(A619="","",IF(SUMPRODUCT((Ввод!$F$12:$F$31&lt;&gt;"")*(Ввод!$F$12:$F$31&lt;=A619)*(Ввод!$G$12:$G$31&gt;=A619))&gt;0,1,0))</f>
        <v/>
      </c>
      <c r="G619">
        <f>IF(A619="","",IF(OR(B619&lt;&gt;B618,C619&lt;&gt;C618,E619&lt;&gt;E618),G618+1,G618))</f>
        <v/>
      </c>
    </row>
    <row r="620">
      <c r="A620" s="20">
        <f>IF(A619="","",IF(A619+1&gt;Ввод!$B$4,"",A619+1))</f>
        <v/>
      </c>
      <c r="B620">
        <f>IF(A620="","",IFERROR(INDEX(Ввод!$B$12:$B$71,MATCH(A620,Ввод!$D$12:$D$71,1)),""))</f>
        <v/>
      </c>
      <c r="C620">
        <f>IF(A620="","",DATE(YEAR(A620),12,31)-DATE(YEAR(A620),1,1)+1)</f>
        <v/>
      </c>
      <c r="D620">
        <f>IF(A620="","",SUMIFS(Акты!$D$5:$D$16,Акты!$E$5:$E$16,"&lt;="&amp;A620)-SUMIFS(Оплаты!$B$6:$B$505,Оплаты!$A$6:$A$505,"&lt;"&amp;A620,Оплаты!$D$6:$D$505,"&lt;&gt;"))</f>
        <v/>
      </c>
      <c r="E620">
        <f>IF(A620="","",IF(SUMPRODUCT((Ввод!$F$12:$F$31&lt;&gt;"")*(Ввод!$F$12:$F$31&lt;=A620)*(Ввод!$G$12:$G$31&gt;=A620))&gt;0,1,0))</f>
        <v/>
      </c>
      <c r="G620">
        <f>IF(A620="","",IF(OR(B620&lt;&gt;B619,C620&lt;&gt;C619,E620&lt;&gt;E619),G619+1,G619))</f>
        <v/>
      </c>
    </row>
    <row r="621">
      <c r="A621" s="20">
        <f>IF(A620="","",IF(A620+1&gt;Ввод!$B$4,"",A620+1))</f>
        <v/>
      </c>
      <c r="B621">
        <f>IF(A621="","",IFERROR(INDEX(Ввод!$B$12:$B$71,MATCH(A621,Ввод!$D$12:$D$71,1)),""))</f>
        <v/>
      </c>
      <c r="C621">
        <f>IF(A621="","",DATE(YEAR(A621),12,31)-DATE(YEAR(A621),1,1)+1)</f>
        <v/>
      </c>
      <c r="D621">
        <f>IF(A621="","",SUMIFS(Акты!$D$5:$D$16,Акты!$E$5:$E$16,"&lt;="&amp;A621)-SUMIFS(Оплаты!$B$6:$B$505,Оплаты!$A$6:$A$505,"&lt;"&amp;A621,Оплаты!$D$6:$D$505,"&lt;&gt;"))</f>
        <v/>
      </c>
      <c r="E621">
        <f>IF(A621="","",IF(SUMPRODUCT((Ввод!$F$12:$F$31&lt;&gt;"")*(Ввод!$F$12:$F$31&lt;=A621)*(Ввод!$G$12:$G$31&gt;=A621))&gt;0,1,0))</f>
        <v/>
      </c>
      <c r="G621">
        <f>IF(A621="","",IF(OR(B621&lt;&gt;B620,C621&lt;&gt;C620,E621&lt;&gt;E620),G620+1,G620))</f>
        <v/>
      </c>
    </row>
    <row r="622">
      <c r="A622" s="20">
        <f>IF(A621="","",IF(A621+1&gt;Ввод!$B$4,"",A621+1))</f>
        <v/>
      </c>
      <c r="B622">
        <f>IF(A622="","",IFERROR(INDEX(Ввод!$B$12:$B$71,MATCH(A622,Ввод!$D$12:$D$71,1)),""))</f>
        <v/>
      </c>
      <c r="C622">
        <f>IF(A622="","",DATE(YEAR(A622),12,31)-DATE(YEAR(A622),1,1)+1)</f>
        <v/>
      </c>
      <c r="D622">
        <f>IF(A622="","",SUMIFS(Акты!$D$5:$D$16,Акты!$E$5:$E$16,"&lt;="&amp;A622)-SUMIFS(Оплаты!$B$6:$B$505,Оплаты!$A$6:$A$505,"&lt;"&amp;A622,Оплаты!$D$6:$D$505,"&lt;&gt;"))</f>
        <v/>
      </c>
      <c r="E622">
        <f>IF(A622="","",IF(SUMPRODUCT((Ввод!$F$12:$F$31&lt;&gt;"")*(Ввод!$F$12:$F$31&lt;=A622)*(Ввод!$G$12:$G$31&gt;=A622))&gt;0,1,0))</f>
        <v/>
      </c>
      <c r="G622">
        <f>IF(A622="","",IF(OR(B622&lt;&gt;B621,C622&lt;&gt;C621,E622&lt;&gt;E621),G621+1,G621))</f>
        <v/>
      </c>
    </row>
    <row r="623">
      <c r="A623" s="20">
        <f>IF(A622="","",IF(A622+1&gt;Ввод!$B$4,"",A622+1))</f>
        <v/>
      </c>
      <c r="B623">
        <f>IF(A623="","",IFERROR(INDEX(Ввод!$B$12:$B$71,MATCH(A623,Ввод!$D$12:$D$71,1)),""))</f>
        <v/>
      </c>
      <c r="C623">
        <f>IF(A623="","",DATE(YEAR(A623),12,31)-DATE(YEAR(A623),1,1)+1)</f>
        <v/>
      </c>
      <c r="D623">
        <f>IF(A623="","",SUMIFS(Акты!$D$5:$D$16,Акты!$E$5:$E$16,"&lt;="&amp;A623)-SUMIFS(Оплаты!$B$6:$B$505,Оплаты!$A$6:$A$505,"&lt;"&amp;A623,Оплаты!$D$6:$D$505,"&lt;&gt;"))</f>
        <v/>
      </c>
      <c r="E623">
        <f>IF(A623="","",IF(SUMPRODUCT((Ввод!$F$12:$F$31&lt;&gt;"")*(Ввод!$F$12:$F$31&lt;=A623)*(Ввод!$G$12:$G$31&gt;=A623))&gt;0,1,0))</f>
        <v/>
      </c>
      <c r="G623">
        <f>IF(A623="","",IF(OR(B623&lt;&gt;B622,C623&lt;&gt;C622,E623&lt;&gt;E622),G622+1,G622))</f>
        <v/>
      </c>
    </row>
    <row r="624">
      <c r="A624" s="20">
        <f>IF(A623="","",IF(A623+1&gt;Ввод!$B$4,"",A623+1))</f>
        <v/>
      </c>
      <c r="B624">
        <f>IF(A624="","",IFERROR(INDEX(Ввод!$B$12:$B$71,MATCH(A624,Ввод!$D$12:$D$71,1)),""))</f>
        <v/>
      </c>
      <c r="C624">
        <f>IF(A624="","",DATE(YEAR(A624),12,31)-DATE(YEAR(A624),1,1)+1)</f>
        <v/>
      </c>
      <c r="D624">
        <f>IF(A624="","",SUMIFS(Акты!$D$5:$D$16,Акты!$E$5:$E$16,"&lt;="&amp;A624)-SUMIFS(Оплаты!$B$6:$B$505,Оплаты!$A$6:$A$505,"&lt;"&amp;A624,Оплаты!$D$6:$D$505,"&lt;&gt;"))</f>
        <v/>
      </c>
      <c r="E624">
        <f>IF(A624="","",IF(SUMPRODUCT((Ввод!$F$12:$F$31&lt;&gt;"")*(Ввод!$F$12:$F$31&lt;=A624)*(Ввод!$G$12:$G$31&gt;=A624))&gt;0,1,0))</f>
        <v/>
      </c>
      <c r="G624">
        <f>IF(A624="","",IF(OR(B624&lt;&gt;B623,C624&lt;&gt;C623,E624&lt;&gt;E623),G623+1,G623))</f>
        <v/>
      </c>
    </row>
    <row r="625">
      <c r="A625" s="20">
        <f>IF(A624="","",IF(A624+1&gt;Ввод!$B$4,"",A624+1))</f>
        <v/>
      </c>
      <c r="B625">
        <f>IF(A625="","",IFERROR(INDEX(Ввод!$B$12:$B$71,MATCH(A625,Ввод!$D$12:$D$71,1)),""))</f>
        <v/>
      </c>
      <c r="C625">
        <f>IF(A625="","",DATE(YEAR(A625),12,31)-DATE(YEAR(A625),1,1)+1)</f>
        <v/>
      </c>
      <c r="D625">
        <f>IF(A625="","",SUMIFS(Акты!$D$5:$D$16,Акты!$E$5:$E$16,"&lt;="&amp;A625)-SUMIFS(Оплаты!$B$6:$B$505,Оплаты!$A$6:$A$505,"&lt;"&amp;A625,Оплаты!$D$6:$D$505,"&lt;&gt;"))</f>
        <v/>
      </c>
      <c r="E625">
        <f>IF(A625="","",IF(SUMPRODUCT((Ввод!$F$12:$F$31&lt;&gt;"")*(Ввод!$F$12:$F$31&lt;=A625)*(Ввод!$G$12:$G$31&gt;=A625))&gt;0,1,0))</f>
        <v/>
      </c>
      <c r="G625">
        <f>IF(A625="","",IF(OR(B625&lt;&gt;B624,C625&lt;&gt;C624,E625&lt;&gt;E624),G624+1,G624))</f>
        <v/>
      </c>
    </row>
    <row r="626">
      <c r="A626" s="20">
        <f>IF(A625="","",IF(A625+1&gt;Ввод!$B$4,"",A625+1))</f>
        <v/>
      </c>
      <c r="B626">
        <f>IF(A626="","",IFERROR(INDEX(Ввод!$B$12:$B$71,MATCH(A626,Ввод!$D$12:$D$71,1)),""))</f>
        <v/>
      </c>
      <c r="C626">
        <f>IF(A626="","",DATE(YEAR(A626),12,31)-DATE(YEAR(A626),1,1)+1)</f>
        <v/>
      </c>
      <c r="D626">
        <f>IF(A626="","",SUMIFS(Акты!$D$5:$D$16,Акты!$E$5:$E$16,"&lt;="&amp;A626)-SUMIFS(Оплаты!$B$6:$B$505,Оплаты!$A$6:$A$505,"&lt;"&amp;A626,Оплаты!$D$6:$D$505,"&lt;&gt;"))</f>
        <v/>
      </c>
      <c r="E626">
        <f>IF(A626="","",IF(SUMPRODUCT((Ввод!$F$12:$F$31&lt;&gt;"")*(Ввод!$F$12:$F$31&lt;=A626)*(Ввод!$G$12:$G$31&gt;=A626))&gt;0,1,0))</f>
        <v/>
      </c>
      <c r="G626">
        <f>IF(A626="","",IF(OR(B626&lt;&gt;B625,C626&lt;&gt;C625,E626&lt;&gt;E625),G625+1,G625))</f>
        <v/>
      </c>
    </row>
    <row r="627">
      <c r="A627" s="20">
        <f>IF(A626="","",IF(A626+1&gt;Ввод!$B$4,"",A626+1))</f>
        <v/>
      </c>
      <c r="B627">
        <f>IF(A627="","",IFERROR(INDEX(Ввод!$B$12:$B$71,MATCH(A627,Ввод!$D$12:$D$71,1)),""))</f>
        <v/>
      </c>
      <c r="C627">
        <f>IF(A627="","",DATE(YEAR(A627),12,31)-DATE(YEAR(A627),1,1)+1)</f>
        <v/>
      </c>
      <c r="D627">
        <f>IF(A627="","",SUMIFS(Акты!$D$5:$D$16,Акты!$E$5:$E$16,"&lt;="&amp;A627)-SUMIFS(Оплаты!$B$6:$B$505,Оплаты!$A$6:$A$505,"&lt;"&amp;A627,Оплаты!$D$6:$D$505,"&lt;&gt;"))</f>
        <v/>
      </c>
      <c r="E627">
        <f>IF(A627="","",IF(SUMPRODUCT((Ввод!$F$12:$F$31&lt;&gt;"")*(Ввод!$F$12:$F$31&lt;=A627)*(Ввод!$G$12:$G$31&gt;=A627))&gt;0,1,0))</f>
        <v/>
      </c>
      <c r="G627">
        <f>IF(A627="","",IF(OR(B627&lt;&gt;B626,C627&lt;&gt;C626,E627&lt;&gt;E626),G626+1,G626))</f>
        <v/>
      </c>
    </row>
    <row r="628">
      <c r="A628" s="20">
        <f>IF(A627="","",IF(A627+1&gt;Ввод!$B$4,"",A627+1))</f>
        <v/>
      </c>
      <c r="B628">
        <f>IF(A628="","",IFERROR(INDEX(Ввод!$B$12:$B$71,MATCH(A628,Ввод!$D$12:$D$71,1)),""))</f>
        <v/>
      </c>
      <c r="C628">
        <f>IF(A628="","",DATE(YEAR(A628),12,31)-DATE(YEAR(A628),1,1)+1)</f>
        <v/>
      </c>
      <c r="D628">
        <f>IF(A628="","",SUMIFS(Акты!$D$5:$D$16,Акты!$E$5:$E$16,"&lt;="&amp;A628)-SUMIFS(Оплаты!$B$6:$B$505,Оплаты!$A$6:$A$505,"&lt;"&amp;A628,Оплаты!$D$6:$D$505,"&lt;&gt;"))</f>
        <v/>
      </c>
      <c r="E628">
        <f>IF(A628="","",IF(SUMPRODUCT((Ввод!$F$12:$F$31&lt;&gt;"")*(Ввод!$F$12:$F$31&lt;=A628)*(Ввод!$G$12:$G$31&gt;=A628))&gt;0,1,0))</f>
        <v/>
      </c>
      <c r="G628">
        <f>IF(A628="","",IF(OR(B628&lt;&gt;B627,C628&lt;&gt;C627,E628&lt;&gt;E627),G627+1,G627))</f>
        <v/>
      </c>
    </row>
    <row r="629">
      <c r="A629" s="20">
        <f>IF(A628="","",IF(A628+1&gt;Ввод!$B$4,"",A628+1))</f>
        <v/>
      </c>
      <c r="B629">
        <f>IF(A629="","",IFERROR(INDEX(Ввод!$B$12:$B$71,MATCH(A629,Ввод!$D$12:$D$71,1)),""))</f>
        <v/>
      </c>
      <c r="C629">
        <f>IF(A629="","",DATE(YEAR(A629),12,31)-DATE(YEAR(A629),1,1)+1)</f>
        <v/>
      </c>
      <c r="D629">
        <f>IF(A629="","",SUMIFS(Акты!$D$5:$D$16,Акты!$E$5:$E$16,"&lt;="&amp;A629)-SUMIFS(Оплаты!$B$6:$B$505,Оплаты!$A$6:$A$505,"&lt;"&amp;A629,Оплаты!$D$6:$D$505,"&lt;&gt;"))</f>
        <v/>
      </c>
      <c r="E629">
        <f>IF(A629="","",IF(SUMPRODUCT((Ввод!$F$12:$F$31&lt;&gt;"")*(Ввод!$F$12:$F$31&lt;=A629)*(Ввод!$G$12:$G$31&gt;=A629))&gt;0,1,0))</f>
        <v/>
      </c>
      <c r="G629">
        <f>IF(A629="","",IF(OR(B629&lt;&gt;B628,C629&lt;&gt;C628,E629&lt;&gt;E628),G628+1,G628))</f>
        <v/>
      </c>
    </row>
    <row r="630">
      <c r="A630" s="20">
        <f>IF(A629="","",IF(A629+1&gt;Ввод!$B$4,"",A629+1))</f>
        <v/>
      </c>
      <c r="B630">
        <f>IF(A630="","",IFERROR(INDEX(Ввод!$B$12:$B$71,MATCH(A630,Ввод!$D$12:$D$71,1)),""))</f>
        <v/>
      </c>
      <c r="C630">
        <f>IF(A630="","",DATE(YEAR(A630),12,31)-DATE(YEAR(A630),1,1)+1)</f>
        <v/>
      </c>
      <c r="D630">
        <f>IF(A630="","",SUMIFS(Акты!$D$5:$D$16,Акты!$E$5:$E$16,"&lt;="&amp;A630)-SUMIFS(Оплаты!$B$6:$B$505,Оплаты!$A$6:$A$505,"&lt;"&amp;A630,Оплаты!$D$6:$D$505,"&lt;&gt;"))</f>
        <v/>
      </c>
      <c r="E630">
        <f>IF(A630="","",IF(SUMPRODUCT((Ввод!$F$12:$F$31&lt;&gt;"")*(Ввод!$F$12:$F$31&lt;=A630)*(Ввод!$G$12:$G$31&gt;=A630))&gt;0,1,0))</f>
        <v/>
      </c>
      <c r="G630">
        <f>IF(A630="","",IF(OR(B630&lt;&gt;B629,C630&lt;&gt;C629,E630&lt;&gt;E629),G629+1,G629))</f>
        <v/>
      </c>
    </row>
    <row r="631">
      <c r="A631" s="20">
        <f>IF(A630="","",IF(A630+1&gt;Ввод!$B$4,"",A630+1))</f>
        <v/>
      </c>
      <c r="B631">
        <f>IF(A631="","",IFERROR(INDEX(Ввод!$B$12:$B$71,MATCH(A631,Ввод!$D$12:$D$71,1)),""))</f>
        <v/>
      </c>
      <c r="C631">
        <f>IF(A631="","",DATE(YEAR(A631),12,31)-DATE(YEAR(A631),1,1)+1)</f>
        <v/>
      </c>
      <c r="D631">
        <f>IF(A631="","",SUMIFS(Акты!$D$5:$D$16,Акты!$E$5:$E$16,"&lt;="&amp;A631)-SUMIFS(Оплаты!$B$6:$B$505,Оплаты!$A$6:$A$505,"&lt;"&amp;A631,Оплаты!$D$6:$D$505,"&lt;&gt;"))</f>
        <v/>
      </c>
      <c r="E631">
        <f>IF(A631="","",IF(SUMPRODUCT((Ввод!$F$12:$F$31&lt;&gt;"")*(Ввод!$F$12:$F$31&lt;=A631)*(Ввод!$G$12:$G$31&gt;=A631))&gt;0,1,0))</f>
        <v/>
      </c>
      <c r="G631">
        <f>IF(A631="","",IF(OR(B631&lt;&gt;B630,C631&lt;&gt;C630,E631&lt;&gt;E630),G630+1,G630))</f>
        <v/>
      </c>
    </row>
    <row r="632">
      <c r="A632" s="20">
        <f>IF(A631="","",IF(A631+1&gt;Ввод!$B$4,"",A631+1))</f>
        <v/>
      </c>
      <c r="B632">
        <f>IF(A632="","",IFERROR(INDEX(Ввод!$B$12:$B$71,MATCH(A632,Ввод!$D$12:$D$71,1)),""))</f>
        <v/>
      </c>
      <c r="C632">
        <f>IF(A632="","",DATE(YEAR(A632),12,31)-DATE(YEAR(A632),1,1)+1)</f>
        <v/>
      </c>
      <c r="D632">
        <f>IF(A632="","",SUMIFS(Акты!$D$5:$D$16,Акты!$E$5:$E$16,"&lt;="&amp;A632)-SUMIFS(Оплаты!$B$6:$B$505,Оплаты!$A$6:$A$505,"&lt;"&amp;A632,Оплаты!$D$6:$D$505,"&lt;&gt;"))</f>
        <v/>
      </c>
      <c r="E632">
        <f>IF(A632="","",IF(SUMPRODUCT((Ввод!$F$12:$F$31&lt;&gt;"")*(Ввод!$F$12:$F$31&lt;=A632)*(Ввод!$G$12:$G$31&gt;=A632))&gt;0,1,0))</f>
        <v/>
      </c>
      <c r="G632">
        <f>IF(A632="","",IF(OR(B632&lt;&gt;B631,C632&lt;&gt;C631,E632&lt;&gt;E631),G631+1,G631))</f>
        <v/>
      </c>
    </row>
    <row r="633">
      <c r="A633" s="20">
        <f>IF(A632="","",IF(A632+1&gt;Ввод!$B$4,"",A632+1))</f>
        <v/>
      </c>
      <c r="B633">
        <f>IF(A633="","",IFERROR(INDEX(Ввод!$B$12:$B$71,MATCH(A633,Ввод!$D$12:$D$71,1)),""))</f>
        <v/>
      </c>
      <c r="C633">
        <f>IF(A633="","",DATE(YEAR(A633),12,31)-DATE(YEAR(A633),1,1)+1)</f>
        <v/>
      </c>
      <c r="D633">
        <f>IF(A633="","",SUMIFS(Акты!$D$5:$D$16,Акты!$E$5:$E$16,"&lt;="&amp;A633)-SUMIFS(Оплаты!$B$6:$B$505,Оплаты!$A$6:$A$505,"&lt;"&amp;A633,Оплаты!$D$6:$D$505,"&lt;&gt;"))</f>
        <v/>
      </c>
      <c r="E633">
        <f>IF(A633="","",IF(SUMPRODUCT((Ввод!$F$12:$F$31&lt;&gt;"")*(Ввод!$F$12:$F$31&lt;=A633)*(Ввод!$G$12:$G$31&gt;=A633))&gt;0,1,0))</f>
        <v/>
      </c>
      <c r="G633">
        <f>IF(A633="","",IF(OR(B633&lt;&gt;B632,C633&lt;&gt;C632,E633&lt;&gt;E632),G632+1,G632))</f>
        <v/>
      </c>
    </row>
    <row r="634">
      <c r="A634" s="20">
        <f>IF(A633="","",IF(A633+1&gt;Ввод!$B$4,"",A633+1))</f>
        <v/>
      </c>
      <c r="B634">
        <f>IF(A634="","",IFERROR(INDEX(Ввод!$B$12:$B$71,MATCH(A634,Ввод!$D$12:$D$71,1)),""))</f>
        <v/>
      </c>
      <c r="C634">
        <f>IF(A634="","",DATE(YEAR(A634),12,31)-DATE(YEAR(A634),1,1)+1)</f>
        <v/>
      </c>
      <c r="D634">
        <f>IF(A634="","",SUMIFS(Акты!$D$5:$D$16,Акты!$E$5:$E$16,"&lt;="&amp;A634)-SUMIFS(Оплаты!$B$6:$B$505,Оплаты!$A$6:$A$505,"&lt;"&amp;A634,Оплаты!$D$6:$D$505,"&lt;&gt;"))</f>
        <v/>
      </c>
      <c r="E634">
        <f>IF(A634="","",IF(SUMPRODUCT((Ввод!$F$12:$F$31&lt;&gt;"")*(Ввод!$F$12:$F$31&lt;=A634)*(Ввод!$G$12:$G$31&gt;=A634))&gt;0,1,0))</f>
        <v/>
      </c>
      <c r="G634">
        <f>IF(A634="","",IF(OR(B634&lt;&gt;B633,C634&lt;&gt;C633,E634&lt;&gt;E633),G633+1,G633))</f>
        <v/>
      </c>
    </row>
    <row r="635">
      <c r="A635" s="20">
        <f>IF(A634="","",IF(A634+1&gt;Ввод!$B$4,"",A634+1))</f>
        <v/>
      </c>
      <c r="B635">
        <f>IF(A635="","",IFERROR(INDEX(Ввод!$B$12:$B$71,MATCH(A635,Ввод!$D$12:$D$71,1)),""))</f>
        <v/>
      </c>
      <c r="C635">
        <f>IF(A635="","",DATE(YEAR(A635),12,31)-DATE(YEAR(A635),1,1)+1)</f>
        <v/>
      </c>
      <c r="D635">
        <f>IF(A635="","",SUMIFS(Акты!$D$5:$D$16,Акты!$E$5:$E$16,"&lt;="&amp;A635)-SUMIFS(Оплаты!$B$6:$B$505,Оплаты!$A$6:$A$505,"&lt;"&amp;A635,Оплаты!$D$6:$D$505,"&lt;&gt;"))</f>
        <v/>
      </c>
      <c r="E635">
        <f>IF(A635="","",IF(SUMPRODUCT((Ввод!$F$12:$F$31&lt;&gt;"")*(Ввод!$F$12:$F$31&lt;=A635)*(Ввод!$G$12:$G$31&gt;=A635))&gt;0,1,0))</f>
        <v/>
      </c>
      <c r="G635">
        <f>IF(A635="","",IF(OR(B635&lt;&gt;B634,C635&lt;&gt;C634,E635&lt;&gt;E634),G634+1,G634))</f>
        <v/>
      </c>
    </row>
    <row r="636">
      <c r="A636" s="20">
        <f>IF(A635="","",IF(A635+1&gt;Ввод!$B$4,"",A635+1))</f>
        <v/>
      </c>
      <c r="B636">
        <f>IF(A636="","",IFERROR(INDEX(Ввод!$B$12:$B$71,MATCH(A636,Ввод!$D$12:$D$71,1)),""))</f>
        <v/>
      </c>
      <c r="C636">
        <f>IF(A636="","",DATE(YEAR(A636),12,31)-DATE(YEAR(A636),1,1)+1)</f>
        <v/>
      </c>
      <c r="D636">
        <f>IF(A636="","",SUMIFS(Акты!$D$5:$D$16,Акты!$E$5:$E$16,"&lt;="&amp;A636)-SUMIFS(Оплаты!$B$6:$B$505,Оплаты!$A$6:$A$505,"&lt;"&amp;A636,Оплаты!$D$6:$D$505,"&lt;&gt;"))</f>
        <v/>
      </c>
      <c r="E636">
        <f>IF(A636="","",IF(SUMPRODUCT((Ввод!$F$12:$F$31&lt;&gt;"")*(Ввод!$F$12:$F$31&lt;=A636)*(Ввод!$G$12:$G$31&gt;=A636))&gt;0,1,0))</f>
        <v/>
      </c>
      <c r="G636">
        <f>IF(A636="","",IF(OR(B636&lt;&gt;B635,C636&lt;&gt;C635,E636&lt;&gt;E635),G635+1,G635))</f>
        <v/>
      </c>
    </row>
    <row r="637">
      <c r="A637" s="20">
        <f>IF(A636="","",IF(A636+1&gt;Ввод!$B$4,"",A636+1))</f>
        <v/>
      </c>
      <c r="B637">
        <f>IF(A637="","",IFERROR(INDEX(Ввод!$B$12:$B$71,MATCH(A637,Ввод!$D$12:$D$71,1)),""))</f>
        <v/>
      </c>
      <c r="C637">
        <f>IF(A637="","",DATE(YEAR(A637),12,31)-DATE(YEAR(A637),1,1)+1)</f>
        <v/>
      </c>
      <c r="D637">
        <f>IF(A637="","",SUMIFS(Акты!$D$5:$D$16,Акты!$E$5:$E$16,"&lt;="&amp;A637)-SUMIFS(Оплаты!$B$6:$B$505,Оплаты!$A$6:$A$505,"&lt;"&amp;A637,Оплаты!$D$6:$D$505,"&lt;&gt;"))</f>
        <v/>
      </c>
      <c r="E637">
        <f>IF(A637="","",IF(SUMPRODUCT((Ввод!$F$12:$F$31&lt;&gt;"")*(Ввод!$F$12:$F$31&lt;=A637)*(Ввод!$G$12:$G$31&gt;=A637))&gt;0,1,0))</f>
        <v/>
      </c>
      <c r="G637">
        <f>IF(A637="","",IF(OR(B637&lt;&gt;B636,C637&lt;&gt;C636,E637&lt;&gt;E636),G636+1,G636))</f>
        <v/>
      </c>
    </row>
    <row r="638">
      <c r="A638" s="20">
        <f>IF(A637="","",IF(A637+1&gt;Ввод!$B$4,"",A637+1))</f>
        <v/>
      </c>
      <c r="B638">
        <f>IF(A638="","",IFERROR(INDEX(Ввод!$B$12:$B$71,MATCH(A638,Ввод!$D$12:$D$71,1)),""))</f>
        <v/>
      </c>
      <c r="C638">
        <f>IF(A638="","",DATE(YEAR(A638),12,31)-DATE(YEAR(A638),1,1)+1)</f>
        <v/>
      </c>
      <c r="D638">
        <f>IF(A638="","",SUMIFS(Акты!$D$5:$D$16,Акты!$E$5:$E$16,"&lt;="&amp;A638)-SUMIFS(Оплаты!$B$6:$B$505,Оплаты!$A$6:$A$505,"&lt;"&amp;A638,Оплаты!$D$6:$D$505,"&lt;&gt;"))</f>
        <v/>
      </c>
      <c r="E638">
        <f>IF(A638="","",IF(SUMPRODUCT((Ввод!$F$12:$F$31&lt;&gt;"")*(Ввод!$F$12:$F$31&lt;=A638)*(Ввод!$G$12:$G$31&gt;=A638))&gt;0,1,0))</f>
        <v/>
      </c>
      <c r="G638">
        <f>IF(A638="","",IF(OR(B638&lt;&gt;B637,C638&lt;&gt;C637,E638&lt;&gt;E637),G637+1,G637))</f>
        <v/>
      </c>
    </row>
    <row r="639">
      <c r="A639" s="20">
        <f>IF(A638="","",IF(A638+1&gt;Ввод!$B$4,"",A638+1))</f>
        <v/>
      </c>
      <c r="B639">
        <f>IF(A639="","",IFERROR(INDEX(Ввод!$B$12:$B$71,MATCH(A639,Ввод!$D$12:$D$71,1)),""))</f>
        <v/>
      </c>
      <c r="C639">
        <f>IF(A639="","",DATE(YEAR(A639),12,31)-DATE(YEAR(A639),1,1)+1)</f>
        <v/>
      </c>
      <c r="D639">
        <f>IF(A639="","",SUMIFS(Акты!$D$5:$D$16,Акты!$E$5:$E$16,"&lt;="&amp;A639)-SUMIFS(Оплаты!$B$6:$B$505,Оплаты!$A$6:$A$505,"&lt;"&amp;A639,Оплаты!$D$6:$D$505,"&lt;&gt;"))</f>
        <v/>
      </c>
      <c r="E639">
        <f>IF(A639="","",IF(SUMPRODUCT((Ввод!$F$12:$F$31&lt;&gt;"")*(Ввод!$F$12:$F$31&lt;=A639)*(Ввод!$G$12:$G$31&gt;=A639))&gt;0,1,0))</f>
        <v/>
      </c>
      <c r="G639">
        <f>IF(A639="","",IF(OR(B639&lt;&gt;B638,C639&lt;&gt;C638,E639&lt;&gt;E638),G638+1,G638))</f>
        <v/>
      </c>
    </row>
    <row r="640">
      <c r="A640" s="20">
        <f>IF(A639="","",IF(A639+1&gt;Ввод!$B$4,"",A639+1))</f>
        <v/>
      </c>
      <c r="B640">
        <f>IF(A640="","",IFERROR(INDEX(Ввод!$B$12:$B$71,MATCH(A640,Ввод!$D$12:$D$71,1)),""))</f>
        <v/>
      </c>
      <c r="C640">
        <f>IF(A640="","",DATE(YEAR(A640),12,31)-DATE(YEAR(A640),1,1)+1)</f>
        <v/>
      </c>
      <c r="D640">
        <f>IF(A640="","",SUMIFS(Акты!$D$5:$D$16,Акты!$E$5:$E$16,"&lt;="&amp;A640)-SUMIFS(Оплаты!$B$6:$B$505,Оплаты!$A$6:$A$505,"&lt;"&amp;A640,Оплаты!$D$6:$D$505,"&lt;&gt;"))</f>
        <v/>
      </c>
      <c r="E640">
        <f>IF(A640="","",IF(SUMPRODUCT((Ввод!$F$12:$F$31&lt;&gt;"")*(Ввод!$F$12:$F$31&lt;=A640)*(Ввод!$G$12:$G$31&gt;=A640))&gt;0,1,0))</f>
        <v/>
      </c>
      <c r="G640">
        <f>IF(A640="","",IF(OR(B640&lt;&gt;B639,C640&lt;&gt;C639,E640&lt;&gt;E639),G639+1,G639))</f>
        <v/>
      </c>
    </row>
    <row r="641">
      <c r="A641" s="20">
        <f>IF(A640="","",IF(A640+1&gt;Ввод!$B$4,"",A640+1))</f>
        <v/>
      </c>
      <c r="B641">
        <f>IF(A641="","",IFERROR(INDEX(Ввод!$B$12:$B$71,MATCH(A641,Ввод!$D$12:$D$71,1)),""))</f>
        <v/>
      </c>
      <c r="C641">
        <f>IF(A641="","",DATE(YEAR(A641),12,31)-DATE(YEAR(A641),1,1)+1)</f>
        <v/>
      </c>
      <c r="D641">
        <f>IF(A641="","",SUMIFS(Акты!$D$5:$D$16,Акты!$E$5:$E$16,"&lt;="&amp;A641)-SUMIFS(Оплаты!$B$6:$B$505,Оплаты!$A$6:$A$505,"&lt;"&amp;A641,Оплаты!$D$6:$D$505,"&lt;&gt;"))</f>
        <v/>
      </c>
      <c r="E641">
        <f>IF(A641="","",IF(SUMPRODUCT((Ввод!$F$12:$F$31&lt;&gt;"")*(Ввод!$F$12:$F$31&lt;=A641)*(Ввод!$G$12:$G$31&gt;=A641))&gt;0,1,0))</f>
        <v/>
      </c>
      <c r="G641">
        <f>IF(A641="","",IF(OR(B641&lt;&gt;B640,C641&lt;&gt;C640,E641&lt;&gt;E640),G640+1,G640))</f>
        <v/>
      </c>
    </row>
    <row r="642">
      <c r="A642" s="20">
        <f>IF(A641="","",IF(A641+1&gt;Ввод!$B$4,"",A641+1))</f>
        <v/>
      </c>
      <c r="B642">
        <f>IF(A642="","",IFERROR(INDEX(Ввод!$B$12:$B$71,MATCH(A642,Ввод!$D$12:$D$71,1)),""))</f>
        <v/>
      </c>
      <c r="C642">
        <f>IF(A642="","",DATE(YEAR(A642),12,31)-DATE(YEAR(A642),1,1)+1)</f>
        <v/>
      </c>
      <c r="D642">
        <f>IF(A642="","",SUMIFS(Акты!$D$5:$D$16,Акты!$E$5:$E$16,"&lt;="&amp;A642)-SUMIFS(Оплаты!$B$6:$B$505,Оплаты!$A$6:$A$505,"&lt;"&amp;A642,Оплаты!$D$6:$D$505,"&lt;&gt;"))</f>
        <v/>
      </c>
      <c r="E642">
        <f>IF(A642="","",IF(SUMPRODUCT((Ввод!$F$12:$F$31&lt;&gt;"")*(Ввод!$F$12:$F$31&lt;=A642)*(Ввод!$G$12:$G$31&gt;=A642))&gt;0,1,0))</f>
        <v/>
      </c>
      <c r="G642">
        <f>IF(A642="","",IF(OR(B642&lt;&gt;B641,C642&lt;&gt;C641,E642&lt;&gt;E641),G641+1,G641))</f>
        <v/>
      </c>
    </row>
    <row r="643">
      <c r="A643" s="20">
        <f>IF(A642="","",IF(A642+1&gt;Ввод!$B$4,"",A642+1))</f>
        <v/>
      </c>
      <c r="B643">
        <f>IF(A643="","",IFERROR(INDEX(Ввод!$B$12:$B$71,MATCH(A643,Ввод!$D$12:$D$71,1)),""))</f>
        <v/>
      </c>
      <c r="C643">
        <f>IF(A643="","",DATE(YEAR(A643),12,31)-DATE(YEAR(A643),1,1)+1)</f>
        <v/>
      </c>
      <c r="D643">
        <f>IF(A643="","",SUMIFS(Акты!$D$5:$D$16,Акты!$E$5:$E$16,"&lt;="&amp;A643)-SUMIFS(Оплаты!$B$6:$B$505,Оплаты!$A$6:$A$505,"&lt;"&amp;A643,Оплаты!$D$6:$D$505,"&lt;&gt;"))</f>
        <v/>
      </c>
      <c r="E643">
        <f>IF(A643="","",IF(SUMPRODUCT((Ввод!$F$12:$F$31&lt;&gt;"")*(Ввод!$F$12:$F$31&lt;=A643)*(Ввод!$G$12:$G$31&gt;=A643))&gt;0,1,0))</f>
        <v/>
      </c>
      <c r="G643">
        <f>IF(A643="","",IF(OR(B643&lt;&gt;B642,C643&lt;&gt;C642,E643&lt;&gt;E642),G642+1,G642))</f>
        <v/>
      </c>
    </row>
    <row r="644">
      <c r="A644" s="20">
        <f>IF(A643="","",IF(A643+1&gt;Ввод!$B$4,"",A643+1))</f>
        <v/>
      </c>
      <c r="B644">
        <f>IF(A644="","",IFERROR(INDEX(Ввод!$B$12:$B$71,MATCH(A644,Ввод!$D$12:$D$71,1)),""))</f>
        <v/>
      </c>
      <c r="C644">
        <f>IF(A644="","",DATE(YEAR(A644),12,31)-DATE(YEAR(A644),1,1)+1)</f>
        <v/>
      </c>
      <c r="D644">
        <f>IF(A644="","",SUMIFS(Акты!$D$5:$D$16,Акты!$E$5:$E$16,"&lt;="&amp;A644)-SUMIFS(Оплаты!$B$6:$B$505,Оплаты!$A$6:$A$505,"&lt;"&amp;A644,Оплаты!$D$6:$D$505,"&lt;&gt;"))</f>
        <v/>
      </c>
      <c r="E644">
        <f>IF(A644="","",IF(SUMPRODUCT((Ввод!$F$12:$F$31&lt;&gt;"")*(Ввод!$F$12:$F$31&lt;=A644)*(Ввод!$G$12:$G$31&gt;=A644))&gt;0,1,0))</f>
        <v/>
      </c>
      <c r="G644">
        <f>IF(A644="","",IF(OR(B644&lt;&gt;B643,C644&lt;&gt;C643,E644&lt;&gt;E643),G643+1,G643))</f>
        <v/>
      </c>
    </row>
    <row r="645">
      <c r="A645" s="20">
        <f>IF(A644="","",IF(A644+1&gt;Ввод!$B$4,"",A644+1))</f>
        <v/>
      </c>
      <c r="B645">
        <f>IF(A645="","",IFERROR(INDEX(Ввод!$B$12:$B$71,MATCH(A645,Ввод!$D$12:$D$71,1)),""))</f>
        <v/>
      </c>
      <c r="C645">
        <f>IF(A645="","",DATE(YEAR(A645),12,31)-DATE(YEAR(A645),1,1)+1)</f>
        <v/>
      </c>
      <c r="D645">
        <f>IF(A645="","",SUMIFS(Акты!$D$5:$D$16,Акты!$E$5:$E$16,"&lt;="&amp;A645)-SUMIFS(Оплаты!$B$6:$B$505,Оплаты!$A$6:$A$505,"&lt;"&amp;A645,Оплаты!$D$6:$D$505,"&lt;&gt;"))</f>
        <v/>
      </c>
      <c r="E645">
        <f>IF(A645="","",IF(SUMPRODUCT((Ввод!$F$12:$F$31&lt;&gt;"")*(Ввод!$F$12:$F$31&lt;=A645)*(Ввод!$G$12:$G$31&gt;=A645))&gt;0,1,0))</f>
        <v/>
      </c>
      <c r="G645">
        <f>IF(A645="","",IF(OR(B645&lt;&gt;B644,C645&lt;&gt;C644,E645&lt;&gt;E644),G644+1,G644))</f>
        <v/>
      </c>
    </row>
    <row r="646">
      <c r="A646" s="20">
        <f>IF(A645="","",IF(A645+1&gt;Ввод!$B$4,"",A645+1))</f>
        <v/>
      </c>
      <c r="B646">
        <f>IF(A646="","",IFERROR(INDEX(Ввод!$B$12:$B$71,MATCH(A646,Ввод!$D$12:$D$71,1)),""))</f>
        <v/>
      </c>
      <c r="C646">
        <f>IF(A646="","",DATE(YEAR(A646),12,31)-DATE(YEAR(A646),1,1)+1)</f>
        <v/>
      </c>
      <c r="D646">
        <f>IF(A646="","",SUMIFS(Акты!$D$5:$D$16,Акты!$E$5:$E$16,"&lt;="&amp;A646)-SUMIFS(Оплаты!$B$6:$B$505,Оплаты!$A$6:$A$505,"&lt;"&amp;A646,Оплаты!$D$6:$D$505,"&lt;&gt;"))</f>
        <v/>
      </c>
      <c r="E646">
        <f>IF(A646="","",IF(SUMPRODUCT((Ввод!$F$12:$F$31&lt;&gt;"")*(Ввод!$F$12:$F$31&lt;=A646)*(Ввод!$G$12:$G$31&gt;=A646))&gt;0,1,0))</f>
        <v/>
      </c>
      <c r="G646">
        <f>IF(A646="","",IF(OR(B646&lt;&gt;B645,C646&lt;&gt;C645,E646&lt;&gt;E645),G645+1,G645))</f>
        <v/>
      </c>
    </row>
    <row r="647">
      <c r="A647" s="20">
        <f>IF(A646="","",IF(A646+1&gt;Ввод!$B$4,"",A646+1))</f>
        <v/>
      </c>
      <c r="B647">
        <f>IF(A647="","",IFERROR(INDEX(Ввод!$B$12:$B$71,MATCH(A647,Ввод!$D$12:$D$71,1)),""))</f>
        <v/>
      </c>
      <c r="C647">
        <f>IF(A647="","",DATE(YEAR(A647),12,31)-DATE(YEAR(A647),1,1)+1)</f>
        <v/>
      </c>
      <c r="D647">
        <f>IF(A647="","",SUMIFS(Акты!$D$5:$D$16,Акты!$E$5:$E$16,"&lt;="&amp;A647)-SUMIFS(Оплаты!$B$6:$B$505,Оплаты!$A$6:$A$505,"&lt;"&amp;A647,Оплаты!$D$6:$D$505,"&lt;&gt;"))</f>
        <v/>
      </c>
      <c r="E647">
        <f>IF(A647="","",IF(SUMPRODUCT((Ввод!$F$12:$F$31&lt;&gt;"")*(Ввод!$F$12:$F$31&lt;=A647)*(Ввод!$G$12:$G$31&gt;=A647))&gt;0,1,0))</f>
        <v/>
      </c>
      <c r="G647">
        <f>IF(A647="","",IF(OR(B647&lt;&gt;B646,C647&lt;&gt;C646,E647&lt;&gt;E646),G646+1,G646))</f>
        <v/>
      </c>
    </row>
    <row r="648">
      <c r="A648" s="20">
        <f>IF(A647="","",IF(A647+1&gt;Ввод!$B$4,"",A647+1))</f>
        <v/>
      </c>
      <c r="B648">
        <f>IF(A648="","",IFERROR(INDEX(Ввод!$B$12:$B$71,MATCH(A648,Ввод!$D$12:$D$71,1)),""))</f>
        <v/>
      </c>
      <c r="C648">
        <f>IF(A648="","",DATE(YEAR(A648),12,31)-DATE(YEAR(A648),1,1)+1)</f>
        <v/>
      </c>
      <c r="D648">
        <f>IF(A648="","",SUMIFS(Акты!$D$5:$D$16,Акты!$E$5:$E$16,"&lt;="&amp;A648)-SUMIFS(Оплаты!$B$6:$B$505,Оплаты!$A$6:$A$505,"&lt;"&amp;A648,Оплаты!$D$6:$D$505,"&lt;&gt;"))</f>
        <v/>
      </c>
      <c r="E648">
        <f>IF(A648="","",IF(SUMPRODUCT((Ввод!$F$12:$F$31&lt;&gt;"")*(Ввод!$F$12:$F$31&lt;=A648)*(Ввод!$G$12:$G$31&gt;=A648))&gt;0,1,0))</f>
        <v/>
      </c>
      <c r="G648">
        <f>IF(A648="","",IF(OR(B648&lt;&gt;B647,C648&lt;&gt;C647,E648&lt;&gt;E647),G647+1,G647))</f>
        <v/>
      </c>
    </row>
    <row r="649">
      <c r="A649" s="20">
        <f>IF(A648="","",IF(A648+1&gt;Ввод!$B$4,"",A648+1))</f>
        <v/>
      </c>
      <c r="B649">
        <f>IF(A649="","",IFERROR(INDEX(Ввод!$B$12:$B$71,MATCH(A649,Ввод!$D$12:$D$71,1)),""))</f>
        <v/>
      </c>
      <c r="C649">
        <f>IF(A649="","",DATE(YEAR(A649),12,31)-DATE(YEAR(A649),1,1)+1)</f>
        <v/>
      </c>
      <c r="D649">
        <f>IF(A649="","",SUMIFS(Акты!$D$5:$D$16,Акты!$E$5:$E$16,"&lt;="&amp;A649)-SUMIFS(Оплаты!$B$6:$B$505,Оплаты!$A$6:$A$505,"&lt;"&amp;A649,Оплаты!$D$6:$D$505,"&lt;&gt;"))</f>
        <v/>
      </c>
      <c r="E649">
        <f>IF(A649="","",IF(SUMPRODUCT((Ввод!$F$12:$F$31&lt;&gt;"")*(Ввод!$F$12:$F$31&lt;=A649)*(Ввод!$G$12:$G$31&gt;=A649))&gt;0,1,0))</f>
        <v/>
      </c>
      <c r="G649">
        <f>IF(A649="","",IF(OR(B649&lt;&gt;B648,C649&lt;&gt;C648,E649&lt;&gt;E648),G648+1,G648))</f>
        <v/>
      </c>
    </row>
    <row r="650">
      <c r="A650" s="20">
        <f>IF(A649="","",IF(A649+1&gt;Ввод!$B$4,"",A649+1))</f>
        <v/>
      </c>
      <c r="B650">
        <f>IF(A650="","",IFERROR(INDEX(Ввод!$B$12:$B$71,MATCH(A650,Ввод!$D$12:$D$71,1)),""))</f>
        <v/>
      </c>
      <c r="C650">
        <f>IF(A650="","",DATE(YEAR(A650),12,31)-DATE(YEAR(A650),1,1)+1)</f>
        <v/>
      </c>
      <c r="D650">
        <f>IF(A650="","",SUMIFS(Акты!$D$5:$D$16,Акты!$E$5:$E$16,"&lt;="&amp;A650)-SUMIFS(Оплаты!$B$6:$B$505,Оплаты!$A$6:$A$505,"&lt;"&amp;A650,Оплаты!$D$6:$D$505,"&lt;&gt;"))</f>
        <v/>
      </c>
      <c r="E650">
        <f>IF(A650="","",IF(SUMPRODUCT((Ввод!$F$12:$F$31&lt;&gt;"")*(Ввод!$F$12:$F$31&lt;=A650)*(Ввод!$G$12:$G$31&gt;=A650))&gt;0,1,0))</f>
        <v/>
      </c>
      <c r="G650">
        <f>IF(A650="","",IF(OR(B650&lt;&gt;B649,C650&lt;&gt;C649,E650&lt;&gt;E649),G649+1,G649))</f>
        <v/>
      </c>
    </row>
    <row r="651">
      <c r="A651" s="20">
        <f>IF(A650="","",IF(A650+1&gt;Ввод!$B$4,"",A650+1))</f>
        <v/>
      </c>
      <c r="B651">
        <f>IF(A651="","",IFERROR(INDEX(Ввод!$B$12:$B$71,MATCH(A651,Ввод!$D$12:$D$71,1)),""))</f>
        <v/>
      </c>
      <c r="C651">
        <f>IF(A651="","",DATE(YEAR(A651),12,31)-DATE(YEAR(A651),1,1)+1)</f>
        <v/>
      </c>
      <c r="D651">
        <f>IF(A651="","",SUMIFS(Акты!$D$5:$D$16,Акты!$E$5:$E$16,"&lt;="&amp;A651)-SUMIFS(Оплаты!$B$6:$B$505,Оплаты!$A$6:$A$505,"&lt;"&amp;A651,Оплаты!$D$6:$D$505,"&lt;&gt;"))</f>
        <v/>
      </c>
      <c r="E651">
        <f>IF(A651="","",IF(SUMPRODUCT((Ввод!$F$12:$F$31&lt;&gt;"")*(Ввод!$F$12:$F$31&lt;=A651)*(Ввод!$G$12:$G$31&gt;=A651))&gt;0,1,0))</f>
        <v/>
      </c>
      <c r="G651">
        <f>IF(A651="","",IF(OR(B651&lt;&gt;B650,C651&lt;&gt;C650,E651&lt;&gt;E650),G650+1,G650))</f>
        <v/>
      </c>
    </row>
    <row r="652">
      <c r="A652" s="20">
        <f>IF(A651="","",IF(A651+1&gt;Ввод!$B$4,"",A651+1))</f>
        <v/>
      </c>
      <c r="B652">
        <f>IF(A652="","",IFERROR(INDEX(Ввод!$B$12:$B$71,MATCH(A652,Ввод!$D$12:$D$71,1)),""))</f>
        <v/>
      </c>
      <c r="C652">
        <f>IF(A652="","",DATE(YEAR(A652),12,31)-DATE(YEAR(A652),1,1)+1)</f>
        <v/>
      </c>
      <c r="D652">
        <f>IF(A652="","",SUMIFS(Акты!$D$5:$D$16,Акты!$E$5:$E$16,"&lt;="&amp;A652)-SUMIFS(Оплаты!$B$6:$B$505,Оплаты!$A$6:$A$505,"&lt;"&amp;A652,Оплаты!$D$6:$D$505,"&lt;&gt;"))</f>
        <v/>
      </c>
      <c r="E652">
        <f>IF(A652="","",IF(SUMPRODUCT((Ввод!$F$12:$F$31&lt;&gt;"")*(Ввод!$F$12:$F$31&lt;=A652)*(Ввод!$G$12:$G$31&gt;=A652))&gt;0,1,0))</f>
        <v/>
      </c>
      <c r="G652">
        <f>IF(A652="","",IF(OR(B652&lt;&gt;B651,C652&lt;&gt;C651,E652&lt;&gt;E651),G651+1,G651))</f>
        <v/>
      </c>
    </row>
    <row r="653">
      <c r="A653" s="20">
        <f>IF(A652="","",IF(A652+1&gt;Ввод!$B$4,"",A652+1))</f>
        <v/>
      </c>
      <c r="B653">
        <f>IF(A653="","",IFERROR(INDEX(Ввод!$B$12:$B$71,MATCH(A653,Ввод!$D$12:$D$71,1)),""))</f>
        <v/>
      </c>
      <c r="C653">
        <f>IF(A653="","",DATE(YEAR(A653),12,31)-DATE(YEAR(A653),1,1)+1)</f>
        <v/>
      </c>
      <c r="D653">
        <f>IF(A653="","",SUMIFS(Акты!$D$5:$D$16,Акты!$E$5:$E$16,"&lt;="&amp;A653)-SUMIFS(Оплаты!$B$6:$B$505,Оплаты!$A$6:$A$505,"&lt;"&amp;A653,Оплаты!$D$6:$D$505,"&lt;&gt;"))</f>
        <v/>
      </c>
      <c r="E653">
        <f>IF(A653="","",IF(SUMPRODUCT((Ввод!$F$12:$F$31&lt;&gt;"")*(Ввод!$F$12:$F$31&lt;=A653)*(Ввод!$G$12:$G$31&gt;=A653))&gt;0,1,0))</f>
        <v/>
      </c>
      <c r="G653">
        <f>IF(A653="","",IF(OR(B653&lt;&gt;B652,C653&lt;&gt;C652,E653&lt;&gt;E652),G652+1,G652))</f>
        <v/>
      </c>
    </row>
    <row r="654">
      <c r="A654" s="20">
        <f>IF(A653="","",IF(A653+1&gt;Ввод!$B$4,"",A653+1))</f>
        <v/>
      </c>
      <c r="B654">
        <f>IF(A654="","",IFERROR(INDEX(Ввод!$B$12:$B$71,MATCH(A654,Ввод!$D$12:$D$71,1)),""))</f>
        <v/>
      </c>
      <c r="C654">
        <f>IF(A654="","",DATE(YEAR(A654),12,31)-DATE(YEAR(A654),1,1)+1)</f>
        <v/>
      </c>
      <c r="D654">
        <f>IF(A654="","",SUMIFS(Акты!$D$5:$D$16,Акты!$E$5:$E$16,"&lt;="&amp;A654)-SUMIFS(Оплаты!$B$6:$B$505,Оплаты!$A$6:$A$505,"&lt;"&amp;A654,Оплаты!$D$6:$D$505,"&lt;&gt;"))</f>
        <v/>
      </c>
      <c r="E654">
        <f>IF(A654="","",IF(SUMPRODUCT((Ввод!$F$12:$F$31&lt;&gt;"")*(Ввод!$F$12:$F$31&lt;=A654)*(Ввод!$G$12:$G$31&gt;=A654))&gt;0,1,0))</f>
        <v/>
      </c>
      <c r="G654">
        <f>IF(A654="","",IF(OR(B654&lt;&gt;B653,C654&lt;&gt;C653,E654&lt;&gt;E653),G653+1,G653))</f>
        <v/>
      </c>
    </row>
    <row r="655">
      <c r="A655" s="20">
        <f>IF(A654="","",IF(A654+1&gt;Ввод!$B$4,"",A654+1))</f>
        <v/>
      </c>
      <c r="B655">
        <f>IF(A655="","",IFERROR(INDEX(Ввод!$B$12:$B$71,MATCH(A655,Ввод!$D$12:$D$71,1)),""))</f>
        <v/>
      </c>
      <c r="C655">
        <f>IF(A655="","",DATE(YEAR(A655),12,31)-DATE(YEAR(A655),1,1)+1)</f>
        <v/>
      </c>
      <c r="D655">
        <f>IF(A655="","",SUMIFS(Акты!$D$5:$D$16,Акты!$E$5:$E$16,"&lt;="&amp;A655)-SUMIFS(Оплаты!$B$6:$B$505,Оплаты!$A$6:$A$505,"&lt;"&amp;A655,Оплаты!$D$6:$D$505,"&lt;&gt;"))</f>
        <v/>
      </c>
      <c r="E655">
        <f>IF(A655="","",IF(SUMPRODUCT((Ввод!$F$12:$F$31&lt;&gt;"")*(Ввод!$F$12:$F$31&lt;=A655)*(Ввод!$G$12:$G$31&gt;=A655))&gt;0,1,0))</f>
        <v/>
      </c>
      <c r="G655">
        <f>IF(A655="","",IF(OR(B655&lt;&gt;B654,C655&lt;&gt;C654,E655&lt;&gt;E654),G654+1,G654))</f>
        <v/>
      </c>
    </row>
    <row r="656">
      <c r="A656" s="20">
        <f>IF(A655="","",IF(A655+1&gt;Ввод!$B$4,"",A655+1))</f>
        <v/>
      </c>
      <c r="B656">
        <f>IF(A656="","",IFERROR(INDEX(Ввод!$B$12:$B$71,MATCH(A656,Ввод!$D$12:$D$71,1)),""))</f>
        <v/>
      </c>
      <c r="C656">
        <f>IF(A656="","",DATE(YEAR(A656),12,31)-DATE(YEAR(A656),1,1)+1)</f>
        <v/>
      </c>
      <c r="D656">
        <f>IF(A656="","",SUMIFS(Акты!$D$5:$D$16,Акты!$E$5:$E$16,"&lt;="&amp;A656)-SUMIFS(Оплаты!$B$6:$B$505,Оплаты!$A$6:$A$505,"&lt;"&amp;A656,Оплаты!$D$6:$D$505,"&lt;&gt;"))</f>
        <v/>
      </c>
      <c r="E656">
        <f>IF(A656="","",IF(SUMPRODUCT((Ввод!$F$12:$F$31&lt;&gt;"")*(Ввод!$F$12:$F$31&lt;=A656)*(Ввод!$G$12:$G$31&gt;=A656))&gt;0,1,0))</f>
        <v/>
      </c>
      <c r="G656">
        <f>IF(A656="","",IF(OR(B656&lt;&gt;B655,C656&lt;&gt;C655,E656&lt;&gt;E655),G655+1,G655))</f>
        <v/>
      </c>
    </row>
    <row r="657">
      <c r="A657" s="20">
        <f>IF(A656="","",IF(A656+1&gt;Ввод!$B$4,"",A656+1))</f>
        <v/>
      </c>
      <c r="B657">
        <f>IF(A657="","",IFERROR(INDEX(Ввод!$B$12:$B$71,MATCH(A657,Ввод!$D$12:$D$71,1)),""))</f>
        <v/>
      </c>
      <c r="C657">
        <f>IF(A657="","",DATE(YEAR(A657),12,31)-DATE(YEAR(A657),1,1)+1)</f>
        <v/>
      </c>
      <c r="D657">
        <f>IF(A657="","",SUMIFS(Акты!$D$5:$D$16,Акты!$E$5:$E$16,"&lt;="&amp;A657)-SUMIFS(Оплаты!$B$6:$B$505,Оплаты!$A$6:$A$505,"&lt;"&amp;A657,Оплаты!$D$6:$D$505,"&lt;&gt;"))</f>
        <v/>
      </c>
      <c r="E657">
        <f>IF(A657="","",IF(SUMPRODUCT((Ввод!$F$12:$F$31&lt;&gt;"")*(Ввод!$F$12:$F$31&lt;=A657)*(Ввод!$G$12:$G$31&gt;=A657))&gt;0,1,0))</f>
        <v/>
      </c>
      <c r="G657">
        <f>IF(A657="","",IF(OR(B657&lt;&gt;B656,C657&lt;&gt;C656,E657&lt;&gt;E656),G656+1,G656))</f>
        <v/>
      </c>
    </row>
    <row r="658">
      <c r="A658" s="20">
        <f>IF(A657="","",IF(A657+1&gt;Ввод!$B$4,"",A657+1))</f>
        <v/>
      </c>
      <c r="B658">
        <f>IF(A658="","",IFERROR(INDEX(Ввод!$B$12:$B$71,MATCH(A658,Ввод!$D$12:$D$71,1)),""))</f>
        <v/>
      </c>
      <c r="C658">
        <f>IF(A658="","",DATE(YEAR(A658),12,31)-DATE(YEAR(A658),1,1)+1)</f>
        <v/>
      </c>
      <c r="D658">
        <f>IF(A658="","",SUMIFS(Акты!$D$5:$D$16,Акты!$E$5:$E$16,"&lt;="&amp;A658)-SUMIFS(Оплаты!$B$6:$B$505,Оплаты!$A$6:$A$505,"&lt;"&amp;A658,Оплаты!$D$6:$D$505,"&lt;&gt;"))</f>
        <v/>
      </c>
      <c r="E658">
        <f>IF(A658="","",IF(SUMPRODUCT((Ввод!$F$12:$F$31&lt;&gt;"")*(Ввод!$F$12:$F$31&lt;=A658)*(Ввод!$G$12:$G$31&gt;=A658))&gt;0,1,0))</f>
        <v/>
      </c>
      <c r="G658">
        <f>IF(A658="","",IF(OR(B658&lt;&gt;B657,C658&lt;&gt;C657,E658&lt;&gt;E657),G657+1,G657))</f>
        <v/>
      </c>
    </row>
    <row r="659">
      <c r="A659" s="20">
        <f>IF(A658="","",IF(A658+1&gt;Ввод!$B$4,"",A658+1))</f>
        <v/>
      </c>
      <c r="B659">
        <f>IF(A659="","",IFERROR(INDEX(Ввод!$B$12:$B$71,MATCH(A659,Ввод!$D$12:$D$71,1)),""))</f>
        <v/>
      </c>
      <c r="C659">
        <f>IF(A659="","",DATE(YEAR(A659),12,31)-DATE(YEAR(A659),1,1)+1)</f>
        <v/>
      </c>
      <c r="D659">
        <f>IF(A659="","",SUMIFS(Акты!$D$5:$D$16,Акты!$E$5:$E$16,"&lt;="&amp;A659)-SUMIFS(Оплаты!$B$6:$B$505,Оплаты!$A$6:$A$505,"&lt;"&amp;A659,Оплаты!$D$6:$D$505,"&lt;&gt;"))</f>
        <v/>
      </c>
      <c r="E659">
        <f>IF(A659="","",IF(SUMPRODUCT((Ввод!$F$12:$F$31&lt;&gt;"")*(Ввод!$F$12:$F$31&lt;=A659)*(Ввод!$G$12:$G$31&gt;=A659))&gt;0,1,0))</f>
        <v/>
      </c>
      <c r="G659">
        <f>IF(A659="","",IF(OR(B659&lt;&gt;B658,C659&lt;&gt;C658,E659&lt;&gt;E658),G658+1,G658))</f>
        <v/>
      </c>
    </row>
    <row r="660">
      <c r="A660" s="20">
        <f>IF(A659="","",IF(A659+1&gt;Ввод!$B$4,"",A659+1))</f>
        <v/>
      </c>
      <c r="B660">
        <f>IF(A660="","",IFERROR(INDEX(Ввод!$B$12:$B$71,MATCH(A660,Ввод!$D$12:$D$71,1)),""))</f>
        <v/>
      </c>
      <c r="C660">
        <f>IF(A660="","",DATE(YEAR(A660),12,31)-DATE(YEAR(A660),1,1)+1)</f>
        <v/>
      </c>
      <c r="D660">
        <f>IF(A660="","",SUMIFS(Акты!$D$5:$D$16,Акты!$E$5:$E$16,"&lt;="&amp;A660)-SUMIFS(Оплаты!$B$6:$B$505,Оплаты!$A$6:$A$505,"&lt;"&amp;A660,Оплаты!$D$6:$D$505,"&lt;&gt;"))</f>
        <v/>
      </c>
      <c r="E660">
        <f>IF(A660="","",IF(SUMPRODUCT((Ввод!$F$12:$F$31&lt;&gt;"")*(Ввод!$F$12:$F$31&lt;=A660)*(Ввод!$G$12:$G$31&gt;=A660))&gt;0,1,0))</f>
        <v/>
      </c>
      <c r="G660">
        <f>IF(A660="","",IF(OR(B660&lt;&gt;B659,C660&lt;&gt;C659,E660&lt;&gt;E659),G659+1,G659))</f>
        <v/>
      </c>
    </row>
    <row r="661">
      <c r="A661" s="20">
        <f>IF(A660="","",IF(A660+1&gt;Ввод!$B$4,"",A660+1))</f>
        <v/>
      </c>
      <c r="B661">
        <f>IF(A661="","",IFERROR(INDEX(Ввод!$B$12:$B$71,MATCH(A661,Ввод!$D$12:$D$71,1)),""))</f>
        <v/>
      </c>
      <c r="C661">
        <f>IF(A661="","",DATE(YEAR(A661),12,31)-DATE(YEAR(A661),1,1)+1)</f>
        <v/>
      </c>
      <c r="D661">
        <f>IF(A661="","",SUMIFS(Акты!$D$5:$D$16,Акты!$E$5:$E$16,"&lt;="&amp;A661)-SUMIFS(Оплаты!$B$6:$B$505,Оплаты!$A$6:$A$505,"&lt;"&amp;A661,Оплаты!$D$6:$D$505,"&lt;&gt;"))</f>
        <v/>
      </c>
      <c r="E661">
        <f>IF(A661="","",IF(SUMPRODUCT((Ввод!$F$12:$F$31&lt;&gt;"")*(Ввод!$F$12:$F$31&lt;=A661)*(Ввод!$G$12:$G$31&gt;=A661))&gt;0,1,0))</f>
        <v/>
      </c>
      <c r="G661">
        <f>IF(A661="","",IF(OR(B661&lt;&gt;B660,C661&lt;&gt;C660,E661&lt;&gt;E660),G660+1,G660))</f>
        <v/>
      </c>
    </row>
    <row r="662">
      <c r="A662" s="20">
        <f>IF(A661="","",IF(A661+1&gt;Ввод!$B$4,"",A661+1))</f>
        <v/>
      </c>
      <c r="B662">
        <f>IF(A662="","",IFERROR(INDEX(Ввод!$B$12:$B$71,MATCH(A662,Ввод!$D$12:$D$71,1)),""))</f>
        <v/>
      </c>
      <c r="C662">
        <f>IF(A662="","",DATE(YEAR(A662),12,31)-DATE(YEAR(A662),1,1)+1)</f>
        <v/>
      </c>
      <c r="D662">
        <f>IF(A662="","",SUMIFS(Акты!$D$5:$D$16,Акты!$E$5:$E$16,"&lt;="&amp;A662)-SUMIFS(Оплаты!$B$6:$B$505,Оплаты!$A$6:$A$505,"&lt;"&amp;A662,Оплаты!$D$6:$D$505,"&lt;&gt;"))</f>
        <v/>
      </c>
      <c r="E662">
        <f>IF(A662="","",IF(SUMPRODUCT((Ввод!$F$12:$F$31&lt;&gt;"")*(Ввод!$F$12:$F$31&lt;=A662)*(Ввод!$G$12:$G$31&gt;=A662))&gt;0,1,0))</f>
        <v/>
      </c>
      <c r="G662">
        <f>IF(A662="","",IF(OR(B662&lt;&gt;B661,C662&lt;&gt;C661,E662&lt;&gt;E661),G661+1,G661))</f>
        <v/>
      </c>
    </row>
    <row r="663">
      <c r="A663" s="20">
        <f>IF(A662="","",IF(A662+1&gt;Ввод!$B$4,"",A662+1))</f>
        <v/>
      </c>
      <c r="B663">
        <f>IF(A663="","",IFERROR(INDEX(Ввод!$B$12:$B$71,MATCH(A663,Ввод!$D$12:$D$71,1)),""))</f>
        <v/>
      </c>
      <c r="C663">
        <f>IF(A663="","",DATE(YEAR(A663),12,31)-DATE(YEAR(A663),1,1)+1)</f>
        <v/>
      </c>
      <c r="D663">
        <f>IF(A663="","",SUMIFS(Акты!$D$5:$D$16,Акты!$E$5:$E$16,"&lt;="&amp;A663)-SUMIFS(Оплаты!$B$6:$B$505,Оплаты!$A$6:$A$505,"&lt;"&amp;A663,Оплаты!$D$6:$D$505,"&lt;&gt;"))</f>
        <v/>
      </c>
      <c r="E663">
        <f>IF(A663="","",IF(SUMPRODUCT((Ввод!$F$12:$F$31&lt;&gt;"")*(Ввод!$F$12:$F$31&lt;=A663)*(Ввод!$G$12:$G$31&gt;=A663))&gt;0,1,0))</f>
        <v/>
      </c>
      <c r="G663">
        <f>IF(A663="","",IF(OR(B663&lt;&gt;B662,C663&lt;&gt;C662,E663&lt;&gt;E662),G662+1,G662))</f>
        <v/>
      </c>
    </row>
    <row r="664">
      <c r="A664" s="20">
        <f>IF(A663="","",IF(A663+1&gt;Ввод!$B$4,"",A663+1))</f>
        <v/>
      </c>
      <c r="B664">
        <f>IF(A664="","",IFERROR(INDEX(Ввод!$B$12:$B$71,MATCH(A664,Ввод!$D$12:$D$71,1)),""))</f>
        <v/>
      </c>
      <c r="C664">
        <f>IF(A664="","",DATE(YEAR(A664),12,31)-DATE(YEAR(A664),1,1)+1)</f>
        <v/>
      </c>
      <c r="D664">
        <f>IF(A664="","",SUMIFS(Акты!$D$5:$D$16,Акты!$E$5:$E$16,"&lt;="&amp;A664)-SUMIFS(Оплаты!$B$6:$B$505,Оплаты!$A$6:$A$505,"&lt;"&amp;A664,Оплаты!$D$6:$D$505,"&lt;&gt;"))</f>
        <v/>
      </c>
      <c r="E664">
        <f>IF(A664="","",IF(SUMPRODUCT((Ввод!$F$12:$F$31&lt;&gt;"")*(Ввод!$F$12:$F$31&lt;=A664)*(Ввод!$G$12:$G$31&gt;=A664))&gt;0,1,0))</f>
        <v/>
      </c>
      <c r="G664">
        <f>IF(A664="","",IF(OR(B664&lt;&gt;B663,C664&lt;&gt;C663,E664&lt;&gt;E663),G663+1,G663))</f>
        <v/>
      </c>
    </row>
    <row r="665">
      <c r="A665" s="20">
        <f>IF(A664="","",IF(A664+1&gt;Ввод!$B$4,"",A664+1))</f>
        <v/>
      </c>
      <c r="B665">
        <f>IF(A665="","",IFERROR(INDEX(Ввод!$B$12:$B$71,MATCH(A665,Ввод!$D$12:$D$71,1)),""))</f>
        <v/>
      </c>
      <c r="C665">
        <f>IF(A665="","",DATE(YEAR(A665),12,31)-DATE(YEAR(A665),1,1)+1)</f>
        <v/>
      </c>
      <c r="D665">
        <f>IF(A665="","",SUMIFS(Акты!$D$5:$D$16,Акты!$E$5:$E$16,"&lt;="&amp;A665)-SUMIFS(Оплаты!$B$6:$B$505,Оплаты!$A$6:$A$505,"&lt;"&amp;A665,Оплаты!$D$6:$D$505,"&lt;&gt;"))</f>
        <v/>
      </c>
      <c r="E665">
        <f>IF(A665="","",IF(SUMPRODUCT((Ввод!$F$12:$F$31&lt;&gt;"")*(Ввод!$F$12:$F$31&lt;=A665)*(Ввод!$G$12:$G$31&gt;=A665))&gt;0,1,0))</f>
        <v/>
      </c>
      <c r="G665">
        <f>IF(A665="","",IF(OR(B665&lt;&gt;B664,C665&lt;&gt;C664,E665&lt;&gt;E664),G664+1,G664))</f>
        <v/>
      </c>
    </row>
    <row r="666">
      <c r="A666" s="20">
        <f>IF(A665="","",IF(A665+1&gt;Ввод!$B$4,"",A665+1))</f>
        <v/>
      </c>
      <c r="B666">
        <f>IF(A666="","",IFERROR(INDEX(Ввод!$B$12:$B$71,MATCH(A666,Ввод!$D$12:$D$71,1)),""))</f>
        <v/>
      </c>
      <c r="C666">
        <f>IF(A666="","",DATE(YEAR(A666),12,31)-DATE(YEAR(A666),1,1)+1)</f>
        <v/>
      </c>
      <c r="D666">
        <f>IF(A666="","",SUMIFS(Акты!$D$5:$D$16,Акты!$E$5:$E$16,"&lt;="&amp;A666)-SUMIFS(Оплаты!$B$6:$B$505,Оплаты!$A$6:$A$505,"&lt;"&amp;A666,Оплаты!$D$6:$D$505,"&lt;&gt;"))</f>
        <v/>
      </c>
      <c r="E666">
        <f>IF(A666="","",IF(SUMPRODUCT((Ввод!$F$12:$F$31&lt;&gt;"")*(Ввод!$F$12:$F$31&lt;=A666)*(Ввод!$G$12:$G$31&gt;=A666))&gt;0,1,0))</f>
        <v/>
      </c>
      <c r="G666">
        <f>IF(A666="","",IF(OR(B666&lt;&gt;B665,C666&lt;&gt;C665,E666&lt;&gt;E665),G665+1,G665))</f>
        <v/>
      </c>
    </row>
    <row r="667">
      <c r="A667" s="20">
        <f>IF(A666="","",IF(A666+1&gt;Ввод!$B$4,"",A666+1))</f>
        <v/>
      </c>
      <c r="B667">
        <f>IF(A667="","",IFERROR(INDEX(Ввод!$B$12:$B$71,MATCH(A667,Ввод!$D$12:$D$71,1)),""))</f>
        <v/>
      </c>
      <c r="C667">
        <f>IF(A667="","",DATE(YEAR(A667),12,31)-DATE(YEAR(A667),1,1)+1)</f>
        <v/>
      </c>
      <c r="D667">
        <f>IF(A667="","",SUMIFS(Акты!$D$5:$D$16,Акты!$E$5:$E$16,"&lt;="&amp;A667)-SUMIFS(Оплаты!$B$6:$B$505,Оплаты!$A$6:$A$505,"&lt;"&amp;A667,Оплаты!$D$6:$D$505,"&lt;&gt;"))</f>
        <v/>
      </c>
      <c r="E667">
        <f>IF(A667="","",IF(SUMPRODUCT((Ввод!$F$12:$F$31&lt;&gt;"")*(Ввод!$F$12:$F$31&lt;=A667)*(Ввод!$G$12:$G$31&gt;=A667))&gt;0,1,0))</f>
        <v/>
      </c>
      <c r="G667">
        <f>IF(A667="","",IF(OR(B667&lt;&gt;B666,C667&lt;&gt;C666,E667&lt;&gt;E666),G666+1,G666))</f>
        <v/>
      </c>
    </row>
    <row r="668">
      <c r="A668" s="20">
        <f>IF(A667="","",IF(A667+1&gt;Ввод!$B$4,"",A667+1))</f>
        <v/>
      </c>
      <c r="B668">
        <f>IF(A668="","",IFERROR(INDEX(Ввод!$B$12:$B$71,MATCH(A668,Ввод!$D$12:$D$71,1)),""))</f>
        <v/>
      </c>
      <c r="C668">
        <f>IF(A668="","",DATE(YEAR(A668),12,31)-DATE(YEAR(A668),1,1)+1)</f>
        <v/>
      </c>
      <c r="D668">
        <f>IF(A668="","",SUMIFS(Акты!$D$5:$D$16,Акты!$E$5:$E$16,"&lt;="&amp;A668)-SUMIFS(Оплаты!$B$6:$B$505,Оплаты!$A$6:$A$505,"&lt;"&amp;A668,Оплаты!$D$6:$D$505,"&lt;&gt;"))</f>
        <v/>
      </c>
      <c r="E668">
        <f>IF(A668="","",IF(SUMPRODUCT((Ввод!$F$12:$F$31&lt;&gt;"")*(Ввод!$F$12:$F$31&lt;=A668)*(Ввод!$G$12:$G$31&gt;=A668))&gt;0,1,0))</f>
        <v/>
      </c>
      <c r="G668">
        <f>IF(A668="","",IF(OR(B668&lt;&gt;B667,C668&lt;&gt;C667,E668&lt;&gt;E667),G667+1,G667))</f>
        <v/>
      </c>
    </row>
    <row r="669">
      <c r="A669" s="20">
        <f>IF(A668="","",IF(A668+1&gt;Ввод!$B$4,"",A668+1))</f>
        <v/>
      </c>
      <c r="B669">
        <f>IF(A669="","",IFERROR(INDEX(Ввод!$B$12:$B$71,MATCH(A669,Ввод!$D$12:$D$71,1)),""))</f>
        <v/>
      </c>
      <c r="C669">
        <f>IF(A669="","",DATE(YEAR(A669),12,31)-DATE(YEAR(A669),1,1)+1)</f>
        <v/>
      </c>
      <c r="D669">
        <f>IF(A669="","",SUMIFS(Акты!$D$5:$D$16,Акты!$E$5:$E$16,"&lt;="&amp;A669)-SUMIFS(Оплаты!$B$6:$B$505,Оплаты!$A$6:$A$505,"&lt;"&amp;A669,Оплаты!$D$6:$D$505,"&lt;&gt;"))</f>
        <v/>
      </c>
      <c r="E669">
        <f>IF(A669="","",IF(SUMPRODUCT((Ввод!$F$12:$F$31&lt;&gt;"")*(Ввод!$F$12:$F$31&lt;=A669)*(Ввод!$G$12:$G$31&gt;=A669))&gt;0,1,0))</f>
        <v/>
      </c>
      <c r="G669">
        <f>IF(A669="","",IF(OR(B669&lt;&gt;B668,C669&lt;&gt;C668,E669&lt;&gt;E668),G668+1,G668))</f>
        <v/>
      </c>
    </row>
    <row r="670">
      <c r="A670" s="20">
        <f>IF(A669="","",IF(A669+1&gt;Ввод!$B$4,"",A669+1))</f>
        <v/>
      </c>
      <c r="B670">
        <f>IF(A670="","",IFERROR(INDEX(Ввод!$B$12:$B$71,MATCH(A670,Ввод!$D$12:$D$71,1)),""))</f>
        <v/>
      </c>
      <c r="C670">
        <f>IF(A670="","",DATE(YEAR(A670),12,31)-DATE(YEAR(A670),1,1)+1)</f>
        <v/>
      </c>
      <c r="D670">
        <f>IF(A670="","",SUMIFS(Акты!$D$5:$D$16,Акты!$E$5:$E$16,"&lt;="&amp;A670)-SUMIFS(Оплаты!$B$6:$B$505,Оплаты!$A$6:$A$505,"&lt;"&amp;A670,Оплаты!$D$6:$D$505,"&lt;&gt;"))</f>
        <v/>
      </c>
      <c r="E670">
        <f>IF(A670="","",IF(SUMPRODUCT((Ввод!$F$12:$F$31&lt;&gt;"")*(Ввод!$F$12:$F$31&lt;=A670)*(Ввод!$G$12:$G$31&gt;=A670))&gt;0,1,0))</f>
        <v/>
      </c>
      <c r="G670">
        <f>IF(A670="","",IF(OR(B670&lt;&gt;B669,C670&lt;&gt;C669,E670&lt;&gt;E669),G669+1,G669))</f>
        <v/>
      </c>
    </row>
    <row r="671">
      <c r="A671" s="20">
        <f>IF(A670="","",IF(A670+1&gt;Ввод!$B$4,"",A670+1))</f>
        <v/>
      </c>
      <c r="B671">
        <f>IF(A671="","",IFERROR(INDEX(Ввод!$B$12:$B$71,MATCH(A671,Ввод!$D$12:$D$71,1)),""))</f>
        <v/>
      </c>
      <c r="C671">
        <f>IF(A671="","",DATE(YEAR(A671),12,31)-DATE(YEAR(A671),1,1)+1)</f>
        <v/>
      </c>
      <c r="D671">
        <f>IF(A671="","",SUMIFS(Акты!$D$5:$D$16,Акты!$E$5:$E$16,"&lt;="&amp;A671)-SUMIFS(Оплаты!$B$6:$B$505,Оплаты!$A$6:$A$505,"&lt;"&amp;A671,Оплаты!$D$6:$D$505,"&lt;&gt;"))</f>
        <v/>
      </c>
      <c r="E671">
        <f>IF(A671="","",IF(SUMPRODUCT((Ввод!$F$12:$F$31&lt;&gt;"")*(Ввод!$F$12:$F$31&lt;=A671)*(Ввод!$G$12:$G$31&gt;=A671))&gt;0,1,0))</f>
        <v/>
      </c>
      <c r="G671">
        <f>IF(A671="","",IF(OR(B671&lt;&gt;B670,C671&lt;&gt;C670,E671&lt;&gt;E670),G670+1,G670))</f>
        <v/>
      </c>
    </row>
    <row r="672">
      <c r="A672" s="20">
        <f>IF(A671="","",IF(A671+1&gt;Ввод!$B$4,"",A671+1))</f>
        <v/>
      </c>
      <c r="B672">
        <f>IF(A672="","",IFERROR(INDEX(Ввод!$B$12:$B$71,MATCH(A672,Ввод!$D$12:$D$71,1)),""))</f>
        <v/>
      </c>
      <c r="C672">
        <f>IF(A672="","",DATE(YEAR(A672),12,31)-DATE(YEAR(A672),1,1)+1)</f>
        <v/>
      </c>
      <c r="D672">
        <f>IF(A672="","",SUMIFS(Акты!$D$5:$D$16,Акты!$E$5:$E$16,"&lt;="&amp;A672)-SUMIFS(Оплаты!$B$6:$B$505,Оплаты!$A$6:$A$505,"&lt;"&amp;A672,Оплаты!$D$6:$D$505,"&lt;&gt;"))</f>
        <v/>
      </c>
      <c r="E672">
        <f>IF(A672="","",IF(SUMPRODUCT((Ввод!$F$12:$F$31&lt;&gt;"")*(Ввод!$F$12:$F$31&lt;=A672)*(Ввод!$G$12:$G$31&gt;=A672))&gt;0,1,0))</f>
        <v/>
      </c>
      <c r="G672">
        <f>IF(A672="","",IF(OR(B672&lt;&gt;B671,C672&lt;&gt;C671,E672&lt;&gt;E671),G671+1,G671))</f>
        <v/>
      </c>
    </row>
    <row r="673">
      <c r="A673" s="20">
        <f>IF(A672="","",IF(A672+1&gt;Ввод!$B$4,"",A672+1))</f>
        <v/>
      </c>
      <c r="B673">
        <f>IF(A673="","",IFERROR(INDEX(Ввод!$B$12:$B$71,MATCH(A673,Ввод!$D$12:$D$71,1)),""))</f>
        <v/>
      </c>
      <c r="C673">
        <f>IF(A673="","",DATE(YEAR(A673),12,31)-DATE(YEAR(A673),1,1)+1)</f>
        <v/>
      </c>
      <c r="D673">
        <f>IF(A673="","",SUMIFS(Акты!$D$5:$D$16,Акты!$E$5:$E$16,"&lt;="&amp;A673)-SUMIFS(Оплаты!$B$6:$B$505,Оплаты!$A$6:$A$505,"&lt;"&amp;A673,Оплаты!$D$6:$D$505,"&lt;&gt;"))</f>
        <v/>
      </c>
      <c r="E673">
        <f>IF(A673="","",IF(SUMPRODUCT((Ввод!$F$12:$F$31&lt;&gt;"")*(Ввод!$F$12:$F$31&lt;=A673)*(Ввод!$G$12:$G$31&gt;=A673))&gt;0,1,0))</f>
        <v/>
      </c>
      <c r="G673">
        <f>IF(A673="","",IF(OR(B673&lt;&gt;B672,C673&lt;&gt;C672,E673&lt;&gt;E672),G672+1,G672))</f>
        <v/>
      </c>
    </row>
    <row r="674">
      <c r="A674" s="20">
        <f>IF(A673="","",IF(A673+1&gt;Ввод!$B$4,"",A673+1))</f>
        <v/>
      </c>
      <c r="B674">
        <f>IF(A674="","",IFERROR(INDEX(Ввод!$B$12:$B$71,MATCH(A674,Ввод!$D$12:$D$71,1)),""))</f>
        <v/>
      </c>
      <c r="C674">
        <f>IF(A674="","",DATE(YEAR(A674),12,31)-DATE(YEAR(A674),1,1)+1)</f>
        <v/>
      </c>
      <c r="D674">
        <f>IF(A674="","",SUMIFS(Акты!$D$5:$D$16,Акты!$E$5:$E$16,"&lt;="&amp;A674)-SUMIFS(Оплаты!$B$6:$B$505,Оплаты!$A$6:$A$505,"&lt;"&amp;A674,Оплаты!$D$6:$D$505,"&lt;&gt;"))</f>
        <v/>
      </c>
      <c r="E674">
        <f>IF(A674="","",IF(SUMPRODUCT((Ввод!$F$12:$F$31&lt;&gt;"")*(Ввод!$F$12:$F$31&lt;=A674)*(Ввод!$G$12:$G$31&gt;=A674))&gt;0,1,0))</f>
        <v/>
      </c>
      <c r="G674">
        <f>IF(A674="","",IF(OR(B674&lt;&gt;B673,C674&lt;&gt;C673,E674&lt;&gt;E673),G673+1,G673))</f>
        <v/>
      </c>
    </row>
    <row r="675">
      <c r="A675" s="20">
        <f>IF(A674="","",IF(A674+1&gt;Ввод!$B$4,"",A674+1))</f>
        <v/>
      </c>
      <c r="B675">
        <f>IF(A675="","",IFERROR(INDEX(Ввод!$B$12:$B$71,MATCH(A675,Ввод!$D$12:$D$71,1)),""))</f>
        <v/>
      </c>
      <c r="C675">
        <f>IF(A675="","",DATE(YEAR(A675),12,31)-DATE(YEAR(A675),1,1)+1)</f>
        <v/>
      </c>
      <c r="D675">
        <f>IF(A675="","",SUMIFS(Акты!$D$5:$D$16,Акты!$E$5:$E$16,"&lt;="&amp;A675)-SUMIFS(Оплаты!$B$6:$B$505,Оплаты!$A$6:$A$505,"&lt;"&amp;A675,Оплаты!$D$6:$D$505,"&lt;&gt;"))</f>
        <v/>
      </c>
      <c r="E675">
        <f>IF(A675="","",IF(SUMPRODUCT((Ввод!$F$12:$F$31&lt;&gt;"")*(Ввод!$F$12:$F$31&lt;=A675)*(Ввод!$G$12:$G$31&gt;=A675))&gt;0,1,0))</f>
        <v/>
      </c>
      <c r="G675">
        <f>IF(A675="","",IF(OR(B675&lt;&gt;B674,C675&lt;&gt;C674,E675&lt;&gt;E674),G674+1,G674))</f>
        <v/>
      </c>
    </row>
    <row r="676">
      <c r="A676" s="20">
        <f>IF(A675="","",IF(A675+1&gt;Ввод!$B$4,"",A675+1))</f>
        <v/>
      </c>
      <c r="B676">
        <f>IF(A676="","",IFERROR(INDEX(Ввод!$B$12:$B$71,MATCH(A676,Ввод!$D$12:$D$71,1)),""))</f>
        <v/>
      </c>
      <c r="C676">
        <f>IF(A676="","",DATE(YEAR(A676),12,31)-DATE(YEAR(A676),1,1)+1)</f>
        <v/>
      </c>
      <c r="D676">
        <f>IF(A676="","",SUMIFS(Акты!$D$5:$D$16,Акты!$E$5:$E$16,"&lt;="&amp;A676)-SUMIFS(Оплаты!$B$6:$B$505,Оплаты!$A$6:$A$505,"&lt;"&amp;A676,Оплаты!$D$6:$D$505,"&lt;&gt;"))</f>
        <v/>
      </c>
      <c r="E676">
        <f>IF(A676="","",IF(SUMPRODUCT((Ввод!$F$12:$F$31&lt;&gt;"")*(Ввод!$F$12:$F$31&lt;=A676)*(Ввод!$G$12:$G$31&gt;=A676))&gt;0,1,0))</f>
        <v/>
      </c>
      <c r="G676">
        <f>IF(A676="","",IF(OR(B676&lt;&gt;B675,C676&lt;&gt;C675,E676&lt;&gt;E675),G675+1,G675))</f>
        <v/>
      </c>
    </row>
    <row r="677">
      <c r="A677" s="20">
        <f>IF(A676="","",IF(A676+1&gt;Ввод!$B$4,"",A676+1))</f>
        <v/>
      </c>
      <c r="B677">
        <f>IF(A677="","",IFERROR(INDEX(Ввод!$B$12:$B$71,MATCH(A677,Ввод!$D$12:$D$71,1)),""))</f>
        <v/>
      </c>
      <c r="C677">
        <f>IF(A677="","",DATE(YEAR(A677),12,31)-DATE(YEAR(A677),1,1)+1)</f>
        <v/>
      </c>
      <c r="D677">
        <f>IF(A677="","",SUMIFS(Акты!$D$5:$D$16,Акты!$E$5:$E$16,"&lt;="&amp;A677)-SUMIFS(Оплаты!$B$6:$B$505,Оплаты!$A$6:$A$505,"&lt;"&amp;A677,Оплаты!$D$6:$D$505,"&lt;&gt;"))</f>
        <v/>
      </c>
      <c r="E677">
        <f>IF(A677="","",IF(SUMPRODUCT((Ввод!$F$12:$F$31&lt;&gt;"")*(Ввод!$F$12:$F$31&lt;=A677)*(Ввод!$G$12:$G$31&gt;=A677))&gt;0,1,0))</f>
        <v/>
      </c>
      <c r="G677">
        <f>IF(A677="","",IF(OR(B677&lt;&gt;B676,C677&lt;&gt;C676,E677&lt;&gt;E676),G676+1,G676))</f>
        <v/>
      </c>
    </row>
    <row r="678">
      <c r="A678" s="20">
        <f>IF(A677="","",IF(A677+1&gt;Ввод!$B$4,"",A677+1))</f>
        <v/>
      </c>
      <c r="B678">
        <f>IF(A678="","",IFERROR(INDEX(Ввод!$B$12:$B$71,MATCH(A678,Ввод!$D$12:$D$71,1)),""))</f>
        <v/>
      </c>
      <c r="C678">
        <f>IF(A678="","",DATE(YEAR(A678),12,31)-DATE(YEAR(A678),1,1)+1)</f>
        <v/>
      </c>
      <c r="D678">
        <f>IF(A678="","",SUMIFS(Акты!$D$5:$D$16,Акты!$E$5:$E$16,"&lt;="&amp;A678)-SUMIFS(Оплаты!$B$6:$B$505,Оплаты!$A$6:$A$505,"&lt;"&amp;A678,Оплаты!$D$6:$D$505,"&lt;&gt;"))</f>
        <v/>
      </c>
      <c r="E678">
        <f>IF(A678="","",IF(SUMPRODUCT((Ввод!$F$12:$F$31&lt;&gt;"")*(Ввод!$F$12:$F$31&lt;=A678)*(Ввод!$G$12:$G$31&gt;=A678))&gt;0,1,0))</f>
        <v/>
      </c>
      <c r="G678">
        <f>IF(A678="","",IF(OR(B678&lt;&gt;B677,C678&lt;&gt;C677,E678&lt;&gt;E677),G677+1,G677))</f>
        <v/>
      </c>
    </row>
    <row r="679">
      <c r="A679" s="20">
        <f>IF(A678="","",IF(A678+1&gt;Ввод!$B$4,"",A678+1))</f>
        <v/>
      </c>
      <c r="B679">
        <f>IF(A679="","",IFERROR(INDEX(Ввод!$B$12:$B$71,MATCH(A679,Ввод!$D$12:$D$71,1)),""))</f>
        <v/>
      </c>
      <c r="C679">
        <f>IF(A679="","",DATE(YEAR(A679),12,31)-DATE(YEAR(A679),1,1)+1)</f>
        <v/>
      </c>
      <c r="D679">
        <f>IF(A679="","",SUMIFS(Акты!$D$5:$D$16,Акты!$E$5:$E$16,"&lt;="&amp;A679)-SUMIFS(Оплаты!$B$6:$B$505,Оплаты!$A$6:$A$505,"&lt;"&amp;A679,Оплаты!$D$6:$D$505,"&lt;&gt;"))</f>
        <v/>
      </c>
      <c r="E679">
        <f>IF(A679="","",IF(SUMPRODUCT((Ввод!$F$12:$F$31&lt;&gt;"")*(Ввод!$F$12:$F$31&lt;=A679)*(Ввод!$G$12:$G$31&gt;=A679))&gt;0,1,0))</f>
        <v/>
      </c>
      <c r="G679">
        <f>IF(A679="","",IF(OR(B679&lt;&gt;B678,C679&lt;&gt;C678,E679&lt;&gt;E678),G678+1,G678))</f>
        <v/>
      </c>
    </row>
    <row r="680">
      <c r="A680" s="20">
        <f>IF(A679="","",IF(A679+1&gt;Ввод!$B$4,"",A679+1))</f>
        <v/>
      </c>
      <c r="B680">
        <f>IF(A680="","",IFERROR(INDEX(Ввод!$B$12:$B$71,MATCH(A680,Ввод!$D$12:$D$71,1)),""))</f>
        <v/>
      </c>
      <c r="C680">
        <f>IF(A680="","",DATE(YEAR(A680),12,31)-DATE(YEAR(A680),1,1)+1)</f>
        <v/>
      </c>
      <c r="D680">
        <f>IF(A680="","",SUMIFS(Акты!$D$5:$D$16,Акты!$E$5:$E$16,"&lt;="&amp;A680)-SUMIFS(Оплаты!$B$6:$B$505,Оплаты!$A$6:$A$505,"&lt;"&amp;A680,Оплаты!$D$6:$D$505,"&lt;&gt;"))</f>
        <v/>
      </c>
      <c r="E680">
        <f>IF(A680="","",IF(SUMPRODUCT((Ввод!$F$12:$F$31&lt;&gt;"")*(Ввод!$F$12:$F$31&lt;=A680)*(Ввод!$G$12:$G$31&gt;=A680))&gt;0,1,0))</f>
        <v/>
      </c>
      <c r="G680">
        <f>IF(A680="","",IF(OR(B680&lt;&gt;B679,C680&lt;&gt;C679,E680&lt;&gt;E679),G679+1,G679))</f>
        <v/>
      </c>
    </row>
    <row r="681">
      <c r="A681" s="20">
        <f>IF(A680="","",IF(A680+1&gt;Ввод!$B$4,"",A680+1))</f>
        <v/>
      </c>
      <c r="B681">
        <f>IF(A681="","",IFERROR(INDEX(Ввод!$B$12:$B$71,MATCH(A681,Ввод!$D$12:$D$71,1)),""))</f>
        <v/>
      </c>
      <c r="C681">
        <f>IF(A681="","",DATE(YEAR(A681),12,31)-DATE(YEAR(A681),1,1)+1)</f>
        <v/>
      </c>
      <c r="D681">
        <f>IF(A681="","",SUMIFS(Акты!$D$5:$D$16,Акты!$E$5:$E$16,"&lt;="&amp;A681)-SUMIFS(Оплаты!$B$6:$B$505,Оплаты!$A$6:$A$505,"&lt;"&amp;A681,Оплаты!$D$6:$D$505,"&lt;&gt;"))</f>
        <v/>
      </c>
      <c r="E681">
        <f>IF(A681="","",IF(SUMPRODUCT((Ввод!$F$12:$F$31&lt;&gt;"")*(Ввод!$F$12:$F$31&lt;=A681)*(Ввод!$G$12:$G$31&gt;=A681))&gt;0,1,0))</f>
        <v/>
      </c>
      <c r="G681">
        <f>IF(A681="","",IF(OR(B681&lt;&gt;B680,C681&lt;&gt;C680,E681&lt;&gt;E680),G680+1,G680))</f>
        <v/>
      </c>
    </row>
    <row r="682">
      <c r="A682" s="20">
        <f>IF(A681="","",IF(A681+1&gt;Ввод!$B$4,"",A681+1))</f>
        <v/>
      </c>
      <c r="B682">
        <f>IF(A682="","",IFERROR(INDEX(Ввод!$B$12:$B$71,MATCH(A682,Ввод!$D$12:$D$71,1)),""))</f>
        <v/>
      </c>
      <c r="C682">
        <f>IF(A682="","",DATE(YEAR(A682),12,31)-DATE(YEAR(A682),1,1)+1)</f>
        <v/>
      </c>
      <c r="D682">
        <f>IF(A682="","",SUMIFS(Акты!$D$5:$D$16,Акты!$E$5:$E$16,"&lt;="&amp;A682)-SUMIFS(Оплаты!$B$6:$B$505,Оплаты!$A$6:$A$505,"&lt;"&amp;A682,Оплаты!$D$6:$D$505,"&lt;&gt;"))</f>
        <v/>
      </c>
      <c r="E682">
        <f>IF(A682="","",IF(SUMPRODUCT((Ввод!$F$12:$F$31&lt;&gt;"")*(Ввод!$F$12:$F$31&lt;=A682)*(Ввод!$G$12:$G$31&gt;=A682))&gt;0,1,0))</f>
        <v/>
      </c>
      <c r="G682">
        <f>IF(A682="","",IF(OR(B682&lt;&gt;B681,C682&lt;&gt;C681,E682&lt;&gt;E681),G681+1,G681))</f>
        <v/>
      </c>
    </row>
    <row r="683">
      <c r="A683" s="20">
        <f>IF(A682="","",IF(A682+1&gt;Ввод!$B$4,"",A682+1))</f>
        <v/>
      </c>
      <c r="B683">
        <f>IF(A683="","",IFERROR(INDEX(Ввод!$B$12:$B$71,MATCH(A683,Ввод!$D$12:$D$71,1)),""))</f>
        <v/>
      </c>
      <c r="C683">
        <f>IF(A683="","",DATE(YEAR(A683),12,31)-DATE(YEAR(A683),1,1)+1)</f>
        <v/>
      </c>
      <c r="D683">
        <f>IF(A683="","",SUMIFS(Акты!$D$5:$D$16,Акты!$E$5:$E$16,"&lt;="&amp;A683)-SUMIFS(Оплаты!$B$6:$B$505,Оплаты!$A$6:$A$505,"&lt;"&amp;A683,Оплаты!$D$6:$D$505,"&lt;&gt;"))</f>
        <v/>
      </c>
      <c r="E683">
        <f>IF(A683="","",IF(SUMPRODUCT((Ввод!$F$12:$F$31&lt;&gt;"")*(Ввод!$F$12:$F$31&lt;=A683)*(Ввод!$G$12:$G$31&gt;=A683))&gt;0,1,0))</f>
        <v/>
      </c>
      <c r="G683">
        <f>IF(A683="","",IF(OR(B683&lt;&gt;B682,C683&lt;&gt;C682,E683&lt;&gt;E682),G682+1,G682))</f>
        <v/>
      </c>
    </row>
    <row r="684">
      <c r="A684" s="20">
        <f>IF(A683="","",IF(A683+1&gt;Ввод!$B$4,"",A683+1))</f>
        <v/>
      </c>
      <c r="B684">
        <f>IF(A684="","",IFERROR(INDEX(Ввод!$B$12:$B$71,MATCH(A684,Ввод!$D$12:$D$71,1)),""))</f>
        <v/>
      </c>
      <c r="C684">
        <f>IF(A684="","",DATE(YEAR(A684),12,31)-DATE(YEAR(A684),1,1)+1)</f>
        <v/>
      </c>
      <c r="D684">
        <f>IF(A684="","",SUMIFS(Акты!$D$5:$D$16,Акты!$E$5:$E$16,"&lt;="&amp;A684)-SUMIFS(Оплаты!$B$6:$B$505,Оплаты!$A$6:$A$505,"&lt;"&amp;A684,Оплаты!$D$6:$D$505,"&lt;&gt;"))</f>
        <v/>
      </c>
      <c r="E684">
        <f>IF(A684="","",IF(SUMPRODUCT((Ввод!$F$12:$F$31&lt;&gt;"")*(Ввод!$F$12:$F$31&lt;=A684)*(Ввод!$G$12:$G$31&gt;=A684))&gt;0,1,0))</f>
        <v/>
      </c>
      <c r="G684">
        <f>IF(A684="","",IF(OR(B684&lt;&gt;B683,C684&lt;&gt;C683,E684&lt;&gt;E683),G683+1,G683))</f>
        <v/>
      </c>
    </row>
    <row r="685">
      <c r="A685" s="20">
        <f>IF(A684="","",IF(A684+1&gt;Ввод!$B$4,"",A684+1))</f>
        <v/>
      </c>
      <c r="B685">
        <f>IF(A685="","",IFERROR(INDEX(Ввод!$B$12:$B$71,MATCH(A685,Ввод!$D$12:$D$71,1)),""))</f>
        <v/>
      </c>
      <c r="C685">
        <f>IF(A685="","",DATE(YEAR(A685),12,31)-DATE(YEAR(A685),1,1)+1)</f>
        <v/>
      </c>
      <c r="D685">
        <f>IF(A685="","",SUMIFS(Акты!$D$5:$D$16,Акты!$E$5:$E$16,"&lt;="&amp;A685)-SUMIFS(Оплаты!$B$6:$B$505,Оплаты!$A$6:$A$505,"&lt;"&amp;A685,Оплаты!$D$6:$D$505,"&lt;&gt;"))</f>
        <v/>
      </c>
      <c r="E685">
        <f>IF(A685="","",IF(SUMPRODUCT((Ввод!$F$12:$F$31&lt;&gt;"")*(Ввод!$F$12:$F$31&lt;=A685)*(Ввод!$G$12:$G$31&gt;=A685))&gt;0,1,0))</f>
        <v/>
      </c>
      <c r="G685">
        <f>IF(A685="","",IF(OR(B685&lt;&gt;B684,C685&lt;&gt;C684,E685&lt;&gt;E684),G684+1,G684))</f>
        <v/>
      </c>
    </row>
    <row r="686">
      <c r="A686" s="20">
        <f>IF(A685="","",IF(A685+1&gt;Ввод!$B$4,"",A685+1))</f>
        <v/>
      </c>
      <c r="B686">
        <f>IF(A686="","",IFERROR(INDEX(Ввод!$B$12:$B$71,MATCH(A686,Ввод!$D$12:$D$71,1)),""))</f>
        <v/>
      </c>
      <c r="C686">
        <f>IF(A686="","",DATE(YEAR(A686),12,31)-DATE(YEAR(A686),1,1)+1)</f>
        <v/>
      </c>
      <c r="D686">
        <f>IF(A686="","",SUMIFS(Акты!$D$5:$D$16,Акты!$E$5:$E$16,"&lt;="&amp;A686)-SUMIFS(Оплаты!$B$6:$B$505,Оплаты!$A$6:$A$505,"&lt;"&amp;A686,Оплаты!$D$6:$D$505,"&lt;&gt;"))</f>
        <v/>
      </c>
      <c r="E686">
        <f>IF(A686="","",IF(SUMPRODUCT((Ввод!$F$12:$F$31&lt;&gt;"")*(Ввод!$F$12:$F$31&lt;=A686)*(Ввод!$G$12:$G$31&gt;=A686))&gt;0,1,0))</f>
        <v/>
      </c>
      <c r="G686">
        <f>IF(A686="","",IF(OR(B686&lt;&gt;B685,C686&lt;&gt;C685,E686&lt;&gt;E685),G685+1,G685))</f>
        <v/>
      </c>
    </row>
    <row r="687">
      <c r="A687" s="20">
        <f>IF(A686="","",IF(A686+1&gt;Ввод!$B$4,"",A686+1))</f>
        <v/>
      </c>
      <c r="B687">
        <f>IF(A687="","",IFERROR(INDEX(Ввод!$B$12:$B$71,MATCH(A687,Ввод!$D$12:$D$71,1)),""))</f>
        <v/>
      </c>
      <c r="C687">
        <f>IF(A687="","",DATE(YEAR(A687),12,31)-DATE(YEAR(A687),1,1)+1)</f>
        <v/>
      </c>
      <c r="D687">
        <f>IF(A687="","",SUMIFS(Акты!$D$5:$D$16,Акты!$E$5:$E$16,"&lt;="&amp;A687)-SUMIFS(Оплаты!$B$6:$B$505,Оплаты!$A$6:$A$505,"&lt;"&amp;A687,Оплаты!$D$6:$D$505,"&lt;&gt;"))</f>
        <v/>
      </c>
      <c r="E687">
        <f>IF(A687="","",IF(SUMPRODUCT((Ввод!$F$12:$F$31&lt;&gt;"")*(Ввод!$F$12:$F$31&lt;=A687)*(Ввод!$G$12:$G$31&gt;=A687))&gt;0,1,0))</f>
        <v/>
      </c>
      <c r="G687">
        <f>IF(A687="","",IF(OR(B687&lt;&gt;B686,C687&lt;&gt;C686,E687&lt;&gt;E686),G686+1,G686))</f>
        <v/>
      </c>
    </row>
    <row r="688">
      <c r="A688" s="20">
        <f>IF(A687="","",IF(A687+1&gt;Ввод!$B$4,"",A687+1))</f>
        <v/>
      </c>
      <c r="B688">
        <f>IF(A688="","",IFERROR(INDEX(Ввод!$B$12:$B$71,MATCH(A688,Ввод!$D$12:$D$71,1)),""))</f>
        <v/>
      </c>
      <c r="C688">
        <f>IF(A688="","",DATE(YEAR(A688),12,31)-DATE(YEAR(A688),1,1)+1)</f>
        <v/>
      </c>
      <c r="D688">
        <f>IF(A688="","",SUMIFS(Акты!$D$5:$D$16,Акты!$E$5:$E$16,"&lt;="&amp;A688)-SUMIFS(Оплаты!$B$6:$B$505,Оплаты!$A$6:$A$505,"&lt;"&amp;A688,Оплаты!$D$6:$D$505,"&lt;&gt;"))</f>
        <v/>
      </c>
      <c r="E688">
        <f>IF(A688="","",IF(SUMPRODUCT((Ввод!$F$12:$F$31&lt;&gt;"")*(Ввод!$F$12:$F$31&lt;=A688)*(Ввод!$G$12:$G$31&gt;=A688))&gt;0,1,0))</f>
        <v/>
      </c>
      <c r="G688">
        <f>IF(A688="","",IF(OR(B688&lt;&gt;B687,C688&lt;&gt;C687,E688&lt;&gt;E687),G687+1,G687))</f>
        <v/>
      </c>
    </row>
    <row r="689">
      <c r="A689" s="20">
        <f>IF(A688="","",IF(A688+1&gt;Ввод!$B$4,"",A688+1))</f>
        <v/>
      </c>
      <c r="B689">
        <f>IF(A689="","",IFERROR(INDEX(Ввод!$B$12:$B$71,MATCH(A689,Ввод!$D$12:$D$71,1)),""))</f>
        <v/>
      </c>
      <c r="C689">
        <f>IF(A689="","",DATE(YEAR(A689),12,31)-DATE(YEAR(A689),1,1)+1)</f>
        <v/>
      </c>
      <c r="D689">
        <f>IF(A689="","",SUMIFS(Акты!$D$5:$D$16,Акты!$E$5:$E$16,"&lt;="&amp;A689)-SUMIFS(Оплаты!$B$6:$B$505,Оплаты!$A$6:$A$505,"&lt;"&amp;A689,Оплаты!$D$6:$D$505,"&lt;&gt;"))</f>
        <v/>
      </c>
      <c r="E689">
        <f>IF(A689="","",IF(SUMPRODUCT((Ввод!$F$12:$F$31&lt;&gt;"")*(Ввод!$F$12:$F$31&lt;=A689)*(Ввод!$G$12:$G$31&gt;=A689))&gt;0,1,0))</f>
        <v/>
      </c>
      <c r="G689">
        <f>IF(A689="","",IF(OR(B689&lt;&gt;B688,C689&lt;&gt;C688,E689&lt;&gt;E688),G688+1,G688))</f>
        <v/>
      </c>
    </row>
    <row r="690">
      <c r="A690" s="20">
        <f>IF(A689="","",IF(A689+1&gt;Ввод!$B$4,"",A689+1))</f>
        <v/>
      </c>
      <c r="B690">
        <f>IF(A690="","",IFERROR(INDEX(Ввод!$B$12:$B$71,MATCH(A690,Ввод!$D$12:$D$71,1)),""))</f>
        <v/>
      </c>
      <c r="C690">
        <f>IF(A690="","",DATE(YEAR(A690),12,31)-DATE(YEAR(A690),1,1)+1)</f>
        <v/>
      </c>
      <c r="D690">
        <f>IF(A690="","",SUMIFS(Акты!$D$5:$D$16,Акты!$E$5:$E$16,"&lt;="&amp;A690)-SUMIFS(Оплаты!$B$6:$B$505,Оплаты!$A$6:$A$505,"&lt;"&amp;A690,Оплаты!$D$6:$D$505,"&lt;&gt;"))</f>
        <v/>
      </c>
      <c r="E690">
        <f>IF(A690="","",IF(SUMPRODUCT((Ввод!$F$12:$F$31&lt;&gt;"")*(Ввод!$F$12:$F$31&lt;=A690)*(Ввод!$G$12:$G$31&gt;=A690))&gt;0,1,0))</f>
        <v/>
      </c>
      <c r="G690">
        <f>IF(A690="","",IF(OR(B690&lt;&gt;B689,C690&lt;&gt;C689,E690&lt;&gt;E689),G689+1,G689))</f>
        <v/>
      </c>
    </row>
    <row r="691">
      <c r="A691" s="20">
        <f>IF(A690="","",IF(A690+1&gt;Ввод!$B$4,"",A690+1))</f>
        <v/>
      </c>
      <c r="B691">
        <f>IF(A691="","",IFERROR(INDEX(Ввод!$B$12:$B$71,MATCH(A691,Ввод!$D$12:$D$71,1)),""))</f>
        <v/>
      </c>
      <c r="C691">
        <f>IF(A691="","",DATE(YEAR(A691),12,31)-DATE(YEAR(A691),1,1)+1)</f>
        <v/>
      </c>
      <c r="D691">
        <f>IF(A691="","",SUMIFS(Акты!$D$5:$D$16,Акты!$E$5:$E$16,"&lt;="&amp;A691)-SUMIFS(Оплаты!$B$6:$B$505,Оплаты!$A$6:$A$505,"&lt;"&amp;A691,Оплаты!$D$6:$D$505,"&lt;&gt;"))</f>
        <v/>
      </c>
      <c r="E691">
        <f>IF(A691="","",IF(SUMPRODUCT((Ввод!$F$12:$F$31&lt;&gt;"")*(Ввод!$F$12:$F$31&lt;=A691)*(Ввод!$G$12:$G$31&gt;=A691))&gt;0,1,0))</f>
        <v/>
      </c>
      <c r="G691">
        <f>IF(A691="","",IF(OR(B691&lt;&gt;B690,C691&lt;&gt;C690,E691&lt;&gt;E690),G690+1,G690))</f>
        <v/>
      </c>
    </row>
    <row r="692">
      <c r="A692" s="20">
        <f>IF(A691="","",IF(A691+1&gt;Ввод!$B$4,"",A691+1))</f>
        <v/>
      </c>
      <c r="B692">
        <f>IF(A692="","",IFERROR(INDEX(Ввод!$B$12:$B$71,MATCH(A692,Ввод!$D$12:$D$71,1)),""))</f>
        <v/>
      </c>
      <c r="C692">
        <f>IF(A692="","",DATE(YEAR(A692),12,31)-DATE(YEAR(A692),1,1)+1)</f>
        <v/>
      </c>
      <c r="D692">
        <f>IF(A692="","",SUMIFS(Акты!$D$5:$D$16,Акты!$E$5:$E$16,"&lt;="&amp;A692)-SUMIFS(Оплаты!$B$6:$B$505,Оплаты!$A$6:$A$505,"&lt;"&amp;A692,Оплаты!$D$6:$D$505,"&lt;&gt;"))</f>
        <v/>
      </c>
      <c r="E692">
        <f>IF(A692="","",IF(SUMPRODUCT((Ввод!$F$12:$F$31&lt;&gt;"")*(Ввод!$F$12:$F$31&lt;=A692)*(Ввод!$G$12:$G$31&gt;=A692))&gt;0,1,0))</f>
        <v/>
      </c>
      <c r="G692">
        <f>IF(A692="","",IF(OR(B692&lt;&gt;B691,C692&lt;&gt;C691,E692&lt;&gt;E691),G691+1,G691))</f>
        <v/>
      </c>
    </row>
    <row r="693">
      <c r="A693" s="20">
        <f>IF(A692="","",IF(A692+1&gt;Ввод!$B$4,"",A692+1))</f>
        <v/>
      </c>
      <c r="B693">
        <f>IF(A693="","",IFERROR(INDEX(Ввод!$B$12:$B$71,MATCH(A693,Ввод!$D$12:$D$71,1)),""))</f>
        <v/>
      </c>
      <c r="C693">
        <f>IF(A693="","",DATE(YEAR(A693),12,31)-DATE(YEAR(A693),1,1)+1)</f>
        <v/>
      </c>
      <c r="D693">
        <f>IF(A693="","",SUMIFS(Акты!$D$5:$D$16,Акты!$E$5:$E$16,"&lt;="&amp;A693)-SUMIFS(Оплаты!$B$6:$B$505,Оплаты!$A$6:$A$505,"&lt;"&amp;A693,Оплаты!$D$6:$D$505,"&lt;&gt;"))</f>
        <v/>
      </c>
      <c r="E693">
        <f>IF(A693="","",IF(SUMPRODUCT((Ввод!$F$12:$F$31&lt;&gt;"")*(Ввод!$F$12:$F$31&lt;=A693)*(Ввод!$G$12:$G$31&gt;=A693))&gt;0,1,0))</f>
        <v/>
      </c>
      <c r="G693">
        <f>IF(A693="","",IF(OR(B693&lt;&gt;B692,C693&lt;&gt;C692,E693&lt;&gt;E692),G692+1,G692))</f>
        <v/>
      </c>
    </row>
    <row r="694">
      <c r="A694" s="20">
        <f>IF(A693="","",IF(A693+1&gt;Ввод!$B$4,"",A693+1))</f>
        <v/>
      </c>
      <c r="B694">
        <f>IF(A694="","",IFERROR(INDEX(Ввод!$B$12:$B$71,MATCH(A694,Ввод!$D$12:$D$71,1)),""))</f>
        <v/>
      </c>
      <c r="C694">
        <f>IF(A694="","",DATE(YEAR(A694),12,31)-DATE(YEAR(A694),1,1)+1)</f>
        <v/>
      </c>
      <c r="D694">
        <f>IF(A694="","",SUMIFS(Акты!$D$5:$D$16,Акты!$E$5:$E$16,"&lt;="&amp;A694)-SUMIFS(Оплаты!$B$6:$B$505,Оплаты!$A$6:$A$505,"&lt;"&amp;A694,Оплаты!$D$6:$D$505,"&lt;&gt;"))</f>
        <v/>
      </c>
      <c r="E694">
        <f>IF(A694="","",IF(SUMPRODUCT((Ввод!$F$12:$F$31&lt;&gt;"")*(Ввод!$F$12:$F$31&lt;=A694)*(Ввод!$G$12:$G$31&gt;=A694))&gt;0,1,0))</f>
        <v/>
      </c>
      <c r="G694">
        <f>IF(A694="","",IF(OR(B694&lt;&gt;B693,C694&lt;&gt;C693,E694&lt;&gt;E693),G693+1,G693))</f>
        <v/>
      </c>
    </row>
    <row r="695">
      <c r="A695" s="20">
        <f>IF(A694="","",IF(A694+1&gt;Ввод!$B$4,"",A694+1))</f>
        <v/>
      </c>
      <c r="B695">
        <f>IF(A695="","",IFERROR(INDEX(Ввод!$B$12:$B$71,MATCH(A695,Ввод!$D$12:$D$71,1)),""))</f>
        <v/>
      </c>
      <c r="C695">
        <f>IF(A695="","",DATE(YEAR(A695),12,31)-DATE(YEAR(A695),1,1)+1)</f>
        <v/>
      </c>
      <c r="D695">
        <f>IF(A695="","",SUMIFS(Акты!$D$5:$D$16,Акты!$E$5:$E$16,"&lt;="&amp;A695)-SUMIFS(Оплаты!$B$6:$B$505,Оплаты!$A$6:$A$505,"&lt;"&amp;A695,Оплаты!$D$6:$D$505,"&lt;&gt;"))</f>
        <v/>
      </c>
      <c r="E695">
        <f>IF(A695="","",IF(SUMPRODUCT((Ввод!$F$12:$F$31&lt;&gt;"")*(Ввод!$F$12:$F$31&lt;=A695)*(Ввод!$G$12:$G$31&gt;=A695))&gt;0,1,0))</f>
        <v/>
      </c>
      <c r="G695">
        <f>IF(A695="","",IF(OR(B695&lt;&gt;B694,C695&lt;&gt;C694,E695&lt;&gt;E694),G694+1,G694))</f>
        <v/>
      </c>
    </row>
    <row r="696">
      <c r="A696" s="20">
        <f>IF(A695="","",IF(A695+1&gt;Ввод!$B$4,"",A695+1))</f>
        <v/>
      </c>
      <c r="B696">
        <f>IF(A696="","",IFERROR(INDEX(Ввод!$B$12:$B$71,MATCH(A696,Ввод!$D$12:$D$71,1)),""))</f>
        <v/>
      </c>
      <c r="C696">
        <f>IF(A696="","",DATE(YEAR(A696),12,31)-DATE(YEAR(A696),1,1)+1)</f>
        <v/>
      </c>
      <c r="D696">
        <f>IF(A696="","",SUMIFS(Акты!$D$5:$D$16,Акты!$E$5:$E$16,"&lt;="&amp;A696)-SUMIFS(Оплаты!$B$6:$B$505,Оплаты!$A$6:$A$505,"&lt;"&amp;A696,Оплаты!$D$6:$D$505,"&lt;&gt;"))</f>
        <v/>
      </c>
      <c r="E696">
        <f>IF(A696="","",IF(SUMPRODUCT((Ввод!$F$12:$F$31&lt;&gt;"")*(Ввод!$F$12:$F$31&lt;=A696)*(Ввод!$G$12:$G$31&gt;=A696))&gt;0,1,0))</f>
        <v/>
      </c>
      <c r="G696">
        <f>IF(A696="","",IF(OR(B696&lt;&gt;B695,C696&lt;&gt;C695,E696&lt;&gt;E695),G695+1,G695))</f>
        <v/>
      </c>
    </row>
    <row r="697">
      <c r="A697" s="20">
        <f>IF(A696="","",IF(A696+1&gt;Ввод!$B$4,"",A696+1))</f>
        <v/>
      </c>
      <c r="B697">
        <f>IF(A697="","",IFERROR(INDEX(Ввод!$B$12:$B$71,MATCH(A697,Ввод!$D$12:$D$71,1)),""))</f>
        <v/>
      </c>
      <c r="C697">
        <f>IF(A697="","",DATE(YEAR(A697),12,31)-DATE(YEAR(A697),1,1)+1)</f>
        <v/>
      </c>
      <c r="D697">
        <f>IF(A697="","",SUMIFS(Акты!$D$5:$D$16,Акты!$E$5:$E$16,"&lt;="&amp;A697)-SUMIFS(Оплаты!$B$6:$B$505,Оплаты!$A$6:$A$505,"&lt;"&amp;A697,Оплаты!$D$6:$D$505,"&lt;&gt;"))</f>
        <v/>
      </c>
      <c r="E697">
        <f>IF(A697="","",IF(SUMPRODUCT((Ввод!$F$12:$F$31&lt;&gt;"")*(Ввод!$F$12:$F$31&lt;=A697)*(Ввод!$G$12:$G$31&gt;=A697))&gt;0,1,0))</f>
        <v/>
      </c>
      <c r="G697">
        <f>IF(A697="","",IF(OR(B697&lt;&gt;B696,C697&lt;&gt;C696,E697&lt;&gt;E696),G696+1,G696))</f>
        <v/>
      </c>
    </row>
    <row r="698">
      <c r="A698" s="20">
        <f>IF(A697="","",IF(A697+1&gt;Ввод!$B$4,"",A697+1))</f>
        <v/>
      </c>
      <c r="B698">
        <f>IF(A698="","",IFERROR(INDEX(Ввод!$B$12:$B$71,MATCH(A698,Ввод!$D$12:$D$71,1)),""))</f>
        <v/>
      </c>
      <c r="C698">
        <f>IF(A698="","",DATE(YEAR(A698),12,31)-DATE(YEAR(A698),1,1)+1)</f>
        <v/>
      </c>
      <c r="D698">
        <f>IF(A698="","",SUMIFS(Акты!$D$5:$D$16,Акты!$E$5:$E$16,"&lt;="&amp;A698)-SUMIFS(Оплаты!$B$6:$B$505,Оплаты!$A$6:$A$505,"&lt;"&amp;A698,Оплаты!$D$6:$D$505,"&lt;&gt;"))</f>
        <v/>
      </c>
      <c r="E698">
        <f>IF(A698="","",IF(SUMPRODUCT((Ввод!$F$12:$F$31&lt;&gt;"")*(Ввод!$F$12:$F$31&lt;=A698)*(Ввод!$G$12:$G$31&gt;=A698))&gt;0,1,0))</f>
        <v/>
      </c>
      <c r="G698">
        <f>IF(A698="","",IF(OR(B698&lt;&gt;B697,C698&lt;&gt;C697,E698&lt;&gt;E697),G697+1,G697))</f>
        <v/>
      </c>
    </row>
    <row r="699">
      <c r="A699" s="20">
        <f>IF(A698="","",IF(A698+1&gt;Ввод!$B$4,"",A698+1))</f>
        <v/>
      </c>
      <c r="B699">
        <f>IF(A699="","",IFERROR(INDEX(Ввод!$B$12:$B$71,MATCH(A699,Ввод!$D$12:$D$71,1)),""))</f>
        <v/>
      </c>
      <c r="C699">
        <f>IF(A699="","",DATE(YEAR(A699),12,31)-DATE(YEAR(A699),1,1)+1)</f>
        <v/>
      </c>
      <c r="D699">
        <f>IF(A699="","",SUMIFS(Акты!$D$5:$D$16,Акты!$E$5:$E$16,"&lt;="&amp;A699)-SUMIFS(Оплаты!$B$6:$B$505,Оплаты!$A$6:$A$505,"&lt;"&amp;A699,Оплаты!$D$6:$D$505,"&lt;&gt;"))</f>
        <v/>
      </c>
      <c r="E699">
        <f>IF(A699="","",IF(SUMPRODUCT((Ввод!$F$12:$F$31&lt;&gt;"")*(Ввод!$F$12:$F$31&lt;=A699)*(Ввод!$G$12:$G$31&gt;=A699))&gt;0,1,0))</f>
        <v/>
      </c>
      <c r="G699">
        <f>IF(A699="","",IF(OR(B699&lt;&gt;B698,C699&lt;&gt;C698,E699&lt;&gt;E698),G698+1,G698))</f>
        <v/>
      </c>
    </row>
    <row r="700">
      <c r="A700" s="20">
        <f>IF(A699="","",IF(A699+1&gt;Ввод!$B$4,"",A699+1))</f>
        <v/>
      </c>
      <c r="B700">
        <f>IF(A700="","",IFERROR(INDEX(Ввод!$B$12:$B$71,MATCH(A700,Ввод!$D$12:$D$71,1)),""))</f>
        <v/>
      </c>
      <c r="C700">
        <f>IF(A700="","",DATE(YEAR(A700),12,31)-DATE(YEAR(A700),1,1)+1)</f>
        <v/>
      </c>
      <c r="D700">
        <f>IF(A700="","",SUMIFS(Акты!$D$5:$D$16,Акты!$E$5:$E$16,"&lt;="&amp;A700)-SUMIFS(Оплаты!$B$6:$B$505,Оплаты!$A$6:$A$505,"&lt;"&amp;A700,Оплаты!$D$6:$D$505,"&lt;&gt;"))</f>
        <v/>
      </c>
      <c r="E700">
        <f>IF(A700="","",IF(SUMPRODUCT((Ввод!$F$12:$F$31&lt;&gt;"")*(Ввод!$F$12:$F$31&lt;=A700)*(Ввод!$G$12:$G$31&gt;=A700))&gt;0,1,0))</f>
        <v/>
      </c>
      <c r="G700">
        <f>IF(A700="","",IF(OR(B700&lt;&gt;B699,C700&lt;&gt;C699,E700&lt;&gt;E699),G699+1,G699))</f>
        <v/>
      </c>
    </row>
    <row r="701">
      <c r="A701" s="20">
        <f>IF(A700="","",IF(A700+1&gt;Ввод!$B$4,"",A700+1))</f>
        <v/>
      </c>
      <c r="B701">
        <f>IF(A701="","",IFERROR(INDEX(Ввод!$B$12:$B$71,MATCH(A701,Ввод!$D$12:$D$71,1)),""))</f>
        <v/>
      </c>
      <c r="C701">
        <f>IF(A701="","",DATE(YEAR(A701),12,31)-DATE(YEAR(A701),1,1)+1)</f>
        <v/>
      </c>
      <c r="D701">
        <f>IF(A701="","",SUMIFS(Акты!$D$5:$D$16,Акты!$E$5:$E$16,"&lt;="&amp;A701)-SUMIFS(Оплаты!$B$6:$B$505,Оплаты!$A$6:$A$505,"&lt;"&amp;A701,Оплаты!$D$6:$D$505,"&lt;&gt;"))</f>
        <v/>
      </c>
      <c r="E701">
        <f>IF(A701="","",IF(SUMPRODUCT((Ввод!$F$12:$F$31&lt;&gt;"")*(Ввод!$F$12:$F$31&lt;=A701)*(Ввод!$G$12:$G$31&gt;=A701))&gt;0,1,0))</f>
        <v/>
      </c>
      <c r="G701">
        <f>IF(A701="","",IF(OR(B701&lt;&gt;B700,C701&lt;&gt;C700,E701&lt;&gt;E700),G700+1,G700))</f>
        <v/>
      </c>
    </row>
    <row r="702">
      <c r="A702" s="20">
        <f>IF(A701="","",IF(A701+1&gt;Ввод!$B$4,"",A701+1))</f>
        <v/>
      </c>
      <c r="B702">
        <f>IF(A702="","",IFERROR(INDEX(Ввод!$B$12:$B$71,MATCH(A702,Ввод!$D$12:$D$71,1)),""))</f>
        <v/>
      </c>
      <c r="C702">
        <f>IF(A702="","",DATE(YEAR(A702),12,31)-DATE(YEAR(A702),1,1)+1)</f>
        <v/>
      </c>
      <c r="D702">
        <f>IF(A702="","",SUMIFS(Акты!$D$5:$D$16,Акты!$E$5:$E$16,"&lt;="&amp;A702)-SUMIFS(Оплаты!$B$6:$B$505,Оплаты!$A$6:$A$505,"&lt;"&amp;A702,Оплаты!$D$6:$D$505,"&lt;&gt;"))</f>
        <v/>
      </c>
      <c r="E702">
        <f>IF(A702="","",IF(SUMPRODUCT((Ввод!$F$12:$F$31&lt;&gt;"")*(Ввод!$F$12:$F$31&lt;=A702)*(Ввод!$G$12:$G$31&gt;=A702))&gt;0,1,0))</f>
        <v/>
      </c>
      <c r="G702">
        <f>IF(A702="","",IF(OR(B702&lt;&gt;B701,C702&lt;&gt;C701,E702&lt;&gt;E701),G701+1,G701))</f>
        <v/>
      </c>
    </row>
    <row r="703">
      <c r="A703" s="20">
        <f>IF(A702="","",IF(A702+1&gt;Ввод!$B$4,"",A702+1))</f>
        <v/>
      </c>
      <c r="B703">
        <f>IF(A703="","",IFERROR(INDEX(Ввод!$B$12:$B$71,MATCH(A703,Ввод!$D$12:$D$71,1)),""))</f>
        <v/>
      </c>
      <c r="C703">
        <f>IF(A703="","",DATE(YEAR(A703),12,31)-DATE(YEAR(A703),1,1)+1)</f>
        <v/>
      </c>
      <c r="D703">
        <f>IF(A703="","",SUMIFS(Акты!$D$5:$D$16,Акты!$E$5:$E$16,"&lt;="&amp;A703)-SUMIFS(Оплаты!$B$6:$B$505,Оплаты!$A$6:$A$505,"&lt;"&amp;A703,Оплаты!$D$6:$D$505,"&lt;&gt;"))</f>
        <v/>
      </c>
      <c r="E703">
        <f>IF(A703="","",IF(SUMPRODUCT((Ввод!$F$12:$F$31&lt;&gt;"")*(Ввод!$F$12:$F$31&lt;=A703)*(Ввод!$G$12:$G$31&gt;=A703))&gt;0,1,0))</f>
        <v/>
      </c>
      <c r="G703">
        <f>IF(A703="","",IF(OR(B703&lt;&gt;B702,C703&lt;&gt;C702,E703&lt;&gt;E702),G702+1,G702))</f>
        <v/>
      </c>
    </row>
    <row r="704">
      <c r="A704" s="20">
        <f>IF(A703="","",IF(A703+1&gt;Ввод!$B$4,"",A703+1))</f>
        <v/>
      </c>
      <c r="B704">
        <f>IF(A704="","",IFERROR(INDEX(Ввод!$B$12:$B$71,MATCH(A704,Ввод!$D$12:$D$71,1)),""))</f>
        <v/>
      </c>
      <c r="C704">
        <f>IF(A704="","",DATE(YEAR(A704),12,31)-DATE(YEAR(A704),1,1)+1)</f>
        <v/>
      </c>
      <c r="D704">
        <f>IF(A704="","",SUMIFS(Акты!$D$5:$D$16,Акты!$E$5:$E$16,"&lt;="&amp;A704)-SUMIFS(Оплаты!$B$6:$B$505,Оплаты!$A$6:$A$505,"&lt;"&amp;A704,Оплаты!$D$6:$D$505,"&lt;&gt;"))</f>
        <v/>
      </c>
      <c r="E704">
        <f>IF(A704="","",IF(SUMPRODUCT((Ввод!$F$12:$F$31&lt;&gt;"")*(Ввод!$F$12:$F$31&lt;=A704)*(Ввод!$G$12:$G$31&gt;=A704))&gt;0,1,0))</f>
        <v/>
      </c>
      <c r="G704">
        <f>IF(A704="","",IF(OR(B704&lt;&gt;B703,C704&lt;&gt;C703,E704&lt;&gt;E703),G703+1,G703))</f>
        <v/>
      </c>
    </row>
    <row r="705">
      <c r="A705" s="20">
        <f>IF(A704="","",IF(A704+1&gt;Ввод!$B$4,"",A704+1))</f>
        <v/>
      </c>
      <c r="B705">
        <f>IF(A705="","",IFERROR(INDEX(Ввод!$B$12:$B$71,MATCH(A705,Ввод!$D$12:$D$71,1)),""))</f>
        <v/>
      </c>
      <c r="C705">
        <f>IF(A705="","",DATE(YEAR(A705),12,31)-DATE(YEAR(A705),1,1)+1)</f>
        <v/>
      </c>
      <c r="D705">
        <f>IF(A705="","",SUMIFS(Акты!$D$5:$D$16,Акты!$E$5:$E$16,"&lt;="&amp;A705)-SUMIFS(Оплаты!$B$6:$B$505,Оплаты!$A$6:$A$505,"&lt;"&amp;A705,Оплаты!$D$6:$D$505,"&lt;&gt;"))</f>
        <v/>
      </c>
      <c r="E705">
        <f>IF(A705="","",IF(SUMPRODUCT((Ввод!$F$12:$F$31&lt;&gt;"")*(Ввод!$F$12:$F$31&lt;=A705)*(Ввод!$G$12:$G$31&gt;=A705))&gt;0,1,0))</f>
        <v/>
      </c>
      <c r="G705">
        <f>IF(A705="","",IF(OR(B705&lt;&gt;B704,C705&lt;&gt;C704,E705&lt;&gt;E704),G704+1,G704))</f>
        <v/>
      </c>
    </row>
    <row r="706">
      <c r="A706" s="20">
        <f>IF(A705="","",IF(A705+1&gt;Ввод!$B$4,"",A705+1))</f>
        <v/>
      </c>
      <c r="B706">
        <f>IF(A706="","",IFERROR(INDEX(Ввод!$B$12:$B$71,MATCH(A706,Ввод!$D$12:$D$71,1)),""))</f>
        <v/>
      </c>
      <c r="C706">
        <f>IF(A706="","",DATE(YEAR(A706),12,31)-DATE(YEAR(A706),1,1)+1)</f>
        <v/>
      </c>
      <c r="D706">
        <f>IF(A706="","",SUMIFS(Акты!$D$5:$D$16,Акты!$E$5:$E$16,"&lt;="&amp;A706)-SUMIFS(Оплаты!$B$6:$B$505,Оплаты!$A$6:$A$505,"&lt;"&amp;A706,Оплаты!$D$6:$D$505,"&lt;&gt;"))</f>
        <v/>
      </c>
      <c r="E706">
        <f>IF(A706="","",IF(SUMPRODUCT((Ввод!$F$12:$F$31&lt;&gt;"")*(Ввод!$F$12:$F$31&lt;=A706)*(Ввод!$G$12:$G$31&gt;=A706))&gt;0,1,0))</f>
        <v/>
      </c>
      <c r="G706">
        <f>IF(A706="","",IF(OR(B706&lt;&gt;B705,C706&lt;&gt;C705,E706&lt;&gt;E705),G705+1,G705))</f>
        <v/>
      </c>
    </row>
    <row r="707">
      <c r="A707" s="20">
        <f>IF(A706="","",IF(A706+1&gt;Ввод!$B$4,"",A706+1))</f>
        <v/>
      </c>
      <c r="B707">
        <f>IF(A707="","",IFERROR(INDEX(Ввод!$B$12:$B$71,MATCH(A707,Ввод!$D$12:$D$71,1)),""))</f>
        <v/>
      </c>
      <c r="C707">
        <f>IF(A707="","",DATE(YEAR(A707),12,31)-DATE(YEAR(A707),1,1)+1)</f>
        <v/>
      </c>
      <c r="D707">
        <f>IF(A707="","",SUMIFS(Акты!$D$5:$D$16,Акты!$E$5:$E$16,"&lt;="&amp;A707)-SUMIFS(Оплаты!$B$6:$B$505,Оплаты!$A$6:$A$505,"&lt;"&amp;A707,Оплаты!$D$6:$D$505,"&lt;&gt;"))</f>
        <v/>
      </c>
      <c r="E707">
        <f>IF(A707="","",IF(SUMPRODUCT((Ввод!$F$12:$F$31&lt;&gt;"")*(Ввод!$F$12:$F$31&lt;=A707)*(Ввод!$G$12:$G$31&gt;=A707))&gt;0,1,0))</f>
        <v/>
      </c>
      <c r="G707">
        <f>IF(A707="","",IF(OR(B707&lt;&gt;B706,C707&lt;&gt;C706,E707&lt;&gt;E706),G706+1,G706))</f>
        <v/>
      </c>
    </row>
    <row r="708">
      <c r="A708" s="20">
        <f>IF(A707="","",IF(A707+1&gt;Ввод!$B$4,"",A707+1))</f>
        <v/>
      </c>
      <c r="B708">
        <f>IF(A708="","",IFERROR(INDEX(Ввод!$B$12:$B$71,MATCH(A708,Ввод!$D$12:$D$71,1)),""))</f>
        <v/>
      </c>
      <c r="C708">
        <f>IF(A708="","",DATE(YEAR(A708),12,31)-DATE(YEAR(A708),1,1)+1)</f>
        <v/>
      </c>
      <c r="D708">
        <f>IF(A708="","",SUMIFS(Акты!$D$5:$D$16,Акты!$E$5:$E$16,"&lt;="&amp;A708)-SUMIFS(Оплаты!$B$6:$B$505,Оплаты!$A$6:$A$505,"&lt;"&amp;A708,Оплаты!$D$6:$D$505,"&lt;&gt;"))</f>
        <v/>
      </c>
      <c r="E708">
        <f>IF(A708="","",IF(SUMPRODUCT((Ввод!$F$12:$F$31&lt;&gt;"")*(Ввод!$F$12:$F$31&lt;=A708)*(Ввод!$G$12:$G$31&gt;=A708))&gt;0,1,0))</f>
        <v/>
      </c>
      <c r="G708">
        <f>IF(A708="","",IF(OR(B708&lt;&gt;B707,C708&lt;&gt;C707,E708&lt;&gt;E707),G707+1,G707))</f>
        <v/>
      </c>
    </row>
    <row r="709">
      <c r="A709" s="20">
        <f>IF(A708="","",IF(A708+1&gt;Ввод!$B$4,"",A708+1))</f>
        <v/>
      </c>
      <c r="B709">
        <f>IF(A709="","",IFERROR(INDEX(Ввод!$B$12:$B$71,MATCH(A709,Ввод!$D$12:$D$71,1)),""))</f>
        <v/>
      </c>
      <c r="C709">
        <f>IF(A709="","",DATE(YEAR(A709),12,31)-DATE(YEAR(A709),1,1)+1)</f>
        <v/>
      </c>
      <c r="D709">
        <f>IF(A709="","",SUMIFS(Акты!$D$5:$D$16,Акты!$E$5:$E$16,"&lt;="&amp;A709)-SUMIFS(Оплаты!$B$6:$B$505,Оплаты!$A$6:$A$505,"&lt;"&amp;A709,Оплаты!$D$6:$D$505,"&lt;&gt;"))</f>
        <v/>
      </c>
      <c r="E709">
        <f>IF(A709="","",IF(SUMPRODUCT((Ввод!$F$12:$F$31&lt;&gt;"")*(Ввод!$F$12:$F$31&lt;=A709)*(Ввод!$G$12:$G$31&gt;=A709))&gt;0,1,0))</f>
        <v/>
      </c>
      <c r="G709">
        <f>IF(A709="","",IF(OR(B709&lt;&gt;B708,C709&lt;&gt;C708,E709&lt;&gt;E708),G708+1,G708))</f>
        <v/>
      </c>
    </row>
    <row r="710">
      <c r="A710" s="20">
        <f>IF(A709="","",IF(A709+1&gt;Ввод!$B$4,"",A709+1))</f>
        <v/>
      </c>
      <c r="B710">
        <f>IF(A710="","",IFERROR(INDEX(Ввод!$B$12:$B$71,MATCH(A710,Ввод!$D$12:$D$71,1)),""))</f>
        <v/>
      </c>
      <c r="C710">
        <f>IF(A710="","",DATE(YEAR(A710),12,31)-DATE(YEAR(A710),1,1)+1)</f>
        <v/>
      </c>
      <c r="D710">
        <f>IF(A710="","",SUMIFS(Акты!$D$5:$D$16,Акты!$E$5:$E$16,"&lt;="&amp;A710)-SUMIFS(Оплаты!$B$6:$B$505,Оплаты!$A$6:$A$505,"&lt;"&amp;A710,Оплаты!$D$6:$D$505,"&lt;&gt;"))</f>
        <v/>
      </c>
      <c r="E710">
        <f>IF(A710="","",IF(SUMPRODUCT((Ввод!$F$12:$F$31&lt;&gt;"")*(Ввод!$F$12:$F$31&lt;=A710)*(Ввод!$G$12:$G$31&gt;=A710))&gt;0,1,0))</f>
        <v/>
      </c>
      <c r="G710">
        <f>IF(A710="","",IF(OR(B710&lt;&gt;B709,C710&lt;&gt;C709,E710&lt;&gt;E709),G709+1,G709))</f>
        <v/>
      </c>
    </row>
    <row r="711">
      <c r="A711" s="20">
        <f>IF(A710="","",IF(A710+1&gt;Ввод!$B$4,"",A710+1))</f>
        <v/>
      </c>
      <c r="B711">
        <f>IF(A711="","",IFERROR(INDEX(Ввод!$B$12:$B$71,MATCH(A711,Ввод!$D$12:$D$71,1)),""))</f>
        <v/>
      </c>
      <c r="C711">
        <f>IF(A711="","",DATE(YEAR(A711),12,31)-DATE(YEAR(A711),1,1)+1)</f>
        <v/>
      </c>
      <c r="D711">
        <f>IF(A711="","",SUMIFS(Акты!$D$5:$D$16,Акты!$E$5:$E$16,"&lt;="&amp;A711)-SUMIFS(Оплаты!$B$6:$B$505,Оплаты!$A$6:$A$505,"&lt;"&amp;A711,Оплаты!$D$6:$D$505,"&lt;&gt;"))</f>
        <v/>
      </c>
      <c r="E711">
        <f>IF(A711="","",IF(SUMPRODUCT((Ввод!$F$12:$F$31&lt;&gt;"")*(Ввод!$F$12:$F$31&lt;=A711)*(Ввод!$G$12:$G$31&gt;=A711))&gt;0,1,0))</f>
        <v/>
      </c>
      <c r="G711">
        <f>IF(A711="","",IF(OR(B711&lt;&gt;B710,C711&lt;&gt;C710,E711&lt;&gt;E710),G710+1,G710))</f>
        <v/>
      </c>
    </row>
    <row r="712">
      <c r="A712" s="20">
        <f>IF(A711="","",IF(A711+1&gt;Ввод!$B$4,"",A711+1))</f>
        <v/>
      </c>
      <c r="B712">
        <f>IF(A712="","",IFERROR(INDEX(Ввод!$B$12:$B$71,MATCH(A712,Ввод!$D$12:$D$71,1)),""))</f>
        <v/>
      </c>
      <c r="C712">
        <f>IF(A712="","",DATE(YEAR(A712),12,31)-DATE(YEAR(A712),1,1)+1)</f>
        <v/>
      </c>
      <c r="D712">
        <f>IF(A712="","",SUMIFS(Акты!$D$5:$D$16,Акты!$E$5:$E$16,"&lt;="&amp;A712)-SUMIFS(Оплаты!$B$6:$B$505,Оплаты!$A$6:$A$505,"&lt;"&amp;A712,Оплаты!$D$6:$D$505,"&lt;&gt;"))</f>
        <v/>
      </c>
      <c r="E712">
        <f>IF(A712="","",IF(SUMPRODUCT((Ввод!$F$12:$F$31&lt;&gt;"")*(Ввод!$F$12:$F$31&lt;=A712)*(Ввод!$G$12:$G$31&gt;=A712))&gt;0,1,0))</f>
        <v/>
      </c>
      <c r="G712">
        <f>IF(A712="","",IF(OR(B712&lt;&gt;B711,C712&lt;&gt;C711,E712&lt;&gt;E711),G711+1,G711))</f>
        <v/>
      </c>
    </row>
    <row r="713">
      <c r="A713" s="20">
        <f>IF(A712="","",IF(A712+1&gt;Ввод!$B$4,"",A712+1))</f>
        <v/>
      </c>
      <c r="B713">
        <f>IF(A713="","",IFERROR(INDEX(Ввод!$B$12:$B$71,MATCH(A713,Ввод!$D$12:$D$71,1)),""))</f>
        <v/>
      </c>
      <c r="C713">
        <f>IF(A713="","",DATE(YEAR(A713),12,31)-DATE(YEAR(A713),1,1)+1)</f>
        <v/>
      </c>
      <c r="D713">
        <f>IF(A713="","",SUMIFS(Акты!$D$5:$D$16,Акты!$E$5:$E$16,"&lt;="&amp;A713)-SUMIFS(Оплаты!$B$6:$B$505,Оплаты!$A$6:$A$505,"&lt;"&amp;A713,Оплаты!$D$6:$D$505,"&lt;&gt;"))</f>
        <v/>
      </c>
      <c r="E713">
        <f>IF(A713="","",IF(SUMPRODUCT((Ввод!$F$12:$F$31&lt;&gt;"")*(Ввод!$F$12:$F$31&lt;=A713)*(Ввод!$G$12:$G$31&gt;=A713))&gt;0,1,0))</f>
        <v/>
      </c>
      <c r="G713">
        <f>IF(A713="","",IF(OR(B713&lt;&gt;B712,C713&lt;&gt;C712,E713&lt;&gt;E712),G712+1,G712))</f>
        <v/>
      </c>
    </row>
    <row r="714">
      <c r="A714" s="20">
        <f>IF(A713="","",IF(A713+1&gt;Ввод!$B$4,"",A713+1))</f>
        <v/>
      </c>
      <c r="B714">
        <f>IF(A714="","",IFERROR(INDEX(Ввод!$B$12:$B$71,MATCH(A714,Ввод!$D$12:$D$71,1)),""))</f>
        <v/>
      </c>
      <c r="C714">
        <f>IF(A714="","",DATE(YEAR(A714),12,31)-DATE(YEAR(A714),1,1)+1)</f>
        <v/>
      </c>
      <c r="D714">
        <f>IF(A714="","",SUMIFS(Акты!$D$5:$D$16,Акты!$E$5:$E$16,"&lt;="&amp;A714)-SUMIFS(Оплаты!$B$6:$B$505,Оплаты!$A$6:$A$505,"&lt;"&amp;A714,Оплаты!$D$6:$D$505,"&lt;&gt;"))</f>
        <v/>
      </c>
      <c r="E714">
        <f>IF(A714="","",IF(SUMPRODUCT((Ввод!$F$12:$F$31&lt;&gt;"")*(Ввод!$F$12:$F$31&lt;=A714)*(Ввод!$G$12:$G$31&gt;=A714))&gt;0,1,0))</f>
        <v/>
      </c>
      <c r="G714">
        <f>IF(A714="","",IF(OR(B714&lt;&gt;B713,C714&lt;&gt;C713,E714&lt;&gt;E713),G713+1,G713))</f>
        <v/>
      </c>
    </row>
    <row r="715">
      <c r="A715" s="20">
        <f>IF(A714="","",IF(A714+1&gt;Ввод!$B$4,"",A714+1))</f>
        <v/>
      </c>
      <c r="B715">
        <f>IF(A715="","",IFERROR(INDEX(Ввод!$B$12:$B$71,MATCH(A715,Ввод!$D$12:$D$71,1)),""))</f>
        <v/>
      </c>
      <c r="C715">
        <f>IF(A715="","",DATE(YEAR(A715),12,31)-DATE(YEAR(A715),1,1)+1)</f>
        <v/>
      </c>
      <c r="D715">
        <f>IF(A715="","",SUMIFS(Акты!$D$5:$D$16,Акты!$E$5:$E$16,"&lt;="&amp;A715)-SUMIFS(Оплаты!$B$6:$B$505,Оплаты!$A$6:$A$505,"&lt;"&amp;A715,Оплаты!$D$6:$D$505,"&lt;&gt;"))</f>
        <v/>
      </c>
      <c r="E715">
        <f>IF(A715="","",IF(SUMPRODUCT((Ввод!$F$12:$F$31&lt;&gt;"")*(Ввод!$F$12:$F$31&lt;=A715)*(Ввод!$G$12:$G$31&gt;=A715))&gt;0,1,0))</f>
        <v/>
      </c>
      <c r="G715">
        <f>IF(A715="","",IF(OR(B715&lt;&gt;B714,C715&lt;&gt;C714,E715&lt;&gt;E714),G714+1,G714))</f>
        <v/>
      </c>
    </row>
    <row r="716">
      <c r="A716" s="20">
        <f>IF(A715="","",IF(A715+1&gt;Ввод!$B$4,"",A715+1))</f>
        <v/>
      </c>
      <c r="B716">
        <f>IF(A716="","",IFERROR(INDEX(Ввод!$B$12:$B$71,MATCH(A716,Ввод!$D$12:$D$71,1)),""))</f>
        <v/>
      </c>
      <c r="C716">
        <f>IF(A716="","",DATE(YEAR(A716),12,31)-DATE(YEAR(A716),1,1)+1)</f>
        <v/>
      </c>
      <c r="D716">
        <f>IF(A716="","",SUMIFS(Акты!$D$5:$D$16,Акты!$E$5:$E$16,"&lt;="&amp;A716)-SUMIFS(Оплаты!$B$6:$B$505,Оплаты!$A$6:$A$505,"&lt;"&amp;A716,Оплаты!$D$6:$D$505,"&lt;&gt;"))</f>
        <v/>
      </c>
      <c r="E716">
        <f>IF(A716="","",IF(SUMPRODUCT((Ввод!$F$12:$F$31&lt;&gt;"")*(Ввод!$F$12:$F$31&lt;=A716)*(Ввод!$G$12:$G$31&gt;=A716))&gt;0,1,0))</f>
        <v/>
      </c>
      <c r="G716">
        <f>IF(A716="","",IF(OR(B716&lt;&gt;B715,C716&lt;&gt;C715,E716&lt;&gt;E715),G715+1,G715))</f>
        <v/>
      </c>
    </row>
    <row r="717">
      <c r="A717" s="20">
        <f>IF(A716="","",IF(A716+1&gt;Ввод!$B$4,"",A716+1))</f>
        <v/>
      </c>
      <c r="B717">
        <f>IF(A717="","",IFERROR(INDEX(Ввод!$B$12:$B$71,MATCH(A717,Ввод!$D$12:$D$71,1)),""))</f>
        <v/>
      </c>
      <c r="C717">
        <f>IF(A717="","",DATE(YEAR(A717),12,31)-DATE(YEAR(A717),1,1)+1)</f>
        <v/>
      </c>
      <c r="D717">
        <f>IF(A717="","",SUMIFS(Акты!$D$5:$D$16,Акты!$E$5:$E$16,"&lt;="&amp;A717)-SUMIFS(Оплаты!$B$6:$B$505,Оплаты!$A$6:$A$505,"&lt;"&amp;A717,Оплаты!$D$6:$D$505,"&lt;&gt;"))</f>
        <v/>
      </c>
      <c r="E717">
        <f>IF(A717="","",IF(SUMPRODUCT((Ввод!$F$12:$F$31&lt;&gt;"")*(Ввод!$F$12:$F$31&lt;=A717)*(Ввод!$G$12:$G$31&gt;=A717))&gt;0,1,0))</f>
        <v/>
      </c>
      <c r="G717">
        <f>IF(A717="","",IF(OR(B717&lt;&gt;B716,C717&lt;&gt;C716,E717&lt;&gt;E716),G716+1,G716))</f>
        <v/>
      </c>
    </row>
    <row r="718">
      <c r="A718" s="20">
        <f>IF(A717="","",IF(A717+1&gt;Ввод!$B$4,"",A717+1))</f>
        <v/>
      </c>
      <c r="B718">
        <f>IF(A718="","",IFERROR(INDEX(Ввод!$B$12:$B$71,MATCH(A718,Ввод!$D$12:$D$71,1)),""))</f>
        <v/>
      </c>
      <c r="C718">
        <f>IF(A718="","",DATE(YEAR(A718),12,31)-DATE(YEAR(A718),1,1)+1)</f>
        <v/>
      </c>
      <c r="D718">
        <f>IF(A718="","",SUMIFS(Акты!$D$5:$D$16,Акты!$E$5:$E$16,"&lt;="&amp;A718)-SUMIFS(Оплаты!$B$6:$B$505,Оплаты!$A$6:$A$505,"&lt;"&amp;A718,Оплаты!$D$6:$D$505,"&lt;&gt;"))</f>
        <v/>
      </c>
      <c r="E718">
        <f>IF(A718="","",IF(SUMPRODUCT((Ввод!$F$12:$F$31&lt;&gt;"")*(Ввод!$F$12:$F$31&lt;=A718)*(Ввод!$G$12:$G$31&gt;=A718))&gt;0,1,0))</f>
        <v/>
      </c>
      <c r="G718">
        <f>IF(A718="","",IF(OR(B718&lt;&gt;B717,C718&lt;&gt;C717,E718&lt;&gt;E717),G717+1,G717))</f>
        <v/>
      </c>
    </row>
    <row r="719">
      <c r="A719" s="20">
        <f>IF(A718="","",IF(A718+1&gt;Ввод!$B$4,"",A718+1))</f>
        <v/>
      </c>
      <c r="B719">
        <f>IF(A719="","",IFERROR(INDEX(Ввод!$B$12:$B$71,MATCH(A719,Ввод!$D$12:$D$71,1)),""))</f>
        <v/>
      </c>
      <c r="C719">
        <f>IF(A719="","",DATE(YEAR(A719),12,31)-DATE(YEAR(A719),1,1)+1)</f>
        <v/>
      </c>
      <c r="D719">
        <f>IF(A719="","",SUMIFS(Акты!$D$5:$D$16,Акты!$E$5:$E$16,"&lt;="&amp;A719)-SUMIFS(Оплаты!$B$6:$B$505,Оплаты!$A$6:$A$505,"&lt;"&amp;A719,Оплаты!$D$6:$D$505,"&lt;&gt;"))</f>
        <v/>
      </c>
      <c r="E719">
        <f>IF(A719="","",IF(SUMPRODUCT((Ввод!$F$12:$F$31&lt;&gt;"")*(Ввод!$F$12:$F$31&lt;=A719)*(Ввод!$G$12:$G$31&gt;=A719))&gt;0,1,0))</f>
        <v/>
      </c>
      <c r="G719">
        <f>IF(A719="","",IF(OR(B719&lt;&gt;B718,C719&lt;&gt;C718,E719&lt;&gt;E718),G718+1,G718))</f>
        <v/>
      </c>
    </row>
    <row r="720">
      <c r="A720" s="20">
        <f>IF(A719="","",IF(A719+1&gt;Ввод!$B$4,"",A719+1))</f>
        <v/>
      </c>
      <c r="B720">
        <f>IF(A720="","",IFERROR(INDEX(Ввод!$B$12:$B$71,MATCH(A720,Ввод!$D$12:$D$71,1)),""))</f>
        <v/>
      </c>
      <c r="C720">
        <f>IF(A720="","",DATE(YEAR(A720),12,31)-DATE(YEAR(A720),1,1)+1)</f>
        <v/>
      </c>
      <c r="D720">
        <f>IF(A720="","",SUMIFS(Акты!$D$5:$D$16,Акты!$E$5:$E$16,"&lt;="&amp;A720)-SUMIFS(Оплаты!$B$6:$B$505,Оплаты!$A$6:$A$505,"&lt;"&amp;A720,Оплаты!$D$6:$D$505,"&lt;&gt;"))</f>
        <v/>
      </c>
      <c r="E720">
        <f>IF(A720="","",IF(SUMPRODUCT((Ввод!$F$12:$F$31&lt;&gt;"")*(Ввод!$F$12:$F$31&lt;=A720)*(Ввод!$G$12:$G$31&gt;=A720))&gt;0,1,0))</f>
        <v/>
      </c>
      <c r="G720">
        <f>IF(A720="","",IF(OR(B720&lt;&gt;B719,C720&lt;&gt;C719,E720&lt;&gt;E719),G719+1,G719))</f>
        <v/>
      </c>
    </row>
    <row r="721">
      <c r="A721" s="20">
        <f>IF(A720="","",IF(A720+1&gt;Ввод!$B$4,"",A720+1))</f>
        <v/>
      </c>
      <c r="B721">
        <f>IF(A721="","",IFERROR(INDEX(Ввод!$B$12:$B$71,MATCH(A721,Ввод!$D$12:$D$71,1)),""))</f>
        <v/>
      </c>
      <c r="C721">
        <f>IF(A721="","",DATE(YEAR(A721),12,31)-DATE(YEAR(A721),1,1)+1)</f>
        <v/>
      </c>
      <c r="D721">
        <f>IF(A721="","",SUMIFS(Акты!$D$5:$D$16,Акты!$E$5:$E$16,"&lt;="&amp;A721)-SUMIFS(Оплаты!$B$6:$B$505,Оплаты!$A$6:$A$505,"&lt;"&amp;A721,Оплаты!$D$6:$D$505,"&lt;&gt;"))</f>
        <v/>
      </c>
      <c r="E721">
        <f>IF(A721="","",IF(SUMPRODUCT((Ввод!$F$12:$F$31&lt;&gt;"")*(Ввод!$F$12:$F$31&lt;=A721)*(Ввод!$G$12:$G$31&gt;=A721))&gt;0,1,0))</f>
        <v/>
      </c>
      <c r="G721">
        <f>IF(A721="","",IF(OR(B721&lt;&gt;B720,C721&lt;&gt;C720,E721&lt;&gt;E720),G720+1,G720))</f>
        <v/>
      </c>
    </row>
    <row r="722">
      <c r="A722" s="20">
        <f>IF(A721="","",IF(A721+1&gt;Ввод!$B$4,"",A721+1))</f>
        <v/>
      </c>
      <c r="B722">
        <f>IF(A722="","",IFERROR(INDEX(Ввод!$B$12:$B$71,MATCH(A722,Ввод!$D$12:$D$71,1)),""))</f>
        <v/>
      </c>
      <c r="C722">
        <f>IF(A722="","",DATE(YEAR(A722),12,31)-DATE(YEAR(A722),1,1)+1)</f>
        <v/>
      </c>
      <c r="D722">
        <f>IF(A722="","",SUMIFS(Акты!$D$5:$D$16,Акты!$E$5:$E$16,"&lt;="&amp;A722)-SUMIFS(Оплаты!$B$6:$B$505,Оплаты!$A$6:$A$505,"&lt;"&amp;A722,Оплаты!$D$6:$D$505,"&lt;&gt;"))</f>
        <v/>
      </c>
      <c r="E722">
        <f>IF(A722="","",IF(SUMPRODUCT((Ввод!$F$12:$F$31&lt;&gt;"")*(Ввод!$F$12:$F$31&lt;=A722)*(Ввод!$G$12:$G$31&gt;=A722))&gt;0,1,0))</f>
        <v/>
      </c>
      <c r="G722">
        <f>IF(A722="","",IF(OR(B722&lt;&gt;B721,C722&lt;&gt;C721,E722&lt;&gt;E721),G721+1,G721))</f>
        <v/>
      </c>
    </row>
    <row r="723">
      <c r="A723" s="20">
        <f>IF(A722="","",IF(A722+1&gt;Ввод!$B$4,"",A722+1))</f>
        <v/>
      </c>
      <c r="B723">
        <f>IF(A723="","",IFERROR(INDEX(Ввод!$B$12:$B$71,MATCH(A723,Ввод!$D$12:$D$71,1)),""))</f>
        <v/>
      </c>
      <c r="C723">
        <f>IF(A723="","",DATE(YEAR(A723),12,31)-DATE(YEAR(A723),1,1)+1)</f>
        <v/>
      </c>
      <c r="D723">
        <f>IF(A723="","",SUMIFS(Акты!$D$5:$D$16,Акты!$E$5:$E$16,"&lt;="&amp;A723)-SUMIFS(Оплаты!$B$6:$B$505,Оплаты!$A$6:$A$505,"&lt;"&amp;A723,Оплаты!$D$6:$D$505,"&lt;&gt;"))</f>
        <v/>
      </c>
      <c r="E723">
        <f>IF(A723="","",IF(SUMPRODUCT((Ввод!$F$12:$F$31&lt;&gt;"")*(Ввод!$F$12:$F$31&lt;=A723)*(Ввод!$G$12:$G$31&gt;=A723))&gt;0,1,0))</f>
        <v/>
      </c>
      <c r="G723">
        <f>IF(A723="","",IF(OR(B723&lt;&gt;B722,C723&lt;&gt;C722,E723&lt;&gt;E722),G722+1,G722))</f>
        <v/>
      </c>
    </row>
    <row r="724">
      <c r="A724" s="20">
        <f>IF(A723="","",IF(A723+1&gt;Ввод!$B$4,"",A723+1))</f>
        <v/>
      </c>
      <c r="B724">
        <f>IF(A724="","",IFERROR(INDEX(Ввод!$B$12:$B$71,MATCH(A724,Ввод!$D$12:$D$71,1)),""))</f>
        <v/>
      </c>
      <c r="C724">
        <f>IF(A724="","",DATE(YEAR(A724),12,31)-DATE(YEAR(A724),1,1)+1)</f>
        <v/>
      </c>
      <c r="D724">
        <f>IF(A724="","",SUMIFS(Акты!$D$5:$D$16,Акты!$E$5:$E$16,"&lt;="&amp;A724)-SUMIFS(Оплаты!$B$6:$B$505,Оплаты!$A$6:$A$505,"&lt;"&amp;A724,Оплаты!$D$6:$D$505,"&lt;&gt;"))</f>
        <v/>
      </c>
      <c r="E724">
        <f>IF(A724="","",IF(SUMPRODUCT((Ввод!$F$12:$F$31&lt;&gt;"")*(Ввод!$F$12:$F$31&lt;=A724)*(Ввод!$G$12:$G$31&gt;=A724))&gt;0,1,0))</f>
        <v/>
      </c>
      <c r="G724">
        <f>IF(A724="","",IF(OR(B724&lt;&gt;B723,C724&lt;&gt;C723,E724&lt;&gt;E723),G723+1,G723))</f>
        <v/>
      </c>
    </row>
    <row r="725">
      <c r="A725" s="20">
        <f>IF(A724="","",IF(A724+1&gt;Ввод!$B$4,"",A724+1))</f>
        <v/>
      </c>
      <c r="B725">
        <f>IF(A725="","",IFERROR(INDEX(Ввод!$B$12:$B$71,MATCH(A725,Ввод!$D$12:$D$71,1)),""))</f>
        <v/>
      </c>
      <c r="C725">
        <f>IF(A725="","",DATE(YEAR(A725),12,31)-DATE(YEAR(A725),1,1)+1)</f>
        <v/>
      </c>
      <c r="D725">
        <f>IF(A725="","",SUMIFS(Акты!$D$5:$D$16,Акты!$E$5:$E$16,"&lt;="&amp;A725)-SUMIFS(Оплаты!$B$6:$B$505,Оплаты!$A$6:$A$505,"&lt;"&amp;A725,Оплаты!$D$6:$D$505,"&lt;&gt;"))</f>
        <v/>
      </c>
      <c r="E725">
        <f>IF(A725="","",IF(SUMPRODUCT((Ввод!$F$12:$F$31&lt;&gt;"")*(Ввод!$F$12:$F$31&lt;=A725)*(Ввод!$G$12:$G$31&gt;=A725))&gt;0,1,0))</f>
        <v/>
      </c>
      <c r="G725">
        <f>IF(A725="","",IF(OR(B725&lt;&gt;B724,C725&lt;&gt;C724,E725&lt;&gt;E724),G724+1,G724))</f>
        <v/>
      </c>
    </row>
    <row r="726">
      <c r="A726" s="20">
        <f>IF(A725="","",IF(A725+1&gt;Ввод!$B$4,"",A725+1))</f>
        <v/>
      </c>
      <c r="B726">
        <f>IF(A726="","",IFERROR(INDEX(Ввод!$B$12:$B$71,MATCH(A726,Ввод!$D$12:$D$71,1)),""))</f>
        <v/>
      </c>
      <c r="C726">
        <f>IF(A726="","",DATE(YEAR(A726),12,31)-DATE(YEAR(A726),1,1)+1)</f>
        <v/>
      </c>
      <c r="D726">
        <f>IF(A726="","",SUMIFS(Акты!$D$5:$D$16,Акты!$E$5:$E$16,"&lt;="&amp;A726)-SUMIFS(Оплаты!$B$6:$B$505,Оплаты!$A$6:$A$505,"&lt;"&amp;A726,Оплаты!$D$6:$D$505,"&lt;&gt;"))</f>
        <v/>
      </c>
      <c r="E726">
        <f>IF(A726="","",IF(SUMPRODUCT((Ввод!$F$12:$F$31&lt;&gt;"")*(Ввод!$F$12:$F$31&lt;=A726)*(Ввод!$G$12:$G$31&gt;=A726))&gt;0,1,0))</f>
        <v/>
      </c>
      <c r="G726">
        <f>IF(A726="","",IF(OR(B726&lt;&gt;B725,C726&lt;&gt;C725,E726&lt;&gt;E725),G725+1,G725))</f>
        <v/>
      </c>
    </row>
    <row r="727">
      <c r="A727" s="20">
        <f>IF(A726="","",IF(A726+1&gt;Ввод!$B$4,"",A726+1))</f>
        <v/>
      </c>
      <c r="B727">
        <f>IF(A727="","",IFERROR(INDEX(Ввод!$B$12:$B$71,MATCH(A727,Ввод!$D$12:$D$71,1)),""))</f>
        <v/>
      </c>
      <c r="C727">
        <f>IF(A727="","",DATE(YEAR(A727),12,31)-DATE(YEAR(A727),1,1)+1)</f>
        <v/>
      </c>
      <c r="D727">
        <f>IF(A727="","",SUMIFS(Акты!$D$5:$D$16,Акты!$E$5:$E$16,"&lt;="&amp;A727)-SUMIFS(Оплаты!$B$6:$B$505,Оплаты!$A$6:$A$505,"&lt;"&amp;A727,Оплаты!$D$6:$D$505,"&lt;&gt;"))</f>
        <v/>
      </c>
      <c r="E727">
        <f>IF(A727="","",IF(SUMPRODUCT((Ввод!$F$12:$F$31&lt;&gt;"")*(Ввод!$F$12:$F$31&lt;=A727)*(Ввод!$G$12:$G$31&gt;=A727))&gt;0,1,0))</f>
        <v/>
      </c>
      <c r="G727">
        <f>IF(A727="","",IF(OR(B727&lt;&gt;B726,C727&lt;&gt;C726,E727&lt;&gt;E726),G726+1,G726))</f>
        <v/>
      </c>
    </row>
    <row r="728">
      <c r="A728" s="20">
        <f>IF(A727="","",IF(A727+1&gt;Ввод!$B$4,"",A727+1))</f>
        <v/>
      </c>
      <c r="B728">
        <f>IF(A728="","",IFERROR(INDEX(Ввод!$B$12:$B$71,MATCH(A728,Ввод!$D$12:$D$71,1)),""))</f>
        <v/>
      </c>
      <c r="C728">
        <f>IF(A728="","",DATE(YEAR(A728),12,31)-DATE(YEAR(A728),1,1)+1)</f>
        <v/>
      </c>
      <c r="D728">
        <f>IF(A728="","",SUMIFS(Акты!$D$5:$D$16,Акты!$E$5:$E$16,"&lt;="&amp;A728)-SUMIFS(Оплаты!$B$6:$B$505,Оплаты!$A$6:$A$505,"&lt;"&amp;A728,Оплаты!$D$6:$D$505,"&lt;&gt;"))</f>
        <v/>
      </c>
      <c r="E728">
        <f>IF(A728="","",IF(SUMPRODUCT((Ввод!$F$12:$F$31&lt;&gt;"")*(Ввод!$F$12:$F$31&lt;=A728)*(Ввод!$G$12:$G$31&gt;=A728))&gt;0,1,0))</f>
        <v/>
      </c>
      <c r="G728">
        <f>IF(A728="","",IF(OR(B728&lt;&gt;B727,C728&lt;&gt;C727,E728&lt;&gt;E727),G727+1,G727))</f>
        <v/>
      </c>
    </row>
    <row r="729">
      <c r="A729" s="20">
        <f>IF(A728="","",IF(A728+1&gt;Ввод!$B$4,"",A728+1))</f>
        <v/>
      </c>
      <c r="B729">
        <f>IF(A729="","",IFERROR(INDEX(Ввод!$B$12:$B$71,MATCH(A729,Ввод!$D$12:$D$71,1)),""))</f>
        <v/>
      </c>
      <c r="C729">
        <f>IF(A729="","",DATE(YEAR(A729),12,31)-DATE(YEAR(A729),1,1)+1)</f>
        <v/>
      </c>
      <c r="D729">
        <f>IF(A729="","",SUMIFS(Акты!$D$5:$D$16,Акты!$E$5:$E$16,"&lt;="&amp;A729)-SUMIFS(Оплаты!$B$6:$B$505,Оплаты!$A$6:$A$505,"&lt;"&amp;A729,Оплаты!$D$6:$D$505,"&lt;&gt;"))</f>
        <v/>
      </c>
      <c r="E729">
        <f>IF(A729="","",IF(SUMPRODUCT((Ввод!$F$12:$F$31&lt;&gt;"")*(Ввод!$F$12:$F$31&lt;=A729)*(Ввод!$G$12:$G$31&gt;=A729))&gt;0,1,0))</f>
        <v/>
      </c>
      <c r="G729">
        <f>IF(A729="","",IF(OR(B729&lt;&gt;B728,C729&lt;&gt;C728,E729&lt;&gt;E728),G728+1,G728))</f>
        <v/>
      </c>
    </row>
    <row r="730">
      <c r="A730" s="20">
        <f>IF(A729="","",IF(A729+1&gt;Ввод!$B$4,"",A729+1))</f>
        <v/>
      </c>
      <c r="B730">
        <f>IF(A730="","",IFERROR(INDEX(Ввод!$B$12:$B$71,MATCH(A730,Ввод!$D$12:$D$71,1)),""))</f>
        <v/>
      </c>
      <c r="C730">
        <f>IF(A730="","",DATE(YEAR(A730),12,31)-DATE(YEAR(A730),1,1)+1)</f>
        <v/>
      </c>
      <c r="D730">
        <f>IF(A730="","",SUMIFS(Акты!$D$5:$D$16,Акты!$E$5:$E$16,"&lt;="&amp;A730)-SUMIFS(Оплаты!$B$6:$B$505,Оплаты!$A$6:$A$505,"&lt;"&amp;A730,Оплаты!$D$6:$D$505,"&lt;&gt;"))</f>
        <v/>
      </c>
      <c r="E730">
        <f>IF(A730="","",IF(SUMPRODUCT((Ввод!$F$12:$F$31&lt;&gt;"")*(Ввод!$F$12:$F$31&lt;=A730)*(Ввод!$G$12:$G$31&gt;=A730))&gt;0,1,0))</f>
        <v/>
      </c>
      <c r="G730">
        <f>IF(A730="","",IF(OR(B730&lt;&gt;B729,C730&lt;&gt;C729,E730&lt;&gt;E729),G729+1,G729))</f>
        <v/>
      </c>
    </row>
    <row r="731">
      <c r="A731" s="20">
        <f>IF(A730="","",IF(A730+1&gt;Ввод!$B$4,"",A730+1))</f>
        <v/>
      </c>
      <c r="B731">
        <f>IF(A731="","",IFERROR(INDEX(Ввод!$B$12:$B$71,MATCH(A731,Ввод!$D$12:$D$71,1)),""))</f>
        <v/>
      </c>
      <c r="C731">
        <f>IF(A731="","",DATE(YEAR(A731),12,31)-DATE(YEAR(A731),1,1)+1)</f>
        <v/>
      </c>
      <c r="D731">
        <f>IF(A731="","",SUMIFS(Акты!$D$5:$D$16,Акты!$E$5:$E$16,"&lt;="&amp;A731)-SUMIFS(Оплаты!$B$6:$B$505,Оплаты!$A$6:$A$505,"&lt;"&amp;A731,Оплаты!$D$6:$D$505,"&lt;&gt;"))</f>
        <v/>
      </c>
      <c r="E731">
        <f>IF(A731="","",IF(SUMPRODUCT((Ввод!$F$12:$F$31&lt;&gt;"")*(Ввод!$F$12:$F$31&lt;=A731)*(Ввод!$G$12:$G$31&gt;=A731))&gt;0,1,0))</f>
        <v/>
      </c>
      <c r="G731">
        <f>IF(A731="","",IF(OR(B731&lt;&gt;B730,C731&lt;&gt;C730,E731&lt;&gt;E730),G730+1,G730))</f>
        <v/>
      </c>
    </row>
    <row r="732">
      <c r="A732" s="20">
        <f>IF(A731="","",IF(A731+1&gt;Ввод!$B$4,"",A731+1))</f>
        <v/>
      </c>
      <c r="B732">
        <f>IF(A732="","",IFERROR(INDEX(Ввод!$B$12:$B$71,MATCH(A732,Ввод!$D$12:$D$71,1)),""))</f>
        <v/>
      </c>
      <c r="C732">
        <f>IF(A732="","",DATE(YEAR(A732),12,31)-DATE(YEAR(A732),1,1)+1)</f>
        <v/>
      </c>
      <c r="D732">
        <f>IF(A732="","",SUMIFS(Акты!$D$5:$D$16,Акты!$E$5:$E$16,"&lt;="&amp;A732)-SUMIFS(Оплаты!$B$6:$B$505,Оплаты!$A$6:$A$505,"&lt;"&amp;A732,Оплаты!$D$6:$D$505,"&lt;&gt;"))</f>
        <v/>
      </c>
      <c r="E732">
        <f>IF(A732="","",IF(SUMPRODUCT((Ввод!$F$12:$F$31&lt;&gt;"")*(Ввод!$F$12:$F$31&lt;=A732)*(Ввод!$G$12:$G$31&gt;=A732))&gt;0,1,0))</f>
        <v/>
      </c>
      <c r="G732">
        <f>IF(A732="","",IF(OR(B732&lt;&gt;B731,C732&lt;&gt;C731,E732&lt;&gt;E731),G731+1,G731))</f>
        <v/>
      </c>
    </row>
    <row r="733">
      <c r="A733" s="20">
        <f>IF(A732="","",IF(A732+1&gt;Ввод!$B$4,"",A732+1))</f>
        <v/>
      </c>
      <c r="B733">
        <f>IF(A733="","",IFERROR(INDEX(Ввод!$B$12:$B$71,MATCH(A733,Ввод!$D$12:$D$71,1)),""))</f>
        <v/>
      </c>
      <c r="C733">
        <f>IF(A733="","",DATE(YEAR(A733),12,31)-DATE(YEAR(A733),1,1)+1)</f>
        <v/>
      </c>
      <c r="D733">
        <f>IF(A733="","",SUMIFS(Акты!$D$5:$D$16,Акты!$E$5:$E$16,"&lt;="&amp;A733)-SUMIFS(Оплаты!$B$6:$B$505,Оплаты!$A$6:$A$505,"&lt;"&amp;A733,Оплаты!$D$6:$D$505,"&lt;&gt;"))</f>
        <v/>
      </c>
      <c r="E733">
        <f>IF(A733="","",IF(SUMPRODUCT((Ввод!$F$12:$F$31&lt;&gt;"")*(Ввод!$F$12:$F$31&lt;=A733)*(Ввод!$G$12:$G$31&gt;=A733))&gt;0,1,0))</f>
        <v/>
      </c>
      <c r="G733">
        <f>IF(A733="","",IF(OR(B733&lt;&gt;B732,C733&lt;&gt;C732,E733&lt;&gt;E732),G732+1,G732))</f>
        <v/>
      </c>
    </row>
    <row r="734">
      <c r="A734" s="20">
        <f>IF(A733="","",IF(A733+1&gt;Ввод!$B$4,"",A733+1))</f>
        <v/>
      </c>
      <c r="B734">
        <f>IF(A734="","",IFERROR(INDEX(Ввод!$B$12:$B$71,MATCH(A734,Ввод!$D$12:$D$71,1)),""))</f>
        <v/>
      </c>
      <c r="C734">
        <f>IF(A734="","",DATE(YEAR(A734),12,31)-DATE(YEAR(A734),1,1)+1)</f>
        <v/>
      </c>
      <c r="D734">
        <f>IF(A734="","",SUMIFS(Акты!$D$5:$D$16,Акты!$E$5:$E$16,"&lt;="&amp;A734)-SUMIFS(Оплаты!$B$6:$B$505,Оплаты!$A$6:$A$505,"&lt;"&amp;A734,Оплаты!$D$6:$D$505,"&lt;&gt;"))</f>
        <v/>
      </c>
      <c r="E734">
        <f>IF(A734="","",IF(SUMPRODUCT((Ввод!$F$12:$F$31&lt;&gt;"")*(Ввод!$F$12:$F$31&lt;=A734)*(Ввод!$G$12:$G$31&gt;=A734))&gt;0,1,0))</f>
        <v/>
      </c>
      <c r="G734">
        <f>IF(A734="","",IF(OR(B734&lt;&gt;B733,C734&lt;&gt;C733,E734&lt;&gt;E733),G733+1,G733))</f>
        <v/>
      </c>
    </row>
    <row r="735">
      <c r="A735" s="20">
        <f>IF(A734="","",IF(A734+1&gt;Ввод!$B$4,"",A734+1))</f>
        <v/>
      </c>
      <c r="B735">
        <f>IF(A735="","",IFERROR(INDEX(Ввод!$B$12:$B$71,MATCH(A735,Ввод!$D$12:$D$71,1)),""))</f>
        <v/>
      </c>
      <c r="C735">
        <f>IF(A735="","",DATE(YEAR(A735),12,31)-DATE(YEAR(A735),1,1)+1)</f>
        <v/>
      </c>
      <c r="D735">
        <f>IF(A735="","",SUMIFS(Акты!$D$5:$D$16,Акты!$E$5:$E$16,"&lt;="&amp;A735)-SUMIFS(Оплаты!$B$6:$B$505,Оплаты!$A$6:$A$505,"&lt;"&amp;A735,Оплаты!$D$6:$D$505,"&lt;&gt;"))</f>
        <v/>
      </c>
      <c r="E735">
        <f>IF(A735="","",IF(SUMPRODUCT((Ввод!$F$12:$F$31&lt;&gt;"")*(Ввод!$F$12:$F$31&lt;=A735)*(Ввод!$G$12:$G$31&gt;=A735))&gt;0,1,0))</f>
        <v/>
      </c>
      <c r="G735">
        <f>IF(A735="","",IF(OR(B735&lt;&gt;B734,C735&lt;&gt;C734,E735&lt;&gt;E734),G734+1,G734))</f>
        <v/>
      </c>
    </row>
    <row r="736">
      <c r="A736" s="20">
        <f>IF(A735="","",IF(A735+1&gt;Ввод!$B$4,"",A735+1))</f>
        <v/>
      </c>
      <c r="B736">
        <f>IF(A736="","",IFERROR(INDEX(Ввод!$B$12:$B$71,MATCH(A736,Ввод!$D$12:$D$71,1)),""))</f>
        <v/>
      </c>
      <c r="C736">
        <f>IF(A736="","",DATE(YEAR(A736),12,31)-DATE(YEAR(A736),1,1)+1)</f>
        <v/>
      </c>
      <c r="D736">
        <f>IF(A736="","",SUMIFS(Акты!$D$5:$D$16,Акты!$E$5:$E$16,"&lt;="&amp;A736)-SUMIFS(Оплаты!$B$6:$B$505,Оплаты!$A$6:$A$505,"&lt;"&amp;A736,Оплаты!$D$6:$D$505,"&lt;&gt;"))</f>
        <v/>
      </c>
      <c r="E736">
        <f>IF(A736="","",IF(SUMPRODUCT((Ввод!$F$12:$F$31&lt;&gt;"")*(Ввод!$F$12:$F$31&lt;=A736)*(Ввод!$G$12:$G$31&gt;=A736))&gt;0,1,0))</f>
        <v/>
      </c>
      <c r="G736">
        <f>IF(A736="","",IF(OR(B736&lt;&gt;B735,C736&lt;&gt;C735,E736&lt;&gt;E735),G735+1,G735))</f>
        <v/>
      </c>
    </row>
    <row r="737">
      <c r="A737" s="20">
        <f>IF(A736="","",IF(A736+1&gt;Ввод!$B$4,"",A736+1))</f>
        <v/>
      </c>
      <c r="B737">
        <f>IF(A737="","",IFERROR(INDEX(Ввод!$B$12:$B$71,MATCH(A737,Ввод!$D$12:$D$71,1)),""))</f>
        <v/>
      </c>
      <c r="C737">
        <f>IF(A737="","",DATE(YEAR(A737),12,31)-DATE(YEAR(A737),1,1)+1)</f>
        <v/>
      </c>
      <c r="D737">
        <f>IF(A737="","",SUMIFS(Акты!$D$5:$D$16,Акты!$E$5:$E$16,"&lt;="&amp;A737)-SUMIFS(Оплаты!$B$6:$B$505,Оплаты!$A$6:$A$505,"&lt;"&amp;A737,Оплаты!$D$6:$D$505,"&lt;&gt;"))</f>
        <v/>
      </c>
      <c r="E737">
        <f>IF(A737="","",IF(SUMPRODUCT((Ввод!$F$12:$F$31&lt;&gt;"")*(Ввод!$F$12:$F$31&lt;=A737)*(Ввод!$G$12:$G$31&gt;=A737))&gt;0,1,0))</f>
        <v/>
      </c>
      <c r="G737">
        <f>IF(A737="","",IF(OR(B737&lt;&gt;B736,C737&lt;&gt;C736,E737&lt;&gt;E736),G736+1,G736))</f>
        <v/>
      </c>
    </row>
    <row r="738">
      <c r="A738" s="20">
        <f>IF(A737="","",IF(A737+1&gt;Ввод!$B$4,"",A737+1))</f>
        <v/>
      </c>
      <c r="B738">
        <f>IF(A738="","",IFERROR(INDEX(Ввод!$B$12:$B$71,MATCH(A738,Ввод!$D$12:$D$71,1)),""))</f>
        <v/>
      </c>
      <c r="C738">
        <f>IF(A738="","",DATE(YEAR(A738),12,31)-DATE(YEAR(A738),1,1)+1)</f>
        <v/>
      </c>
      <c r="D738">
        <f>IF(A738="","",SUMIFS(Акты!$D$5:$D$16,Акты!$E$5:$E$16,"&lt;="&amp;A738)-SUMIFS(Оплаты!$B$6:$B$505,Оплаты!$A$6:$A$505,"&lt;"&amp;A738,Оплаты!$D$6:$D$505,"&lt;&gt;"))</f>
        <v/>
      </c>
      <c r="E738">
        <f>IF(A738="","",IF(SUMPRODUCT((Ввод!$F$12:$F$31&lt;&gt;"")*(Ввод!$F$12:$F$31&lt;=A738)*(Ввод!$G$12:$G$31&gt;=A738))&gt;0,1,0))</f>
        <v/>
      </c>
      <c r="G738">
        <f>IF(A738="","",IF(OR(B738&lt;&gt;B737,C738&lt;&gt;C737,E738&lt;&gt;E737),G737+1,G737))</f>
        <v/>
      </c>
    </row>
    <row r="739">
      <c r="A739" s="20">
        <f>IF(A738="","",IF(A738+1&gt;Ввод!$B$4,"",A738+1))</f>
        <v/>
      </c>
      <c r="B739">
        <f>IF(A739="","",IFERROR(INDEX(Ввод!$B$12:$B$71,MATCH(A739,Ввод!$D$12:$D$71,1)),""))</f>
        <v/>
      </c>
      <c r="C739">
        <f>IF(A739="","",DATE(YEAR(A739),12,31)-DATE(YEAR(A739),1,1)+1)</f>
        <v/>
      </c>
      <c r="D739">
        <f>IF(A739="","",SUMIFS(Акты!$D$5:$D$16,Акты!$E$5:$E$16,"&lt;="&amp;A739)-SUMIFS(Оплаты!$B$6:$B$505,Оплаты!$A$6:$A$505,"&lt;"&amp;A739,Оплаты!$D$6:$D$505,"&lt;&gt;"))</f>
        <v/>
      </c>
      <c r="E739">
        <f>IF(A739="","",IF(SUMPRODUCT((Ввод!$F$12:$F$31&lt;&gt;"")*(Ввод!$F$12:$F$31&lt;=A739)*(Ввод!$G$12:$G$31&gt;=A739))&gt;0,1,0))</f>
        <v/>
      </c>
      <c r="G739">
        <f>IF(A739="","",IF(OR(B739&lt;&gt;B738,C739&lt;&gt;C738,E739&lt;&gt;E738),G738+1,G738))</f>
        <v/>
      </c>
    </row>
    <row r="740">
      <c r="A740" s="20">
        <f>IF(A739="","",IF(A739+1&gt;Ввод!$B$4,"",A739+1))</f>
        <v/>
      </c>
      <c r="B740">
        <f>IF(A740="","",IFERROR(INDEX(Ввод!$B$12:$B$71,MATCH(A740,Ввод!$D$12:$D$71,1)),""))</f>
        <v/>
      </c>
      <c r="C740">
        <f>IF(A740="","",DATE(YEAR(A740),12,31)-DATE(YEAR(A740),1,1)+1)</f>
        <v/>
      </c>
      <c r="D740">
        <f>IF(A740="","",SUMIFS(Акты!$D$5:$D$16,Акты!$E$5:$E$16,"&lt;="&amp;A740)-SUMIFS(Оплаты!$B$6:$B$505,Оплаты!$A$6:$A$505,"&lt;"&amp;A740,Оплаты!$D$6:$D$505,"&lt;&gt;"))</f>
        <v/>
      </c>
      <c r="E740">
        <f>IF(A740="","",IF(SUMPRODUCT((Ввод!$F$12:$F$31&lt;&gt;"")*(Ввод!$F$12:$F$31&lt;=A740)*(Ввод!$G$12:$G$31&gt;=A740))&gt;0,1,0))</f>
        <v/>
      </c>
      <c r="G740">
        <f>IF(A740="","",IF(OR(B740&lt;&gt;B739,C740&lt;&gt;C739,E740&lt;&gt;E739),G739+1,G739))</f>
        <v/>
      </c>
    </row>
    <row r="741">
      <c r="A741" s="20">
        <f>IF(A740="","",IF(A740+1&gt;Ввод!$B$4,"",A740+1))</f>
        <v/>
      </c>
      <c r="B741">
        <f>IF(A741="","",IFERROR(INDEX(Ввод!$B$12:$B$71,MATCH(A741,Ввод!$D$12:$D$71,1)),""))</f>
        <v/>
      </c>
      <c r="C741">
        <f>IF(A741="","",DATE(YEAR(A741),12,31)-DATE(YEAR(A741),1,1)+1)</f>
        <v/>
      </c>
      <c r="D741">
        <f>IF(A741="","",SUMIFS(Акты!$D$5:$D$16,Акты!$E$5:$E$16,"&lt;="&amp;A741)-SUMIFS(Оплаты!$B$6:$B$505,Оплаты!$A$6:$A$505,"&lt;"&amp;A741,Оплаты!$D$6:$D$505,"&lt;&gt;"))</f>
        <v/>
      </c>
      <c r="E741">
        <f>IF(A741="","",IF(SUMPRODUCT((Ввод!$F$12:$F$31&lt;&gt;"")*(Ввод!$F$12:$F$31&lt;=A741)*(Ввод!$G$12:$G$31&gt;=A741))&gt;0,1,0))</f>
        <v/>
      </c>
      <c r="G741">
        <f>IF(A741="","",IF(OR(B741&lt;&gt;B740,C741&lt;&gt;C740,E741&lt;&gt;E740),G740+1,G740))</f>
        <v/>
      </c>
    </row>
    <row r="742">
      <c r="A742" s="20">
        <f>IF(A741="","",IF(A741+1&gt;Ввод!$B$4,"",A741+1))</f>
        <v/>
      </c>
      <c r="B742">
        <f>IF(A742="","",IFERROR(INDEX(Ввод!$B$12:$B$71,MATCH(A742,Ввод!$D$12:$D$71,1)),""))</f>
        <v/>
      </c>
      <c r="C742">
        <f>IF(A742="","",DATE(YEAR(A742),12,31)-DATE(YEAR(A742),1,1)+1)</f>
        <v/>
      </c>
      <c r="D742">
        <f>IF(A742="","",SUMIFS(Акты!$D$5:$D$16,Акты!$E$5:$E$16,"&lt;="&amp;A742)-SUMIFS(Оплаты!$B$6:$B$505,Оплаты!$A$6:$A$505,"&lt;"&amp;A742,Оплаты!$D$6:$D$505,"&lt;&gt;"))</f>
        <v/>
      </c>
      <c r="E742">
        <f>IF(A742="","",IF(SUMPRODUCT((Ввод!$F$12:$F$31&lt;&gt;"")*(Ввод!$F$12:$F$31&lt;=A742)*(Ввод!$G$12:$G$31&gt;=A742))&gt;0,1,0))</f>
        <v/>
      </c>
      <c r="G742">
        <f>IF(A742="","",IF(OR(B742&lt;&gt;B741,C742&lt;&gt;C741,E742&lt;&gt;E741),G741+1,G741))</f>
        <v/>
      </c>
    </row>
    <row r="743">
      <c r="A743" s="20">
        <f>IF(A742="","",IF(A742+1&gt;Ввод!$B$4,"",A742+1))</f>
        <v/>
      </c>
      <c r="B743">
        <f>IF(A743="","",IFERROR(INDEX(Ввод!$B$12:$B$71,MATCH(A743,Ввод!$D$12:$D$71,1)),""))</f>
        <v/>
      </c>
      <c r="C743">
        <f>IF(A743="","",DATE(YEAR(A743),12,31)-DATE(YEAR(A743),1,1)+1)</f>
        <v/>
      </c>
      <c r="D743">
        <f>IF(A743="","",SUMIFS(Акты!$D$5:$D$16,Акты!$E$5:$E$16,"&lt;="&amp;A743)-SUMIFS(Оплаты!$B$6:$B$505,Оплаты!$A$6:$A$505,"&lt;"&amp;A743,Оплаты!$D$6:$D$505,"&lt;&gt;"))</f>
        <v/>
      </c>
      <c r="E743">
        <f>IF(A743="","",IF(SUMPRODUCT((Ввод!$F$12:$F$31&lt;&gt;"")*(Ввод!$F$12:$F$31&lt;=A743)*(Ввод!$G$12:$G$31&gt;=A743))&gt;0,1,0))</f>
        <v/>
      </c>
      <c r="G743">
        <f>IF(A743="","",IF(OR(B743&lt;&gt;B742,C743&lt;&gt;C742,E743&lt;&gt;E742),G742+1,G742))</f>
        <v/>
      </c>
    </row>
    <row r="744">
      <c r="A744" s="20">
        <f>IF(A743="","",IF(A743+1&gt;Ввод!$B$4,"",A743+1))</f>
        <v/>
      </c>
      <c r="B744">
        <f>IF(A744="","",IFERROR(INDEX(Ввод!$B$12:$B$71,MATCH(A744,Ввод!$D$12:$D$71,1)),""))</f>
        <v/>
      </c>
      <c r="C744">
        <f>IF(A744="","",DATE(YEAR(A744),12,31)-DATE(YEAR(A744),1,1)+1)</f>
        <v/>
      </c>
      <c r="D744">
        <f>IF(A744="","",SUMIFS(Акты!$D$5:$D$16,Акты!$E$5:$E$16,"&lt;="&amp;A744)-SUMIFS(Оплаты!$B$6:$B$505,Оплаты!$A$6:$A$505,"&lt;"&amp;A744,Оплаты!$D$6:$D$505,"&lt;&gt;"))</f>
        <v/>
      </c>
      <c r="E744">
        <f>IF(A744="","",IF(SUMPRODUCT((Ввод!$F$12:$F$31&lt;&gt;"")*(Ввод!$F$12:$F$31&lt;=A744)*(Ввод!$G$12:$G$31&gt;=A744))&gt;0,1,0))</f>
        <v/>
      </c>
      <c r="G744">
        <f>IF(A744="","",IF(OR(B744&lt;&gt;B743,C744&lt;&gt;C743,E744&lt;&gt;E743),G743+1,G743))</f>
        <v/>
      </c>
    </row>
    <row r="745">
      <c r="A745" s="20">
        <f>IF(A744="","",IF(A744+1&gt;Ввод!$B$4,"",A744+1))</f>
        <v/>
      </c>
      <c r="B745">
        <f>IF(A745="","",IFERROR(INDEX(Ввод!$B$12:$B$71,MATCH(A745,Ввод!$D$12:$D$71,1)),""))</f>
        <v/>
      </c>
      <c r="C745">
        <f>IF(A745="","",DATE(YEAR(A745),12,31)-DATE(YEAR(A745),1,1)+1)</f>
        <v/>
      </c>
      <c r="D745">
        <f>IF(A745="","",SUMIFS(Акты!$D$5:$D$16,Акты!$E$5:$E$16,"&lt;="&amp;A745)-SUMIFS(Оплаты!$B$6:$B$505,Оплаты!$A$6:$A$505,"&lt;"&amp;A745,Оплаты!$D$6:$D$505,"&lt;&gt;"))</f>
        <v/>
      </c>
      <c r="E745">
        <f>IF(A745="","",IF(SUMPRODUCT((Ввод!$F$12:$F$31&lt;&gt;"")*(Ввод!$F$12:$F$31&lt;=A745)*(Ввод!$G$12:$G$31&gt;=A745))&gt;0,1,0))</f>
        <v/>
      </c>
      <c r="G745">
        <f>IF(A745="","",IF(OR(B745&lt;&gt;B744,C745&lt;&gt;C744,E745&lt;&gt;E744),G744+1,G744))</f>
        <v/>
      </c>
    </row>
    <row r="746">
      <c r="A746" s="20">
        <f>IF(A745="","",IF(A745+1&gt;Ввод!$B$4,"",A745+1))</f>
        <v/>
      </c>
      <c r="B746">
        <f>IF(A746="","",IFERROR(INDEX(Ввод!$B$12:$B$71,MATCH(A746,Ввод!$D$12:$D$71,1)),""))</f>
        <v/>
      </c>
      <c r="C746">
        <f>IF(A746="","",DATE(YEAR(A746),12,31)-DATE(YEAR(A746),1,1)+1)</f>
        <v/>
      </c>
      <c r="D746">
        <f>IF(A746="","",SUMIFS(Акты!$D$5:$D$16,Акты!$E$5:$E$16,"&lt;="&amp;A746)-SUMIFS(Оплаты!$B$6:$B$505,Оплаты!$A$6:$A$505,"&lt;"&amp;A746,Оплаты!$D$6:$D$505,"&lt;&gt;"))</f>
        <v/>
      </c>
      <c r="E746">
        <f>IF(A746="","",IF(SUMPRODUCT((Ввод!$F$12:$F$31&lt;&gt;"")*(Ввод!$F$12:$F$31&lt;=A746)*(Ввод!$G$12:$G$31&gt;=A746))&gt;0,1,0))</f>
        <v/>
      </c>
      <c r="G746">
        <f>IF(A746="","",IF(OR(B746&lt;&gt;B745,C746&lt;&gt;C745,E746&lt;&gt;E745),G745+1,G745))</f>
        <v/>
      </c>
    </row>
    <row r="747">
      <c r="A747" s="20">
        <f>IF(A746="","",IF(A746+1&gt;Ввод!$B$4,"",A746+1))</f>
        <v/>
      </c>
      <c r="B747">
        <f>IF(A747="","",IFERROR(INDEX(Ввод!$B$12:$B$71,MATCH(A747,Ввод!$D$12:$D$71,1)),""))</f>
        <v/>
      </c>
      <c r="C747">
        <f>IF(A747="","",DATE(YEAR(A747),12,31)-DATE(YEAR(A747),1,1)+1)</f>
        <v/>
      </c>
      <c r="D747">
        <f>IF(A747="","",SUMIFS(Акты!$D$5:$D$16,Акты!$E$5:$E$16,"&lt;="&amp;A747)-SUMIFS(Оплаты!$B$6:$B$505,Оплаты!$A$6:$A$505,"&lt;"&amp;A747,Оплаты!$D$6:$D$505,"&lt;&gt;"))</f>
        <v/>
      </c>
      <c r="E747">
        <f>IF(A747="","",IF(SUMPRODUCT((Ввод!$F$12:$F$31&lt;&gt;"")*(Ввод!$F$12:$F$31&lt;=A747)*(Ввод!$G$12:$G$31&gt;=A747))&gt;0,1,0))</f>
        <v/>
      </c>
      <c r="G747">
        <f>IF(A747="","",IF(OR(B747&lt;&gt;B746,C747&lt;&gt;C746,E747&lt;&gt;E746),G746+1,G746))</f>
        <v/>
      </c>
    </row>
    <row r="748">
      <c r="A748" s="20">
        <f>IF(A747="","",IF(A747+1&gt;Ввод!$B$4,"",A747+1))</f>
        <v/>
      </c>
      <c r="B748">
        <f>IF(A748="","",IFERROR(INDEX(Ввод!$B$12:$B$71,MATCH(A748,Ввод!$D$12:$D$71,1)),""))</f>
        <v/>
      </c>
      <c r="C748">
        <f>IF(A748="","",DATE(YEAR(A748),12,31)-DATE(YEAR(A748),1,1)+1)</f>
        <v/>
      </c>
      <c r="D748">
        <f>IF(A748="","",SUMIFS(Акты!$D$5:$D$16,Акты!$E$5:$E$16,"&lt;="&amp;A748)-SUMIFS(Оплаты!$B$6:$B$505,Оплаты!$A$6:$A$505,"&lt;"&amp;A748,Оплаты!$D$6:$D$505,"&lt;&gt;"))</f>
        <v/>
      </c>
      <c r="E748">
        <f>IF(A748="","",IF(SUMPRODUCT((Ввод!$F$12:$F$31&lt;&gt;"")*(Ввод!$F$12:$F$31&lt;=A748)*(Ввод!$G$12:$G$31&gt;=A748))&gt;0,1,0))</f>
        <v/>
      </c>
      <c r="G748">
        <f>IF(A748="","",IF(OR(B748&lt;&gt;B747,C748&lt;&gt;C747,E748&lt;&gt;E747),G747+1,G747))</f>
        <v/>
      </c>
    </row>
    <row r="749">
      <c r="A749" s="20">
        <f>IF(A748="","",IF(A748+1&gt;Ввод!$B$4,"",A748+1))</f>
        <v/>
      </c>
      <c r="B749">
        <f>IF(A749="","",IFERROR(INDEX(Ввод!$B$12:$B$71,MATCH(A749,Ввод!$D$12:$D$71,1)),""))</f>
        <v/>
      </c>
      <c r="C749">
        <f>IF(A749="","",DATE(YEAR(A749),12,31)-DATE(YEAR(A749),1,1)+1)</f>
        <v/>
      </c>
      <c r="D749">
        <f>IF(A749="","",SUMIFS(Акты!$D$5:$D$16,Акты!$E$5:$E$16,"&lt;="&amp;A749)-SUMIFS(Оплаты!$B$6:$B$505,Оплаты!$A$6:$A$505,"&lt;"&amp;A749,Оплаты!$D$6:$D$505,"&lt;&gt;"))</f>
        <v/>
      </c>
      <c r="E749">
        <f>IF(A749="","",IF(SUMPRODUCT((Ввод!$F$12:$F$31&lt;&gt;"")*(Ввод!$F$12:$F$31&lt;=A749)*(Ввод!$G$12:$G$31&gt;=A749))&gt;0,1,0))</f>
        <v/>
      </c>
      <c r="G749">
        <f>IF(A749="","",IF(OR(B749&lt;&gt;B748,C749&lt;&gt;C748,E749&lt;&gt;E748),G748+1,G748))</f>
        <v/>
      </c>
    </row>
    <row r="750">
      <c r="A750" s="20">
        <f>IF(A749="","",IF(A749+1&gt;Ввод!$B$4,"",A749+1))</f>
        <v/>
      </c>
      <c r="B750">
        <f>IF(A750="","",IFERROR(INDEX(Ввод!$B$12:$B$71,MATCH(A750,Ввод!$D$12:$D$71,1)),""))</f>
        <v/>
      </c>
      <c r="C750">
        <f>IF(A750="","",DATE(YEAR(A750),12,31)-DATE(YEAR(A750),1,1)+1)</f>
        <v/>
      </c>
      <c r="D750">
        <f>IF(A750="","",SUMIFS(Акты!$D$5:$D$16,Акты!$E$5:$E$16,"&lt;="&amp;A750)-SUMIFS(Оплаты!$B$6:$B$505,Оплаты!$A$6:$A$505,"&lt;"&amp;A750,Оплаты!$D$6:$D$505,"&lt;&gt;"))</f>
        <v/>
      </c>
      <c r="E750">
        <f>IF(A750="","",IF(SUMPRODUCT((Ввод!$F$12:$F$31&lt;&gt;"")*(Ввод!$F$12:$F$31&lt;=A750)*(Ввод!$G$12:$G$31&gt;=A750))&gt;0,1,0))</f>
        <v/>
      </c>
      <c r="G750">
        <f>IF(A750="","",IF(OR(B750&lt;&gt;B749,C750&lt;&gt;C749,E750&lt;&gt;E749),G749+1,G749))</f>
        <v/>
      </c>
    </row>
    <row r="751">
      <c r="A751" s="20">
        <f>IF(A750="","",IF(A750+1&gt;Ввод!$B$4,"",A750+1))</f>
        <v/>
      </c>
      <c r="B751">
        <f>IF(A751="","",IFERROR(INDEX(Ввод!$B$12:$B$71,MATCH(A751,Ввод!$D$12:$D$71,1)),""))</f>
        <v/>
      </c>
      <c r="C751">
        <f>IF(A751="","",DATE(YEAR(A751),12,31)-DATE(YEAR(A751),1,1)+1)</f>
        <v/>
      </c>
      <c r="D751">
        <f>IF(A751="","",SUMIFS(Акты!$D$5:$D$16,Акты!$E$5:$E$16,"&lt;="&amp;A751)-SUMIFS(Оплаты!$B$6:$B$505,Оплаты!$A$6:$A$505,"&lt;"&amp;A751,Оплаты!$D$6:$D$505,"&lt;&gt;"))</f>
        <v/>
      </c>
      <c r="E751">
        <f>IF(A751="","",IF(SUMPRODUCT((Ввод!$F$12:$F$31&lt;&gt;"")*(Ввод!$F$12:$F$31&lt;=A751)*(Ввод!$G$12:$G$31&gt;=A751))&gt;0,1,0))</f>
        <v/>
      </c>
      <c r="G751">
        <f>IF(A751="","",IF(OR(B751&lt;&gt;B750,C751&lt;&gt;C750,E751&lt;&gt;E750),G750+1,G750))</f>
        <v/>
      </c>
    </row>
    <row r="752">
      <c r="A752" s="20">
        <f>IF(A751="","",IF(A751+1&gt;Ввод!$B$4,"",A751+1))</f>
        <v/>
      </c>
      <c r="B752">
        <f>IF(A752="","",IFERROR(INDEX(Ввод!$B$12:$B$71,MATCH(A752,Ввод!$D$12:$D$71,1)),""))</f>
        <v/>
      </c>
      <c r="C752">
        <f>IF(A752="","",DATE(YEAR(A752),12,31)-DATE(YEAR(A752),1,1)+1)</f>
        <v/>
      </c>
      <c r="D752">
        <f>IF(A752="","",SUMIFS(Акты!$D$5:$D$16,Акты!$E$5:$E$16,"&lt;="&amp;A752)-SUMIFS(Оплаты!$B$6:$B$505,Оплаты!$A$6:$A$505,"&lt;"&amp;A752,Оплаты!$D$6:$D$505,"&lt;&gt;"))</f>
        <v/>
      </c>
      <c r="E752">
        <f>IF(A752="","",IF(SUMPRODUCT((Ввод!$F$12:$F$31&lt;&gt;"")*(Ввод!$F$12:$F$31&lt;=A752)*(Ввод!$G$12:$G$31&gt;=A752))&gt;0,1,0))</f>
        <v/>
      </c>
      <c r="G752">
        <f>IF(A752="","",IF(OR(B752&lt;&gt;B751,C752&lt;&gt;C751,E752&lt;&gt;E751),G751+1,G751))</f>
        <v/>
      </c>
    </row>
    <row r="753">
      <c r="A753" s="20">
        <f>IF(A752="","",IF(A752+1&gt;Ввод!$B$4,"",A752+1))</f>
        <v/>
      </c>
      <c r="B753">
        <f>IF(A753="","",IFERROR(INDEX(Ввод!$B$12:$B$71,MATCH(A753,Ввод!$D$12:$D$71,1)),""))</f>
        <v/>
      </c>
      <c r="C753">
        <f>IF(A753="","",DATE(YEAR(A753),12,31)-DATE(YEAR(A753),1,1)+1)</f>
        <v/>
      </c>
      <c r="D753">
        <f>IF(A753="","",SUMIFS(Акты!$D$5:$D$16,Акты!$E$5:$E$16,"&lt;="&amp;A753)-SUMIFS(Оплаты!$B$6:$B$505,Оплаты!$A$6:$A$505,"&lt;"&amp;A753,Оплаты!$D$6:$D$505,"&lt;&gt;"))</f>
        <v/>
      </c>
      <c r="E753">
        <f>IF(A753="","",IF(SUMPRODUCT((Ввод!$F$12:$F$31&lt;&gt;"")*(Ввод!$F$12:$F$31&lt;=A753)*(Ввод!$G$12:$G$31&gt;=A753))&gt;0,1,0))</f>
        <v/>
      </c>
      <c r="G753">
        <f>IF(A753="","",IF(OR(B753&lt;&gt;B752,C753&lt;&gt;C752,E753&lt;&gt;E752),G752+1,G752))</f>
        <v/>
      </c>
    </row>
    <row r="754">
      <c r="A754" s="20">
        <f>IF(A753="","",IF(A753+1&gt;Ввод!$B$4,"",A753+1))</f>
        <v/>
      </c>
      <c r="B754">
        <f>IF(A754="","",IFERROR(INDEX(Ввод!$B$12:$B$71,MATCH(A754,Ввод!$D$12:$D$71,1)),""))</f>
        <v/>
      </c>
      <c r="C754">
        <f>IF(A754="","",DATE(YEAR(A754),12,31)-DATE(YEAR(A754),1,1)+1)</f>
        <v/>
      </c>
      <c r="D754">
        <f>IF(A754="","",SUMIFS(Акты!$D$5:$D$16,Акты!$E$5:$E$16,"&lt;="&amp;A754)-SUMIFS(Оплаты!$B$6:$B$505,Оплаты!$A$6:$A$505,"&lt;"&amp;A754,Оплаты!$D$6:$D$505,"&lt;&gt;"))</f>
        <v/>
      </c>
      <c r="E754">
        <f>IF(A754="","",IF(SUMPRODUCT((Ввод!$F$12:$F$31&lt;&gt;"")*(Ввод!$F$12:$F$31&lt;=A754)*(Ввод!$G$12:$G$31&gt;=A754))&gt;0,1,0))</f>
        <v/>
      </c>
      <c r="G754">
        <f>IF(A754="","",IF(OR(B754&lt;&gt;B753,C754&lt;&gt;C753,E754&lt;&gt;E753),G753+1,G753))</f>
        <v/>
      </c>
    </row>
    <row r="755">
      <c r="A755" s="20">
        <f>IF(A754="","",IF(A754+1&gt;Ввод!$B$4,"",A754+1))</f>
        <v/>
      </c>
      <c r="B755">
        <f>IF(A755="","",IFERROR(INDEX(Ввод!$B$12:$B$71,MATCH(A755,Ввод!$D$12:$D$71,1)),""))</f>
        <v/>
      </c>
      <c r="C755">
        <f>IF(A755="","",DATE(YEAR(A755),12,31)-DATE(YEAR(A755),1,1)+1)</f>
        <v/>
      </c>
      <c r="D755">
        <f>IF(A755="","",SUMIFS(Акты!$D$5:$D$16,Акты!$E$5:$E$16,"&lt;="&amp;A755)-SUMIFS(Оплаты!$B$6:$B$505,Оплаты!$A$6:$A$505,"&lt;"&amp;A755,Оплаты!$D$6:$D$505,"&lt;&gt;"))</f>
        <v/>
      </c>
      <c r="E755">
        <f>IF(A755="","",IF(SUMPRODUCT((Ввод!$F$12:$F$31&lt;&gt;"")*(Ввод!$F$12:$F$31&lt;=A755)*(Ввод!$G$12:$G$31&gt;=A755))&gt;0,1,0))</f>
        <v/>
      </c>
      <c r="G755">
        <f>IF(A755="","",IF(OR(B755&lt;&gt;B754,C755&lt;&gt;C754,E755&lt;&gt;E754),G754+1,G754))</f>
        <v/>
      </c>
    </row>
    <row r="756">
      <c r="A756" s="20">
        <f>IF(A755="","",IF(A755+1&gt;Ввод!$B$4,"",A755+1))</f>
        <v/>
      </c>
      <c r="B756">
        <f>IF(A756="","",IFERROR(INDEX(Ввод!$B$12:$B$71,MATCH(A756,Ввод!$D$12:$D$71,1)),""))</f>
        <v/>
      </c>
      <c r="C756">
        <f>IF(A756="","",DATE(YEAR(A756),12,31)-DATE(YEAR(A756),1,1)+1)</f>
        <v/>
      </c>
      <c r="D756">
        <f>IF(A756="","",SUMIFS(Акты!$D$5:$D$16,Акты!$E$5:$E$16,"&lt;="&amp;A756)-SUMIFS(Оплаты!$B$6:$B$505,Оплаты!$A$6:$A$505,"&lt;"&amp;A756,Оплаты!$D$6:$D$505,"&lt;&gt;"))</f>
        <v/>
      </c>
      <c r="E756">
        <f>IF(A756="","",IF(SUMPRODUCT((Ввод!$F$12:$F$31&lt;&gt;"")*(Ввод!$F$12:$F$31&lt;=A756)*(Ввод!$G$12:$G$31&gt;=A756))&gt;0,1,0))</f>
        <v/>
      </c>
      <c r="G756">
        <f>IF(A756="","",IF(OR(B756&lt;&gt;B755,C756&lt;&gt;C755,E756&lt;&gt;E755),G755+1,G755))</f>
        <v/>
      </c>
    </row>
    <row r="757">
      <c r="A757" s="20">
        <f>IF(A756="","",IF(A756+1&gt;Ввод!$B$4,"",A756+1))</f>
        <v/>
      </c>
      <c r="B757">
        <f>IF(A757="","",IFERROR(INDEX(Ввод!$B$12:$B$71,MATCH(A757,Ввод!$D$12:$D$71,1)),""))</f>
        <v/>
      </c>
      <c r="C757">
        <f>IF(A757="","",DATE(YEAR(A757),12,31)-DATE(YEAR(A757),1,1)+1)</f>
        <v/>
      </c>
      <c r="D757">
        <f>IF(A757="","",SUMIFS(Акты!$D$5:$D$16,Акты!$E$5:$E$16,"&lt;="&amp;A757)-SUMIFS(Оплаты!$B$6:$B$505,Оплаты!$A$6:$A$505,"&lt;"&amp;A757,Оплаты!$D$6:$D$505,"&lt;&gt;"))</f>
        <v/>
      </c>
      <c r="E757">
        <f>IF(A757="","",IF(SUMPRODUCT((Ввод!$F$12:$F$31&lt;&gt;"")*(Ввод!$F$12:$F$31&lt;=A757)*(Ввод!$G$12:$G$31&gt;=A757))&gt;0,1,0))</f>
        <v/>
      </c>
      <c r="G757">
        <f>IF(A757="","",IF(OR(B757&lt;&gt;B756,C757&lt;&gt;C756,E757&lt;&gt;E756),G756+1,G756))</f>
        <v/>
      </c>
    </row>
    <row r="758">
      <c r="A758" s="20">
        <f>IF(A757="","",IF(A757+1&gt;Ввод!$B$4,"",A757+1))</f>
        <v/>
      </c>
      <c r="B758">
        <f>IF(A758="","",IFERROR(INDEX(Ввод!$B$12:$B$71,MATCH(A758,Ввод!$D$12:$D$71,1)),""))</f>
        <v/>
      </c>
      <c r="C758">
        <f>IF(A758="","",DATE(YEAR(A758),12,31)-DATE(YEAR(A758),1,1)+1)</f>
        <v/>
      </c>
      <c r="D758">
        <f>IF(A758="","",SUMIFS(Акты!$D$5:$D$16,Акты!$E$5:$E$16,"&lt;="&amp;A758)-SUMIFS(Оплаты!$B$6:$B$505,Оплаты!$A$6:$A$505,"&lt;"&amp;A758,Оплаты!$D$6:$D$505,"&lt;&gt;"))</f>
        <v/>
      </c>
      <c r="E758">
        <f>IF(A758="","",IF(SUMPRODUCT((Ввод!$F$12:$F$31&lt;&gt;"")*(Ввод!$F$12:$F$31&lt;=A758)*(Ввод!$G$12:$G$31&gt;=A758))&gt;0,1,0))</f>
        <v/>
      </c>
      <c r="G758">
        <f>IF(A758="","",IF(OR(B758&lt;&gt;B757,C758&lt;&gt;C757,E758&lt;&gt;E757),G757+1,G757))</f>
        <v/>
      </c>
    </row>
    <row r="759">
      <c r="A759" s="20">
        <f>IF(A758="","",IF(A758+1&gt;Ввод!$B$4,"",A758+1))</f>
        <v/>
      </c>
      <c r="B759">
        <f>IF(A759="","",IFERROR(INDEX(Ввод!$B$12:$B$71,MATCH(A759,Ввод!$D$12:$D$71,1)),""))</f>
        <v/>
      </c>
      <c r="C759">
        <f>IF(A759="","",DATE(YEAR(A759),12,31)-DATE(YEAR(A759),1,1)+1)</f>
        <v/>
      </c>
      <c r="D759">
        <f>IF(A759="","",SUMIFS(Акты!$D$5:$D$16,Акты!$E$5:$E$16,"&lt;="&amp;A759)-SUMIFS(Оплаты!$B$6:$B$505,Оплаты!$A$6:$A$505,"&lt;"&amp;A759,Оплаты!$D$6:$D$505,"&lt;&gt;"))</f>
        <v/>
      </c>
      <c r="E759">
        <f>IF(A759="","",IF(SUMPRODUCT((Ввод!$F$12:$F$31&lt;&gt;"")*(Ввод!$F$12:$F$31&lt;=A759)*(Ввод!$G$12:$G$31&gt;=A759))&gt;0,1,0))</f>
        <v/>
      </c>
      <c r="G759">
        <f>IF(A759="","",IF(OR(B759&lt;&gt;B758,C759&lt;&gt;C758,E759&lt;&gt;E758),G758+1,G758))</f>
        <v/>
      </c>
    </row>
    <row r="760">
      <c r="A760" s="20">
        <f>IF(A759="","",IF(A759+1&gt;Ввод!$B$4,"",A759+1))</f>
        <v/>
      </c>
      <c r="B760">
        <f>IF(A760="","",IFERROR(INDEX(Ввод!$B$12:$B$71,MATCH(A760,Ввод!$D$12:$D$71,1)),""))</f>
        <v/>
      </c>
      <c r="C760">
        <f>IF(A760="","",DATE(YEAR(A760),12,31)-DATE(YEAR(A760),1,1)+1)</f>
        <v/>
      </c>
      <c r="D760">
        <f>IF(A760="","",SUMIFS(Акты!$D$5:$D$16,Акты!$E$5:$E$16,"&lt;="&amp;A760)-SUMIFS(Оплаты!$B$6:$B$505,Оплаты!$A$6:$A$505,"&lt;"&amp;A760,Оплаты!$D$6:$D$505,"&lt;&gt;"))</f>
        <v/>
      </c>
      <c r="E760">
        <f>IF(A760="","",IF(SUMPRODUCT((Ввод!$F$12:$F$31&lt;&gt;"")*(Ввод!$F$12:$F$31&lt;=A760)*(Ввод!$G$12:$G$31&gt;=A760))&gt;0,1,0))</f>
        <v/>
      </c>
      <c r="G760">
        <f>IF(A760="","",IF(OR(B760&lt;&gt;B759,C760&lt;&gt;C759,E760&lt;&gt;E759),G759+1,G759))</f>
        <v/>
      </c>
    </row>
    <row r="761">
      <c r="A761" s="20">
        <f>IF(A760="","",IF(A760+1&gt;Ввод!$B$4,"",A760+1))</f>
        <v/>
      </c>
      <c r="B761">
        <f>IF(A761="","",IFERROR(INDEX(Ввод!$B$12:$B$71,MATCH(A761,Ввод!$D$12:$D$71,1)),""))</f>
        <v/>
      </c>
      <c r="C761">
        <f>IF(A761="","",DATE(YEAR(A761),12,31)-DATE(YEAR(A761),1,1)+1)</f>
        <v/>
      </c>
      <c r="D761">
        <f>IF(A761="","",SUMIFS(Акты!$D$5:$D$16,Акты!$E$5:$E$16,"&lt;="&amp;A761)-SUMIFS(Оплаты!$B$6:$B$505,Оплаты!$A$6:$A$505,"&lt;"&amp;A761,Оплаты!$D$6:$D$505,"&lt;&gt;"))</f>
        <v/>
      </c>
      <c r="E761">
        <f>IF(A761="","",IF(SUMPRODUCT((Ввод!$F$12:$F$31&lt;&gt;"")*(Ввод!$F$12:$F$31&lt;=A761)*(Ввод!$G$12:$G$31&gt;=A761))&gt;0,1,0))</f>
        <v/>
      </c>
      <c r="G761">
        <f>IF(A761="","",IF(OR(B761&lt;&gt;B760,C761&lt;&gt;C760,E761&lt;&gt;E760),G760+1,G760))</f>
        <v/>
      </c>
    </row>
    <row r="762">
      <c r="A762" s="20">
        <f>IF(A761="","",IF(A761+1&gt;Ввод!$B$4,"",A761+1))</f>
        <v/>
      </c>
      <c r="B762">
        <f>IF(A762="","",IFERROR(INDEX(Ввод!$B$12:$B$71,MATCH(A762,Ввод!$D$12:$D$71,1)),""))</f>
        <v/>
      </c>
      <c r="C762">
        <f>IF(A762="","",DATE(YEAR(A762),12,31)-DATE(YEAR(A762),1,1)+1)</f>
        <v/>
      </c>
      <c r="D762">
        <f>IF(A762="","",SUMIFS(Акты!$D$5:$D$16,Акты!$E$5:$E$16,"&lt;="&amp;A762)-SUMIFS(Оплаты!$B$6:$B$505,Оплаты!$A$6:$A$505,"&lt;"&amp;A762,Оплаты!$D$6:$D$505,"&lt;&gt;"))</f>
        <v/>
      </c>
      <c r="E762">
        <f>IF(A762="","",IF(SUMPRODUCT((Ввод!$F$12:$F$31&lt;&gt;"")*(Ввод!$F$12:$F$31&lt;=A762)*(Ввод!$G$12:$G$31&gt;=A762))&gt;0,1,0))</f>
        <v/>
      </c>
      <c r="G762">
        <f>IF(A762="","",IF(OR(B762&lt;&gt;B761,C762&lt;&gt;C761,E762&lt;&gt;E761),G761+1,G761))</f>
        <v/>
      </c>
    </row>
    <row r="763">
      <c r="A763" s="20">
        <f>IF(A762="","",IF(A762+1&gt;Ввод!$B$4,"",A762+1))</f>
        <v/>
      </c>
      <c r="B763">
        <f>IF(A763="","",IFERROR(INDEX(Ввод!$B$12:$B$71,MATCH(A763,Ввод!$D$12:$D$71,1)),""))</f>
        <v/>
      </c>
      <c r="C763">
        <f>IF(A763="","",DATE(YEAR(A763),12,31)-DATE(YEAR(A763),1,1)+1)</f>
        <v/>
      </c>
      <c r="D763">
        <f>IF(A763="","",SUMIFS(Акты!$D$5:$D$16,Акты!$E$5:$E$16,"&lt;="&amp;A763)-SUMIFS(Оплаты!$B$6:$B$505,Оплаты!$A$6:$A$505,"&lt;"&amp;A763,Оплаты!$D$6:$D$505,"&lt;&gt;"))</f>
        <v/>
      </c>
      <c r="E763">
        <f>IF(A763="","",IF(SUMPRODUCT((Ввод!$F$12:$F$31&lt;&gt;"")*(Ввод!$F$12:$F$31&lt;=A763)*(Ввод!$G$12:$G$31&gt;=A763))&gt;0,1,0))</f>
        <v/>
      </c>
      <c r="G763">
        <f>IF(A763="","",IF(OR(B763&lt;&gt;B762,C763&lt;&gt;C762,E763&lt;&gt;E762),G762+1,G762))</f>
        <v/>
      </c>
    </row>
    <row r="764">
      <c r="A764" s="20">
        <f>IF(A763="","",IF(A763+1&gt;Ввод!$B$4,"",A763+1))</f>
        <v/>
      </c>
      <c r="B764">
        <f>IF(A764="","",IFERROR(INDEX(Ввод!$B$12:$B$71,MATCH(A764,Ввод!$D$12:$D$71,1)),""))</f>
        <v/>
      </c>
      <c r="C764">
        <f>IF(A764="","",DATE(YEAR(A764),12,31)-DATE(YEAR(A764),1,1)+1)</f>
        <v/>
      </c>
      <c r="D764">
        <f>IF(A764="","",SUMIFS(Акты!$D$5:$D$16,Акты!$E$5:$E$16,"&lt;="&amp;A764)-SUMIFS(Оплаты!$B$6:$B$505,Оплаты!$A$6:$A$505,"&lt;"&amp;A764,Оплаты!$D$6:$D$505,"&lt;&gt;"))</f>
        <v/>
      </c>
      <c r="E764">
        <f>IF(A764="","",IF(SUMPRODUCT((Ввод!$F$12:$F$31&lt;&gt;"")*(Ввод!$F$12:$F$31&lt;=A764)*(Ввод!$G$12:$G$31&gt;=A764))&gt;0,1,0))</f>
        <v/>
      </c>
      <c r="G764">
        <f>IF(A764="","",IF(OR(B764&lt;&gt;B763,C764&lt;&gt;C763,E764&lt;&gt;E763),G763+1,G763))</f>
        <v/>
      </c>
    </row>
    <row r="765">
      <c r="A765" s="20">
        <f>IF(A764="","",IF(A764+1&gt;Ввод!$B$4,"",A764+1))</f>
        <v/>
      </c>
      <c r="B765">
        <f>IF(A765="","",IFERROR(INDEX(Ввод!$B$12:$B$71,MATCH(A765,Ввод!$D$12:$D$71,1)),""))</f>
        <v/>
      </c>
      <c r="C765">
        <f>IF(A765="","",DATE(YEAR(A765),12,31)-DATE(YEAR(A765),1,1)+1)</f>
        <v/>
      </c>
      <c r="D765">
        <f>IF(A765="","",SUMIFS(Акты!$D$5:$D$16,Акты!$E$5:$E$16,"&lt;="&amp;A765)-SUMIFS(Оплаты!$B$6:$B$505,Оплаты!$A$6:$A$505,"&lt;"&amp;A765,Оплаты!$D$6:$D$505,"&lt;&gt;"))</f>
        <v/>
      </c>
      <c r="E765">
        <f>IF(A765="","",IF(SUMPRODUCT((Ввод!$F$12:$F$31&lt;&gt;"")*(Ввод!$F$12:$F$31&lt;=A765)*(Ввод!$G$12:$G$31&gt;=A765))&gt;0,1,0))</f>
        <v/>
      </c>
      <c r="G765">
        <f>IF(A765="","",IF(OR(B765&lt;&gt;B764,C765&lt;&gt;C764,E765&lt;&gt;E764),G764+1,G764))</f>
        <v/>
      </c>
    </row>
    <row r="766">
      <c r="A766" s="20">
        <f>IF(A765="","",IF(A765+1&gt;Ввод!$B$4,"",A765+1))</f>
        <v/>
      </c>
      <c r="B766">
        <f>IF(A766="","",IFERROR(INDEX(Ввод!$B$12:$B$71,MATCH(A766,Ввод!$D$12:$D$71,1)),""))</f>
        <v/>
      </c>
      <c r="C766">
        <f>IF(A766="","",DATE(YEAR(A766),12,31)-DATE(YEAR(A766),1,1)+1)</f>
        <v/>
      </c>
      <c r="D766">
        <f>IF(A766="","",SUMIFS(Акты!$D$5:$D$16,Акты!$E$5:$E$16,"&lt;="&amp;A766)-SUMIFS(Оплаты!$B$6:$B$505,Оплаты!$A$6:$A$505,"&lt;"&amp;A766,Оплаты!$D$6:$D$505,"&lt;&gt;"))</f>
        <v/>
      </c>
      <c r="E766">
        <f>IF(A766="","",IF(SUMPRODUCT((Ввод!$F$12:$F$31&lt;&gt;"")*(Ввод!$F$12:$F$31&lt;=A766)*(Ввод!$G$12:$G$31&gt;=A766))&gt;0,1,0))</f>
        <v/>
      </c>
      <c r="G766">
        <f>IF(A766="","",IF(OR(B766&lt;&gt;B765,C766&lt;&gt;C765,E766&lt;&gt;E765),G765+1,G765))</f>
        <v/>
      </c>
    </row>
    <row r="767">
      <c r="A767" s="20">
        <f>IF(A766="","",IF(A766+1&gt;Ввод!$B$4,"",A766+1))</f>
        <v/>
      </c>
      <c r="B767">
        <f>IF(A767="","",IFERROR(INDEX(Ввод!$B$12:$B$71,MATCH(A767,Ввод!$D$12:$D$71,1)),""))</f>
        <v/>
      </c>
      <c r="C767">
        <f>IF(A767="","",DATE(YEAR(A767),12,31)-DATE(YEAR(A767),1,1)+1)</f>
        <v/>
      </c>
      <c r="D767">
        <f>IF(A767="","",SUMIFS(Акты!$D$5:$D$16,Акты!$E$5:$E$16,"&lt;="&amp;A767)-SUMIFS(Оплаты!$B$6:$B$505,Оплаты!$A$6:$A$505,"&lt;"&amp;A767,Оплаты!$D$6:$D$505,"&lt;&gt;"))</f>
        <v/>
      </c>
      <c r="E767">
        <f>IF(A767="","",IF(SUMPRODUCT((Ввод!$F$12:$F$31&lt;&gt;"")*(Ввод!$F$12:$F$31&lt;=A767)*(Ввод!$G$12:$G$31&gt;=A767))&gt;0,1,0))</f>
        <v/>
      </c>
      <c r="G767">
        <f>IF(A767="","",IF(OR(B767&lt;&gt;B766,C767&lt;&gt;C766,E767&lt;&gt;E766),G766+1,G766))</f>
        <v/>
      </c>
    </row>
    <row r="768">
      <c r="A768" s="20">
        <f>IF(A767="","",IF(A767+1&gt;Ввод!$B$4,"",A767+1))</f>
        <v/>
      </c>
      <c r="B768">
        <f>IF(A768="","",IFERROR(INDEX(Ввод!$B$12:$B$71,MATCH(A768,Ввод!$D$12:$D$71,1)),""))</f>
        <v/>
      </c>
      <c r="C768">
        <f>IF(A768="","",DATE(YEAR(A768),12,31)-DATE(YEAR(A768),1,1)+1)</f>
        <v/>
      </c>
      <c r="D768">
        <f>IF(A768="","",SUMIFS(Акты!$D$5:$D$16,Акты!$E$5:$E$16,"&lt;="&amp;A768)-SUMIFS(Оплаты!$B$6:$B$505,Оплаты!$A$6:$A$505,"&lt;"&amp;A768,Оплаты!$D$6:$D$505,"&lt;&gt;"))</f>
        <v/>
      </c>
      <c r="E768">
        <f>IF(A768="","",IF(SUMPRODUCT((Ввод!$F$12:$F$31&lt;&gt;"")*(Ввод!$F$12:$F$31&lt;=A768)*(Ввод!$G$12:$G$31&gt;=A768))&gt;0,1,0))</f>
        <v/>
      </c>
      <c r="G768">
        <f>IF(A768="","",IF(OR(B768&lt;&gt;B767,C768&lt;&gt;C767,E768&lt;&gt;E767),G767+1,G767))</f>
        <v/>
      </c>
    </row>
    <row r="769">
      <c r="A769" s="20">
        <f>IF(A768="","",IF(A768+1&gt;Ввод!$B$4,"",A768+1))</f>
        <v/>
      </c>
      <c r="B769">
        <f>IF(A769="","",IFERROR(INDEX(Ввод!$B$12:$B$71,MATCH(A769,Ввод!$D$12:$D$71,1)),""))</f>
        <v/>
      </c>
      <c r="C769">
        <f>IF(A769="","",DATE(YEAR(A769),12,31)-DATE(YEAR(A769),1,1)+1)</f>
        <v/>
      </c>
      <c r="D769">
        <f>IF(A769="","",SUMIFS(Акты!$D$5:$D$16,Акты!$E$5:$E$16,"&lt;="&amp;A769)-SUMIFS(Оплаты!$B$6:$B$505,Оплаты!$A$6:$A$505,"&lt;"&amp;A769,Оплаты!$D$6:$D$505,"&lt;&gt;"))</f>
        <v/>
      </c>
      <c r="E769">
        <f>IF(A769="","",IF(SUMPRODUCT((Ввод!$F$12:$F$31&lt;&gt;"")*(Ввод!$F$12:$F$31&lt;=A769)*(Ввод!$G$12:$G$31&gt;=A769))&gt;0,1,0))</f>
        <v/>
      </c>
      <c r="G769">
        <f>IF(A769="","",IF(OR(B769&lt;&gt;B768,C769&lt;&gt;C768,E769&lt;&gt;E768),G768+1,G768))</f>
        <v/>
      </c>
    </row>
    <row r="770">
      <c r="A770" s="20">
        <f>IF(A769="","",IF(A769+1&gt;Ввод!$B$4,"",A769+1))</f>
        <v/>
      </c>
      <c r="B770">
        <f>IF(A770="","",IFERROR(INDEX(Ввод!$B$12:$B$71,MATCH(A770,Ввод!$D$12:$D$71,1)),""))</f>
        <v/>
      </c>
      <c r="C770">
        <f>IF(A770="","",DATE(YEAR(A770),12,31)-DATE(YEAR(A770),1,1)+1)</f>
        <v/>
      </c>
      <c r="D770">
        <f>IF(A770="","",SUMIFS(Акты!$D$5:$D$16,Акты!$E$5:$E$16,"&lt;="&amp;A770)-SUMIFS(Оплаты!$B$6:$B$505,Оплаты!$A$6:$A$505,"&lt;"&amp;A770,Оплаты!$D$6:$D$505,"&lt;&gt;"))</f>
        <v/>
      </c>
      <c r="E770">
        <f>IF(A770="","",IF(SUMPRODUCT((Ввод!$F$12:$F$31&lt;&gt;"")*(Ввод!$F$12:$F$31&lt;=A770)*(Ввод!$G$12:$G$31&gt;=A770))&gt;0,1,0))</f>
        <v/>
      </c>
      <c r="G770">
        <f>IF(A770="","",IF(OR(B770&lt;&gt;B769,C770&lt;&gt;C769,E770&lt;&gt;E769),G769+1,G769))</f>
        <v/>
      </c>
    </row>
    <row r="771">
      <c r="A771" s="20">
        <f>IF(A770="","",IF(A770+1&gt;Ввод!$B$4,"",A770+1))</f>
        <v/>
      </c>
      <c r="B771">
        <f>IF(A771="","",IFERROR(INDEX(Ввод!$B$12:$B$71,MATCH(A771,Ввод!$D$12:$D$71,1)),""))</f>
        <v/>
      </c>
      <c r="C771">
        <f>IF(A771="","",DATE(YEAR(A771),12,31)-DATE(YEAR(A771),1,1)+1)</f>
        <v/>
      </c>
      <c r="D771">
        <f>IF(A771="","",SUMIFS(Акты!$D$5:$D$16,Акты!$E$5:$E$16,"&lt;="&amp;A771)-SUMIFS(Оплаты!$B$6:$B$505,Оплаты!$A$6:$A$505,"&lt;"&amp;A771,Оплаты!$D$6:$D$505,"&lt;&gt;"))</f>
        <v/>
      </c>
      <c r="E771">
        <f>IF(A771="","",IF(SUMPRODUCT((Ввод!$F$12:$F$31&lt;&gt;"")*(Ввод!$F$12:$F$31&lt;=A771)*(Ввод!$G$12:$G$31&gt;=A771))&gt;0,1,0))</f>
        <v/>
      </c>
      <c r="G771">
        <f>IF(A771="","",IF(OR(B771&lt;&gt;B770,C771&lt;&gt;C770,E771&lt;&gt;E770),G770+1,G770))</f>
        <v/>
      </c>
    </row>
    <row r="772">
      <c r="A772" s="20">
        <f>IF(A771="","",IF(A771+1&gt;Ввод!$B$4,"",A771+1))</f>
        <v/>
      </c>
      <c r="B772">
        <f>IF(A772="","",IFERROR(INDEX(Ввод!$B$12:$B$71,MATCH(A772,Ввод!$D$12:$D$71,1)),""))</f>
        <v/>
      </c>
      <c r="C772">
        <f>IF(A772="","",DATE(YEAR(A772),12,31)-DATE(YEAR(A772),1,1)+1)</f>
        <v/>
      </c>
      <c r="D772">
        <f>IF(A772="","",SUMIFS(Акты!$D$5:$D$16,Акты!$E$5:$E$16,"&lt;="&amp;A772)-SUMIFS(Оплаты!$B$6:$B$505,Оплаты!$A$6:$A$505,"&lt;"&amp;A772,Оплаты!$D$6:$D$505,"&lt;&gt;"))</f>
        <v/>
      </c>
      <c r="E772">
        <f>IF(A772="","",IF(SUMPRODUCT((Ввод!$F$12:$F$31&lt;&gt;"")*(Ввод!$F$12:$F$31&lt;=A772)*(Ввод!$G$12:$G$31&gt;=A772))&gt;0,1,0))</f>
        <v/>
      </c>
      <c r="G772">
        <f>IF(A772="","",IF(OR(B772&lt;&gt;B771,C772&lt;&gt;C771,E772&lt;&gt;E771),G771+1,G771))</f>
        <v/>
      </c>
    </row>
    <row r="773">
      <c r="A773" s="20">
        <f>IF(A772="","",IF(A772+1&gt;Ввод!$B$4,"",A772+1))</f>
        <v/>
      </c>
      <c r="B773">
        <f>IF(A773="","",IFERROR(INDEX(Ввод!$B$12:$B$71,MATCH(A773,Ввод!$D$12:$D$71,1)),""))</f>
        <v/>
      </c>
      <c r="C773">
        <f>IF(A773="","",DATE(YEAR(A773),12,31)-DATE(YEAR(A773),1,1)+1)</f>
        <v/>
      </c>
      <c r="D773">
        <f>IF(A773="","",SUMIFS(Акты!$D$5:$D$16,Акты!$E$5:$E$16,"&lt;="&amp;A773)-SUMIFS(Оплаты!$B$6:$B$505,Оплаты!$A$6:$A$505,"&lt;"&amp;A773,Оплаты!$D$6:$D$505,"&lt;&gt;"))</f>
        <v/>
      </c>
      <c r="E773">
        <f>IF(A773="","",IF(SUMPRODUCT((Ввод!$F$12:$F$31&lt;&gt;"")*(Ввод!$F$12:$F$31&lt;=A773)*(Ввод!$G$12:$G$31&gt;=A773))&gt;0,1,0))</f>
        <v/>
      </c>
      <c r="G773">
        <f>IF(A773="","",IF(OR(B773&lt;&gt;B772,C773&lt;&gt;C772,E773&lt;&gt;E772),G772+1,G772))</f>
        <v/>
      </c>
    </row>
    <row r="774">
      <c r="A774" s="20">
        <f>IF(A773="","",IF(A773+1&gt;Ввод!$B$4,"",A773+1))</f>
        <v/>
      </c>
      <c r="B774">
        <f>IF(A774="","",IFERROR(INDEX(Ввод!$B$12:$B$71,MATCH(A774,Ввод!$D$12:$D$71,1)),""))</f>
        <v/>
      </c>
      <c r="C774">
        <f>IF(A774="","",DATE(YEAR(A774),12,31)-DATE(YEAR(A774),1,1)+1)</f>
        <v/>
      </c>
      <c r="D774">
        <f>IF(A774="","",SUMIFS(Акты!$D$5:$D$16,Акты!$E$5:$E$16,"&lt;="&amp;A774)-SUMIFS(Оплаты!$B$6:$B$505,Оплаты!$A$6:$A$505,"&lt;"&amp;A774,Оплаты!$D$6:$D$505,"&lt;&gt;"))</f>
        <v/>
      </c>
      <c r="E774">
        <f>IF(A774="","",IF(SUMPRODUCT((Ввод!$F$12:$F$31&lt;&gt;"")*(Ввод!$F$12:$F$31&lt;=A774)*(Ввод!$G$12:$G$31&gt;=A774))&gt;0,1,0))</f>
        <v/>
      </c>
      <c r="G774">
        <f>IF(A774="","",IF(OR(B774&lt;&gt;B773,C774&lt;&gt;C773,E774&lt;&gt;E773),G773+1,G773))</f>
        <v/>
      </c>
    </row>
    <row r="775">
      <c r="A775" s="20">
        <f>IF(A774="","",IF(A774+1&gt;Ввод!$B$4,"",A774+1))</f>
        <v/>
      </c>
      <c r="B775">
        <f>IF(A775="","",IFERROR(INDEX(Ввод!$B$12:$B$71,MATCH(A775,Ввод!$D$12:$D$71,1)),""))</f>
        <v/>
      </c>
      <c r="C775">
        <f>IF(A775="","",DATE(YEAR(A775),12,31)-DATE(YEAR(A775),1,1)+1)</f>
        <v/>
      </c>
      <c r="D775">
        <f>IF(A775="","",SUMIFS(Акты!$D$5:$D$16,Акты!$E$5:$E$16,"&lt;="&amp;A775)-SUMIFS(Оплаты!$B$6:$B$505,Оплаты!$A$6:$A$505,"&lt;"&amp;A775,Оплаты!$D$6:$D$505,"&lt;&gt;"))</f>
        <v/>
      </c>
      <c r="E775">
        <f>IF(A775="","",IF(SUMPRODUCT((Ввод!$F$12:$F$31&lt;&gt;"")*(Ввод!$F$12:$F$31&lt;=A775)*(Ввод!$G$12:$G$31&gt;=A775))&gt;0,1,0))</f>
        <v/>
      </c>
      <c r="G775">
        <f>IF(A775="","",IF(OR(B775&lt;&gt;B774,C775&lt;&gt;C774,E775&lt;&gt;E774),G774+1,G774))</f>
        <v/>
      </c>
    </row>
    <row r="776">
      <c r="A776" s="20">
        <f>IF(A775="","",IF(A775+1&gt;Ввод!$B$4,"",A775+1))</f>
        <v/>
      </c>
      <c r="B776">
        <f>IF(A776="","",IFERROR(INDEX(Ввод!$B$12:$B$71,MATCH(A776,Ввод!$D$12:$D$71,1)),""))</f>
        <v/>
      </c>
      <c r="C776">
        <f>IF(A776="","",DATE(YEAR(A776),12,31)-DATE(YEAR(A776),1,1)+1)</f>
        <v/>
      </c>
      <c r="D776">
        <f>IF(A776="","",SUMIFS(Акты!$D$5:$D$16,Акты!$E$5:$E$16,"&lt;="&amp;A776)-SUMIFS(Оплаты!$B$6:$B$505,Оплаты!$A$6:$A$505,"&lt;"&amp;A776,Оплаты!$D$6:$D$505,"&lt;&gt;"))</f>
        <v/>
      </c>
      <c r="E776">
        <f>IF(A776="","",IF(SUMPRODUCT((Ввод!$F$12:$F$31&lt;&gt;"")*(Ввод!$F$12:$F$31&lt;=A776)*(Ввод!$G$12:$G$31&gt;=A776))&gt;0,1,0))</f>
        <v/>
      </c>
      <c r="G776">
        <f>IF(A776="","",IF(OR(B776&lt;&gt;B775,C776&lt;&gt;C775,E776&lt;&gt;E775),G775+1,G775))</f>
        <v/>
      </c>
    </row>
    <row r="777">
      <c r="A777" s="20">
        <f>IF(A776="","",IF(A776+1&gt;Ввод!$B$4,"",A776+1))</f>
        <v/>
      </c>
      <c r="B777">
        <f>IF(A777="","",IFERROR(INDEX(Ввод!$B$12:$B$71,MATCH(A777,Ввод!$D$12:$D$71,1)),""))</f>
        <v/>
      </c>
      <c r="C777">
        <f>IF(A777="","",DATE(YEAR(A777),12,31)-DATE(YEAR(A777),1,1)+1)</f>
        <v/>
      </c>
      <c r="D777">
        <f>IF(A777="","",SUMIFS(Акты!$D$5:$D$16,Акты!$E$5:$E$16,"&lt;="&amp;A777)-SUMIFS(Оплаты!$B$6:$B$505,Оплаты!$A$6:$A$505,"&lt;"&amp;A777,Оплаты!$D$6:$D$505,"&lt;&gt;"))</f>
        <v/>
      </c>
      <c r="E777">
        <f>IF(A777="","",IF(SUMPRODUCT((Ввод!$F$12:$F$31&lt;&gt;"")*(Ввод!$F$12:$F$31&lt;=A777)*(Ввод!$G$12:$G$31&gt;=A777))&gt;0,1,0))</f>
        <v/>
      </c>
      <c r="G777">
        <f>IF(A777="","",IF(OR(B777&lt;&gt;B776,C777&lt;&gt;C776,E777&lt;&gt;E776),G776+1,G776))</f>
        <v/>
      </c>
    </row>
    <row r="778">
      <c r="A778" s="20">
        <f>IF(A777="","",IF(A777+1&gt;Ввод!$B$4,"",A777+1))</f>
        <v/>
      </c>
      <c r="B778">
        <f>IF(A778="","",IFERROR(INDEX(Ввод!$B$12:$B$71,MATCH(A778,Ввод!$D$12:$D$71,1)),""))</f>
        <v/>
      </c>
      <c r="C778">
        <f>IF(A778="","",DATE(YEAR(A778),12,31)-DATE(YEAR(A778),1,1)+1)</f>
        <v/>
      </c>
      <c r="D778">
        <f>IF(A778="","",SUMIFS(Акты!$D$5:$D$16,Акты!$E$5:$E$16,"&lt;="&amp;A778)-SUMIFS(Оплаты!$B$6:$B$505,Оплаты!$A$6:$A$505,"&lt;"&amp;A778,Оплаты!$D$6:$D$505,"&lt;&gt;"))</f>
        <v/>
      </c>
      <c r="E778">
        <f>IF(A778="","",IF(SUMPRODUCT((Ввод!$F$12:$F$31&lt;&gt;"")*(Ввод!$F$12:$F$31&lt;=A778)*(Ввод!$G$12:$G$31&gt;=A778))&gt;0,1,0))</f>
        <v/>
      </c>
      <c r="G778">
        <f>IF(A778="","",IF(OR(B778&lt;&gt;B777,C778&lt;&gt;C777,E778&lt;&gt;E777),G777+1,G777))</f>
        <v/>
      </c>
    </row>
    <row r="779">
      <c r="A779" s="20">
        <f>IF(A778="","",IF(A778+1&gt;Ввод!$B$4,"",A778+1))</f>
        <v/>
      </c>
      <c r="B779">
        <f>IF(A779="","",IFERROR(INDEX(Ввод!$B$12:$B$71,MATCH(A779,Ввод!$D$12:$D$71,1)),""))</f>
        <v/>
      </c>
      <c r="C779">
        <f>IF(A779="","",DATE(YEAR(A779),12,31)-DATE(YEAR(A779),1,1)+1)</f>
        <v/>
      </c>
      <c r="D779">
        <f>IF(A779="","",SUMIFS(Акты!$D$5:$D$16,Акты!$E$5:$E$16,"&lt;="&amp;A779)-SUMIFS(Оплаты!$B$6:$B$505,Оплаты!$A$6:$A$505,"&lt;"&amp;A779,Оплаты!$D$6:$D$505,"&lt;&gt;"))</f>
        <v/>
      </c>
      <c r="E779">
        <f>IF(A779="","",IF(SUMPRODUCT((Ввод!$F$12:$F$31&lt;&gt;"")*(Ввод!$F$12:$F$31&lt;=A779)*(Ввод!$G$12:$G$31&gt;=A779))&gt;0,1,0))</f>
        <v/>
      </c>
      <c r="G779">
        <f>IF(A779="","",IF(OR(B779&lt;&gt;B778,C779&lt;&gt;C778,E779&lt;&gt;E778),G778+1,G778))</f>
        <v/>
      </c>
    </row>
    <row r="780">
      <c r="A780" s="20">
        <f>IF(A779="","",IF(A779+1&gt;Ввод!$B$4,"",A779+1))</f>
        <v/>
      </c>
      <c r="B780">
        <f>IF(A780="","",IFERROR(INDEX(Ввод!$B$12:$B$71,MATCH(A780,Ввод!$D$12:$D$71,1)),""))</f>
        <v/>
      </c>
      <c r="C780">
        <f>IF(A780="","",DATE(YEAR(A780),12,31)-DATE(YEAR(A780),1,1)+1)</f>
        <v/>
      </c>
      <c r="D780">
        <f>IF(A780="","",SUMIFS(Акты!$D$5:$D$16,Акты!$E$5:$E$16,"&lt;="&amp;A780)-SUMIFS(Оплаты!$B$6:$B$505,Оплаты!$A$6:$A$505,"&lt;"&amp;A780,Оплаты!$D$6:$D$505,"&lt;&gt;"))</f>
        <v/>
      </c>
      <c r="E780">
        <f>IF(A780="","",IF(SUMPRODUCT((Ввод!$F$12:$F$31&lt;&gt;"")*(Ввод!$F$12:$F$31&lt;=A780)*(Ввод!$G$12:$G$31&gt;=A780))&gt;0,1,0))</f>
        <v/>
      </c>
      <c r="G780">
        <f>IF(A780="","",IF(OR(B780&lt;&gt;B779,C780&lt;&gt;C779,E780&lt;&gt;E779),G779+1,G779))</f>
        <v/>
      </c>
    </row>
    <row r="781">
      <c r="A781" s="20">
        <f>IF(A780="","",IF(A780+1&gt;Ввод!$B$4,"",A780+1))</f>
        <v/>
      </c>
      <c r="B781">
        <f>IF(A781="","",IFERROR(INDEX(Ввод!$B$12:$B$71,MATCH(A781,Ввод!$D$12:$D$71,1)),""))</f>
        <v/>
      </c>
      <c r="C781">
        <f>IF(A781="","",DATE(YEAR(A781),12,31)-DATE(YEAR(A781),1,1)+1)</f>
        <v/>
      </c>
      <c r="D781">
        <f>IF(A781="","",SUMIFS(Акты!$D$5:$D$16,Акты!$E$5:$E$16,"&lt;="&amp;A781)-SUMIFS(Оплаты!$B$6:$B$505,Оплаты!$A$6:$A$505,"&lt;"&amp;A781,Оплаты!$D$6:$D$505,"&lt;&gt;"))</f>
        <v/>
      </c>
      <c r="E781">
        <f>IF(A781="","",IF(SUMPRODUCT((Ввод!$F$12:$F$31&lt;&gt;"")*(Ввод!$F$12:$F$31&lt;=A781)*(Ввод!$G$12:$G$31&gt;=A781))&gt;0,1,0))</f>
        <v/>
      </c>
      <c r="G781">
        <f>IF(A781="","",IF(OR(B781&lt;&gt;B780,C781&lt;&gt;C780,E781&lt;&gt;E780),G780+1,G780))</f>
        <v/>
      </c>
    </row>
    <row r="782">
      <c r="A782" s="20">
        <f>IF(A781="","",IF(A781+1&gt;Ввод!$B$4,"",A781+1))</f>
        <v/>
      </c>
      <c r="B782">
        <f>IF(A782="","",IFERROR(INDEX(Ввод!$B$12:$B$71,MATCH(A782,Ввод!$D$12:$D$71,1)),""))</f>
        <v/>
      </c>
      <c r="C782">
        <f>IF(A782="","",DATE(YEAR(A782),12,31)-DATE(YEAR(A782),1,1)+1)</f>
        <v/>
      </c>
      <c r="D782">
        <f>IF(A782="","",SUMIFS(Акты!$D$5:$D$16,Акты!$E$5:$E$16,"&lt;="&amp;A782)-SUMIFS(Оплаты!$B$6:$B$505,Оплаты!$A$6:$A$505,"&lt;"&amp;A782,Оплаты!$D$6:$D$505,"&lt;&gt;"))</f>
        <v/>
      </c>
      <c r="E782">
        <f>IF(A782="","",IF(SUMPRODUCT((Ввод!$F$12:$F$31&lt;&gt;"")*(Ввод!$F$12:$F$31&lt;=A782)*(Ввод!$G$12:$G$31&gt;=A782))&gt;0,1,0))</f>
        <v/>
      </c>
      <c r="G782">
        <f>IF(A782="","",IF(OR(B782&lt;&gt;B781,C782&lt;&gt;C781,E782&lt;&gt;E781),G781+1,G781))</f>
        <v/>
      </c>
    </row>
    <row r="783">
      <c r="A783" s="20">
        <f>IF(A782="","",IF(A782+1&gt;Ввод!$B$4,"",A782+1))</f>
        <v/>
      </c>
      <c r="B783">
        <f>IF(A783="","",IFERROR(INDEX(Ввод!$B$12:$B$71,MATCH(A783,Ввод!$D$12:$D$71,1)),""))</f>
        <v/>
      </c>
      <c r="C783">
        <f>IF(A783="","",DATE(YEAR(A783),12,31)-DATE(YEAR(A783),1,1)+1)</f>
        <v/>
      </c>
      <c r="D783">
        <f>IF(A783="","",SUMIFS(Акты!$D$5:$D$16,Акты!$E$5:$E$16,"&lt;="&amp;A783)-SUMIFS(Оплаты!$B$6:$B$505,Оплаты!$A$6:$A$505,"&lt;"&amp;A783,Оплаты!$D$6:$D$505,"&lt;&gt;"))</f>
        <v/>
      </c>
      <c r="E783">
        <f>IF(A783="","",IF(SUMPRODUCT((Ввод!$F$12:$F$31&lt;&gt;"")*(Ввод!$F$12:$F$31&lt;=A783)*(Ввод!$G$12:$G$31&gt;=A783))&gt;0,1,0))</f>
        <v/>
      </c>
      <c r="G783">
        <f>IF(A783="","",IF(OR(B783&lt;&gt;B782,C783&lt;&gt;C782,E783&lt;&gt;E782),G782+1,G782))</f>
        <v/>
      </c>
    </row>
    <row r="784">
      <c r="A784" s="20">
        <f>IF(A783="","",IF(A783+1&gt;Ввод!$B$4,"",A783+1))</f>
        <v/>
      </c>
      <c r="B784">
        <f>IF(A784="","",IFERROR(INDEX(Ввод!$B$12:$B$71,MATCH(A784,Ввод!$D$12:$D$71,1)),""))</f>
        <v/>
      </c>
      <c r="C784">
        <f>IF(A784="","",DATE(YEAR(A784),12,31)-DATE(YEAR(A784),1,1)+1)</f>
        <v/>
      </c>
      <c r="D784">
        <f>IF(A784="","",SUMIFS(Акты!$D$5:$D$16,Акты!$E$5:$E$16,"&lt;="&amp;A784)-SUMIFS(Оплаты!$B$6:$B$505,Оплаты!$A$6:$A$505,"&lt;"&amp;A784,Оплаты!$D$6:$D$505,"&lt;&gt;"))</f>
        <v/>
      </c>
      <c r="E784">
        <f>IF(A784="","",IF(SUMPRODUCT((Ввод!$F$12:$F$31&lt;&gt;"")*(Ввод!$F$12:$F$31&lt;=A784)*(Ввод!$G$12:$G$31&gt;=A784))&gt;0,1,0))</f>
        <v/>
      </c>
      <c r="G784">
        <f>IF(A784="","",IF(OR(B784&lt;&gt;B783,C784&lt;&gt;C783,E784&lt;&gt;E783),G783+1,G783))</f>
        <v/>
      </c>
    </row>
    <row r="785">
      <c r="A785" s="20">
        <f>IF(A784="","",IF(A784+1&gt;Ввод!$B$4,"",A784+1))</f>
        <v/>
      </c>
      <c r="B785">
        <f>IF(A785="","",IFERROR(INDEX(Ввод!$B$12:$B$71,MATCH(A785,Ввод!$D$12:$D$71,1)),""))</f>
        <v/>
      </c>
      <c r="C785">
        <f>IF(A785="","",DATE(YEAR(A785),12,31)-DATE(YEAR(A785),1,1)+1)</f>
        <v/>
      </c>
      <c r="D785">
        <f>IF(A785="","",SUMIFS(Акты!$D$5:$D$16,Акты!$E$5:$E$16,"&lt;="&amp;A785)-SUMIFS(Оплаты!$B$6:$B$505,Оплаты!$A$6:$A$505,"&lt;"&amp;A785,Оплаты!$D$6:$D$505,"&lt;&gt;"))</f>
        <v/>
      </c>
      <c r="E785">
        <f>IF(A785="","",IF(SUMPRODUCT((Ввод!$F$12:$F$31&lt;&gt;"")*(Ввод!$F$12:$F$31&lt;=A785)*(Ввод!$G$12:$G$31&gt;=A785))&gt;0,1,0))</f>
        <v/>
      </c>
      <c r="G785">
        <f>IF(A785="","",IF(OR(B785&lt;&gt;B784,C785&lt;&gt;C784,E785&lt;&gt;E784),G784+1,G784))</f>
        <v/>
      </c>
    </row>
    <row r="786">
      <c r="A786" s="20">
        <f>IF(A785="","",IF(A785+1&gt;Ввод!$B$4,"",A785+1))</f>
        <v/>
      </c>
      <c r="B786">
        <f>IF(A786="","",IFERROR(INDEX(Ввод!$B$12:$B$71,MATCH(A786,Ввод!$D$12:$D$71,1)),""))</f>
        <v/>
      </c>
      <c r="C786">
        <f>IF(A786="","",DATE(YEAR(A786),12,31)-DATE(YEAR(A786),1,1)+1)</f>
        <v/>
      </c>
      <c r="D786">
        <f>IF(A786="","",SUMIFS(Акты!$D$5:$D$16,Акты!$E$5:$E$16,"&lt;="&amp;A786)-SUMIFS(Оплаты!$B$6:$B$505,Оплаты!$A$6:$A$505,"&lt;"&amp;A786,Оплаты!$D$6:$D$505,"&lt;&gt;"))</f>
        <v/>
      </c>
      <c r="E786">
        <f>IF(A786="","",IF(SUMPRODUCT((Ввод!$F$12:$F$31&lt;&gt;"")*(Ввод!$F$12:$F$31&lt;=A786)*(Ввод!$G$12:$G$31&gt;=A786))&gt;0,1,0))</f>
        <v/>
      </c>
      <c r="G786">
        <f>IF(A786="","",IF(OR(B786&lt;&gt;B785,C786&lt;&gt;C785,E786&lt;&gt;E785),G785+1,G785))</f>
        <v/>
      </c>
    </row>
    <row r="787">
      <c r="A787" s="20">
        <f>IF(A786="","",IF(A786+1&gt;Ввод!$B$4,"",A786+1))</f>
        <v/>
      </c>
      <c r="B787">
        <f>IF(A787="","",IFERROR(INDEX(Ввод!$B$12:$B$71,MATCH(A787,Ввод!$D$12:$D$71,1)),""))</f>
        <v/>
      </c>
      <c r="C787">
        <f>IF(A787="","",DATE(YEAR(A787),12,31)-DATE(YEAR(A787),1,1)+1)</f>
        <v/>
      </c>
      <c r="D787">
        <f>IF(A787="","",SUMIFS(Акты!$D$5:$D$16,Акты!$E$5:$E$16,"&lt;="&amp;A787)-SUMIFS(Оплаты!$B$6:$B$505,Оплаты!$A$6:$A$505,"&lt;"&amp;A787,Оплаты!$D$6:$D$505,"&lt;&gt;"))</f>
        <v/>
      </c>
      <c r="E787">
        <f>IF(A787="","",IF(SUMPRODUCT((Ввод!$F$12:$F$31&lt;&gt;"")*(Ввод!$F$12:$F$31&lt;=A787)*(Ввод!$G$12:$G$31&gt;=A787))&gt;0,1,0))</f>
        <v/>
      </c>
      <c r="G787">
        <f>IF(A787="","",IF(OR(B787&lt;&gt;B786,C787&lt;&gt;C786,E787&lt;&gt;E786),G786+1,G786))</f>
        <v/>
      </c>
    </row>
    <row r="788">
      <c r="A788" s="20">
        <f>IF(A787="","",IF(A787+1&gt;Ввод!$B$4,"",A787+1))</f>
        <v/>
      </c>
      <c r="B788">
        <f>IF(A788="","",IFERROR(INDEX(Ввод!$B$12:$B$71,MATCH(A788,Ввод!$D$12:$D$71,1)),""))</f>
        <v/>
      </c>
      <c r="C788">
        <f>IF(A788="","",DATE(YEAR(A788),12,31)-DATE(YEAR(A788),1,1)+1)</f>
        <v/>
      </c>
      <c r="D788">
        <f>IF(A788="","",SUMIFS(Акты!$D$5:$D$16,Акты!$E$5:$E$16,"&lt;="&amp;A788)-SUMIFS(Оплаты!$B$6:$B$505,Оплаты!$A$6:$A$505,"&lt;"&amp;A788,Оплаты!$D$6:$D$505,"&lt;&gt;"))</f>
        <v/>
      </c>
      <c r="E788">
        <f>IF(A788="","",IF(SUMPRODUCT((Ввод!$F$12:$F$31&lt;&gt;"")*(Ввод!$F$12:$F$31&lt;=A788)*(Ввод!$G$12:$G$31&gt;=A788))&gt;0,1,0))</f>
        <v/>
      </c>
      <c r="G788">
        <f>IF(A788="","",IF(OR(B788&lt;&gt;B787,C788&lt;&gt;C787,E788&lt;&gt;E787),G787+1,G787))</f>
        <v/>
      </c>
    </row>
    <row r="789">
      <c r="A789" s="20">
        <f>IF(A788="","",IF(A788+1&gt;Ввод!$B$4,"",A788+1))</f>
        <v/>
      </c>
      <c r="B789">
        <f>IF(A789="","",IFERROR(INDEX(Ввод!$B$12:$B$71,MATCH(A789,Ввод!$D$12:$D$71,1)),""))</f>
        <v/>
      </c>
      <c r="C789">
        <f>IF(A789="","",DATE(YEAR(A789),12,31)-DATE(YEAR(A789),1,1)+1)</f>
        <v/>
      </c>
      <c r="D789">
        <f>IF(A789="","",SUMIFS(Акты!$D$5:$D$16,Акты!$E$5:$E$16,"&lt;="&amp;A789)-SUMIFS(Оплаты!$B$6:$B$505,Оплаты!$A$6:$A$505,"&lt;"&amp;A789,Оплаты!$D$6:$D$505,"&lt;&gt;"))</f>
        <v/>
      </c>
      <c r="E789">
        <f>IF(A789="","",IF(SUMPRODUCT((Ввод!$F$12:$F$31&lt;&gt;"")*(Ввод!$F$12:$F$31&lt;=A789)*(Ввод!$G$12:$G$31&gt;=A789))&gt;0,1,0))</f>
        <v/>
      </c>
      <c r="G789">
        <f>IF(A789="","",IF(OR(B789&lt;&gt;B788,C789&lt;&gt;C788,E789&lt;&gt;E788),G788+1,G788))</f>
        <v/>
      </c>
    </row>
    <row r="790">
      <c r="A790" s="20">
        <f>IF(A789="","",IF(A789+1&gt;Ввод!$B$4,"",A789+1))</f>
        <v/>
      </c>
      <c r="B790">
        <f>IF(A790="","",IFERROR(INDEX(Ввод!$B$12:$B$71,MATCH(A790,Ввод!$D$12:$D$71,1)),""))</f>
        <v/>
      </c>
      <c r="C790">
        <f>IF(A790="","",DATE(YEAR(A790),12,31)-DATE(YEAR(A790),1,1)+1)</f>
        <v/>
      </c>
      <c r="D790">
        <f>IF(A790="","",SUMIFS(Акты!$D$5:$D$16,Акты!$E$5:$E$16,"&lt;="&amp;A790)-SUMIFS(Оплаты!$B$6:$B$505,Оплаты!$A$6:$A$505,"&lt;"&amp;A790,Оплаты!$D$6:$D$505,"&lt;&gt;"))</f>
        <v/>
      </c>
      <c r="E790">
        <f>IF(A790="","",IF(SUMPRODUCT((Ввод!$F$12:$F$31&lt;&gt;"")*(Ввод!$F$12:$F$31&lt;=A790)*(Ввод!$G$12:$G$31&gt;=A790))&gt;0,1,0))</f>
        <v/>
      </c>
      <c r="G790">
        <f>IF(A790="","",IF(OR(B790&lt;&gt;B789,C790&lt;&gt;C789,E790&lt;&gt;E789),G789+1,G789))</f>
        <v/>
      </c>
    </row>
    <row r="791">
      <c r="A791" s="20">
        <f>IF(A790="","",IF(A790+1&gt;Ввод!$B$4,"",A790+1))</f>
        <v/>
      </c>
      <c r="B791">
        <f>IF(A791="","",IFERROR(INDEX(Ввод!$B$12:$B$71,MATCH(A791,Ввод!$D$12:$D$71,1)),""))</f>
        <v/>
      </c>
      <c r="C791">
        <f>IF(A791="","",DATE(YEAR(A791),12,31)-DATE(YEAR(A791),1,1)+1)</f>
        <v/>
      </c>
      <c r="D791">
        <f>IF(A791="","",SUMIFS(Акты!$D$5:$D$16,Акты!$E$5:$E$16,"&lt;="&amp;A791)-SUMIFS(Оплаты!$B$6:$B$505,Оплаты!$A$6:$A$505,"&lt;"&amp;A791,Оплаты!$D$6:$D$505,"&lt;&gt;"))</f>
        <v/>
      </c>
      <c r="E791">
        <f>IF(A791="","",IF(SUMPRODUCT((Ввод!$F$12:$F$31&lt;&gt;"")*(Ввод!$F$12:$F$31&lt;=A791)*(Ввод!$G$12:$G$31&gt;=A791))&gt;0,1,0))</f>
        <v/>
      </c>
      <c r="G791">
        <f>IF(A791="","",IF(OR(B791&lt;&gt;B790,C791&lt;&gt;C790,E791&lt;&gt;E790),G790+1,G790))</f>
        <v/>
      </c>
    </row>
    <row r="792">
      <c r="A792" s="20">
        <f>IF(A791="","",IF(A791+1&gt;Ввод!$B$4,"",A791+1))</f>
        <v/>
      </c>
      <c r="B792">
        <f>IF(A792="","",IFERROR(INDEX(Ввод!$B$12:$B$71,MATCH(A792,Ввод!$D$12:$D$71,1)),""))</f>
        <v/>
      </c>
      <c r="C792">
        <f>IF(A792="","",DATE(YEAR(A792),12,31)-DATE(YEAR(A792),1,1)+1)</f>
        <v/>
      </c>
      <c r="D792">
        <f>IF(A792="","",SUMIFS(Акты!$D$5:$D$16,Акты!$E$5:$E$16,"&lt;="&amp;A792)-SUMIFS(Оплаты!$B$6:$B$505,Оплаты!$A$6:$A$505,"&lt;"&amp;A792,Оплаты!$D$6:$D$505,"&lt;&gt;"))</f>
        <v/>
      </c>
      <c r="E792">
        <f>IF(A792="","",IF(SUMPRODUCT((Ввод!$F$12:$F$31&lt;&gt;"")*(Ввод!$F$12:$F$31&lt;=A792)*(Ввод!$G$12:$G$31&gt;=A792))&gt;0,1,0))</f>
        <v/>
      </c>
      <c r="G792">
        <f>IF(A792="","",IF(OR(B792&lt;&gt;B791,C792&lt;&gt;C791,E792&lt;&gt;E791),G791+1,G791))</f>
        <v/>
      </c>
    </row>
    <row r="793">
      <c r="A793" s="20">
        <f>IF(A792="","",IF(A792+1&gt;Ввод!$B$4,"",A792+1))</f>
        <v/>
      </c>
      <c r="B793">
        <f>IF(A793="","",IFERROR(INDEX(Ввод!$B$12:$B$71,MATCH(A793,Ввод!$D$12:$D$71,1)),""))</f>
        <v/>
      </c>
      <c r="C793">
        <f>IF(A793="","",DATE(YEAR(A793),12,31)-DATE(YEAR(A793),1,1)+1)</f>
        <v/>
      </c>
      <c r="D793">
        <f>IF(A793="","",SUMIFS(Акты!$D$5:$D$16,Акты!$E$5:$E$16,"&lt;="&amp;A793)-SUMIFS(Оплаты!$B$6:$B$505,Оплаты!$A$6:$A$505,"&lt;"&amp;A793,Оплаты!$D$6:$D$505,"&lt;&gt;"))</f>
        <v/>
      </c>
      <c r="E793">
        <f>IF(A793="","",IF(SUMPRODUCT((Ввод!$F$12:$F$31&lt;&gt;"")*(Ввод!$F$12:$F$31&lt;=A793)*(Ввод!$G$12:$G$31&gt;=A793))&gt;0,1,0))</f>
        <v/>
      </c>
      <c r="G793">
        <f>IF(A793="","",IF(OR(B793&lt;&gt;B792,C793&lt;&gt;C792,E793&lt;&gt;E792),G792+1,G792))</f>
        <v/>
      </c>
    </row>
    <row r="794">
      <c r="A794" s="20">
        <f>IF(A793="","",IF(A793+1&gt;Ввод!$B$4,"",A793+1))</f>
        <v/>
      </c>
      <c r="B794">
        <f>IF(A794="","",IFERROR(INDEX(Ввод!$B$12:$B$71,MATCH(A794,Ввод!$D$12:$D$71,1)),""))</f>
        <v/>
      </c>
      <c r="C794">
        <f>IF(A794="","",DATE(YEAR(A794),12,31)-DATE(YEAR(A794),1,1)+1)</f>
        <v/>
      </c>
      <c r="D794">
        <f>IF(A794="","",SUMIFS(Акты!$D$5:$D$16,Акты!$E$5:$E$16,"&lt;="&amp;A794)-SUMIFS(Оплаты!$B$6:$B$505,Оплаты!$A$6:$A$505,"&lt;"&amp;A794,Оплаты!$D$6:$D$505,"&lt;&gt;"))</f>
        <v/>
      </c>
      <c r="E794">
        <f>IF(A794="","",IF(SUMPRODUCT((Ввод!$F$12:$F$31&lt;&gt;"")*(Ввод!$F$12:$F$31&lt;=A794)*(Ввод!$G$12:$G$31&gt;=A794))&gt;0,1,0))</f>
        <v/>
      </c>
      <c r="G794">
        <f>IF(A794="","",IF(OR(B794&lt;&gt;B793,C794&lt;&gt;C793,E794&lt;&gt;E793),G793+1,G793))</f>
        <v/>
      </c>
    </row>
    <row r="795">
      <c r="A795" s="20">
        <f>IF(A794="","",IF(A794+1&gt;Ввод!$B$4,"",A794+1))</f>
        <v/>
      </c>
      <c r="B795">
        <f>IF(A795="","",IFERROR(INDEX(Ввод!$B$12:$B$71,MATCH(A795,Ввод!$D$12:$D$71,1)),""))</f>
        <v/>
      </c>
      <c r="C795">
        <f>IF(A795="","",DATE(YEAR(A795),12,31)-DATE(YEAR(A795),1,1)+1)</f>
        <v/>
      </c>
      <c r="D795">
        <f>IF(A795="","",SUMIFS(Акты!$D$5:$D$16,Акты!$E$5:$E$16,"&lt;="&amp;A795)-SUMIFS(Оплаты!$B$6:$B$505,Оплаты!$A$6:$A$505,"&lt;"&amp;A795,Оплаты!$D$6:$D$505,"&lt;&gt;"))</f>
        <v/>
      </c>
      <c r="E795">
        <f>IF(A795="","",IF(SUMPRODUCT((Ввод!$F$12:$F$31&lt;&gt;"")*(Ввод!$F$12:$F$31&lt;=A795)*(Ввод!$G$12:$G$31&gt;=A795))&gt;0,1,0))</f>
        <v/>
      </c>
      <c r="G795">
        <f>IF(A795="","",IF(OR(B795&lt;&gt;B794,C795&lt;&gt;C794,E795&lt;&gt;E794),G794+1,G794))</f>
        <v/>
      </c>
    </row>
    <row r="796">
      <c r="A796" s="20">
        <f>IF(A795="","",IF(A795+1&gt;Ввод!$B$4,"",A795+1))</f>
        <v/>
      </c>
      <c r="B796">
        <f>IF(A796="","",IFERROR(INDEX(Ввод!$B$12:$B$71,MATCH(A796,Ввод!$D$12:$D$71,1)),""))</f>
        <v/>
      </c>
      <c r="C796">
        <f>IF(A796="","",DATE(YEAR(A796),12,31)-DATE(YEAR(A796),1,1)+1)</f>
        <v/>
      </c>
      <c r="D796">
        <f>IF(A796="","",SUMIFS(Акты!$D$5:$D$16,Акты!$E$5:$E$16,"&lt;="&amp;A796)-SUMIFS(Оплаты!$B$6:$B$505,Оплаты!$A$6:$A$505,"&lt;"&amp;A796,Оплаты!$D$6:$D$505,"&lt;&gt;"))</f>
        <v/>
      </c>
      <c r="E796">
        <f>IF(A796="","",IF(SUMPRODUCT((Ввод!$F$12:$F$31&lt;&gt;"")*(Ввод!$F$12:$F$31&lt;=A796)*(Ввод!$G$12:$G$31&gt;=A796))&gt;0,1,0))</f>
        <v/>
      </c>
      <c r="G796">
        <f>IF(A796="","",IF(OR(B796&lt;&gt;B795,C796&lt;&gt;C795,E796&lt;&gt;E795),G795+1,G795))</f>
        <v/>
      </c>
    </row>
    <row r="797">
      <c r="A797" s="20">
        <f>IF(A796="","",IF(A796+1&gt;Ввод!$B$4,"",A796+1))</f>
        <v/>
      </c>
      <c r="B797">
        <f>IF(A797="","",IFERROR(INDEX(Ввод!$B$12:$B$71,MATCH(A797,Ввод!$D$12:$D$71,1)),""))</f>
        <v/>
      </c>
      <c r="C797">
        <f>IF(A797="","",DATE(YEAR(A797),12,31)-DATE(YEAR(A797),1,1)+1)</f>
        <v/>
      </c>
      <c r="D797">
        <f>IF(A797="","",SUMIFS(Акты!$D$5:$D$16,Акты!$E$5:$E$16,"&lt;="&amp;A797)-SUMIFS(Оплаты!$B$6:$B$505,Оплаты!$A$6:$A$505,"&lt;"&amp;A797,Оплаты!$D$6:$D$505,"&lt;&gt;"))</f>
        <v/>
      </c>
      <c r="E797">
        <f>IF(A797="","",IF(SUMPRODUCT((Ввод!$F$12:$F$31&lt;&gt;"")*(Ввод!$F$12:$F$31&lt;=A797)*(Ввод!$G$12:$G$31&gt;=A797))&gt;0,1,0))</f>
        <v/>
      </c>
      <c r="G797">
        <f>IF(A797="","",IF(OR(B797&lt;&gt;B796,C797&lt;&gt;C796,E797&lt;&gt;E796),G796+1,G796))</f>
        <v/>
      </c>
    </row>
    <row r="798">
      <c r="A798" s="20">
        <f>IF(A797="","",IF(A797+1&gt;Ввод!$B$4,"",A797+1))</f>
        <v/>
      </c>
      <c r="B798">
        <f>IF(A798="","",IFERROR(INDEX(Ввод!$B$12:$B$71,MATCH(A798,Ввод!$D$12:$D$71,1)),""))</f>
        <v/>
      </c>
      <c r="C798">
        <f>IF(A798="","",DATE(YEAR(A798),12,31)-DATE(YEAR(A798),1,1)+1)</f>
        <v/>
      </c>
      <c r="D798">
        <f>IF(A798="","",SUMIFS(Акты!$D$5:$D$16,Акты!$E$5:$E$16,"&lt;="&amp;A798)-SUMIFS(Оплаты!$B$6:$B$505,Оплаты!$A$6:$A$505,"&lt;"&amp;A798,Оплаты!$D$6:$D$505,"&lt;&gt;"))</f>
        <v/>
      </c>
      <c r="E798">
        <f>IF(A798="","",IF(SUMPRODUCT((Ввод!$F$12:$F$31&lt;&gt;"")*(Ввод!$F$12:$F$31&lt;=A798)*(Ввод!$G$12:$G$31&gt;=A798))&gt;0,1,0))</f>
        <v/>
      </c>
      <c r="G798">
        <f>IF(A798="","",IF(OR(B798&lt;&gt;B797,C798&lt;&gt;C797,E798&lt;&gt;E797),G797+1,G797))</f>
        <v/>
      </c>
    </row>
    <row r="799">
      <c r="A799" s="20">
        <f>IF(A798="","",IF(A798+1&gt;Ввод!$B$4,"",A798+1))</f>
        <v/>
      </c>
      <c r="B799">
        <f>IF(A799="","",IFERROR(INDEX(Ввод!$B$12:$B$71,MATCH(A799,Ввод!$D$12:$D$71,1)),""))</f>
        <v/>
      </c>
      <c r="C799">
        <f>IF(A799="","",DATE(YEAR(A799),12,31)-DATE(YEAR(A799),1,1)+1)</f>
        <v/>
      </c>
      <c r="D799">
        <f>IF(A799="","",SUMIFS(Акты!$D$5:$D$16,Акты!$E$5:$E$16,"&lt;="&amp;A799)-SUMIFS(Оплаты!$B$6:$B$505,Оплаты!$A$6:$A$505,"&lt;"&amp;A799,Оплаты!$D$6:$D$505,"&lt;&gt;"))</f>
        <v/>
      </c>
      <c r="E799">
        <f>IF(A799="","",IF(SUMPRODUCT((Ввод!$F$12:$F$31&lt;&gt;"")*(Ввод!$F$12:$F$31&lt;=A799)*(Ввод!$G$12:$G$31&gt;=A799))&gt;0,1,0))</f>
        <v/>
      </c>
      <c r="G799">
        <f>IF(A799="","",IF(OR(B799&lt;&gt;B798,C799&lt;&gt;C798,E799&lt;&gt;E798),G798+1,G798))</f>
        <v/>
      </c>
    </row>
    <row r="800">
      <c r="A800" s="20">
        <f>IF(A799="","",IF(A799+1&gt;Ввод!$B$4,"",A799+1))</f>
        <v/>
      </c>
      <c r="B800">
        <f>IF(A800="","",IFERROR(INDEX(Ввод!$B$12:$B$71,MATCH(A800,Ввод!$D$12:$D$71,1)),""))</f>
        <v/>
      </c>
      <c r="C800">
        <f>IF(A800="","",DATE(YEAR(A800),12,31)-DATE(YEAR(A800),1,1)+1)</f>
        <v/>
      </c>
      <c r="D800">
        <f>IF(A800="","",SUMIFS(Акты!$D$5:$D$16,Акты!$E$5:$E$16,"&lt;="&amp;A800)-SUMIFS(Оплаты!$B$6:$B$505,Оплаты!$A$6:$A$505,"&lt;"&amp;A800,Оплаты!$D$6:$D$505,"&lt;&gt;"))</f>
        <v/>
      </c>
      <c r="E800">
        <f>IF(A800="","",IF(SUMPRODUCT((Ввод!$F$12:$F$31&lt;&gt;"")*(Ввод!$F$12:$F$31&lt;=A800)*(Ввод!$G$12:$G$31&gt;=A800))&gt;0,1,0))</f>
        <v/>
      </c>
      <c r="G800">
        <f>IF(A800="","",IF(OR(B800&lt;&gt;B799,C800&lt;&gt;C799,E800&lt;&gt;E799),G799+1,G799))</f>
        <v/>
      </c>
    </row>
    <row r="801">
      <c r="A801" s="20">
        <f>IF(A800="","",IF(A800+1&gt;Ввод!$B$4,"",A800+1))</f>
        <v/>
      </c>
      <c r="B801">
        <f>IF(A801="","",IFERROR(INDEX(Ввод!$B$12:$B$71,MATCH(A801,Ввод!$D$12:$D$71,1)),""))</f>
        <v/>
      </c>
      <c r="C801">
        <f>IF(A801="","",DATE(YEAR(A801),12,31)-DATE(YEAR(A801),1,1)+1)</f>
        <v/>
      </c>
      <c r="D801">
        <f>IF(A801="","",SUMIFS(Акты!$D$5:$D$16,Акты!$E$5:$E$16,"&lt;="&amp;A801)-SUMIFS(Оплаты!$B$6:$B$505,Оплаты!$A$6:$A$505,"&lt;"&amp;A801,Оплаты!$D$6:$D$505,"&lt;&gt;"))</f>
        <v/>
      </c>
      <c r="E801">
        <f>IF(A801="","",IF(SUMPRODUCT((Ввод!$F$12:$F$31&lt;&gt;"")*(Ввод!$F$12:$F$31&lt;=A801)*(Ввод!$G$12:$G$31&gt;=A801))&gt;0,1,0))</f>
        <v/>
      </c>
      <c r="G801">
        <f>IF(A801="","",IF(OR(B801&lt;&gt;B800,C801&lt;&gt;C800,E801&lt;&gt;E800),G800+1,G800))</f>
        <v/>
      </c>
    </row>
    <row r="802">
      <c r="A802" s="20">
        <f>IF(A801="","",IF(A801+1&gt;Ввод!$B$4,"",A801+1))</f>
        <v/>
      </c>
      <c r="B802">
        <f>IF(A802="","",IFERROR(INDEX(Ввод!$B$12:$B$71,MATCH(A802,Ввод!$D$12:$D$71,1)),""))</f>
        <v/>
      </c>
      <c r="C802">
        <f>IF(A802="","",DATE(YEAR(A802),12,31)-DATE(YEAR(A802),1,1)+1)</f>
        <v/>
      </c>
      <c r="D802">
        <f>IF(A802="","",SUMIFS(Акты!$D$5:$D$16,Акты!$E$5:$E$16,"&lt;="&amp;A802)-SUMIFS(Оплаты!$B$6:$B$505,Оплаты!$A$6:$A$505,"&lt;"&amp;A802,Оплаты!$D$6:$D$505,"&lt;&gt;"))</f>
        <v/>
      </c>
      <c r="E802">
        <f>IF(A802="","",IF(SUMPRODUCT((Ввод!$F$12:$F$31&lt;&gt;"")*(Ввод!$F$12:$F$31&lt;=A802)*(Ввод!$G$12:$G$31&gt;=A802))&gt;0,1,0))</f>
        <v/>
      </c>
      <c r="G802">
        <f>IF(A802="","",IF(OR(B802&lt;&gt;B801,C802&lt;&gt;C801,E802&lt;&gt;E801),G801+1,G801))</f>
        <v/>
      </c>
    </row>
    <row r="803">
      <c r="A803" s="20">
        <f>IF(A802="","",IF(A802+1&gt;Ввод!$B$4,"",A802+1))</f>
        <v/>
      </c>
      <c r="B803">
        <f>IF(A803="","",IFERROR(INDEX(Ввод!$B$12:$B$71,MATCH(A803,Ввод!$D$12:$D$71,1)),""))</f>
        <v/>
      </c>
      <c r="C803">
        <f>IF(A803="","",DATE(YEAR(A803),12,31)-DATE(YEAR(A803),1,1)+1)</f>
        <v/>
      </c>
      <c r="D803">
        <f>IF(A803="","",SUMIFS(Акты!$D$5:$D$16,Акты!$E$5:$E$16,"&lt;="&amp;A803)-SUMIFS(Оплаты!$B$6:$B$505,Оплаты!$A$6:$A$505,"&lt;"&amp;A803,Оплаты!$D$6:$D$505,"&lt;&gt;"))</f>
        <v/>
      </c>
      <c r="E803">
        <f>IF(A803="","",IF(SUMPRODUCT((Ввод!$F$12:$F$31&lt;&gt;"")*(Ввод!$F$12:$F$31&lt;=A803)*(Ввод!$G$12:$G$31&gt;=A803))&gt;0,1,0))</f>
        <v/>
      </c>
      <c r="G803">
        <f>IF(A803="","",IF(OR(B803&lt;&gt;B802,C803&lt;&gt;C802,E803&lt;&gt;E802),G802+1,G802))</f>
        <v/>
      </c>
    </row>
    <row r="804">
      <c r="A804" s="20">
        <f>IF(A803="","",IF(A803+1&gt;Ввод!$B$4,"",A803+1))</f>
        <v/>
      </c>
      <c r="B804">
        <f>IF(A804="","",IFERROR(INDEX(Ввод!$B$12:$B$71,MATCH(A804,Ввод!$D$12:$D$71,1)),""))</f>
        <v/>
      </c>
      <c r="C804">
        <f>IF(A804="","",DATE(YEAR(A804),12,31)-DATE(YEAR(A804),1,1)+1)</f>
        <v/>
      </c>
      <c r="D804">
        <f>IF(A804="","",SUMIFS(Акты!$D$5:$D$16,Акты!$E$5:$E$16,"&lt;="&amp;A804)-SUMIFS(Оплаты!$B$6:$B$505,Оплаты!$A$6:$A$505,"&lt;"&amp;A804,Оплаты!$D$6:$D$505,"&lt;&gt;"))</f>
        <v/>
      </c>
      <c r="E804">
        <f>IF(A804="","",IF(SUMPRODUCT((Ввод!$F$12:$F$31&lt;&gt;"")*(Ввод!$F$12:$F$31&lt;=A804)*(Ввод!$G$12:$G$31&gt;=A804))&gt;0,1,0))</f>
        <v/>
      </c>
      <c r="G804">
        <f>IF(A804="","",IF(OR(B804&lt;&gt;B803,C804&lt;&gt;C803,E804&lt;&gt;E803),G803+1,G803))</f>
        <v/>
      </c>
    </row>
    <row r="805">
      <c r="A805" s="20">
        <f>IF(A804="","",IF(A804+1&gt;Ввод!$B$4,"",A804+1))</f>
        <v/>
      </c>
      <c r="B805">
        <f>IF(A805="","",IFERROR(INDEX(Ввод!$B$12:$B$71,MATCH(A805,Ввод!$D$12:$D$71,1)),""))</f>
        <v/>
      </c>
      <c r="C805">
        <f>IF(A805="","",DATE(YEAR(A805),12,31)-DATE(YEAR(A805),1,1)+1)</f>
        <v/>
      </c>
      <c r="D805">
        <f>IF(A805="","",SUMIFS(Акты!$D$5:$D$16,Акты!$E$5:$E$16,"&lt;="&amp;A805)-SUMIFS(Оплаты!$B$6:$B$505,Оплаты!$A$6:$A$505,"&lt;"&amp;A805,Оплаты!$D$6:$D$505,"&lt;&gt;"))</f>
        <v/>
      </c>
      <c r="E805">
        <f>IF(A805="","",IF(SUMPRODUCT((Ввод!$F$12:$F$31&lt;&gt;"")*(Ввод!$F$12:$F$31&lt;=A805)*(Ввод!$G$12:$G$31&gt;=A805))&gt;0,1,0))</f>
        <v/>
      </c>
      <c r="G805">
        <f>IF(A805="","",IF(OR(B805&lt;&gt;B804,C805&lt;&gt;C804,E805&lt;&gt;E804),G804+1,G804))</f>
        <v/>
      </c>
    </row>
    <row r="806">
      <c r="A806" s="20">
        <f>IF(A805="","",IF(A805+1&gt;Ввод!$B$4,"",A805+1))</f>
        <v/>
      </c>
      <c r="B806">
        <f>IF(A806="","",IFERROR(INDEX(Ввод!$B$12:$B$71,MATCH(A806,Ввод!$D$12:$D$71,1)),""))</f>
        <v/>
      </c>
      <c r="C806">
        <f>IF(A806="","",DATE(YEAR(A806),12,31)-DATE(YEAR(A806),1,1)+1)</f>
        <v/>
      </c>
      <c r="D806">
        <f>IF(A806="","",SUMIFS(Акты!$D$5:$D$16,Акты!$E$5:$E$16,"&lt;="&amp;A806)-SUMIFS(Оплаты!$B$6:$B$505,Оплаты!$A$6:$A$505,"&lt;"&amp;A806,Оплаты!$D$6:$D$505,"&lt;&gt;"))</f>
        <v/>
      </c>
      <c r="E806">
        <f>IF(A806="","",IF(SUMPRODUCT((Ввод!$F$12:$F$31&lt;&gt;"")*(Ввод!$F$12:$F$31&lt;=A806)*(Ввод!$G$12:$G$31&gt;=A806))&gt;0,1,0))</f>
        <v/>
      </c>
      <c r="G806">
        <f>IF(A806="","",IF(OR(B806&lt;&gt;B805,C806&lt;&gt;C805,E806&lt;&gt;E805),G805+1,G805))</f>
        <v/>
      </c>
    </row>
    <row r="807">
      <c r="A807" s="20">
        <f>IF(A806="","",IF(A806+1&gt;Ввод!$B$4,"",A806+1))</f>
        <v/>
      </c>
      <c r="B807">
        <f>IF(A807="","",IFERROR(INDEX(Ввод!$B$12:$B$71,MATCH(A807,Ввод!$D$12:$D$71,1)),""))</f>
        <v/>
      </c>
      <c r="C807">
        <f>IF(A807="","",DATE(YEAR(A807),12,31)-DATE(YEAR(A807),1,1)+1)</f>
        <v/>
      </c>
      <c r="D807">
        <f>IF(A807="","",SUMIFS(Акты!$D$5:$D$16,Акты!$E$5:$E$16,"&lt;="&amp;A807)-SUMIFS(Оплаты!$B$6:$B$505,Оплаты!$A$6:$A$505,"&lt;"&amp;A807,Оплаты!$D$6:$D$505,"&lt;&gt;"))</f>
        <v/>
      </c>
      <c r="E807">
        <f>IF(A807="","",IF(SUMPRODUCT((Ввод!$F$12:$F$31&lt;&gt;"")*(Ввод!$F$12:$F$31&lt;=A807)*(Ввод!$G$12:$G$31&gt;=A807))&gt;0,1,0))</f>
        <v/>
      </c>
      <c r="G807">
        <f>IF(A807="","",IF(OR(B807&lt;&gt;B806,C807&lt;&gt;C806,E807&lt;&gt;E806),G806+1,G806))</f>
        <v/>
      </c>
    </row>
    <row r="808">
      <c r="A808" s="20">
        <f>IF(A807="","",IF(A807+1&gt;Ввод!$B$4,"",A807+1))</f>
        <v/>
      </c>
      <c r="B808">
        <f>IF(A808="","",IFERROR(INDEX(Ввод!$B$12:$B$71,MATCH(A808,Ввод!$D$12:$D$71,1)),""))</f>
        <v/>
      </c>
      <c r="C808">
        <f>IF(A808="","",DATE(YEAR(A808),12,31)-DATE(YEAR(A808),1,1)+1)</f>
        <v/>
      </c>
      <c r="D808">
        <f>IF(A808="","",SUMIFS(Акты!$D$5:$D$16,Акты!$E$5:$E$16,"&lt;="&amp;A808)-SUMIFS(Оплаты!$B$6:$B$505,Оплаты!$A$6:$A$505,"&lt;"&amp;A808,Оплаты!$D$6:$D$505,"&lt;&gt;"))</f>
        <v/>
      </c>
      <c r="E808">
        <f>IF(A808="","",IF(SUMPRODUCT((Ввод!$F$12:$F$31&lt;&gt;"")*(Ввод!$F$12:$F$31&lt;=A808)*(Ввод!$G$12:$G$31&gt;=A808))&gt;0,1,0))</f>
        <v/>
      </c>
      <c r="G808">
        <f>IF(A808="","",IF(OR(B808&lt;&gt;B807,C808&lt;&gt;C807,E808&lt;&gt;E807),G807+1,G807))</f>
        <v/>
      </c>
    </row>
    <row r="809">
      <c r="A809" s="20">
        <f>IF(A808="","",IF(A808+1&gt;Ввод!$B$4,"",A808+1))</f>
        <v/>
      </c>
      <c r="B809">
        <f>IF(A809="","",IFERROR(INDEX(Ввод!$B$12:$B$71,MATCH(A809,Ввод!$D$12:$D$71,1)),""))</f>
        <v/>
      </c>
      <c r="C809">
        <f>IF(A809="","",DATE(YEAR(A809),12,31)-DATE(YEAR(A809),1,1)+1)</f>
        <v/>
      </c>
      <c r="D809">
        <f>IF(A809="","",SUMIFS(Акты!$D$5:$D$16,Акты!$E$5:$E$16,"&lt;="&amp;A809)-SUMIFS(Оплаты!$B$6:$B$505,Оплаты!$A$6:$A$505,"&lt;"&amp;A809,Оплаты!$D$6:$D$505,"&lt;&gt;"))</f>
        <v/>
      </c>
      <c r="E809">
        <f>IF(A809="","",IF(SUMPRODUCT((Ввод!$F$12:$F$31&lt;&gt;"")*(Ввод!$F$12:$F$31&lt;=A809)*(Ввод!$G$12:$G$31&gt;=A809))&gt;0,1,0))</f>
        <v/>
      </c>
      <c r="G809">
        <f>IF(A809="","",IF(OR(B809&lt;&gt;B808,C809&lt;&gt;C808,E809&lt;&gt;E808),G808+1,G808))</f>
        <v/>
      </c>
    </row>
    <row r="810">
      <c r="A810" s="20">
        <f>IF(A809="","",IF(A809+1&gt;Ввод!$B$4,"",A809+1))</f>
        <v/>
      </c>
      <c r="B810">
        <f>IF(A810="","",IFERROR(INDEX(Ввод!$B$12:$B$71,MATCH(A810,Ввод!$D$12:$D$71,1)),""))</f>
        <v/>
      </c>
      <c r="C810">
        <f>IF(A810="","",DATE(YEAR(A810),12,31)-DATE(YEAR(A810),1,1)+1)</f>
        <v/>
      </c>
      <c r="D810">
        <f>IF(A810="","",SUMIFS(Акты!$D$5:$D$16,Акты!$E$5:$E$16,"&lt;="&amp;A810)-SUMIFS(Оплаты!$B$6:$B$505,Оплаты!$A$6:$A$505,"&lt;"&amp;A810,Оплаты!$D$6:$D$505,"&lt;&gt;"))</f>
        <v/>
      </c>
      <c r="E810">
        <f>IF(A810="","",IF(SUMPRODUCT((Ввод!$F$12:$F$31&lt;&gt;"")*(Ввод!$F$12:$F$31&lt;=A810)*(Ввод!$G$12:$G$31&gt;=A810))&gt;0,1,0))</f>
        <v/>
      </c>
      <c r="G810">
        <f>IF(A810="","",IF(OR(B810&lt;&gt;B809,C810&lt;&gt;C809,E810&lt;&gt;E809),G809+1,G809))</f>
        <v/>
      </c>
    </row>
    <row r="811">
      <c r="A811" s="20">
        <f>IF(A810="","",IF(A810+1&gt;Ввод!$B$4,"",A810+1))</f>
        <v/>
      </c>
      <c r="B811">
        <f>IF(A811="","",IFERROR(INDEX(Ввод!$B$12:$B$71,MATCH(A811,Ввод!$D$12:$D$71,1)),""))</f>
        <v/>
      </c>
      <c r="C811">
        <f>IF(A811="","",DATE(YEAR(A811),12,31)-DATE(YEAR(A811),1,1)+1)</f>
        <v/>
      </c>
      <c r="D811">
        <f>IF(A811="","",SUMIFS(Акты!$D$5:$D$16,Акты!$E$5:$E$16,"&lt;="&amp;A811)-SUMIFS(Оплаты!$B$6:$B$505,Оплаты!$A$6:$A$505,"&lt;"&amp;A811,Оплаты!$D$6:$D$505,"&lt;&gt;"))</f>
        <v/>
      </c>
      <c r="E811">
        <f>IF(A811="","",IF(SUMPRODUCT((Ввод!$F$12:$F$31&lt;&gt;"")*(Ввод!$F$12:$F$31&lt;=A811)*(Ввод!$G$12:$G$31&gt;=A811))&gt;0,1,0))</f>
        <v/>
      </c>
      <c r="G811">
        <f>IF(A811="","",IF(OR(B811&lt;&gt;B810,C811&lt;&gt;C810,E811&lt;&gt;E810),G810+1,G810))</f>
        <v/>
      </c>
    </row>
    <row r="812">
      <c r="A812" s="20">
        <f>IF(A811="","",IF(A811+1&gt;Ввод!$B$4,"",A811+1))</f>
        <v/>
      </c>
      <c r="B812">
        <f>IF(A812="","",IFERROR(INDEX(Ввод!$B$12:$B$71,MATCH(A812,Ввод!$D$12:$D$71,1)),""))</f>
        <v/>
      </c>
      <c r="C812">
        <f>IF(A812="","",DATE(YEAR(A812),12,31)-DATE(YEAR(A812),1,1)+1)</f>
        <v/>
      </c>
      <c r="D812">
        <f>IF(A812="","",SUMIFS(Акты!$D$5:$D$16,Акты!$E$5:$E$16,"&lt;="&amp;A812)-SUMIFS(Оплаты!$B$6:$B$505,Оплаты!$A$6:$A$505,"&lt;"&amp;A812,Оплаты!$D$6:$D$505,"&lt;&gt;"))</f>
        <v/>
      </c>
      <c r="E812">
        <f>IF(A812="","",IF(SUMPRODUCT((Ввод!$F$12:$F$31&lt;&gt;"")*(Ввод!$F$12:$F$31&lt;=A812)*(Ввод!$G$12:$G$31&gt;=A812))&gt;0,1,0))</f>
        <v/>
      </c>
      <c r="G812">
        <f>IF(A812="","",IF(OR(B812&lt;&gt;B811,C812&lt;&gt;C811,E812&lt;&gt;E811),G811+1,G811))</f>
        <v/>
      </c>
    </row>
    <row r="813">
      <c r="A813" s="20">
        <f>IF(A812="","",IF(A812+1&gt;Ввод!$B$4,"",A812+1))</f>
        <v/>
      </c>
      <c r="B813">
        <f>IF(A813="","",IFERROR(INDEX(Ввод!$B$12:$B$71,MATCH(A813,Ввод!$D$12:$D$71,1)),""))</f>
        <v/>
      </c>
      <c r="C813">
        <f>IF(A813="","",DATE(YEAR(A813),12,31)-DATE(YEAR(A813),1,1)+1)</f>
        <v/>
      </c>
      <c r="D813">
        <f>IF(A813="","",SUMIFS(Акты!$D$5:$D$16,Акты!$E$5:$E$16,"&lt;="&amp;A813)-SUMIFS(Оплаты!$B$6:$B$505,Оплаты!$A$6:$A$505,"&lt;"&amp;A813,Оплаты!$D$6:$D$505,"&lt;&gt;"))</f>
        <v/>
      </c>
      <c r="E813">
        <f>IF(A813="","",IF(SUMPRODUCT((Ввод!$F$12:$F$31&lt;&gt;"")*(Ввод!$F$12:$F$31&lt;=A813)*(Ввод!$G$12:$G$31&gt;=A813))&gt;0,1,0))</f>
        <v/>
      </c>
      <c r="G813">
        <f>IF(A813="","",IF(OR(B813&lt;&gt;B812,C813&lt;&gt;C812,E813&lt;&gt;E812),G812+1,G812))</f>
        <v/>
      </c>
    </row>
    <row r="814">
      <c r="A814" s="20">
        <f>IF(A813="","",IF(A813+1&gt;Ввод!$B$4,"",A813+1))</f>
        <v/>
      </c>
      <c r="B814">
        <f>IF(A814="","",IFERROR(INDEX(Ввод!$B$12:$B$71,MATCH(A814,Ввод!$D$12:$D$71,1)),""))</f>
        <v/>
      </c>
      <c r="C814">
        <f>IF(A814="","",DATE(YEAR(A814),12,31)-DATE(YEAR(A814),1,1)+1)</f>
        <v/>
      </c>
      <c r="D814">
        <f>IF(A814="","",SUMIFS(Акты!$D$5:$D$16,Акты!$E$5:$E$16,"&lt;="&amp;A814)-SUMIFS(Оплаты!$B$6:$B$505,Оплаты!$A$6:$A$505,"&lt;"&amp;A814,Оплаты!$D$6:$D$505,"&lt;&gt;"))</f>
        <v/>
      </c>
      <c r="E814">
        <f>IF(A814="","",IF(SUMPRODUCT((Ввод!$F$12:$F$31&lt;&gt;"")*(Ввод!$F$12:$F$31&lt;=A814)*(Ввод!$G$12:$G$31&gt;=A814))&gt;0,1,0))</f>
        <v/>
      </c>
      <c r="G814">
        <f>IF(A814="","",IF(OR(B814&lt;&gt;B813,C814&lt;&gt;C813,E814&lt;&gt;E813),G813+1,G813))</f>
        <v/>
      </c>
    </row>
    <row r="815">
      <c r="A815" s="20">
        <f>IF(A814="","",IF(A814+1&gt;Ввод!$B$4,"",A814+1))</f>
        <v/>
      </c>
      <c r="B815">
        <f>IF(A815="","",IFERROR(INDEX(Ввод!$B$12:$B$71,MATCH(A815,Ввод!$D$12:$D$71,1)),""))</f>
        <v/>
      </c>
      <c r="C815">
        <f>IF(A815="","",DATE(YEAR(A815),12,31)-DATE(YEAR(A815),1,1)+1)</f>
        <v/>
      </c>
      <c r="D815">
        <f>IF(A815="","",SUMIFS(Акты!$D$5:$D$16,Акты!$E$5:$E$16,"&lt;="&amp;A815)-SUMIFS(Оплаты!$B$6:$B$505,Оплаты!$A$6:$A$505,"&lt;"&amp;A815,Оплаты!$D$6:$D$505,"&lt;&gt;"))</f>
        <v/>
      </c>
      <c r="E815">
        <f>IF(A815="","",IF(SUMPRODUCT((Ввод!$F$12:$F$31&lt;&gt;"")*(Ввод!$F$12:$F$31&lt;=A815)*(Ввод!$G$12:$G$31&gt;=A815))&gt;0,1,0))</f>
        <v/>
      </c>
      <c r="G815">
        <f>IF(A815="","",IF(OR(B815&lt;&gt;B814,C815&lt;&gt;C814,E815&lt;&gt;E814),G814+1,G814))</f>
        <v/>
      </c>
    </row>
    <row r="816">
      <c r="A816" s="20">
        <f>IF(A815="","",IF(A815+1&gt;Ввод!$B$4,"",A815+1))</f>
        <v/>
      </c>
      <c r="B816">
        <f>IF(A816="","",IFERROR(INDEX(Ввод!$B$12:$B$71,MATCH(A816,Ввод!$D$12:$D$71,1)),""))</f>
        <v/>
      </c>
      <c r="C816">
        <f>IF(A816="","",DATE(YEAR(A816),12,31)-DATE(YEAR(A816),1,1)+1)</f>
        <v/>
      </c>
      <c r="D816">
        <f>IF(A816="","",SUMIFS(Акты!$D$5:$D$16,Акты!$E$5:$E$16,"&lt;="&amp;A816)-SUMIFS(Оплаты!$B$6:$B$505,Оплаты!$A$6:$A$505,"&lt;"&amp;A816,Оплаты!$D$6:$D$505,"&lt;&gt;"))</f>
        <v/>
      </c>
      <c r="E816">
        <f>IF(A816="","",IF(SUMPRODUCT((Ввод!$F$12:$F$31&lt;&gt;"")*(Ввод!$F$12:$F$31&lt;=A816)*(Ввод!$G$12:$G$31&gt;=A816))&gt;0,1,0))</f>
        <v/>
      </c>
      <c r="G816">
        <f>IF(A816="","",IF(OR(B816&lt;&gt;B815,C816&lt;&gt;C815,E816&lt;&gt;E815),G815+1,G815))</f>
        <v/>
      </c>
    </row>
    <row r="817">
      <c r="A817" s="20">
        <f>IF(A816="","",IF(A816+1&gt;Ввод!$B$4,"",A816+1))</f>
        <v/>
      </c>
      <c r="B817">
        <f>IF(A817="","",IFERROR(INDEX(Ввод!$B$12:$B$71,MATCH(A817,Ввод!$D$12:$D$71,1)),""))</f>
        <v/>
      </c>
      <c r="C817">
        <f>IF(A817="","",DATE(YEAR(A817),12,31)-DATE(YEAR(A817),1,1)+1)</f>
        <v/>
      </c>
      <c r="D817">
        <f>IF(A817="","",SUMIFS(Акты!$D$5:$D$16,Акты!$E$5:$E$16,"&lt;="&amp;A817)-SUMIFS(Оплаты!$B$6:$B$505,Оплаты!$A$6:$A$505,"&lt;"&amp;A817,Оплаты!$D$6:$D$505,"&lt;&gt;"))</f>
        <v/>
      </c>
      <c r="E817">
        <f>IF(A817="","",IF(SUMPRODUCT((Ввод!$F$12:$F$31&lt;&gt;"")*(Ввод!$F$12:$F$31&lt;=A817)*(Ввод!$G$12:$G$31&gt;=A817))&gt;0,1,0))</f>
        <v/>
      </c>
      <c r="G817">
        <f>IF(A817="","",IF(OR(B817&lt;&gt;B816,C817&lt;&gt;C816,E817&lt;&gt;E816),G816+1,G816))</f>
        <v/>
      </c>
    </row>
    <row r="818">
      <c r="A818" s="20">
        <f>IF(A817="","",IF(A817+1&gt;Ввод!$B$4,"",A817+1))</f>
        <v/>
      </c>
      <c r="B818">
        <f>IF(A818="","",IFERROR(INDEX(Ввод!$B$12:$B$71,MATCH(A818,Ввод!$D$12:$D$71,1)),""))</f>
        <v/>
      </c>
      <c r="C818">
        <f>IF(A818="","",DATE(YEAR(A818),12,31)-DATE(YEAR(A818),1,1)+1)</f>
        <v/>
      </c>
      <c r="D818">
        <f>IF(A818="","",SUMIFS(Акты!$D$5:$D$16,Акты!$E$5:$E$16,"&lt;="&amp;A818)-SUMIFS(Оплаты!$B$6:$B$505,Оплаты!$A$6:$A$505,"&lt;"&amp;A818,Оплаты!$D$6:$D$505,"&lt;&gt;"))</f>
        <v/>
      </c>
      <c r="E818">
        <f>IF(A818="","",IF(SUMPRODUCT((Ввод!$F$12:$F$31&lt;&gt;"")*(Ввод!$F$12:$F$31&lt;=A818)*(Ввод!$G$12:$G$31&gt;=A818))&gt;0,1,0))</f>
        <v/>
      </c>
      <c r="G818">
        <f>IF(A818="","",IF(OR(B818&lt;&gt;B817,C818&lt;&gt;C817,E818&lt;&gt;E817),G817+1,G817))</f>
        <v/>
      </c>
    </row>
    <row r="819">
      <c r="A819" s="20">
        <f>IF(A818="","",IF(A818+1&gt;Ввод!$B$4,"",A818+1))</f>
        <v/>
      </c>
      <c r="B819">
        <f>IF(A819="","",IFERROR(INDEX(Ввод!$B$12:$B$71,MATCH(A819,Ввод!$D$12:$D$71,1)),""))</f>
        <v/>
      </c>
      <c r="C819">
        <f>IF(A819="","",DATE(YEAR(A819),12,31)-DATE(YEAR(A819),1,1)+1)</f>
        <v/>
      </c>
      <c r="D819">
        <f>IF(A819="","",SUMIFS(Акты!$D$5:$D$16,Акты!$E$5:$E$16,"&lt;="&amp;A819)-SUMIFS(Оплаты!$B$6:$B$505,Оплаты!$A$6:$A$505,"&lt;"&amp;A819,Оплаты!$D$6:$D$505,"&lt;&gt;"))</f>
        <v/>
      </c>
      <c r="E819">
        <f>IF(A819="","",IF(SUMPRODUCT((Ввод!$F$12:$F$31&lt;&gt;"")*(Ввод!$F$12:$F$31&lt;=A819)*(Ввод!$G$12:$G$31&gt;=A819))&gt;0,1,0))</f>
        <v/>
      </c>
      <c r="G819">
        <f>IF(A819="","",IF(OR(B819&lt;&gt;B818,C819&lt;&gt;C818,E819&lt;&gt;E818),G818+1,G818))</f>
        <v/>
      </c>
    </row>
    <row r="820">
      <c r="A820" s="20">
        <f>IF(A819="","",IF(A819+1&gt;Ввод!$B$4,"",A819+1))</f>
        <v/>
      </c>
      <c r="B820">
        <f>IF(A820="","",IFERROR(INDEX(Ввод!$B$12:$B$71,MATCH(A820,Ввод!$D$12:$D$71,1)),""))</f>
        <v/>
      </c>
      <c r="C820">
        <f>IF(A820="","",DATE(YEAR(A820),12,31)-DATE(YEAR(A820),1,1)+1)</f>
        <v/>
      </c>
      <c r="D820">
        <f>IF(A820="","",SUMIFS(Акты!$D$5:$D$16,Акты!$E$5:$E$16,"&lt;="&amp;A820)-SUMIFS(Оплаты!$B$6:$B$505,Оплаты!$A$6:$A$505,"&lt;"&amp;A820,Оплаты!$D$6:$D$505,"&lt;&gt;"))</f>
        <v/>
      </c>
      <c r="E820">
        <f>IF(A820="","",IF(SUMPRODUCT((Ввод!$F$12:$F$31&lt;&gt;"")*(Ввод!$F$12:$F$31&lt;=A820)*(Ввод!$G$12:$G$31&gt;=A820))&gt;0,1,0))</f>
        <v/>
      </c>
      <c r="G820">
        <f>IF(A820="","",IF(OR(B820&lt;&gt;B819,C820&lt;&gt;C819,E820&lt;&gt;E819),G819+1,G819))</f>
        <v/>
      </c>
    </row>
    <row r="821">
      <c r="A821" s="20">
        <f>IF(A820="","",IF(A820+1&gt;Ввод!$B$4,"",A820+1))</f>
        <v/>
      </c>
      <c r="B821">
        <f>IF(A821="","",IFERROR(INDEX(Ввод!$B$12:$B$71,MATCH(A821,Ввод!$D$12:$D$71,1)),""))</f>
        <v/>
      </c>
      <c r="C821">
        <f>IF(A821="","",DATE(YEAR(A821),12,31)-DATE(YEAR(A821),1,1)+1)</f>
        <v/>
      </c>
      <c r="D821">
        <f>IF(A821="","",SUMIFS(Акты!$D$5:$D$16,Акты!$E$5:$E$16,"&lt;="&amp;A821)-SUMIFS(Оплаты!$B$6:$B$505,Оплаты!$A$6:$A$505,"&lt;"&amp;A821,Оплаты!$D$6:$D$505,"&lt;&gt;"))</f>
        <v/>
      </c>
      <c r="E821">
        <f>IF(A821="","",IF(SUMPRODUCT((Ввод!$F$12:$F$31&lt;&gt;"")*(Ввод!$F$12:$F$31&lt;=A821)*(Ввод!$G$12:$G$31&gt;=A821))&gt;0,1,0))</f>
        <v/>
      </c>
      <c r="G821">
        <f>IF(A821="","",IF(OR(B821&lt;&gt;B820,C821&lt;&gt;C820,E821&lt;&gt;E820),G820+1,G820))</f>
        <v/>
      </c>
    </row>
    <row r="822">
      <c r="A822" s="20">
        <f>IF(A821="","",IF(A821+1&gt;Ввод!$B$4,"",A821+1))</f>
        <v/>
      </c>
      <c r="B822">
        <f>IF(A822="","",IFERROR(INDEX(Ввод!$B$12:$B$71,MATCH(A822,Ввод!$D$12:$D$71,1)),""))</f>
        <v/>
      </c>
      <c r="C822">
        <f>IF(A822="","",DATE(YEAR(A822),12,31)-DATE(YEAR(A822),1,1)+1)</f>
        <v/>
      </c>
      <c r="D822">
        <f>IF(A822="","",SUMIFS(Акты!$D$5:$D$16,Акты!$E$5:$E$16,"&lt;="&amp;A822)-SUMIFS(Оплаты!$B$6:$B$505,Оплаты!$A$6:$A$505,"&lt;"&amp;A822,Оплаты!$D$6:$D$505,"&lt;&gt;"))</f>
        <v/>
      </c>
      <c r="E822">
        <f>IF(A822="","",IF(SUMPRODUCT((Ввод!$F$12:$F$31&lt;&gt;"")*(Ввод!$F$12:$F$31&lt;=A822)*(Ввод!$G$12:$G$31&gt;=A822))&gt;0,1,0))</f>
        <v/>
      </c>
      <c r="G822">
        <f>IF(A822="","",IF(OR(B822&lt;&gt;B821,C822&lt;&gt;C821,E822&lt;&gt;E821),G821+1,G821))</f>
        <v/>
      </c>
    </row>
    <row r="823">
      <c r="A823" s="20">
        <f>IF(A822="","",IF(A822+1&gt;Ввод!$B$4,"",A822+1))</f>
        <v/>
      </c>
      <c r="B823">
        <f>IF(A823="","",IFERROR(INDEX(Ввод!$B$12:$B$71,MATCH(A823,Ввод!$D$12:$D$71,1)),""))</f>
        <v/>
      </c>
      <c r="C823">
        <f>IF(A823="","",DATE(YEAR(A823),12,31)-DATE(YEAR(A823),1,1)+1)</f>
        <v/>
      </c>
      <c r="D823">
        <f>IF(A823="","",SUMIFS(Акты!$D$5:$D$16,Акты!$E$5:$E$16,"&lt;="&amp;A823)-SUMIFS(Оплаты!$B$6:$B$505,Оплаты!$A$6:$A$505,"&lt;"&amp;A823,Оплаты!$D$6:$D$505,"&lt;&gt;"))</f>
        <v/>
      </c>
      <c r="E823">
        <f>IF(A823="","",IF(SUMPRODUCT((Ввод!$F$12:$F$31&lt;&gt;"")*(Ввод!$F$12:$F$31&lt;=A823)*(Ввод!$G$12:$G$31&gt;=A823))&gt;0,1,0))</f>
        <v/>
      </c>
      <c r="G823">
        <f>IF(A823="","",IF(OR(B823&lt;&gt;B822,C823&lt;&gt;C822,E823&lt;&gt;E822),G822+1,G822))</f>
        <v/>
      </c>
    </row>
    <row r="824">
      <c r="A824" s="20">
        <f>IF(A823="","",IF(A823+1&gt;Ввод!$B$4,"",A823+1))</f>
        <v/>
      </c>
      <c r="B824">
        <f>IF(A824="","",IFERROR(INDEX(Ввод!$B$12:$B$71,MATCH(A824,Ввод!$D$12:$D$71,1)),""))</f>
        <v/>
      </c>
      <c r="C824">
        <f>IF(A824="","",DATE(YEAR(A824),12,31)-DATE(YEAR(A824),1,1)+1)</f>
        <v/>
      </c>
      <c r="D824">
        <f>IF(A824="","",SUMIFS(Акты!$D$5:$D$16,Акты!$E$5:$E$16,"&lt;="&amp;A824)-SUMIFS(Оплаты!$B$6:$B$505,Оплаты!$A$6:$A$505,"&lt;"&amp;A824,Оплаты!$D$6:$D$505,"&lt;&gt;"))</f>
        <v/>
      </c>
      <c r="E824">
        <f>IF(A824="","",IF(SUMPRODUCT((Ввод!$F$12:$F$31&lt;&gt;"")*(Ввод!$F$12:$F$31&lt;=A824)*(Ввод!$G$12:$G$31&gt;=A824))&gt;0,1,0))</f>
        <v/>
      </c>
      <c r="G824">
        <f>IF(A824="","",IF(OR(B824&lt;&gt;B823,C824&lt;&gt;C823,E824&lt;&gt;E823),G823+1,G823))</f>
        <v/>
      </c>
    </row>
    <row r="825">
      <c r="A825" s="20">
        <f>IF(A824="","",IF(A824+1&gt;Ввод!$B$4,"",A824+1))</f>
        <v/>
      </c>
      <c r="B825">
        <f>IF(A825="","",IFERROR(INDEX(Ввод!$B$12:$B$71,MATCH(A825,Ввод!$D$12:$D$71,1)),""))</f>
        <v/>
      </c>
      <c r="C825">
        <f>IF(A825="","",DATE(YEAR(A825),12,31)-DATE(YEAR(A825),1,1)+1)</f>
        <v/>
      </c>
      <c r="D825">
        <f>IF(A825="","",SUMIFS(Акты!$D$5:$D$16,Акты!$E$5:$E$16,"&lt;="&amp;A825)-SUMIFS(Оплаты!$B$6:$B$505,Оплаты!$A$6:$A$505,"&lt;"&amp;A825,Оплаты!$D$6:$D$505,"&lt;&gt;"))</f>
        <v/>
      </c>
      <c r="E825">
        <f>IF(A825="","",IF(SUMPRODUCT((Ввод!$F$12:$F$31&lt;&gt;"")*(Ввод!$F$12:$F$31&lt;=A825)*(Ввод!$G$12:$G$31&gt;=A825))&gt;0,1,0))</f>
        <v/>
      </c>
      <c r="G825">
        <f>IF(A825="","",IF(OR(B825&lt;&gt;B824,C825&lt;&gt;C824,E825&lt;&gt;E824),G824+1,G824))</f>
        <v/>
      </c>
    </row>
    <row r="826">
      <c r="A826" s="20">
        <f>IF(A825="","",IF(A825+1&gt;Ввод!$B$4,"",A825+1))</f>
        <v/>
      </c>
      <c r="B826">
        <f>IF(A826="","",IFERROR(INDEX(Ввод!$B$12:$B$71,MATCH(A826,Ввод!$D$12:$D$71,1)),""))</f>
        <v/>
      </c>
      <c r="C826">
        <f>IF(A826="","",DATE(YEAR(A826),12,31)-DATE(YEAR(A826),1,1)+1)</f>
        <v/>
      </c>
      <c r="D826">
        <f>IF(A826="","",SUMIFS(Акты!$D$5:$D$16,Акты!$E$5:$E$16,"&lt;="&amp;A826)-SUMIFS(Оплаты!$B$6:$B$505,Оплаты!$A$6:$A$505,"&lt;"&amp;A826,Оплаты!$D$6:$D$505,"&lt;&gt;"))</f>
        <v/>
      </c>
      <c r="E826">
        <f>IF(A826="","",IF(SUMPRODUCT((Ввод!$F$12:$F$31&lt;&gt;"")*(Ввод!$F$12:$F$31&lt;=A826)*(Ввод!$G$12:$G$31&gt;=A826))&gt;0,1,0))</f>
        <v/>
      </c>
      <c r="G826">
        <f>IF(A826="","",IF(OR(B826&lt;&gt;B825,C826&lt;&gt;C825,E826&lt;&gt;E825),G825+1,G825))</f>
        <v/>
      </c>
    </row>
    <row r="827">
      <c r="A827" s="20">
        <f>IF(A826="","",IF(A826+1&gt;Ввод!$B$4,"",A826+1))</f>
        <v/>
      </c>
      <c r="B827">
        <f>IF(A827="","",IFERROR(INDEX(Ввод!$B$12:$B$71,MATCH(A827,Ввод!$D$12:$D$71,1)),""))</f>
        <v/>
      </c>
      <c r="C827">
        <f>IF(A827="","",DATE(YEAR(A827),12,31)-DATE(YEAR(A827),1,1)+1)</f>
        <v/>
      </c>
      <c r="D827">
        <f>IF(A827="","",SUMIFS(Акты!$D$5:$D$16,Акты!$E$5:$E$16,"&lt;="&amp;A827)-SUMIFS(Оплаты!$B$6:$B$505,Оплаты!$A$6:$A$505,"&lt;"&amp;A827,Оплаты!$D$6:$D$505,"&lt;&gt;"))</f>
        <v/>
      </c>
      <c r="E827">
        <f>IF(A827="","",IF(SUMPRODUCT((Ввод!$F$12:$F$31&lt;&gt;"")*(Ввод!$F$12:$F$31&lt;=A827)*(Ввод!$G$12:$G$31&gt;=A827))&gt;0,1,0))</f>
        <v/>
      </c>
      <c r="G827">
        <f>IF(A827="","",IF(OR(B827&lt;&gt;B826,C827&lt;&gt;C826,E827&lt;&gt;E826),G826+1,G826))</f>
        <v/>
      </c>
    </row>
    <row r="828">
      <c r="A828" s="20">
        <f>IF(A827="","",IF(A827+1&gt;Ввод!$B$4,"",A827+1))</f>
        <v/>
      </c>
      <c r="B828">
        <f>IF(A828="","",IFERROR(INDEX(Ввод!$B$12:$B$71,MATCH(A828,Ввод!$D$12:$D$71,1)),""))</f>
        <v/>
      </c>
      <c r="C828">
        <f>IF(A828="","",DATE(YEAR(A828),12,31)-DATE(YEAR(A828),1,1)+1)</f>
        <v/>
      </c>
      <c r="D828">
        <f>IF(A828="","",SUMIFS(Акты!$D$5:$D$16,Акты!$E$5:$E$16,"&lt;="&amp;A828)-SUMIFS(Оплаты!$B$6:$B$505,Оплаты!$A$6:$A$505,"&lt;"&amp;A828,Оплаты!$D$6:$D$505,"&lt;&gt;"))</f>
        <v/>
      </c>
      <c r="E828">
        <f>IF(A828="","",IF(SUMPRODUCT((Ввод!$F$12:$F$31&lt;&gt;"")*(Ввод!$F$12:$F$31&lt;=A828)*(Ввод!$G$12:$G$31&gt;=A828))&gt;0,1,0))</f>
        <v/>
      </c>
      <c r="G828">
        <f>IF(A828="","",IF(OR(B828&lt;&gt;B827,C828&lt;&gt;C827,E828&lt;&gt;E827),G827+1,G827))</f>
        <v/>
      </c>
    </row>
    <row r="829">
      <c r="A829" s="20">
        <f>IF(A828="","",IF(A828+1&gt;Ввод!$B$4,"",A828+1))</f>
        <v/>
      </c>
      <c r="B829">
        <f>IF(A829="","",IFERROR(INDEX(Ввод!$B$12:$B$71,MATCH(A829,Ввод!$D$12:$D$71,1)),""))</f>
        <v/>
      </c>
      <c r="C829">
        <f>IF(A829="","",DATE(YEAR(A829),12,31)-DATE(YEAR(A829),1,1)+1)</f>
        <v/>
      </c>
      <c r="D829">
        <f>IF(A829="","",SUMIFS(Акты!$D$5:$D$16,Акты!$E$5:$E$16,"&lt;="&amp;A829)-SUMIFS(Оплаты!$B$6:$B$505,Оплаты!$A$6:$A$505,"&lt;"&amp;A829,Оплаты!$D$6:$D$505,"&lt;&gt;"))</f>
        <v/>
      </c>
      <c r="E829">
        <f>IF(A829="","",IF(SUMPRODUCT((Ввод!$F$12:$F$31&lt;&gt;"")*(Ввод!$F$12:$F$31&lt;=A829)*(Ввод!$G$12:$G$31&gt;=A829))&gt;0,1,0))</f>
        <v/>
      </c>
      <c r="G829">
        <f>IF(A829="","",IF(OR(B829&lt;&gt;B828,C829&lt;&gt;C828,E829&lt;&gt;E828),G828+1,G828))</f>
        <v/>
      </c>
    </row>
    <row r="830">
      <c r="A830" s="20">
        <f>IF(A829="","",IF(A829+1&gt;Ввод!$B$4,"",A829+1))</f>
        <v/>
      </c>
      <c r="B830">
        <f>IF(A830="","",IFERROR(INDEX(Ввод!$B$12:$B$71,MATCH(A830,Ввод!$D$12:$D$71,1)),""))</f>
        <v/>
      </c>
      <c r="C830">
        <f>IF(A830="","",DATE(YEAR(A830),12,31)-DATE(YEAR(A830),1,1)+1)</f>
        <v/>
      </c>
      <c r="D830">
        <f>IF(A830="","",SUMIFS(Акты!$D$5:$D$16,Акты!$E$5:$E$16,"&lt;="&amp;A830)-SUMIFS(Оплаты!$B$6:$B$505,Оплаты!$A$6:$A$505,"&lt;"&amp;A830,Оплаты!$D$6:$D$505,"&lt;&gt;"))</f>
        <v/>
      </c>
      <c r="E830">
        <f>IF(A830="","",IF(SUMPRODUCT((Ввод!$F$12:$F$31&lt;&gt;"")*(Ввод!$F$12:$F$31&lt;=A830)*(Ввод!$G$12:$G$31&gt;=A830))&gt;0,1,0))</f>
        <v/>
      </c>
      <c r="G830">
        <f>IF(A830="","",IF(OR(B830&lt;&gt;B829,C830&lt;&gt;C829,E830&lt;&gt;E829),G829+1,G829))</f>
        <v/>
      </c>
    </row>
    <row r="831">
      <c r="A831" s="20">
        <f>IF(A830="","",IF(A830+1&gt;Ввод!$B$4,"",A830+1))</f>
        <v/>
      </c>
      <c r="B831">
        <f>IF(A831="","",IFERROR(INDEX(Ввод!$B$12:$B$71,MATCH(A831,Ввод!$D$12:$D$71,1)),""))</f>
        <v/>
      </c>
      <c r="C831">
        <f>IF(A831="","",DATE(YEAR(A831),12,31)-DATE(YEAR(A831),1,1)+1)</f>
        <v/>
      </c>
      <c r="D831">
        <f>IF(A831="","",SUMIFS(Акты!$D$5:$D$16,Акты!$E$5:$E$16,"&lt;="&amp;A831)-SUMIFS(Оплаты!$B$6:$B$505,Оплаты!$A$6:$A$505,"&lt;"&amp;A831,Оплаты!$D$6:$D$505,"&lt;&gt;"))</f>
        <v/>
      </c>
      <c r="E831">
        <f>IF(A831="","",IF(SUMPRODUCT((Ввод!$F$12:$F$31&lt;&gt;"")*(Ввод!$F$12:$F$31&lt;=A831)*(Ввод!$G$12:$G$31&gt;=A831))&gt;0,1,0))</f>
        <v/>
      </c>
      <c r="G831">
        <f>IF(A831="","",IF(OR(B831&lt;&gt;B830,C831&lt;&gt;C830,E831&lt;&gt;E830),G830+1,G830))</f>
        <v/>
      </c>
    </row>
    <row r="832">
      <c r="A832" s="20">
        <f>IF(A831="","",IF(A831+1&gt;Ввод!$B$4,"",A831+1))</f>
        <v/>
      </c>
      <c r="B832">
        <f>IF(A832="","",IFERROR(INDEX(Ввод!$B$12:$B$71,MATCH(A832,Ввод!$D$12:$D$71,1)),""))</f>
        <v/>
      </c>
      <c r="C832">
        <f>IF(A832="","",DATE(YEAR(A832),12,31)-DATE(YEAR(A832),1,1)+1)</f>
        <v/>
      </c>
      <c r="D832">
        <f>IF(A832="","",SUMIFS(Акты!$D$5:$D$16,Акты!$E$5:$E$16,"&lt;="&amp;A832)-SUMIFS(Оплаты!$B$6:$B$505,Оплаты!$A$6:$A$505,"&lt;"&amp;A832,Оплаты!$D$6:$D$505,"&lt;&gt;"))</f>
        <v/>
      </c>
      <c r="E832">
        <f>IF(A832="","",IF(SUMPRODUCT((Ввод!$F$12:$F$31&lt;&gt;"")*(Ввод!$F$12:$F$31&lt;=A832)*(Ввод!$G$12:$G$31&gt;=A832))&gt;0,1,0))</f>
        <v/>
      </c>
      <c r="G832">
        <f>IF(A832="","",IF(OR(B832&lt;&gt;B831,C832&lt;&gt;C831,E832&lt;&gt;E831),G831+1,G831))</f>
        <v/>
      </c>
    </row>
    <row r="833">
      <c r="A833" s="20">
        <f>IF(A832="","",IF(A832+1&gt;Ввод!$B$4,"",A832+1))</f>
        <v/>
      </c>
      <c r="B833">
        <f>IF(A833="","",IFERROR(INDEX(Ввод!$B$12:$B$71,MATCH(A833,Ввод!$D$12:$D$71,1)),""))</f>
        <v/>
      </c>
      <c r="C833">
        <f>IF(A833="","",DATE(YEAR(A833),12,31)-DATE(YEAR(A833),1,1)+1)</f>
        <v/>
      </c>
      <c r="D833">
        <f>IF(A833="","",SUMIFS(Акты!$D$5:$D$16,Акты!$E$5:$E$16,"&lt;="&amp;A833)-SUMIFS(Оплаты!$B$6:$B$505,Оплаты!$A$6:$A$505,"&lt;"&amp;A833,Оплаты!$D$6:$D$505,"&lt;&gt;"))</f>
        <v/>
      </c>
      <c r="E833">
        <f>IF(A833="","",IF(SUMPRODUCT((Ввод!$F$12:$F$31&lt;&gt;"")*(Ввод!$F$12:$F$31&lt;=A833)*(Ввод!$G$12:$G$31&gt;=A833))&gt;0,1,0))</f>
        <v/>
      </c>
      <c r="G833">
        <f>IF(A833="","",IF(OR(B833&lt;&gt;B832,C833&lt;&gt;C832,E833&lt;&gt;E832),G832+1,G832))</f>
        <v/>
      </c>
    </row>
    <row r="834">
      <c r="A834" s="20">
        <f>IF(A833="","",IF(A833+1&gt;Ввод!$B$4,"",A833+1))</f>
        <v/>
      </c>
      <c r="B834">
        <f>IF(A834="","",IFERROR(INDEX(Ввод!$B$12:$B$71,MATCH(A834,Ввод!$D$12:$D$71,1)),""))</f>
        <v/>
      </c>
      <c r="C834">
        <f>IF(A834="","",DATE(YEAR(A834),12,31)-DATE(YEAR(A834),1,1)+1)</f>
        <v/>
      </c>
      <c r="D834">
        <f>IF(A834="","",SUMIFS(Акты!$D$5:$D$16,Акты!$E$5:$E$16,"&lt;="&amp;A834)-SUMIFS(Оплаты!$B$6:$B$505,Оплаты!$A$6:$A$505,"&lt;"&amp;A834,Оплаты!$D$6:$D$505,"&lt;&gt;"))</f>
        <v/>
      </c>
      <c r="E834">
        <f>IF(A834="","",IF(SUMPRODUCT((Ввод!$F$12:$F$31&lt;&gt;"")*(Ввод!$F$12:$F$31&lt;=A834)*(Ввод!$G$12:$G$31&gt;=A834))&gt;0,1,0))</f>
        <v/>
      </c>
      <c r="G834">
        <f>IF(A834="","",IF(OR(B834&lt;&gt;B833,C834&lt;&gt;C833,E834&lt;&gt;E833),G833+1,G833))</f>
        <v/>
      </c>
    </row>
    <row r="835">
      <c r="A835" s="20">
        <f>IF(A834="","",IF(A834+1&gt;Ввод!$B$4,"",A834+1))</f>
        <v/>
      </c>
      <c r="B835">
        <f>IF(A835="","",IFERROR(INDEX(Ввод!$B$12:$B$71,MATCH(A835,Ввод!$D$12:$D$71,1)),""))</f>
        <v/>
      </c>
      <c r="C835">
        <f>IF(A835="","",DATE(YEAR(A835),12,31)-DATE(YEAR(A835),1,1)+1)</f>
        <v/>
      </c>
      <c r="D835">
        <f>IF(A835="","",SUMIFS(Акты!$D$5:$D$16,Акты!$E$5:$E$16,"&lt;="&amp;A835)-SUMIFS(Оплаты!$B$6:$B$505,Оплаты!$A$6:$A$505,"&lt;"&amp;A835,Оплаты!$D$6:$D$505,"&lt;&gt;"))</f>
        <v/>
      </c>
      <c r="E835">
        <f>IF(A835="","",IF(SUMPRODUCT((Ввод!$F$12:$F$31&lt;&gt;"")*(Ввод!$F$12:$F$31&lt;=A835)*(Ввод!$G$12:$G$31&gt;=A835))&gt;0,1,0))</f>
        <v/>
      </c>
      <c r="G835">
        <f>IF(A835="","",IF(OR(B835&lt;&gt;B834,C835&lt;&gt;C834,E835&lt;&gt;E834),G834+1,G834))</f>
        <v/>
      </c>
    </row>
    <row r="836">
      <c r="A836" s="20">
        <f>IF(A835="","",IF(A835+1&gt;Ввод!$B$4,"",A835+1))</f>
        <v/>
      </c>
      <c r="B836">
        <f>IF(A836="","",IFERROR(INDEX(Ввод!$B$12:$B$71,MATCH(A836,Ввод!$D$12:$D$71,1)),""))</f>
        <v/>
      </c>
      <c r="C836">
        <f>IF(A836="","",DATE(YEAR(A836),12,31)-DATE(YEAR(A836),1,1)+1)</f>
        <v/>
      </c>
      <c r="D836">
        <f>IF(A836="","",SUMIFS(Акты!$D$5:$D$16,Акты!$E$5:$E$16,"&lt;="&amp;A836)-SUMIFS(Оплаты!$B$6:$B$505,Оплаты!$A$6:$A$505,"&lt;"&amp;A836,Оплаты!$D$6:$D$505,"&lt;&gt;"))</f>
        <v/>
      </c>
      <c r="E836">
        <f>IF(A836="","",IF(SUMPRODUCT((Ввод!$F$12:$F$31&lt;&gt;"")*(Ввод!$F$12:$F$31&lt;=A836)*(Ввод!$G$12:$G$31&gt;=A836))&gt;0,1,0))</f>
        <v/>
      </c>
      <c r="G836">
        <f>IF(A836="","",IF(OR(B836&lt;&gt;B835,C836&lt;&gt;C835,E836&lt;&gt;E835),G835+1,G835))</f>
        <v/>
      </c>
    </row>
    <row r="837">
      <c r="A837" s="20">
        <f>IF(A836="","",IF(A836+1&gt;Ввод!$B$4,"",A836+1))</f>
        <v/>
      </c>
      <c r="B837">
        <f>IF(A837="","",IFERROR(INDEX(Ввод!$B$12:$B$71,MATCH(A837,Ввод!$D$12:$D$71,1)),""))</f>
        <v/>
      </c>
      <c r="C837">
        <f>IF(A837="","",DATE(YEAR(A837),12,31)-DATE(YEAR(A837),1,1)+1)</f>
        <v/>
      </c>
      <c r="D837">
        <f>IF(A837="","",SUMIFS(Акты!$D$5:$D$16,Акты!$E$5:$E$16,"&lt;="&amp;A837)-SUMIFS(Оплаты!$B$6:$B$505,Оплаты!$A$6:$A$505,"&lt;"&amp;A837,Оплаты!$D$6:$D$505,"&lt;&gt;"))</f>
        <v/>
      </c>
      <c r="E837">
        <f>IF(A837="","",IF(SUMPRODUCT((Ввод!$F$12:$F$31&lt;&gt;"")*(Ввод!$F$12:$F$31&lt;=A837)*(Ввод!$G$12:$G$31&gt;=A837))&gt;0,1,0))</f>
        <v/>
      </c>
      <c r="G837">
        <f>IF(A837="","",IF(OR(B837&lt;&gt;B836,C837&lt;&gt;C836,E837&lt;&gt;E836),G836+1,G836))</f>
        <v/>
      </c>
    </row>
    <row r="838">
      <c r="A838" s="20">
        <f>IF(A837="","",IF(A837+1&gt;Ввод!$B$4,"",A837+1))</f>
        <v/>
      </c>
      <c r="B838">
        <f>IF(A838="","",IFERROR(INDEX(Ввод!$B$12:$B$71,MATCH(A838,Ввод!$D$12:$D$71,1)),""))</f>
        <v/>
      </c>
      <c r="C838">
        <f>IF(A838="","",DATE(YEAR(A838),12,31)-DATE(YEAR(A838),1,1)+1)</f>
        <v/>
      </c>
      <c r="D838">
        <f>IF(A838="","",SUMIFS(Акты!$D$5:$D$16,Акты!$E$5:$E$16,"&lt;="&amp;A838)-SUMIFS(Оплаты!$B$6:$B$505,Оплаты!$A$6:$A$505,"&lt;"&amp;A838,Оплаты!$D$6:$D$505,"&lt;&gt;"))</f>
        <v/>
      </c>
      <c r="E838">
        <f>IF(A838="","",IF(SUMPRODUCT((Ввод!$F$12:$F$31&lt;&gt;"")*(Ввод!$F$12:$F$31&lt;=A838)*(Ввод!$G$12:$G$31&gt;=A838))&gt;0,1,0))</f>
        <v/>
      </c>
      <c r="G838">
        <f>IF(A838="","",IF(OR(B838&lt;&gt;B837,C838&lt;&gt;C837,E838&lt;&gt;E837),G837+1,G837))</f>
        <v/>
      </c>
    </row>
    <row r="839">
      <c r="A839" s="20">
        <f>IF(A838="","",IF(A838+1&gt;Ввод!$B$4,"",A838+1))</f>
        <v/>
      </c>
      <c r="B839">
        <f>IF(A839="","",IFERROR(INDEX(Ввод!$B$12:$B$71,MATCH(A839,Ввод!$D$12:$D$71,1)),""))</f>
        <v/>
      </c>
      <c r="C839">
        <f>IF(A839="","",DATE(YEAR(A839),12,31)-DATE(YEAR(A839),1,1)+1)</f>
        <v/>
      </c>
      <c r="D839">
        <f>IF(A839="","",SUMIFS(Акты!$D$5:$D$16,Акты!$E$5:$E$16,"&lt;="&amp;A839)-SUMIFS(Оплаты!$B$6:$B$505,Оплаты!$A$6:$A$505,"&lt;"&amp;A839,Оплаты!$D$6:$D$505,"&lt;&gt;"))</f>
        <v/>
      </c>
      <c r="E839">
        <f>IF(A839="","",IF(SUMPRODUCT((Ввод!$F$12:$F$31&lt;&gt;"")*(Ввод!$F$12:$F$31&lt;=A839)*(Ввод!$G$12:$G$31&gt;=A839))&gt;0,1,0))</f>
        <v/>
      </c>
      <c r="G839">
        <f>IF(A839="","",IF(OR(B839&lt;&gt;B838,C839&lt;&gt;C838,E839&lt;&gt;E838),G838+1,G838))</f>
        <v/>
      </c>
    </row>
    <row r="840">
      <c r="A840" s="20">
        <f>IF(A839="","",IF(A839+1&gt;Ввод!$B$4,"",A839+1))</f>
        <v/>
      </c>
      <c r="B840">
        <f>IF(A840="","",IFERROR(INDEX(Ввод!$B$12:$B$71,MATCH(A840,Ввод!$D$12:$D$71,1)),""))</f>
        <v/>
      </c>
      <c r="C840">
        <f>IF(A840="","",DATE(YEAR(A840),12,31)-DATE(YEAR(A840),1,1)+1)</f>
        <v/>
      </c>
      <c r="D840">
        <f>IF(A840="","",SUMIFS(Акты!$D$5:$D$16,Акты!$E$5:$E$16,"&lt;="&amp;A840)-SUMIFS(Оплаты!$B$6:$B$505,Оплаты!$A$6:$A$505,"&lt;"&amp;A840,Оплаты!$D$6:$D$505,"&lt;&gt;"))</f>
        <v/>
      </c>
      <c r="E840">
        <f>IF(A840="","",IF(SUMPRODUCT((Ввод!$F$12:$F$31&lt;&gt;"")*(Ввод!$F$12:$F$31&lt;=A840)*(Ввод!$G$12:$G$31&gt;=A840))&gt;0,1,0))</f>
        <v/>
      </c>
      <c r="G840">
        <f>IF(A840="","",IF(OR(B840&lt;&gt;B839,C840&lt;&gt;C839,E840&lt;&gt;E839),G839+1,G839))</f>
        <v/>
      </c>
    </row>
    <row r="841">
      <c r="A841" s="20">
        <f>IF(A840="","",IF(A840+1&gt;Ввод!$B$4,"",A840+1))</f>
        <v/>
      </c>
      <c r="B841">
        <f>IF(A841="","",IFERROR(INDEX(Ввод!$B$12:$B$71,MATCH(A841,Ввод!$D$12:$D$71,1)),""))</f>
        <v/>
      </c>
      <c r="C841">
        <f>IF(A841="","",DATE(YEAR(A841),12,31)-DATE(YEAR(A841),1,1)+1)</f>
        <v/>
      </c>
      <c r="D841">
        <f>IF(A841="","",SUMIFS(Акты!$D$5:$D$16,Акты!$E$5:$E$16,"&lt;="&amp;A841)-SUMIFS(Оплаты!$B$6:$B$505,Оплаты!$A$6:$A$505,"&lt;"&amp;A841,Оплаты!$D$6:$D$505,"&lt;&gt;"))</f>
        <v/>
      </c>
      <c r="E841">
        <f>IF(A841="","",IF(SUMPRODUCT((Ввод!$F$12:$F$31&lt;&gt;"")*(Ввод!$F$12:$F$31&lt;=A841)*(Ввод!$G$12:$G$31&gt;=A841))&gt;0,1,0))</f>
        <v/>
      </c>
      <c r="G841">
        <f>IF(A841="","",IF(OR(B841&lt;&gt;B840,C841&lt;&gt;C840,E841&lt;&gt;E840),G840+1,G840))</f>
        <v/>
      </c>
    </row>
    <row r="842">
      <c r="A842" s="20">
        <f>IF(A841="","",IF(A841+1&gt;Ввод!$B$4,"",A841+1))</f>
        <v/>
      </c>
      <c r="B842">
        <f>IF(A842="","",IFERROR(INDEX(Ввод!$B$12:$B$71,MATCH(A842,Ввод!$D$12:$D$71,1)),""))</f>
        <v/>
      </c>
      <c r="C842">
        <f>IF(A842="","",DATE(YEAR(A842),12,31)-DATE(YEAR(A842),1,1)+1)</f>
        <v/>
      </c>
      <c r="D842">
        <f>IF(A842="","",SUMIFS(Акты!$D$5:$D$16,Акты!$E$5:$E$16,"&lt;="&amp;A842)-SUMIFS(Оплаты!$B$6:$B$505,Оплаты!$A$6:$A$505,"&lt;"&amp;A842,Оплаты!$D$6:$D$505,"&lt;&gt;"))</f>
        <v/>
      </c>
      <c r="E842">
        <f>IF(A842="","",IF(SUMPRODUCT((Ввод!$F$12:$F$31&lt;&gt;"")*(Ввод!$F$12:$F$31&lt;=A842)*(Ввод!$G$12:$G$31&gt;=A842))&gt;0,1,0))</f>
        <v/>
      </c>
      <c r="G842">
        <f>IF(A842="","",IF(OR(B842&lt;&gt;B841,C842&lt;&gt;C841,E842&lt;&gt;E841),G841+1,G841))</f>
        <v/>
      </c>
    </row>
    <row r="843">
      <c r="A843" s="20">
        <f>IF(A842="","",IF(A842+1&gt;Ввод!$B$4,"",A842+1))</f>
        <v/>
      </c>
      <c r="B843">
        <f>IF(A843="","",IFERROR(INDEX(Ввод!$B$12:$B$71,MATCH(A843,Ввод!$D$12:$D$71,1)),""))</f>
        <v/>
      </c>
      <c r="C843">
        <f>IF(A843="","",DATE(YEAR(A843),12,31)-DATE(YEAR(A843),1,1)+1)</f>
        <v/>
      </c>
      <c r="D843">
        <f>IF(A843="","",SUMIFS(Акты!$D$5:$D$16,Акты!$E$5:$E$16,"&lt;="&amp;A843)-SUMIFS(Оплаты!$B$6:$B$505,Оплаты!$A$6:$A$505,"&lt;"&amp;A843,Оплаты!$D$6:$D$505,"&lt;&gt;"))</f>
        <v/>
      </c>
      <c r="E843">
        <f>IF(A843="","",IF(SUMPRODUCT((Ввод!$F$12:$F$31&lt;&gt;"")*(Ввод!$F$12:$F$31&lt;=A843)*(Ввод!$G$12:$G$31&gt;=A843))&gt;0,1,0))</f>
        <v/>
      </c>
      <c r="G843">
        <f>IF(A843="","",IF(OR(B843&lt;&gt;B842,C843&lt;&gt;C842,E843&lt;&gt;E842),G842+1,G842))</f>
        <v/>
      </c>
    </row>
    <row r="844">
      <c r="A844" s="20">
        <f>IF(A843="","",IF(A843+1&gt;Ввод!$B$4,"",A843+1))</f>
        <v/>
      </c>
      <c r="B844">
        <f>IF(A844="","",IFERROR(INDEX(Ввод!$B$12:$B$71,MATCH(A844,Ввод!$D$12:$D$71,1)),""))</f>
        <v/>
      </c>
      <c r="C844">
        <f>IF(A844="","",DATE(YEAR(A844),12,31)-DATE(YEAR(A844),1,1)+1)</f>
        <v/>
      </c>
      <c r="D844">
        <f>IF(A844="","",SUMIFS(Акты!$D$5:$D$16,Акты!$E$5:$E$16,"&lt;="&amp;A844)-SUMIFS(Оплаты!$B$6:$B$505,Оплаты!$A$6:$A$505,"&lt;"&amp;A844,Оплаты!$D$6:$D$505,"&lt;&gt;"))</f>
        <v/>
      </c>
      <c r="E844">
        <f>IF(A844="","",IF(SUMPRODUCT((Ввод!$F$12:$F$31&lt;&gt;"")*(Ввод!$F$12:$F$31&lt;=A844)*(Ввод!$G$12:$G$31&gt;=A844))&gt;0,1,0))</f>
        <v/>
      </c>
      <c r="G844">
        <f>IF(A844="","",IF(OR(B844&lt;&gt;B843,C844&lt;&gt;C843,E844&lt;&gt;E843),G843+1,G843))</f>
        <v/>
      </c>
    </row>
    <row r="845">
      <c r="A845" s="20">
        <f>IF(A844="","",IF(A844+1&gt;Ввод!$B$4,"",A844+1))</f>
        <v/>
      </c>
      <c r="B845">
        <f>IF(A845="","",IFERROR(INDEX(Ввод!$B$12:$B$71,MATCH(A845,Ввод!$D$12:$D$71,1)),""))</f>
        <v/>
      </c>
      <c r="C845">
        <f>IF(A845="","",DATE(YEAR(A845),12,31)-DATE(YEAR(A845),1,1)+1)</f>
        <v/>
      </c>
      <c r="D845">
        <f>IF(A845="","",SUMIFS(Акты!$D$5:$D$16,Акты!$E$5:$E$16,"&lt;="&amp;A845)-SUMIFS(Оплаты!$B$6:$B$505,Оплаты!$A$6:$A$505,"&lt;"&amp;A845,Оплаты!$D$6:$D$505,"&lt;&gt;"))</f>
        <v/>
      </c>
      <c r="E845">
        <f>IF(A845="","",IF(SUMPRODUCT((Ввод!$F$12:$F$31&lt;&gt;"")*(Ввод!$F$12:$F$31&lt;=A845)*(Ввод!$G$12:$G$31&gt;=A845))&gt;0,1,0))</f>
        <v/>
      </c>
      <c r="G845">
        <f>IF(A845="","",IF(OR(B845&lt;&gt;B844,C845&lt;&gt;C844,E845&lt;&gt;E844),G844+1,G844))</f>
        <v/>
      </c>
    </row>
    <row r="846">
      <c r="A846" s="20">
        <f>IF(A845="","",IF(A845+1&gt;Ввод!$B$4,"",A845+1))</f>
        <v/>
      </c>
      <c r="B846">
        <f>IF(A846="","",IFERROR(INDEX(Ввод!$B$12:$B$71,MATCH(A846,Ввод!$D$12:$D$71,1)),""))</f>
        <v/>
      </c>
      <c r="C846">
        <f>IF(A846="","",DATE(YEAR(A846),12,31)-DATE(YEAR(A846),1,1)+1)</f>
        <v/>
      </c>
      <c r="D846">
        <f>IF(A846="","",SUMIFS(Акты!$D$5:$D$16,Акты!$E$5:$E$16,"&lt;="&amp;A846)-SUMIFS(Оплаты!$B$6:$B$505,Оплаты!$A$6:$A$505,"&lt;"&amp;A846,Оплаты!$D$6:$D$505,"&lt;&gt;"))</f>
        <v/>
      </c>
      <c r="E846">
        <f>IF(A846="","",IF(SUMPRODUCT((Ввод!$F$12:$F$31&lt;&gt;"")*(Ввод!$F$12:$F$31&lt;=A846)*(Ввод!$G$12:$G$31&gt;=A846))&gt;0,1,0))</f>
        <v/>
      </c>
      <c r="G846">
        <f>IF(A846="","",IF(OR(B846&lt;&gt;B845,C846&lt;&gt;C845,E846&lt;&gt;E845),G845+1,G845))</f>
        <v/>
      </c>
    </row>
    <row r="847">
      <c r="A847" s="20">
        <f>IF(A846="","",IF(A846+1&gt;Ввод!$B$4,"",A846+1))</f>
        <v/>
      </c>
      <c r="B847">
        <f>IF(A847="","",IFERROR(INDEX(Ввод!$B$12:$B$71,MATCH(A847,Ввод!$D$12:$D$71,1)),""))</f>
        <v/>
      </c>
      <c r="C847">
        <f>IF(A847="","",DATE(YEAR(A847),12,31)-DATE(YEAR(A847),1,1)+1)</f>
        <v/>
      </c>
      <c r="D847">
        <f>IF(A847="","",SUMIFS(Акты!$D$5:$D$16,Акты!$E$5:$E$16,"&lt;="&amp;A847)-SUMIFS(Оплаты!$B$6:$B$505,Оплаты!$A$6:$A$505,"&lt;"&amp;A847,Оплаты!$D$6:$D$505,"&lt;&gt;"))</f>
        <v/>
      </c>
      <c r="E847">
        <f>IF(A847="","",IF(SUMPRODUCT((Ввод!$F$12:$F$31&lt;&gt;"")*(Ввод!$F$12:$F$31&lt;=A847)*(Ввод!$G$12:$G$31&gt;=A847))&gt;0,1,0))</f>
        <v/>
      </c>
      <c r="G847">
        <f>IF(A847="","",IF(OR(B847&lt;&gt;B846,C847&lt;&gt;C846,E847&lt;&gt;E846),G846+1,G846))</f>
        <v/>
      </c>
    </row>
    <row r="848">
      <c r="A848" s="20">
        <f>IF(A847="","",IF(A847+1&gt;Ввод!$B$4,"",A847+1))</f>
        <v/>
      </c>
      <c r="B848">
        <f>IF(A848="","",IFERROR(INDEX(Ввод!$B$12:$B$71,MATCH(A848,Ввод!$D$12:$D$71,1)),""))</f>
        <v/>
      </c>
      <c r="C848">
        <f>IF(A848="","",DATE(YEAR(A848),12,31)-DATE(YEAR(A848),1,1)+1)</f>
        <v/>
      </c>
      <c r="D848">
        <f>IF(A848="","",SUMIFS(Акты!$D$5:$D$16,Акты!$E$5:$E$16,"&lt;="&amp;A848)-SUMIFS(Оплаты!$B$6:$B$505,Оплаты!$A$6:$A$505,"&lt;"&amp;A848,Оплаты!$D$6:$D$505,"&lt;&gt;"))</f>
        <v/>
      </c>
      <c r="E848">
        <f>IF(A848="","",IF(SUMPRODUCT((Ввод!$F$12:$F$31&lt;&gt;"")*(Ввод!$F$12:$F$31&lt;=A848)*(Ввод!$G$12:$G$31&gt;=A848))&gt;0,1,0))</f>
        <v/>
      </c>
      <c r="G848">
        <f>IF(A848="","",IF(OR(B848&lt;&gt;B847,C848&lt;&gt;C847,E848&lt;&gt;E847),G847+1,G847))</f>
        <v/>
      </c>
    </row>
    <row r="849">
      <c r="A849" s="20">
        <f>IF(A848="","",IF(A848+1&gt;Ввод!$B$4,"",A848+1))</f>
        <v/>
      </c>
      <c r="B849">
        <f>IF(A849="","",IFERROR(INDEX(Ввод!$B$12:$B$71,MATCH(A849,Ввод!$D$12:$D$71,1)),""))</f>
        <v/>
      </c>
      <c r="C849">
        <f>IF(A849="","",DATE(YEAR(A849),12,31)-DATE(YEAR(A849),1,1)+1)</f>
        <v/>
      </c>
      <c r="D849">
        <f>IF(A849="","",SUMIFS(Акты!$D$5:$D$16,Акты!$E$5:$E$16,"&lt;="&amp;A849)-SUMIFS(Оплаты!$B$6:$B$505,Оплаты!$A$6:$A$505,"&lt;"&amp;A849,Оплаты!$D$6:$D$505,"&lt;&gt;"))</f>
        <v/>
      </c>
      <c r="E849">
        <f>IF(A849="","",IF(SUMPRODUCT((Ввод!$F$12:$F$31&lt;&gt;"")*(Ввод!$F$12:$F$31&lt;=A849)*(Ввод!$G$12:$G$31&gt;=A849))&gt;0,1,0))</f>
        <v/>
      </c>
      <c r="G849">
        <f>IF(A849="","",IF(OR(B849&lt;&gt;B848,C849&lt;&gt;C848,E849&lt;&gt;E848),G848+1,G848))</f>
        <v/>
      </c>
    </row>
    <row r="850">
      <c r="A850" s="20">
        <f>IF(A849="","",IF(A849+1&gt;Ввод!$B$4,"",A849+1))</f>
        <v/>
      </c>
      <c r="B850">
        <f>IF(A850="","",IFERROR(INDEX(Ввод!$B$12:$B$71,MATCH(A850,Ввод!$D$12:$D$71,1)),""))</f>
        <v/>
      </c>
      <c r="C850">
        <f>IF(A850="","",DATE(YEAR(A850),12,31)-DATE(YEAR(A850),1,1)+1)</f>
        <v/>
      </c>
      <c r="D850">
        <f>IF(A850="","",SUMIFS(Акты!$D$5:$D$16,Акты!$E$5:$E$16,"&lt;="&amp;A850)-SUMIFS(Оплаты!$B$6:$B$505,Оплаты!$A$6:$A$505,"&lt;"&amp;A850,Оплаты!$D$6:$D$505,"&lt;&gt;"))</f>
        <v/>
      </c>
      <c r="E850">
        <f>IF(A850="","",IF(SUMPRODUCT((Ввод!$F$12:$F$31&lt;&gt;"")*(Ввод!$F$12:$F$31&lt;=A850)*(Ввод!$G$12:$G$31&gt;=A850))&gt;0,1,0))</f>
        <v/>
      </c>
      <c r="G850">
        <f>IF(A850="","",IF(OR(B850&lt;&gt;B849,C850&lt;&gt;C849,E850&lt;&gt;E849),G849+1,G849))</f>
        <v/>
      </c>
    </row>
    <row r="851">
      <c r="A851" s="20">
        <f>IF(A850="","",IF(A850+1&gt;Ввод!$B$4,"",A850+1))</f>
        <v/>
      </c>
      <c r="B851">
        <f>IF(A851="","",IFERROR(INDEX(Ввод!$B$12:$B$71,MATCH(A851,Ввод!$D$12:$D$71,1)),""))</f>
        <v/>
      </c>
      <c r="C851">
        <f>IF(A851="","",DATE(YEAR(A851),12,31)-DATE(YEAR(A851),1,1)+1)</f>
        <v/>
      </c>
      <c r="D851">
        <f>IF(A851="","",SUMIFS(Акты!$D$5:$D$16,Акты!$E$5:$E$16,"&lt;="&amp;A851)-SUMIFS(Оплаты!$B$6:$B$505,Оплаты!$A$6:$A$505,"&lt;"&amp;A851,Оплаты!$D$6:$D$505,"&lt;&gt;"))</f>
        <v/>
      </c>
      <c r="E851">
        <f>IF(A851="","",IF(SUMPRODUCT((Ввод!$F$12:$F$31&lt;&gt;"")*(Ввод!$F$12:$F$31&lt;=A851)*(Ввод!$G$12:$G$31&gt;=A851))&gt;0,1,0))</f>
        <v/>
      </c>
      <c r="G851">
        <f>IF(A851="","",IF(OR(B851&lt;&gt;B850,C851&lt;&gt;C850,E851&lt;&gt;E850),G850+1,G850))</f>
        <v/>
      </c>
    </row>
    <row r="852">
      <c r="A852" s="20">
        <f>IF(A851="","",IF(A851+1&gt;Ввод!$B$4,"",A851+1))</f>
        <v/>
      </c>
      <c r="B852">
        <f>IF(A852="","",IFERROR(INDEX(Ввод!$B$12:$B$71,MATCH(A852,Ввод!$D$12:$D$71,1)),""))</f>
        <v/>
      </c>
      <c r="C852">
        <f>IF(A852="","",DATE(YEAR(A852),12,31)-DATE(YEAR(A852),1,1)+1)</f>
        <v/>
      </c>
      <c r="D852">
        <f>IF(A852="","",SUMIFS(Акты!$D$5:$D$16,Акты!$E$5:$E$16,"&lt;="&amp;A852)-SUMIFS(Оплаты!$B$6:$B$505,Оплаты!$A$6:$A$505,"&lt;"&amp;A852,Оплаты!$D$6:$D$505,"&lt;&gt;"))</f>
        <v/>
      </c>
      <c r="E852">
        <f>IF(A852="","",IF(SUMPRODUCT((Ввод!$F$12:$F$31&lt;&gt;"")*(Ввод!$F$12:$F$31&lt;=A852)*(Ввод!$G$12:$G$31&gt;=A852))&gt;0,1,0))</f>
        <v/>
      </c>
      <c r="G852">
        <f>IF(A852="","",IF(OR(B852&lt;&gt;B851,C852&lt;&gt;C851,E852&lt;&gt;E851),G851+1,G851))</f>
        <v/>
      </c>
    </row>
    <row r="853">
      <c r="A853" s="20">
        <f>IF(A852="","",IF(A852+1&gt;Ввод!$B$4,"",A852+1))</f>
        <v/>
      </c>
      <c r="B853">
        <f>IF(A853="","",IFERROR(INDEX(Ввод!$B$12:$B$71,MATCH(A853,Ввод!$D$12:$D$71,1)),""))</f>
        <v/>
      </c>
      <c r="C853">
        <f>IF(A853="","",DATE(YEAR(A853),12,31)-DATE(YEAR(A853),1,1)+1)</f>
        <v/>
      </c>
      <c r="D853">
        <f>IF(A853="","",SUMIFS(Акты!$D$5:$D$16,Акты!$E$5:$E$16,"&lt;="&amp;A853)-SUMIFS(Оплаты!$B$6:$B$505,Оплаты!$A$6:$A$505,"&lt;"&amp;A853,Оплаты!$D$6:$D$505,"&lt;&gt;"))</f>
        <v/>
      </c>
      <c r="E853">
        <f>IF(A853="","",IF(SUMPRODUCT((Ввод!$F$12:$F$31&lt;&gt;"")*(Ввод!$F$12:$F$31&lt;=A853)*(Ввод!$G$12:$G$31&gt;=A853))&gt;0,1,0))</f>
        <v/>
      </c>
      <c r="G853">
        <f>IF(A853="","",IF(OR(B853&lt;&gt;B852,C853&lt;&gt;C852,E853&lt;&gt;E852),G852+1,G852))</f>
        <v/>
      </c>
    </row>
    <row r="854">
      <c r="A854" s="20">
        <f>IF(A853="","",IF(A853+1&gt;Ввод!$B$4,"",A853+1))</f>
        <v/>
      </c>
      <c r="B854">
        <f>IF(A854="","",IFERROR(INDEX(Ввод!$B$12:$B$71,MATCH(A854,Ввод!$D$12:$D$71,1)),""))</f>
        <v/>
      </c>
      <c r="C854">
        <f>IF(A854="","",DATE(YEAR(A854),12,31)-DATE(YEAR(A854),1,1)+1)</f>
        <v/>
      </c>
      <c r="D854">
        <f>IF(A854="","",SUMIFS(Акты!$D$5:$D$16,Акты!$E$5:$E$16,"&lt;="&amp;A854)-SUMIFS(Оплаты!$B$6:$B$505,Оплаты!$A$6:$A$505,"&lt;"&amp;A854,Оплаты!$D$6:$D$505,"&lt;&gt;"))</f>
        <v/>
      </c>
      <c r="E854">
        <f>IF(A854="","",IF(SUMPRODUCT((Ввод!$F$12:$F$31&lt;&gt;"")*(Ввод!$F$12:$F$31&lt;=A854)*(Ввод!$G$12:$G$31&gt;=A854))&gt;0,1,0))</f>
        <v/>
      </c>
      <c r="G854">
        <f>IF(A854="","",IF(OR(B854&lt;&gt;B853,C854&lt;&gt;C853,E854&lt;&gt;E853),G853+1,G853))</f>
        <v/>
      </c>
    </row>
    <row r="855">
      <c r="A855" s="20">
        <f>IF(A854="","",IF(A854+1&gt;Ввод!$B$4,"",A854+1))</f>
        <v/>
      </c>
      <c r="B855">
        <f>IF(A855="","",IFERROR(INDEX(Ввод!$B$12:$B$71,MATCH(A855,Ввод!$D$12:$D$71,1)),""))</f>
        <v/>
      </c>
      <c r="C855">
        <f>IF(A855="","",DATE(YEAR(A855),12,31)-DATE(YEAR(A855),1,1)+1)</f>
        <v/>
      </c>
      <c r="D855">
        <f>IF(A855="","",SUMIFS(Акты!$D$5:$D$16,Акты!$E$5:$E$16,"&lt;="&amp;A855)-SUMIFS(Оплаты!$B$6:$B$505,Оплаты!$A$6:$A$505,"&lt;"&amp;A855,Оплаты!$D$6:$D$505,"&lt;&gt;"))</f>
        <v/>
      </c>
      <c r="E855">
        <f>IF(A855="","",IF(SUMPRODUCT((Ввод!$F$12:$F$31&lt;&gt;"")*(Ввод!$F$12:$F$31&lt;=A855)*(Ввод!$G$12:$G$31&gt;=A855))&gt;0,1,0))</f>
        <v/>
      </c>
      <c r="G855">
        <f>IF(A855="","",IF(OR(B855&lt;&gt;B854,C855&lt;&gt;C854,E855&lt;&gt;E854),G854+1,G854))</f>
        <v/>
      </c>
    </row>
    <row r="856">
      <c r="A856" s="20">
        <f>IF(A855="","",IF(A855+1&gt;Ввод!$B$4,"",A855+1))</f>
        <v/>
      </c>
      <c r="B856">
        <f>IF(A856="","",IFERROR(INDEX(Ввод!$B$12:$B$71,MATCH(A856,Ввод!$D$12:$D$71,1)),""))</f>
        <v/>
      </c>
      <c r="C856">
        <f>IF(A856="","",DATE(YEAR(A856),12,31)-DATE(YEAR(A856),1,1)+1)</f>
        <v/>
      </c>
      <c r="D856">
        <f>IF(A856="","",SUMIFS(Акты!$D$5:$D$16,Акты!$E$5:$E$16,"&lt;="&amp;A856)-SUMIFS(Оплаты!$B$6:$B$505,Оплаты!$A$6:$A$505,"&lt;"&amp;A856,Оплаты!$D$6:$D$505,"&lt;&gt;"))</f>
        <v/>
      </c>
      <c r="E856">
        <f>IF(A856="","",IF(SUMPRODUCT((Ввод!$F$12:$F$31&lt;&gt;"")*(Ввод!$F$12:$F$31&lt;=A856)*(Ввод!$G$12:$G$31&gt;=A856))&gt;0,1,0))</f>
        <v/>
      </c>
      <c r="G856">
        <f>IF(A856="","",IF(OR(B856&lt;&gt;B855,C856&lt;&gt;C855,E856&lt;&gt;E855),G855+1,G855))</f>
        <v/>
      </c>
    </row>
    <row r="857">
      <c r="A857" s="20">
        <f>IF(A856="","",IF(A856+1&gt;Ввод!$B$4,"",A856+1))</f>
        <v/>
      </c>
      <c r="B857">
        <f>IF(A857="","",IFERROR(INDEX(Ввод!$B$12:$B$71,MATCH(A857,Ввод!$D$12:$D$71,1)),""))</f>
        <v/>
      </c>
      <c r="C857">
        <f>IF(A857="","",DATE(YEAR(A857),12,31)-DATE(YEAR(A857),1,1)+1)</f>
        <v/>
      </c>
      <c r="D857">
        <f>IF(A857="","",SUMIFS(Акты!$D$5:$D$16,Акты!$E$5:$E$16,"&lt;="&amp;A857)-SUMIFS(Оплаты!$B$6:$B$505,Оплаты!$A$6:$A$505,"&lt;"&amp;A857,Оплаты!$D$6:$D$505,"&lt;&gt;"))</f>
        <v/>
      </c>
      <c r="E857">
        <f>IF(A857="","",IF(SUMPRODUCT((Ввод!$F$12:$F$31&lt;&gt;"")*(Ввод!$F$12:$F$31&lt;=A857)*(Ввод!$G$12:$G$31&gt;=A857))&gt;0,1,0))</f>
        <v/>
      </c>
      <c r="G857">
        <f>IF(A857="","",IF(OR(B857&lt;&gt;B856,C857&lt;&gt;C856,E857&lt;&gt;E856),G856+1,G856))</f>
        <v/>
      </c>
    </row>
    <row r="858">
      <c r="A858" s="20">
        <f>IF(A857="","",IF(A857+1&gt;Ввод!$B$4,"",A857+1))</f>
        <v/>
      </c>
      <c r="B858">
        <f>IF(A858="","",IFERROR(INDEX(Ввод!$B$12:$B$71,MATCH(A858,Ввод!$D$12:$D$71,1)),""))</f>
        <v/>
      </c>
      <c r="C858">
        <f>IF(A858="","",DATE(YEAR(A858),12,31)-DATE(YEAR(A858),1,1)+1)</f>
        <v/>
      </c>
      <c r="D858">
        <f>IF(A858="","",SUMIFS(Акты!$D$5:$D$16,Акты!$E$5:$E$16,"&lt;="&amp;A858)-SUMIFS(Оплаты!$B$6:$B$505,Оплаты!$A$6:$A$505,"&lt;"&amp;A858,Оплаты!$D$6:$D$505,"&lt;&gt;"))</f>
        <v/>
      </c>
      <c r="E858">
        <f>IF(A858="","",IF(SUMPRODUCT((Ввод!$F$12:$F$31&lt;&gt;"")*(Ввод!$F$12:$F$31&lt;=A858)*(Ввод!$G$12:$G$31&gt;=A858))&gt;0,1,0))</f>
        <v/>
      </c>
      <c r="G858">
        <f>IF(A858="","",IF(OR(B858&lt;&gt;B857,C858&lt;&gt;C857,E858&lt;&gt;E857),G857+1,G857))</f>
        <v/>
      </c>
    </row>
    <row r="859">
      <c r="A859" s="20">
        <f>IF(A858="","",IF(A858+1&gt;Ввод!$B$4,"",A858+1))</f>
        <v/>
      </c>
      <c r="B859">
        <f>IF(A859="","",IFERROR(INDEX(Ввод!$B$12:$B$71,MATCH(A859,Ввод!$D$12:$D$71,1)),""))</f>
        <v/>
      </c>
      <c r="C859">
        <f>IF(A859="","",DATE(YEAR(A859),12,31)-DATE(YEAR(A859),1,1)+1)</f>
        <v/>
      </c>
      <c r="D859">
        <f>IF(A859="","",SUMIFS(Акты!$D$5:$D$16,Акты!$E$5:$E$16,"&lt;="&amp;A859)-SUMIFS(Оплаты!$B$6:$B$505,Оплаты!$A$6:$A$505,"&lt;"&amp;A859,Оплаты!$D$6:$D$505,"&lt;&gt;"))</f>
        <v/>
      </c>
      <c r="E859">
        <f>IF(A859="","",IF(SUMPRODUCT((Ввод!$F$12:$F$31&lt;&gt;"")*(Ввод!$F$12:$F$31&lt;=A859)*(Ввод!$G$12:$G$31&gt;=A859))&gt;0,1,0))</f>
        <v/>
      </c>
      <c r="G859">
        <f>IF(A859="","",IF(OR(B859&lt;&gt;B858,C859&lt;&gt;C858,E859&lt;&gt;E858),G858+1,G858))</f>
        <v/>
      </c>
    </row>
    <row r="860">
      <c r="A860" s="20">
        <f>IF(A859="","",IF(A859+1&gt;Ввод!$B$4,"",A859+1))</f>
        <v/>
      </c>
      <c r="B860">
        <f>IF(A860="","",IFERROR(INDEX(Ввод!$B$12:$B$71,MATCH(A860,Ввод!$D$12:$D$71,1)),""))</f>
        <v/>
      </c>
      <c r="C860">
        <f>IF(A860="","",DATE(YEAR(A860),12,31)-DATE(YEAR(A860),1,1)+1)</f>
        <v/>
      </c>
      <c r="D860">
        <f>IF(A860="","",SUMIFS(Акты!$D$5:$D$16,Акты!$E$5:$E$16,"&lt;="&amp;A860)-SUMIFS(Оплаты!$B$6:$B$505,Оплаты!$A$6:$A$505,"&lt;"&amp;A860,Оплаты!$D$6:$D$505,"&lt;&gt;"))</f>
        <v/>
      </c>
      <c r="E860">
        <f>IF(A860="","",IF(SUMPRODUCT((Ввод!$F$12:$F$31&lt;&gt;"")*(Ввод!$F$12:$F$31&lt;=A860)*(Ввод!$G$12:$G$31&gt;=A860))&gt;0,1,0))</f>
        <v/>
      </c>
      <c r="G860">
        <f>IF(A860="","",IF(OR(B860&lt;&gt;B859,C860&lt;&gt;C859,E860&lt;&gt;E859),G859+1,G859))</f>
        <v/>
      </c>
    </row>
    <row r="861">
      <c r="A861" s="20">
        <f>IF(A860="","",IF(A860+1&gt;Ввод!$B$4,"",A860+1))</f>
        <v/>
      </c>
      <c r="B861">
        <f>IF(A861="","",IFERROR(INDEX(Ввод!$B$12:$B$71,MATCH(A861,Ввод!$D$12:$D$71,1)),""))</f>
        <v/>
      </c>
      <c r="C861">
        <f>IF(A861="","",DATE(YEAR(A861),12,31)-DATE(YEAR(A861),1,1)+1)</f>
        <v/>
      </c>
      <c r="D861">
        <f>IF(A861="","",SUMIFS(Акты!$D$5:$D$16,Акты!$E$5:$E$16,"&lt;="&amp;A861)-SUMIFS(Оплаты!$B$6:$B$505,Оплаты!$A$6:$A$505,"&lt;"&amp;A861,Оплаты!$D$6:$D$505,"&lt;&gt;"))</f>
        <v/>
      </c>
      <c r="E861">
        <f>IF(A861="","",IF(SUMPRODUCT((Ввод!$F$12:$F$31&lt;&gt;"")*(Ввод!$F$12:$F$31&lt;=A861)*(Ввод!$G$12:$G$31&gt;=A861))&gt;0,1,0))</f>
        <v/>
      </c>
      <c r="G861">
        <f>IF(A861="","",IF(OR(B861&lt;&gt;B860,C861&lt;&gt;C860,E861&lt;&gt;E860),G860+1,G860))</f>
        <v/>
      </c>
    </row>
    <row r="862">
      <c r="A862" s="20">
        <f>IF(A861="","",IF(A861+1&gt;Ввод!$B$4,"",A861+1))</f>
        <v/>
      </c>
      <c r="B862">
        <f>IF(A862="","",IFERROR(INDEX(Ввод!$B$12:$B$71,MATCH(A862,Ввод!$D$12:$D$71,1)),""))</f>
        <v/>
      </c>
      <c r="C862">
        <f>IF(A862="","",DATE(YEAR(A862),12,31)-DATE(YEAR(A862),1,1)+1)</f>
        <v/>
      </c>
      <c r="D862">
        <f>IF(A862="","",SUMIFS(Акты!$D$5:$D$16,Акты!$E$5:$E$16,"&lt;="&amp;A862)-SUMIFS(Оплаты!$B$6:$B$505,Оплаты!$A$6:$A$505,"&lt;"&amp;A862,Оплаты!$D$6:$D$505,"&lt;&gt;"))</f>
        <v/>
      </c>
      <c r="E862">
        <f>IF(A862="","",IF(SUMPRODUCT((Ввод!$F$12:$F$31&lt;&gt;"")*(Ввод!$F$12:$F$31&lt;=A862)*(Ввод!$G$12:$G$31&gt;=A862))&gt;0,1,0))</f>
        <v/>
      </c>
      <c r="G862">
        <f>IF(A862="","",IF(OR(B862&lt;&gt;B861,C862&lt;&gt;C861,E862&lt;&gt;E861),G861+1,G861))</f>
        <v/>
      </c>
    </row>
    <row r="863">
      <c r="A863" s="20">
        <f>IF(A862="","",IF(A862+1&gt;Ввод!$B$4,"",A862+1))</f>
        <v/>
      </c>
      <c r="B863">
        <f>IF(A863="","",IFERROR(INDEX(Ввод!$B$12:$B$71,MATCH(A863,Ввод!$D$12:$D$71,1)),""))</f>
        <v/>
      </c>
      <c r="C863">
        <f>IF(A863="","",DATE(YEAR(A863),12,31)-DATE(YEAR(A863),1,1)+1)</f>
        <v/>
      </c>
      <c r="D863">
        <f>IF(A863="","",SUMIFS(Акты!$D$5:$D$16,Акты!$E$5:$E$16,"&lt;="&amp;A863)-SUMIFS(Оплаты!$B$6:$B$505,Оплаты!$A$6:$A$505,"&lt;"&amp;A863,Оплаты!$D$6:$D$505,"&lt;&gt;"))</f>
        <v/>
      </c>
      <c r="E863">
        <f>IF(A863="","",IF(SUMPRODUCT((Ввод!$F$12:$F$31&lt;&gt;"")*(Ввод!$F$12:$F$31&lt;=A863)*(Ввод!$G$12:$G$31&gt;=A863))&gt;0,1,0))</f>
        <v/>
      </c>
      <c r="G863">
        <f>IF(A863="","",IF(OR(B863&lt;&gt;B862,C863&lt;&gt;C862,E863&lt;&gt;E862),G862+1,G862))</f>
        <v/>
      </c>
    </row>
    <row r="864">
      <c r="A864" s="20">
        <f>IF(A863="","",IF(A863+1&gt;Ввод!$B$4,"",A863+1))</f>
        <v/>
      </c>
      <c r="B864">
        <f>IF(A864="","",IFERROR(INDEX(Ввод!$B$12:$B$71,MATCH(A864,Ввод!$D$12:$D$71,1)),""))</f>
        <v/>
      </c>
      <c r="C864">
        <f>IF(A864="","",DATE(YEAR(A864),12,31)-DATE(YEAR(A864),1,1)+1)</f>
        <v/>
      </c>
      <c r="D864">
        <f>IF(A864="","",SUMIFS(Акты!$D$5:$D$16,Акты!$E$5:$E$16,"&lt;="&amp;A864)-SUMIFS(Оплаты!$B$6:$B$505,Оплаты!$A$6:$A$505,"&lt;"&amp;A864,Оплаты!$D$6:$D$505,"&lt;&gt;"))</f>
        <v/>
      </c>
      <c r="E864">
        <f>IF(A864="","",IF(SUMPRODUCT((Ввод!$F$12:$F$31&lt;&gt;"")*(Ввод!$F$12:$F$31&lt;=A864)*(Ввод!$G$12:$G$31&gt;=A864))&gt;0,1,0))</f>
        <v/>
      </c>
      <c r="G864">
        <f>IF(A864="","",IF(OR(B864&lt;&gt;B863,C864&lt;&gt;C863,E864&lt;&gt;E863),G863+1,G863))</f>
        <v/>
      </c>
    </row>
    <row r="865">
      <c r="A865" s="20">
        <f>IF(A864="","",IF(A864+1&gt;Ввод!$B$4,"",A864+1))</f>
        <v/>
      </c>
      <c r="B865">
        <f>IF(A865="","",IFERROR(INDEX(Ввод!$B$12:$B$71,MATCH(A865,Ввод!$D$12:$D$71,1)),""))</f>
        <v/>
      </c>
      <c r="C865">
        <f>IF(A865="","",DATE(YEAR(A865),12,31)-DATE(YEAR(A865),1,1)+1)</f>
        <v/>
      </c>
      <c r="D865">
        <f>IF(A865="","",SUMIFS(Акты!$D$5:$D$16,Акты!$E$5:$E$16,"&lt;="&amp;A865)-SUMIFS(Оплаты!$B$6:$B$505,Оплаты!$A$6:$A$505,"&lt;"&amp;A865,Оплаты!$D$6:$D$505,"&lt;&gt;"))</f>
        <v/>
      </c>
      <c r="E865">
        <f>IF(A865="","",IF(SUMPRODUCT((Ввод!$F$12:$F$31&lt;&gt;"")*(Ввод!$F$12:$F$31&lt;=A865)*(Ввод!$G$12:$G$31&gt;=A865))&gt;0,1,0))</f>
        <v/>
      </c>
      <c r="G865">
        <f>IF(A865="","",IF(OR(B865&lt;&gt;B864,C865&lt;&gt;C864,E865&lt;&gt;E864),G864+1,G864))</f>
        <v/>
      </c>
    </row>
    <row r="866">
      <c r="A866" s="20">
        <f>IF(A865="","",IF(A865+1&gt;Ввод!$B$4,"",A865+1))</f>
        <v/>
      </c>
      <c r="B866">
        <f>IF(A866="","",IFERROR(INDEX(Ввод!$B$12:$B$71,MATCH(A866,Ввод!$D$12:$D$71,1)),""))</f>
        <v/>
      </c>
      <c r="C866">
        <f>IF(A866="","",DATE(YEAR(A866),12,31)-DATE(YEAR(A866),1,1)+1)</f>
        <v/>
      </c>
      <c r="D866">
        <f>IF(A866="","",SUMIFS(Акты!$D$5:$D$16,Акты!$E$5:$E$16,"&lt;="&amp;A866)-SUMIFS(Оплаты!$B$6:$B$505,Оплаты!$A$6:$A$505,"&lt;"&amp;A866,Оплаты!$D$6:$D$505,"&lt;&gt;"))</f>
        <v/>
      </c>
      <c r="E866">
        <f>IF(A866="","",IF(SUMPRODUCT((Ввод!$F$12:$F$31&lt;&gt;"")*(Ввод!$F$12:$F$31&lt;=A866)*(Ввод!$G$12:$G$31&gt;=A866))&gt;0,1,0))</f>
        <v/>
      </c>
      <c r="G866">
        <f>IF(A866="","",IF(OR(B866&lt;&gt;B865,C866&lt;&gt;C865,E866&lt;&gt;E865),G865+1,G865))</f>
        <v/>
      </c>
    </row>
    <row r="867">
      <c r="A867" s="20">
        <f>IF(A866="","",IF(A866+1&gt;Ввод!$B$4,"",A866+1))</f>
        <v/>
      </c>
      <c r="B867">
        <f>IF(A867="","",IFERROR(INDEX(Ввод!$B$12:$B$71,MATCH(A867,Ввод!$D$12:$D$71,1)),""))</f>
        <v/>
      </c>
      <c r="C867">
        <f>IF(A867="","",DATE(YEAR(A867),12,31)-DATE(YEAR(A867),1,1)+1)</f>
        <v/>
      </c>
      <c r="D867">
        <f>IF(A867="","",SUMIFS(Акты!$D$5:$D$16,Акты!$E$5:$E$16,"&lt;="&amp;A867)-SUMIFS(Оплаты!$B$6:$B$505,Оплаты!$A$6:$A$505,"&lt;"&amp;A867,Оплаты!$D$6:$D$505,"&lt;&gt;"))</f>
        <v/>
      </c>
      <c r="E867">
        <f>IF(A867="","",IF(SUMPRODUCT((Ввод!$F$12:$F$31&lt;&gt;"")*(Ввод!$F$12:$F$31&lt;=A867)*(Ввод!$G$12:$G$31&gt;=A867))&gt;0,1,0))</f>
        <v/>
      </c>
      <c r="G867">
        <f>IF(A867="","",IF(OR(B867&lt;&gt;B866,C867&lt;&gt;C866,E867&lt;&gt;E866),G866+1,G866))</f>
        <v/>
      </c>
    </row>
    <row r="868">
      <c r="A868" s="20">
        <f>IF(A867="","",IF(A867+1&gt;Ввод!$B$4,"",A867+1))</f>
        <v/>
      </c>
      <c r="B868">
        <f>IF(A868="","",IFERROR(INDEX(Ввод!$B$12:$B$71,MATCH(A868,Ввод!$D$12:$D$71,1)),""))</f>
        <v/>
      </c>
      <c r="C868">
        <f>IF(A868="","",DATE(YEAR(A868),12,31)-DATE(YEAR(A868),1,1)+1)</f>
        <v/>
      </c>
      <c r="D868">
        <f>IF(A868="","",SUMIFS(Акты!$D$5:$D$16,Акты!$E$5:$E$16,"&lt;="&amp;A868)-SUMIFS(Оплаты!$B$6:$B$505,Оплаты!$A$6:$A$505,"&lt;"&amp;A868,Оплаты!$D$6:$D$505,"&lt;&gt;"))</f>
        <v/>
      </c>
      <c r="E868">
        <f>IF(A868="","",IF(SUMPRODUCT((Ввод!$F$12:$F$31&lt;&gt;"")*(Ввод!$F$12:$F$31&lt;=A868)*(Ввод!$G$12:$G$31&gt;=A868))&gt;0,1,0))</f>
        <v/>
      </c>
      <c r="G868">
        <f>IF(A868="","",IF(OR(B868&lt;&gt;B867,C868&lt;&gt;C867,E868&lt;&gt;E867),G867+1,G867))</f>
        <v/>
      </c>
    </row>
    <row r="869">
      <c r="A869" s="20">
        <f>IF(A868="","",IF(A868+1&gt;Ввод!$B$4,"",A868+1))</f>
        <v/>
      </c>
      <c r="B869">
        <f>IF(A869="","",IFERROR(INDEX(Ввод!$B$12:$B$71,MATCH(A869,Ввод!$D$12:$D$71,1)),""))</f>
        <v/>
      </c>
      <c r="C869">
        <f>IF(A869="","",DATE(YEAR(A869),12,31)-DATE(YEAR(A869),1,1)+1)</f>
        <v/>
      </c>
      <c r="D869">
        <f>IF(A869="","",SUMIFS(Акты!$D$5:$D$16,Акты!$E$5:$E$16,"&lt;="&amp;A869)-SUMIFS(Оплаты!$B$6:$B$505,Оплаты!$A$6:$A$505,"&lt;"&amp;A869,Оплаты!$D$6:$D$505,"&lt;&gt;"))</f>
        <v/>
      </c>
      <c r="E869">
        <f>IF(A869="","",IF(SUMPRODUCT((Ввод!$F$12:$F$31&lt;&gt;"")*(Ввод!$F$12:$F$31&lt;=A869)*(Ввод!$G$12:$G$31&gt;=A869))&gt;0,1,0))</f>
        <v/>
      </c>
      <c r="G869">
        <f>IF(A869="","",IF(OR(B869&lt;&gt;B868,C869&lt;&gt;C868,E869&lt;&gt;E868),G868+1,G868))</f>
        <v/>
      </c>
    </row>
    <row r="870">
      <c r="A870" s="20">
        <f>IF(A869="","",IF(A869+1&gt;Ввод!$B$4,"",A869+1))</f>
        <v/>
      </c>
      <c r="B870">
        <f>IF(A870="","",IFERROR(INDEX(Ввод!$B$12:$B$71,MATCH(A870,Ввод!$D$12:$D$71,1)),""))</f>
        <v/>
      </c>
      <c r="C870">
        <f>IF(A870="","",DATE(YEAR(A870),12,31)-DATE(YEAR(A870),1,1)+1)</f>
        <v/>
      </c>
      <c r="D870">
        <f>IF(A870="","",SUMIFS(Акты!$D$5:$D$16,Акты!$E$5:$E$16,"&lt;="&amp;A870)-SUMIFS(Оплаты!$B$6:$B$505,Оплаты!$A$6:$A$505,"&lt;"&amp;A870,Оплаты!$D$6:$D$505,"&lt;&gt;"))</f>
        <v/>
      </c>
      <c r="E870">
        <f>IF(A870="","",IF(SUMPRODUCT((Ввод!$F$12:$F$31&lt;&gt;"")*(Ввод!$F$12:$F$31&lt;=A870)*(Ввод!$G$12:$G$31&gt;=A870))&gt;0,1,0))</f>
        <v/>
      </c>
      <c r="G870">
        <f>IF(A870="","",IF(OR(B870&lt;&gt;B869,C870&lt;&gt;C869,E870&lt;&gt;E869),G869+1,G869))</f>
        <v/>
      </c>
    </row>
    <row r="871">
      <c r="A871" s="20">
        <f>IF(A870="","",IF(A870+1&gt;Ввод!$B$4,"",A870+1))</f>
        <v/>
      </c>
      <c r="B871">
        <f>IF(A871="","",IFERROR(INDEX(Ввод!$B$12:$B$71,MATCH(A871,Ввод!$D$12:$D$71,1)),""))</f>
        <v/>
      </c>
      <c r="C871">
        <f>IF(A871="","",DATE(YEAR(A871),12,31)-DATE(YEAR(A871),1,1)+1)</f>
        <v/>
      </c>
      <c r="D871">
        <f>IF(A871="","",SUMIFS(Акты!$D$5:$D$16,Акты!$E$5:$E$16,"&lt;="&amp;A871)-SUMIFS(Оплаты!$B$6:$B$505,Оплаты!$A$6:$A$505,"&lt;"&amp;A871,Оплаты!$D$6:$D$505,"&lt;&gt;"))</f>
        <v/>
      </c>
      <c r="E871">
        <f>IF(A871="","",IF(SUMPRODUCT((Ввод!$F$12:$F$31&lt;&gt;"")*(Ввод!$F$12:$F$31&lt;=A871)*(Ввод!$G$12:$G$31&gt;=A871))&gt;0,1,0))</f>
        <v/>
      </c>
      <c r="G871">
        <f>IF(A871="","",IF(OR(B871&lt;&gt;B870,C871&lt;&gt;C870,E871&lt;&gt;E870),G870+1,G870))</f>
        <v/>
      </c>
    </row>
    <row r="872">
      <c r="A872" s="20">
        <f>IF(A871="","",IF(A871+1&gt;Ввод!$B$4,"",A871+1))</f>
        <v/>
      </c>
      <c r="B872">
        <f>IF(A872="","",IFERROR(INDEX(Ввод!$B$12:$B$71,MATCH(A872,Ввод!$D$12:$D$71,1)),""))</f>
        <v/>
      </c>
      <c r="C872">
        <f>IF(A872="","",DATE(YEAR(A872),12,31)-DATE(YEAR(A872),1,1)+1)</f>
        <v/>
      </c>
      <c r="D872">
        <f>IF(A872="","",SUMIFS(Акты!$D$5:$D$16,Акты!$E$5:$E$16,"&lt;="&amp;A872)-SUMIFS(Оплаты!$B$6:$B$505,Оплаты!$A$6:$A$505,"&lt;"&amp;A872,Оплаты!$D$6:$D$505,"&lt;&gt;"))</f>
        <v/>
      </c>
      <c r="E872">
        <f>IF(A872="","",IF(SUMPRODUCT((Ввод!$F$12:$F$31&lt;&gt;"")*(Ввод!$F$12:$F$31&lt;=A872)*(Ввод!$G$12:$G$31&gt;=A872))&gt;0,1,0))</f>
        <v/>
      </c>
      <c r="G872">
        <f>IF(A872="","",IF(OR(B872&lt;&gt;B871,C872&lt;&gt;C871,E872&lt;&gt;E871),G871+1,G871))</f>
        <v/>
      </c>
    </row>
    <row r="873">
      <c r="A873" s="20">
        <f>IF(A872="","",IF(A872+1&gt;Ввод!$B$4,"",A872+1))</f>
        <v/>
      </c>
      <c r="B873">
        <f>IF(A873="","",IFERROR(INDEX(Ввод!$B$12:$B$71,MATCH(A873,Ввод!$D$12:$D$71,1)),""))</f>
        <v/>
      </c>
      <c r="C873">
        <f>IF(A873="","",DATE(YEAR(A873),12,31)-DATE(YEAR(A873),1,1)+1)</f>
        <v/>
      </c>
      <c r="D873">
        <f>IF(A873="","",SUMIFS(Акты!$D$5:$D$16,Акты!$E$5:$E$16,"&lt;="&amp;A873)-SUMIFS(Оплаты!$B$6:$B$505,Оплаты!$A$6:$A$505,"&lt;"&amp;A873,Оплаты!$D$6:$D$505,"&lt;&gt;"))</f>
        <v/>
      </c>
      <c r="E873">
        <f>IF(A873="","",IF(SUMPRODUCT((Ввод!$F$12:$F$31&lt;&gt;"")*(Ввод!$F$12:$F$31&lt;=A873)*(Ввод!$G$12:$G$31&gt;=A873))&gt;0,1,0))</f>
        <v/>
      </c>
      <c r="G873">
        <f>IF(A873="","",IF(OR(B873&lt;&gt;B872,C873&lt;&gt;C872,E873&lt;&gt;E872),G872+1,G872))</f>
        <v/>
      </c>
    </row>
    <row r="874">
      <c r="A874" s="20">
        <f>IF(A873="","",IF(A873+1&gt;Ввод!$B$4,"",A873+1))</f>
        <v/>
      </c>
      <c r="B874">
        <f>IF(A874="","",IFERROR(INDEX(Ввод!$B$12:$B$71,MATCH(A874,Ввод!$D$12:$D$71,1)),""))</f>
        <v/>
      </c>
      <c r="C874">
        <f>IF(A874="","",DATE(YEAR(A874),12,31)-DATE(YEAR(A874),1,1)+1)</f>
        <v/>
      </c>
      <c r="D874">
        <f>IF(A874="","",SUMIFS(Акты!$D$5:$D$16,Акты!$E$5:$E$16,"&lt;="&amp;A874)-SUMIFS(Оплаты!$B$6:$B$505,Оплаты!$A$6:$A$505,"&lt;"&amp;A874,Оплаты!$D$6:$D$505,"&lt;&gt;"))</f>
        <v/>
      </c>
      <c r="E874">
        <f>IF(A874="","",IF(SUMPRODUCT((Ввод!$F$12:$F$31&lt;&gt;"")*(Ввод!$F$12:$F$31&lt;=A874)*(Ввод!$G$12:$G$31&gt;=A874))&gt;0,1,0))</f>
        <v/>
      </c>
      <c r="G874">
        <f>IF(A874="","",IF(OR(B874&lt;&gt;B873,C874&lt;&gt;C873,E874&lt;&gt;E873),G873+1,G873))</f>
        <v/>
      </c>
    </row>
    <row r="875">
      <c r="A875" s="20">
        <f>IF(A874="","",IF(A874+1&gt;Ввод!$B$4,"",A874+1))</f>
        <v/>
      </c>
      <c r="B875">
        <f>IF(A875="","",IFERROR(INDEX(Ввод!$B$12:$B$71,MATCH(A875,Ввод!$D$12:$D$71,1)),""))</f>
        <v/>
      </c>
      <c r="C875">
        <f>IF(A875="","",DATE(YEAR(A875),12,31)-DATE(YEAR(A875),1,1)+1)</f>
        <v/>
      </c>
      <c r="D875">
        <f>IF(A875="","",SUMIFS(Акты!$D$5:$D$16,Акты!$E$5:$E$16,"&lt;="&amp;A875)-SUMIFS(Оплаты!$B$6:$B$505,Оплаты!$A$6:$A$505,"&lt;"&amp;A875,Оплаты!$D$6:$D$505,"&lt;&gt;"))</f>
        <v/>
      </c>
      <c r="E875">
        <f>IF(A875="","",IF(SUMPRODUCT((Ввод!$F$12:$F$31&lt;&gt;"")*(Ввод!$F$12:$F$31&lt;=A875)*(Ввод!$G$12:$G$31&gt;=A875))&gt;0,1,0))</f>
        <v/>
      </c>
      <c r="G875">
        <f>IF(A875="","",IF(OR(B875&lt;&gt;B874,C875&lt;&gt;C874,E875&lt;&gt;E874),G874+1,G874))</f>
        <v/>
      </c>
    </row>
    <row r="876">
      <c r="A876" s="20">
        <f>IF(A875="","",IF(A875+1&gt;Ввод!$B$4,"",A875+1))</f>
        <v/>
      </c>
      <c r="B876">
        <f>IF(A876="","",IFERROR(INDEX(Ввод!$B$12:$B$71,MATCH(A876,Ввод!$D$12:$D$71,1)),""))</f>
        <v/>
      </c>
      <c r="C876">
        <f>IF(A876="","",DATE(YEAR(A876),12,31)-DATE(YEAR(A876),1,1)+1)</f>
        <v/>
      </c>
      <c r="D876">
        <f>IF(A876="","",SUMIFS(Акты!$D$5:$D$16,Акты!$E$5:$E$16,"&lt;="&amp;A876)-SUMIFS(Оплаты!$B$6:$B$505,Оплаты!$A$6:$A$505,"&lt;"&amp;A876,Оплаты!$D$6:$D$505,"&lt;&gt;"))</f>
        <v/>
      </c>
      <c r="E876">
        <f>IF(A876="","",IF(SUMPRODUCT((Ввод!$F$12:$F$31&lt;&gt;"")*(Ввод!$F$12:$F$31&lt;=A876)*(Ввод!$G$12:$G$31&gt;=A876))&gt;0,1,0))</f>
        <v/>
      </c>
      <c r="G876">
        <f>IF(A876="","",IF(OR(B876&lt;&gt;B875,C876&lt;&gt;C875,E876&lt;&gt;E875),G875+1,G875))</f>
        <v/>
      </c>
    </row>
    <row r="877">
      <c r="A877" s="20">
        <f>IF(A876="","",IF(A876+1&gt;Ввод!$B$4,"",A876+1))</f>
        <v/>
      </c>
      <c r="B877">
        <f>IF(A877="","",IFERROR(INDEX(Ввод!$B$12:$B$71,MATCH(A877,Ввод!$D$12:$D$71,1)),""))</f>
        <v/>
      </c>
      <c r="C877">
        <f>IF(A877="","",DATE(YEAR(A877),12,31)-DATE(YEAR(A877),1,1)+1)</f>
        <v/>
      </c>
      <c r="D877">
        <f>IF(A877="","",SUMIFS(Акты!$D$5:$D$16,Акты!$E$5:$E$16,"&lt;="&amp;A877)-SUMIFS(Оплаты!$B$6:$B$505,Оплаты!$A$6:$A$505,"&lt;"&amp;A877,Оплаты!$D$6:$D$505,"&lt;&gt;"))</f>
        <v/>
      </c>
      <c r="E877">
        <f>IF(A877="","",IF(SUMPRODUCT((Ввод!$F$12:$F$31&lt;&gt;"")*(Ввод!$F$12:$F$31&lt;=A877)*(Ввод!$G$12:$G$31&gt;=A877))&gt;0,1,0))</f>
        <v/>
      </c>
      <c r="G877">
        <f>IF(A877="","",IF(OR(B877&lt;&gt;B876,C877&lt;&gt;C876,E877&lt;&gt;E876),G876+1,G876))</f>
        <v/>
      </c>
    </row>
    <row r="878">
      <c r="A878" s="20">
        <f>IF(A877="","",IF(A877+1&gt;Ввод!$B$4,"",A877+1))</f>
        <v/>
      </c>
      <c r="B878">
        <f>IF(A878="","",IFERROR(INDEX(Ввод!$B$12:$B$71,MATCH(A878,Ввод!$D$12:$D$71,1)),""))</f>
        <v/>
      </c>
      <c r="C878">
        <f>IF(A878="","",DATE(YEAR(A878),12,31)-DATE(YEAR(A878),1,1)+1)</f>
        <v/>
      </c>
      <c r="D878">
        <f>IF(A878="","",SUMIFS(Акты!$D$5:$D$16,Акты!$E$5:$E$16,"&lt;="&amp;A878)-SUMIFS(Оплаты!$B$6:$B$505,Оплаты!$A$6:$A$505,"&lt;"&amp;A878,Оплаты!$D$6:$D$505,"&lt;&gt;"))</f>
        <v/>
      </c>
      <c r="E878">
        <f>IF(A878="","",IF(SUMPRODUCT((Ввод!$F$12:$F$31&lt;&gt;"")*(Ввод!$F$12:$F$31&lt;=A878)*(Ввод!$G$12:$G$31&gt;=A878))&gt;0,1,0))</f>
        <v/>
      </c>
      <c r="G878">
        <f>IF(A878="","",IF(OR(B878&lt;&gt;B877,C878&lt;&gt;C877,E878&lt;&gt;E877),G877+1,G877))</f>
        <v/>
      </c>
    </row>
    <row r="879">
      <c r="A879" s="20">
        <f>IF(A878="","",IF(A878+1&gt;Ввод!$B$4,"",A878+1))</f>
        <v/>
      </c>
      <c r="B879">
        <f>IF(A879="","",IFERROR(INDEX(Ввод!$B$12:$B$71,MATCH(A879,Ввод!$D$12:$D$71,1)),""))</f>
        <v/>
      </c>
      <c r="C879">
        <f>IF(A879="","",DATE(YEAR(A879),12,31)-DATE(YEAR(A879),1,1)+1)</f>
        <v/>
      </c>
      <c r="D879">
        <f>IF(A879="","",SUMIFS(Акты!$D$5:$D$16,Акты!$E$5:$E$16,"&lt;="&amp;A879)-SUMIFS(Оплаты!$B$6:$B$505,Оплаты!$A$6:$A$505,"&lt;"&amp;A879,Оплаты!$D$6:$D$505,"&lt;&gt;"))</f>
        <v/>
      </c>
      <c r="E879">
        <f>IF(A879="","",IF(SUMPRODUCT((Ввод!$F$12:$F$31&lt;&gt;"")*(Ввод!$F$12:$F$31&lt;=A879)*(Ввод!$G$12:$G$31&gt;=A879))&gt;0,1,0))</f>
        <v/>
      </c>
      <c r="G879">
        <f>IF(A879="","",IF(OR(B879&lt;&gt;B878,C879&lt;&gt;C878,E879&lt;&gt;E878),G878+1,G878))</f>
        <v/>
      </c>
    </row>
    <row r="880">
      <c r="A880" s="20">
        <f>IF(A879="","",IF(A879+1&gt;Ввод!$B$4,"",A879+1))</f>
        <v/>
      </c>
      <c r="B880">
        <f>IF(A880="","",IFERROR(INDEX(Ввод!$B$12:$B$71,MATCH(A880,Ввод!$D$12:$D$71,1)),""))</f>
        <v/>
      </c>
      <c r="C880">
        <f>IF(A880="","",DATE(YEAR(A880),12,31)-DATE(YEAR(A880),1,1)+1)</f>
        <v/>
      </c>
      <c r="D880">
        <f>IF(A880="","",SUMIFS(Акты!$D$5:$D$16,Акты!$E$5:$E$16,"&lt;="&amp;A880)-SUMIFS(Оплаты!$B$6:$B$505,Оплаты!$A$6:$A$505,"&lt;"&amp;A880,Оплаты!$D$6:$D$505,"&lt;&gt;"))</f>
        <v/>
      </c>
      <c r="E880">
        <f>IF(A880="","",IF(SUMPRODUCT((Ввод!$F$12:$F$31&lt;&gt;"")*(Ввод!$F$12:$F$31&lt;=A880)*(Ввод!$G$12:$G$31&gt;=A880))&gt;0,1,0))</f>
        <v/>
      </c>
      <c r="G880">
        <f>IF(A880="","",IF(OR(B880&lt;&gt;B879,C880&lt;&gt;C879,E880&lt;&gt;E879),G879+1,G879))</f>
        <v/>
      </c>
    </row>
    <row r="881">
      <c r="A881" s="20">
        <f>IF(A880="","",IF(A880+1&gt;Ввод!$B$4,"",A880+1))</f>
        <v/>
      </c>
      <c r="B881">
        <f>IF(A881="","",IFERROR(INDEX(Ввод!$B$12:$B$71,MATCH(A881,Ввод!$D$12:$D$71,1)),""))</f>
        <v/>
      </c>
      <c r="C881">
        <f>IF(A881="","",DATE(YEAR(A881),12,31)-DATE(YEAR(A881),1,1)+1)</f>
        <v/>
      </c>
      <c r="D881">
        <f>IF(A881="","",SUMIFS(Акты!$D$5:$D$16,Акты!$E$5:$E$16,"&lt;="&amp;A881)-SUMIFS(Оплаты!$B$6:$B$505,Оплаты!$A$6:$A$505,"&lt;"&amp;A881,Оплаты!$D$6:$D$505,"&lt;&gt;"))</f>
        <v/>
      </c>
      <c r="E881">
        <f>IF(A881="","",IF(SUMPRODUCT((Ввод!$F$12:$F$31&lt;&gt;"")*(Ввод!$F$12:$F$31&lt;=A881)*(Ввод!$G$12:$G$31&gt;=A881))&gt;0,1,0))</f>
        <v/>
      </c>
      <c r="G881">
        <f>IF(A881="","",IF(OR(B881&lt;&gt;B880,C881&lt;&gt;C880,E881&lt;&gt;E880),G880+1,G880))</f>
        <v/>
      </c>
    </row>
    <row r="882">
      <c r="A882" s="20">
        <f>IF(A881="","",IF(A881+1&gt;Ввод!$B$4,"",A881+1))</f>
        <v/>
      </c>
      <c r="B882">
        <f>IF(A882="","",IFERROR(INDEX(Ввод!$B$12:$B$71,MATCH(A882,Ввод!$D$12:$D$71,1)),""))</f>
        <v/>
      </c>
      <c r="C882">
        <f>IF(A882="","",DATE(YEAR(A882),12,31)-DATE(YEAR(A882),1,1)+1)</f>
        <v/>
      </c>
      <c r="D882">
        <f>IF(A882="","",SUMIFS(Акты!$D$5:$D$16,Акты!$E$5:$E$16,"&lt;="&amp;A882)-SUMIFS(Оплаты!$B$6:$B$505,Оплаты!$A$6:$A$505,"&lt;"&amp;A882,Оплаты!$D$6:$D$505,"&lt;&gt;"))</f>
        <v/>
      </c>
      <c r="E882">
        <f>IF(A882="","",IF(SUMPRODUCT((Ввод!$F$12:$F$31&lt;&gt;"")*(Ввод!$F$12:$F$31&lt;=A882)*(Ввод!$G$12:$G$31&gt;=A882))&gt;0,1,0))</f>
        <v/>
      </c>
      <c r="G882">
        <f>IF(A882="","",IF(OR(B882&lt;&gt;B881,C882&lt;&gt;C881,E882&lt;&gt;E881),G881+1,G881))</f>
        <v/>
      </c>
    </row>
    <row r="883">
      <c r="A883" s="20">
        <f>IF(A882="","",IF(A882+1&gt;Ввод!$B$4,"",A882+1))</f>
        <v/>
      </c>
      <c r="B883">
        <f>IF(A883="","",IFERROR(INDEX(Ввод!$B$12:$B$71,MATCH(A883,Ввод!$D$12:$D$71,1)),""))</f>
        <v/>
      </c>
      <c r="C883">
        <f>IF(A883="","",DATE(YEAR(A883),12,31)-DATE(YEAR(A883),1,1)+1)</f>
        <v/>
      </c>
      <c r="D883">
        <f>IF(A883="","",SUMIFS(Акты!$D$5:$D$16,Акты!$E$5:$E$16,"&lt;="&amp;A883)-SUMIFS(Оплаты!$B$6:$B$505,Оплаты!$A$6:$A$505,"&lt;"&amp;A883,Оплаты!$D$6:$D$505,"&lt;&gt;"))</f>
        <v/>
      </c>
      <c r="E883">
        <f>IF(A883="","",IF(SUMPRODUCT((Ввод!$F$12:$F$31&lt;&gt;"")*(Ввод!$F$12:$F$31&lt;=A883)*(Ввод!$G$12:$G$31&gt;=A883))&gt;0,1,0))</f>
        <v/>
      </c>
      <c r="G883">
        <f>IF(A883="","",IF(OR(B883&lt;&gt;B882,C883&lt;&gt;C882,E883&lt;&gt;E882),G882+1,G882))</f>
        <v/>
      </c>
    </row>
    <row r="884">
      <c r="A884" s="20">
        <f>IF(A883="","",IF(A883+1&gt;Ввод!$B$4,"",A883+1))</f>
        <v/>
      </c>
      <c r="B884">
        <f>IF(A884="","",IFERROR(INDEX(Ввод!$B$12:$B$71,MATCH(A884,Ввод!$D$12:$D$71,1)),""))</f>
        <v/>
      </c>
      <c r="C884">
        <f>IF(A884="","",DATE(YEAR(A884),12,31)-DATE(YEAR(A884),1,1)+1)</f>
        <v/>
      </c>
      <c r="D884">
        <f>IF(A884="","",SUMIFS(Акты!$D$5:$D$16,Акты!$E$5:$E$16,"&lt;="&amp;A884)-SUMIFS(Оплаты!$B$6:$B$505,Оплаты!$A$6:$A$505,"&lt;"&amp;A884,Оплаты!$D$6:$D$505,"&lt;&gt;"))</f>
        <v/>
      </c>
      <c r="E884">
        <f>IF(A884="","",IF(SUMPRODUCT((Ввод!$F$12:$F$31&lt;&gt;"")*(Ввод!$F$12:$F$31&lt;=A884)*(Ввод!$G$12:$G$31&gt;=A884))&gt;0,1,0))</f>
        <v/>
      </c>
      <c r="G884">
        <f>IF(A884="","",IF(OR(B884&lt;&gt;B883,C884&lt;&gt;C883,E884&lt;&gt;E883),G883+1,G883))</f>
        <v/>
      </c>
    </row>
    <row r="885">
      <c r="A885" s="20">
        <f>IF(A884="","",IF(A884+1&gt;Ввод!$B$4,"",A884+1))</f>
        <v/>
      </c>
      <c r="B885">
        <f>IF(A885="","",IFERROR(INDEX(Ввод!$B$12:$B$71,MATCH(A885,Ввод!$D$12:$D$71,1)),""))</f>
        <v/>
      </c>
      <c r="C885">
        <f>IF(A885="","",DATE(YEAR(A885),12,31)-DATE(YEAR(A885),1,1)+1)</f>
        <v/>
      </c>
      <c r="D885">
        <f>IF(A885="","",SUMIFS(Акты!$D$5:$D$16,Акты!$E$5:$E$16,"&lt;="&amp;A885)-SUMIFS(Оплаты!$B$6:$B$505,Оплаты!$A$6:$A$505,"&lt;"&amp;A885,Оплаты!$D$6:$D$505,"&lt;&gt;"))</f>
        <v/>
      </c>
      <c r="E885">
        <f>IF(A885="","",IF(SUMPRODUCT((Ввод!$F$12:$F$31&lt;&gt;"")*(Ввод!$F$12:$F$31&lt;=A885)*(Ввод!$G$12:$G$31&gt;=A885))&gt;0,1,0))</f>
        <v/>
      </c>
      <c r="G885">
        <f>IF(A885="","",IF(OR(B885&lt;&gt;B884,C885&lt;&gt;C884,E885&lt;&gt;E884),G884+1,G884))</f>
        <v/>
      </c>
    </row>
    <row r="886">
      <c r="A886" s="20">
        <f>IF(A885="","",IF(A885+1&gt;Ввод!$B$4,"",A885+1))</f>
        <v/>
      </c>
      <c r="B886">
        <f>IF(A886="","",IFERROR(INDEX(Ввод!$B$12:$B$71,MATCH(A886,Ввод!$D$12:$D$71,1)),""))</f>
        <v/>
      </c>
      <c r="C886">
        <f>IF(A886="","",DATE(YEAR(A886),12,31)-DATE(YEAR(A886),1,1)+1)</f>
        <v/>
      </c>
      <c r="D886">
        <f>IF(A886="","",SUMIFS(Акты!$D$5:$D$16,Акты!$E$5:$E$16,"&lt;="&amp;A886)-SUMIFS(Оплаты!$B$6:$B$505,Оплаты!$A$6:$A$505,"&lt;"&amp;A886,Оплаты!$D$6:$D$505,"&lt;&gt;"))</f>
        <v/>
      </c>
      <c r="E886">
        <f>IF(A886="","",IF(SUMPRODUCT((Ввод!$F$12:$F$31&lt;&gt;"")*(Ввод!$F$12:$F$31&lt;=A886)*(Ввод!$G$12:$G$31&gt;=A886))&gt;0,1,0))</f>
        <v/>
      </c>
      <c r="G886">
        <f>IF(A886="","",IF(OR(B886&lt;&gt;B885,C886&lt;&gt;C885,E886&lt;&gt;E885),G885+1,G885))</f>
        <v/>
      </c>
    </row>
    <row r="887">
      <c r="A887" s="20">
        <f>IF(A886="","",IF(A886+1&gt;Ввод!$B$4,"",A886+1))</f>
        <v/>
      </c>
      <c r="B887">
        <f>IF(A887="","",IFERROR(INDEX(Ввод!$B$12:$B$71,MATCH(A887,Ввод!$D$12:$D$71,1)),""))</f>
        <v/>
      </c>
      <c r="C887">
        <f>IF(A887="","",DATE(YEAR(A887),12,31)-DATE(YEAR(A887),1,1)+1)</f>
        <v/>
      </c>
      <c r="D887">
        <f>IF(A887="","",SUMIFS(Акты!$D$5:$D$16,Акты!$E$5:$E$16,"&lt;="&amp;A887)-SUMIFS(Оплаты!$B$6:$B$505,Оплаты!$A$6:$A$505,"&lt;"&amp;A887,Оплаты!$D$6:$D$505,"&lt;&gt;"))</f>
        <v/>
      </c>
      <c r="E887">
        <f>IF(A887="","",IF(SUMPRODUCT((Ввод!$F$12:$F$31&lt;&gt;"")*(Ввод!$F$12:$F$31&lt;=A887)*(Ввод!$G$12:$G$31&gt;=A887))&gt;0,1,0))</f>
        <v/>
      </c>
      <c r="G887">
        <f>IF(A887="","",IF(OR(B887&lt;&gt;B886,C887&lt;&gt;C886,E887&lt;&gt;E886),G886+1,G886))</f>
        <v/>
      </c>
    </row>
    <row r="888">
      <c r="A888" s="20">
        <f>IF(A887="","",IF(A887+1&gt;Ввод!$B$4,"",A887+1))</f>
        <v/>
      </c>
      <c r="B888">
        <f>IF(A888="","",IFERROR(INDEX(Ввод!$B$12:$B$71,MATCH(A888,Ввод!$D$12:$D$71,1)),""))</f>
        <v/>
      </c>
      <c r="C888">
        <f>IF(A888="","",DATE(YEAR(A888),12,31)-DATE(YEAR(A888),1,1)+1)</f>
        <v/>
      </c>
      <c r="D888">
        <f>IF(A888="","",SUMIFS(Акты!$D$5:$D$16,Акты!$E$5:$E$16,"&lt;="&amp;A888)-SUMIFS(Оплаты!$B$6:$B$505,Оплаты!$A$6:$A$505,"&lt;"&amp;A888,Оплаты!$D$6:$D$505,"&lt;&gt;"))</f>
        <v/>
      </c>
      <c r="E888">
        <f>IF(A888="","",IF(SUMPRODUCT((Ввод!$F$12:$F$31&lt;&gt;"")*(Ввод!$F$12:$F$31&lt;=A888)*(Ввод!$G$12:$G$31&gt;=A888))&gt;0,1,0))</f>
        <v/>
      </c>
      <c r="G888">
        <f>IF(A888="","",IF(OR(B888&lt;&gt;B887,C888&lt;&gt;C887,E888&lt;&gt;E887),G887+1,G887))</f>
        <v/>
      </c>
    </row>
    <row r="889">
      <c r="A889" s="20">
        <f>IF(A888="","",IF(A888+1&gt;Ввод!$B$4,"",A888+1))</f>
        <v/>
      </c>
      <c r="B889">
        <f>IF(A889="","",IFERROR(INDEX(Ввод!$B$12:$B$71,MATCH(A889,Ввод!$D$12:$D$71,1)),""))</f>
        <v/>
      </c>
      <c r="C889">
        <f>IF(A889="","",DATE(YEAR(A889),12,31)-DATE(YEAR(A889),1,1)+1)</f>
        <v/>
      </c>
      <c r="D889">
        <f>IF(A889="","",SUMIFS(Акты!$D$5:$D$16,Акты!$E$5:$E$16,"&lt;="&amp;A889)-SUMIFS(Оплаты!$B$6:$B$505,Оплаты!$A$6:$A$505,"&lt;"&amp;A889,Оплаты!$D$6:$D$505,"&lt;&gt;"))</f>
        <v/>
      </c>
      <c r="E889">
        <f>IF(A889="","",IF(SUMPRODUCT((Ввод!$F$12:$F$31&lt;&gt;"")*(Ввод!$F$12:$F$31&lt;=A889)*(Ввод!$G$12:$G$31&gt;=A889))&gt;0,1,0))</f>
        <v/>
      </c>
      <c r="G889">
        <f>IF(A889="","",IF(OR(B889&lt;&gt;B888,C889&lt;&gt;C888,E889&lt;&gt;E888),G888+1,G888))</f>
        <v/>
      </c>
    </row>
    <row r="890">
      <c r="A890" s="20">
        <f>IF(A889="","",IF(A889+1&gt;Ввод!$B$4,"",A889+1))</f>
        <v/>
      </c>
      <c r="B890">
        <f>IF(A890="","",IFERROR(INDEX(Ввод!$B$12:$B$71,MATCH(A890,Ввод!$D$12:$D$71,1)),""))</f>
        <v/>
      </c>
      <c r="C890">
        <f>IF(A890="","",DATE(YEAR(A890),12,31)-DATE(YEAR(A890),1,1)+1)</f>
        <v/>
      </c>
      <c r="D890">
        <f>IF(A890="","",SUMIFS(Акты!$D$5:$D$16,Акты!$E$5:$E$16,"&lt;="&amp;A890)-SUMIFS(Оплаты!$B$6:$B$505,Оплаты!$A$6:$A$505,"&lt;"&amp;A890,Оплаты!$D$6:$D$505,"&lt;&gt;"))</f>
        <v/>
      </c>
      <c r="E890">
        <f>IF(A890="","",IF(SUMPRODUCT((Ввод!$F$12:$F$31&lt;&gt;"")*(Ввод!$F$12:$F$31&lt;=A890)*(Ввод!$G$12:$G$31&gt;=A890))&gt;0,1,0))</f>
        <v/>
      </c>
      <c r="G890">
        <f>IF(A890="","",IF(OR(B890&lt;&gt;B889,C890&lt;&gt;C889,E890&lt;&gt;E889),G889+1,G889))</f>
        <v/>
      </c>
    </row>
    <row r="891">
      <c r="A891" s="20">
        <f>IF(A890="","",IF(A890+1&gt;Ввод!$B$4,"",A890+1))</f>
        <v/>
      </c>
      <c r="B891">
        <f>IF(A891="","",IFERROR(INDEX(Ввод!$B$12:$B$71,MATCH(A891,Ввод!$D$12:$D$71,1)),""))</f>
        <v/>
      </c>
      <c r="C891">
        <f>IF(A891="","",DATE(YEAR(A891),12,31)-DATE(YEAR(A891),1,1)+1)</f>
        <v/>
      </c>
      <c r="D891">
        <f>IF(A891="","",SUMIFS(Акты!$D$5:$D$16,Акты!$E$5:$E$16,"&lt;="&amp;A891)-SUMIFS(Оплаты!$B$6:$B$505,Оплаты!$A$6:$A$505,"&lt;"&amp;A891,Оплаты!$D$6:$D$505,"&lt;&gt;"))</f>
        <v/>
      </c>
      <c r="E891">
        <f>IF(A891="","",IF(SUMPRODUCT((Ввод!$F$12:$F$31&lt;&gt;"")*(Ввод!$F$12:$F$31&lt;=A891)*(Ввод!$G$12:$G$31&gt;=A891))&gt;0,1,0))</f>
        <v/>
      </c>
      <c r="G891">
        <f>IF(A891="","",IF(OR(B891&lt;&gt;B890,C891&lt;&gt;C890,E891&lt;&gt;E890),G890+1,G890))</f>
        <v/>
      </c>
    </row>
    <row r="892">
      <c r="A892" s="20">
        <f>IF(A891="","",IF(A891+1&gt;Ввод!$B$4,"",A891+1))</f>
        <v/>
      </c>
      <c r="B892">
        <f>IF(A892="","",IFERROR(INDEX(Ввод!$B$12:$B$71,MATCH(A892,Ввод!$D$12:$D$71,1)),""))</f>
        <v/>
      </c>
      <c r="C892">
        <f>IF(A892="","",DATE(YEAR(A892),12,31)-DATE(YEAR(A892),1,1)+1)</f>
        <v/>
      </c>
      <c r="D892">
        <f>IF(A892="","",SUMIFS(Акты!$D$5:$D$16,Акты!$E$5:$E$16,"&lt;="&amp;A892)-SUMIFS(Оплаты!$B$6:$B$505,Оплаты!$A$6:$A$505,"&lt;"&amp;A892,Оплаты!$D$6:$D$505,"&lt;&gt;"))</f>
        <v/>
      </c>
      <c r="E892">
        <f>IF(A892="","",IF(SUMPRODUCT((Ввод!$F$12:$F$31&lt;&gt;"")*(Ввод!$F$12:$F$31&lt;=A892)*(Ввод!$G$12:$G$31&gt;=A892))&gt;0,1,0))</f>
        <v/>
      </c>
      <c r="G892">
        <f>IF(A892="","",IF(OR(B892&lt;&gt;B891,C892&lt;&gt;C891,E892&lt;&gt;E891),G891+1,G891))</f>
        <v/>
      </c>
    </row>
    <row r="893">
      <c r="A893" s="20">
        <f>IF(A892="","",IF(A892+1&gt;Ввод!$B$4,"",A892+1))</f>
        <v/>
      </c>
      <c r="B893">
        <f>IF(A893="","",IFERROR(INDEX(Ввод!$B$12:$B$71,MATCH(A893,Ввод!$D$12:$D$71,1)),""))</f>
        <v/>
      </c>
      <c r="C893">
        <f>IF(A893="","",DATE(YEAR(A893),12,31)-DATE(YEAR(A893),1,1)+1)</f>
        <v/>
      </c>
      <c r="D893">
        <f>IF(A893="","",SUMIFS(Акты!$D$5:$D$16,Акты!$E$5:$E$16,"&lt;="&amp;A893)-SUMIFS(Оплаты!$B$6:$B$505,Оплаты!$A$6:$A$505,"&lt;"&amp;A893,Оплаты!$D$6:$D$505,"&lt;&gt;"))</f>
        <v/>
      </c>
      <c r="E893">
        <f>IF(A893="","",IF(SUMPRODUCT((Ввод!$F$12:$F$31&lt;&gt;"")*(Ввод!$F$12:$F$31&lt;=A893)*(Ввод!$G$12:$G$31&gt;=A893))&gt;0,1,0))</f>
        <v/>
      </c>
      <c r="G893">
        <f>IF(A893="","",IF(OR(B893&lt;&gt;B892,C893&lt;&gt;C892,E893&lt;&gt;E892),G892+1,G892))</f>
        <v/>
      </c>
    </row>
    <row r="894">
      <c r="A894" s="20">
        <f>IF(A893="","",IF(A893+1&gt;Ввод!$B$4,"",A893+1))</f>
        <v/>
      </c>
      <c r="B894">
        <f>IF(A894="","",IFERROR(INDEX(Ввод!$B$12:$B$71,MATCH(A894,Ввод!$D$12:$D$71,1)),""))</f>
        <v/>
      </c>
      <c r="C894">
        <f>IF(A894="","",DATE(YEAR(A894),12,31)-DATE(YEAR(A894),1,1)+1)</f>
        <v/>
      </c>
      <c r="D894">
        <f>IF(A894="","",SUMIFS(Акты!$D$5:$D$16,Акты!$E$5:$E$16,"&lt;="&amp;A894)-SUMIFS(Оплаты!$B$6:$B$505,Оплаты!$A$6:$A$505,"&lt;"&amp;A894,Оплаты!$D$6:$D$505,"&lt;&gt;"))</f>
        <v/>
      </c>
      <c r="E894">
        <f>IF(A894="","",IF(SUMPRODUCT((Ввод!$F$12:$F$31&lt;&gt;"")*(Ввод!$F$12:$F$31&lt;=A894)*(Ввод!$G$12:$G$31&gt;=A894))&gt;0,1,0))</f>
        <v/>
      </c>
      <c r="G894">
        <f>IF(A894="","",IF(OR(B894&lt;&gt;B893,C894&lt;&gt;C893,E894&lt;&gt;E893),G893+1,G893))</f>
        <v/>
      </c>
    </row>
    <row r="895">
      <c r="A895" s="20">
        <f>IF(A894="","",IF(A894+1&gt;Ввод!$B$4,"",A894+1))</f>
        <v/>
      </c>
      <c r="B895">
        <f>IF(A895="","",IFERROR(INDEX(Ввод!$B$12:$B$71,MATCH(A895,Ввод!$D$12:$D$71,1)),""))</f>
        <v/>
      </c>
      <c r="C895">
        <f>IF(A895="","",DATE(YEAR(A895),12,31)-DATE(YEAR(A895),1,1)+1)</f>
        <v/>
      </c>
      <c r="D895">
        <f>IF(A895="","",SUMIFS(Акты!$D$5:$D$16,Акты!$E$5:$E$16,"&lt;="&amp;A895)-SUMIFS(Оплаты!$B$6:$B$505,Оплаты!$A$6:$A$505,"&lt;"&amp;A895,Оплаты!$D$6:$D$505,"&lt;&gt;"))</f>
        <v/>
      </c>
      <c r="E895">
        <f>IF(A895="","",IF(SUMPRODUCT((Ввод!$F$12:$F$31&lt;&gt;"")*(Ввод!$F$12:$F$31&lt;=A895)*(Ввод!$G$12:$G$31&gt;=A895))&gt;0,1,0))</f>
        <v/>
      </c>
      <c r="G895">
        <f>IF(A895="","",IF(OR(B895&lt;&gt;B894,C895&lt;&gt;C894,E895&lt;&gt;E894),G894+1,G894))</f>
        <v/>
      </c>
    </row>
    <row r="896">
      <c r="A896" s="20">
        <f>IF(A895="","",IF(A895+1&gt;Ввод!$B$4,"",A895+1))</f>
        <v/>
      </c>
      <c r="B896">
        <f>IF(A896="","",IFERROR(INDEX(Ввод!$B$12:$B$71,MATCH(A896,Ввод!$D$12:$D$71,1)),""))</f>
        <v/>
      </c>
      <c r="C896">
        <f>IF(A896="","",DATE(YEAR(A896),12,31)-DATE(YEAR(A896),1,1)+1)</f>
        <v/>
      </c>
      <c r="D896">
        <f>IF(A896="","",SUMIFS(Акты!$D$5:$D$16,Акты!$E$5:$E$16,"&lt;="&amp;A896)-SUMIFS(Оплаты!$B$6:$B$505,Оплаты!$A$6:$A$505,"&lt;"&amp;A896,Оплаты!$D$6:$D$505,"&lt;&gt;"))</f>
        <v/>
      </c>
      <c r="E896">
        <f>IF(A896="","",IF(SUMPRODUCT((Ввод!$F$12:$F$31&lt;&gt;"")*(Ввод!$F$12:$F$31&lt;=A896)*(Ввод!$G$12:$G$31&gt;=A896))&gt;0,1,0))</f>
        <v/>
      </c>
      <c r="G896">
        <f>IF(A896="","",IF(OR(B896&lt;&gt;B895,C896&lt;&gt;C895,E896&lt;&gt;E895),G895+1,G895))</f>
        <v/>
      </c>
    </row>
    <row r="897">
      <c r="A897" s="20">
        <f>IF(A896="","",IF(A896+1&gt;Ввод!$B$4,"",A896+1))</f>
        <v/>
      </c>
      <c r="B897">
        <f>IF(A897="","",IFERROR(INDEX(Ввод!$B$12:$B$71,MATCH(A897,Ввод!$D$12:$D$71,1)),""))</f>
        <v/>
      </c>
      <c r="C897">
        <f>IF(A897="","",DATE(YEAR(A897),12,31)-DATE(YEAR(A897),1,1)+1)</f>
        <v/>
      </c>
      <c r="D897">
        <f>IF(A897="","",SUMIFS(Акты!$D$5:$D$16,Акты!$E$5:$E$16,"&lt;="&amp;A897)-SUMIFS(Оплаты!$B$6:$B$505,Оплаты!$A$6:$A$505,"&lt;"&amp;A897,Оплаты!$D$6:$D$505,"&lt;&gt;"))</f>
        <v/>
      </c>
      <c r="E897">
        <f>IF(A897="","",IF(SUMPRODUCT((Ввод!$F$12:$F$31&lt;&gt;"")*(Ввод!$F$12:$F$31&lt;=A897)*(Ввод!$G$12:$G$31&gt;=A897))&gt;0,1,0))</f>
        <v/>
      </c>
      <c r="G897">
        <f>IF(A897="","",IF(OR(B897&lt;&gt;B896,C897&lt;&gt;C896,E897&lt;&gt;E896),G896+1,G896))</f>
        <v/>
      </c>
    </row>
    <row r="898">
      <c r="A898" s="20">
        <f>IF(A897="","",IF(A897+1&gt;Ввод!$B$4,"",A897+1))</f>
        <v/>
      </c>
      <c r="B898">
        <f>IF(A898="","",IFERROR(INDEX(Ввод!$B$12:$B$71,MATCH(A898,Ввод!$D$12:$D$71,1)),""))</f>
        <v/>
      </c>
      <c r="C898">
        <f>IF(A898="","",DATE(YEAR(A898),12,31)-DATE(YEAR(A898),1,1)+1)</f>
        <v/>
      </c>
      <c r="D898">
        <f>IF(A898="","",SUMIFS(Акты!$D$5:$D$16,Акты!$E$5:$E$16,"&lt;="&amp;A898)-SUMIFS(Оплаты!$B$6:$B$505,Оплаты!$A$6:$A$505,"&lt;"&amp;A898,Оплаты!$D$6:$D$505,"&lt;&gt;"))</f>
        <v/>
      </c>
      <c r="E898">
        <f>IF(A898="","",IF(SUMPRODUCT((Ввод!$F$12:$F$31&lt;&gt;"")*(Ввод!$F$12:$F$31&lt;=A898)*(Ввод!$G$12:$G$31&gt;=A898))&gt;0,1,0))</f>
        <v/>
      </c>
      <c r="G898">
        <f>IF(A898="","",IF(OR(B898&lt;&gt;B897,C898&lt;&gt;C897,E898&lt;&gt;E897),G897+1,G897))</f>
        <v/>
      </c>
    </row>
    <row r="899">
      <c r="A899" s="20">
        <f>IF(A898="","",IF(A898+1&gt;Ввод!$B$4,"",A898+1))</f>
        <v/>
      </c>
      <c r="B899">
        <f>IF(A899="","",IFERROR(INDEX(Ввод!$B$12:$B$71,MATCH(A899,Ввод!$D$12:$D$71,1)),""))</f>
        <v/>
      </c>
      <c r="C899">
        <f>IF(A899="","",DATE(YEAR(A899),12,31)-DATE(YEAR(A899),1,1)+1)</f>
        <v/>
      </c>
      <c r="D899">
        <f>IF(A899="","",SUMIFS(Акты!$D$5:$D$16,Акты!$E$5:$E$16,"&lt;="&amp;A899)-SUMIFS(Оплаты!$B$6:$B$505,Оплаты!$A$6:$A$505,"&lt;"&amp;A899,Оплаты!$D$6:$D$505,"&lt;&gt;"))</f>
        <v/>
      </c>
      <c r="E899">
        <f>IF(A899="","",IF(SUMPRODUCT((Ввод!$F$12:$F$31&lt;&gt;"")*(Ввод!$F$12:$F$31&lt;=A899)*(Ввод!$G$12:$G$31&gt;=A899))&gt;0,1,0))</f>
        <v/>
      </c>
      <c r="G899">
        <f>IF(A899="","",IF(OR(B899&lt;&gt;B898,C899&lt;&gt;C898,E899&lt;&gt;E898),G898+1,G898))</f>
        <v/>
      </c>
    </row>
    <row r="900">
      <c r="A900" s="20">
        <f>IF(A899="","",IF(A899+1&gt;Ввод!$B$4,"",A899+1))</f>
        <v/>
      </c>
      <c r="B900">
        <f>IF(A900="","",IFERROR(INDEX(Ввод!$B$12:$B$71,MATCH(A900,Ввод!$D$12:$D$71,1)),""))</f>
        <v/>
      </c>
      <c r="C900">
        <f>IF(A900="","",DATE(YEAR(A900),12,31)-DATE(YEAR(A900),1,1)+1)</f>
        <v/>
      </c>
      <c r="D900">
        <f>IF(A900="","",SUMIFS(Акты!$D$5:$D$16,Акты!$E$5:$E$16,"&lt;="&amp;A900)-SUMIFS(Оплаты!$B$6:$B$505,Оплаты!$A$6:$A$505,"&lt;"&amp;A900,Оплаты!$D$6:$D$505,"&lt;&gt;"))</f>
        <v/>
      </c>
      <c r="E900">
        <f>IF(A900="","",IF(SUMPRODUCT((Ввод!$F$12:$F$31&lt;&gt;"")*(Ввод!$F$12:$F$31&lt;=A900)*(Ввод!$G$12:$G$31&gt;=A900))&gt;0,1,0))</f>
        <v/>
      </c>
      <c r="G900">
        <f>IF(A900="","",IF(OR(B900&lt;&gt;B899,C900&lt;&gt;C899,E900&lt;&gt;E899),G899+1,G899))</f>
        <v/>
      </c>
    </row>
    <row r="901">
      <c r="A901" s="20">
        <f>IF(A900="","",IF(A900+1&gt;Ввод!$B$4,"",A900+1))</f>
        <v/>
      </c>
      <c r="B901">
        <f>IF(A901="","",IFERROR(INDEX(Ввод!$B$12:$B$71,MATCH(A901,Ввод!$D$12:$D$71,1)),""))</f>
        <v/>
      </c>
      <c r="C901">
        <f>IF(A901="","",DATE(YEAR(A901),12,31)-DATE(YEAR(A901),1,1)+1)</f>
        <v/>
      </c>
      <c r="D901">
        <f>IF(A901="","",SUMIFS(Акты!$D$5:$D$16,Акты!$E$5:$E$16,"&lt;="&amp;A901)-SUMIFS(Оплаты!$B$6:$B$505,Оплаты!$A$6:$A$505,"&lt;"&amp;A901,Оплаты!$D$6:$D$505,"&lt;&gt;"))</f>
        <v/>
      </c>
      <c r="E901">
        <f>IF(A901="","",IF(SUMPRODUCT((Ввод!$F$12:$F$31&lt;&gt;"")*(Ввод!$F$12:$F$31&lt;=A901)*(Ввод!$G$12:$G$31&gt;=A901))&gt;0,1,0))</f>
        <v/>
      </c>
      <c r="G901">
        <f>IF(A901="","",IF(OR(B901&lt;&gt;B900,C901&lt;&gt;C900,E901&lt;&gt;E900),G900+1,G900))</f>
        <v/>
      </c>
    </row>
    <row r="902">
      <c r="A902" s="20">
        <f>IF(A901="","",IF(A901+1&gt;Ввод!$B$4,"",A901+1))</f>
        <v/>
      </c>
      <c r="B902">
        <f>IF(A902="","",IFERROR(INDEX(Ввод!$B$12:$B$71,MATCH(A902,Ввод!$D$12:$D$71,1)),""))</f>
        <v/>
      </c>
      <c r="C902">
        <f>IF(A902="","",DATE(YEAR(A902),12,31)-DATE(YEAR(A902),1,1)+1)</f>
        <v/>
      </c>
      <c r="D902">
        <f>IF(A902="","",SUMIFS(Акты!$D$5:$D$16,Акты!$E$5:$E$16,"&lt;="&amp;A902)-SUMIFS(Оплаты!$B$6:$B$505,Оплаты!$A$6:$A$505,"&lt;"&amp;A902,Оплаты!$D$6:$D$505,"&lt;&gt;"))</f>
        <v/>
      </c>
      <c r="E902">
        <f>IF(A902="","",IF(SUMPRODUCT((Ввод!$F$12:$F$31&lt;&gt;"")*(Ввод!$F$12:$F$31&lt;=A902)*(Ввод!$G$12:$G$31&gt;=A902))&gt;0,1,0))</f>
        <v/>
      </c>
      <c r="G902">
        <f>IF(A902="","",IF(OR(B902&lt;&gt;B901,C902&lt;&gt;C901,E902&lt;&gt;E901),G901+1,G901))</f>
        <v/>
      </c>
    </row>
    <row r="903">
      <c r="A903" s="20">
        <f>IF(A902="","",IF(A902+1&gt;Ввод!$B$4,"",A902+1))</f>
        <v/>
      </c>
      <c r="B903">
        <f>IF(A903="","",IFERROR(INDEX(Ввод!$B$12:$B$71,MATCH(A903,Ввод!$D$12:$D$71,1)),""))</f>
        <v/>
      </c>
      <c r="C903">
        <f>IF(A903="","",DATE(YEAR(A903),12,31)-DATE(YEAR(A903),1,1)+1)</f>
        <v/>
      </c>
      <c r="D903">
        <f>IF(A903="","",SUMIFS(Акты!$D$5:$D$16,Акты!$E$5:$E$16,"&lt;="&amp;A903)-SUMIFS(Оплаты!$B$6:$B$505,Оплаты!$A$6:$A$505,"&lt;"&amp;A903,Оплаты!$D$6:$D$505,"&lt;&gt;"))</f>
        <v/>
      </c>
      <c r="E903">
        <f>IF(A903="","",IF(SUMPRODUCT((Ввод!$F$12:$F$31&lt;&gt;"")*(Ввод!$F$12:$F$31&lt;=A903)*(Ввод!$G$12:$G$31&gt;=A903))&gt;0,1,0))</f>
        <v/>
      </c>
      <c r="G903">
        <f>IF(A903="","",IF(OR(B903&lt;&gt;B902,C903&lt;&gt;C902,E903&lt;&gt;E902),G902+1,G902))</f>
        <v/>
      </c>
    </row>
    <row r="904">
      <c r="A904" s="20">
        <f>IF(A903="","",IF(A903+1&gt;Ввод!$B$4,"",A903+1))</f>
        <v/>
      </c>
      <c r="B904">
        <f>IF(A904="","",IFERROR(INDEX(Ввод!$B$12:$B$71,MATCH(A904,Ввод!$D$12:$D$71,1)),""))</f>
        <v/>
      </c>
      <c r="C904">
        <f>IF(A904="","",DATE(YEAR(A904),12,31)-DATE(YEAR(A904),1,1)+1)</f>
        <v/>
      </c>
      <c r="D904">
        <f>IF(A904="","",SUMIFS(Акты!$D$5:$D$16,Акты!$E$5:$E$16,"&lt;="&amp;A904)-SUMIFS(Оплаты!$B$6:$B$505,Оплаты!$A$6:$A$505,"&lt;"&amp;A904,Оплаты!$D$6:$D$505,"&lt;&gt;"))</f>
        <v/>
      </c>
      <c r="E904">
        <f>IF(A904="","",IF(SUMPRODUCT((Ввод!$F$12:$F$31&lt;&gt;"")*(Ввод!$F$12:$F$31&lt;=A904)*(Ввод!$G$12:$G$31&gt;=A904))&gt;0,1,0))</f>
        <v/>
      </c>
      <c r="G904">
        <f>IF(A904="","",IF(OR(B904&lt;&gt;B903,C904&lt;&gt;C903,E904&lt;&gt;E903),G903+1,G903))</f>
        <v/>
      </c>
    </row>
    <row r="905">
      <c r="A905" s="20">
        <f>IF(A904="","",IF(A904+1&gt;Ввод!$B$4,"",A904+1))</f>
        <v/>
      </c>
      <c r="B905">
        <f>IF(A905="","",IFERROR(INDEX(Ввод!$B$12:$B$71,MATCH(A905,Ввод!$D$12:$D$71,1)),""))</f>
        <v/>
      </c>
      <c r="C905">
        <f>IF(A905="","",DATE(YEAR(A905),12,31)-DATE(YEAR(A905),1,1)+1)</f>
        <v/>
      </c>
      <c r="D905">
        <f>IF(A905="","",SUMIFS(Акты!$D$5:$D$16,Акты!$E$5:$E$16,"&lt;="&amp;A905)-SUMIFS(Оплаты!$B$6:$B$505,Оплаты!$A$6:$A$505,"&lt;"&amp;A905,Оплаты!$D$6:$D$505,"&lt;&gt;"))</f>
        <v/>
      </c>
      <c r="E905">
        <f>IF(A905="","",IF(SUMPRODUCT((Ввод!$F$12:$F$31&lt;&gt;"")*(Ввод!$F$12:$F$31&lt;=A905)*(Ввод!$G$12:$G$31&gt;=A905))&gt;0,1,0))</f>
        <v/>
      </c>
      <c r="G905">
        <f>IF(A905="","",IF(OR(B905&lt;&gt;B904,C905&lt;&gt;C904,E905&lt;&gt;E904),G904+1,G904))</f>
        <v/>
      </c>
    </row>
    <row r="906">
      <c r="A906" s="20">
        <f>IF(A905="","",IF(A905+1&gt;Ввод!$B$4,"",A905+1))</f>
        <v/>
      </c>
      <c r="B906">
        <f>IF(A906="","",IFERROR(INDEX(Ввод!$B$12:$B$71,MATCH(A906,Ввод!$D$12:$D$71,1)),""))</f>
        <v/>
      </c>
      <c r="C906">
        <f>IF(A906="","",DATE(YEAR(A906),12,31)-DATE(YEAR(A906),1,1)+1)</f>
        <v/>
      </c>
      <c r="D906">
        <f>IF(A906="","",SUMIFS(Акты!$D$5:$D$16,Акты!$E$5:$E$16,"&lt;="&amp;A906)-SUMIFS(Оплаты!$B$6:$B$505,Оплаты!$A$6:$A$505,"&lt;"&amp;A906,Оплаты!$D$6:$D$505,"&lt;&gt;"))</f>
        <v/>
      </c>
      <c r="E906">
        <f>IF(A906="","",IF(SUMPRODUCT((Ввод!$F$12:$F$31&lt;&gt;"")*(Ввод!$F$12:$F$31&lt;=A906)*(Ввод!$G$12:$G$31&gt;=A906))&gt;0,1,0))</f>
        <v/>
      </c>
      <c r="G906">
        <f>IF(A906="","",IF(OR(B906&lt;&gt;B905,C906&lt;&gt;C905,E906&lt;&gt;E905),G905+1,G905))</f>
        <v/>
      </c>
    </row>
    <row r="907">
      <c r="A907" s="20">
        <f>IF(A906="","",IF(A906+1&gt;Ввод!$B$4,"",A906+1))</f>
        <v/>
      </c>
      <c r="B907">
        <f>IF(A907="","",IFERROR(INDEX(Ввод!$B$12:$B$71,MATCH(A907,Ввод!$D$12:$D$71,1)),""))</f>
        <v/>
      </c>
      <c r="C907">
        <f>IF(A907="","",DATE(YEAR(A907),12,31)-DATE(YEAR(A907),1,1)+1)</f>
        <v/>
      </c>
      <c r="D907">
        <f>IF(A907="","",SUMIFS(Акты!$D$5:$D$16,Акты!$E$5:$E$16,"&lt;="&amp;A907)-SUMIFS(Оплаты!$B$6:$B$505,Оплаты!$A$6:$A$505,"&lt;"&amp;A907,Оплаты!$D$6:$D$505,"&lt;&gt;"))</f>
        <v/>
      </c>
      <c r="E907">
        <f>IF(A907="","",IF(SUMPRODUCT((Ввод!$F$12:$F$31&lt;&gt;"")*(Ввод!$F$12:$F$31&lt;=A907)*(Ввод!$G$12:$G$31&gt;=A907))&gt;0,1,0))</f>
        <v/>
      </c>
      <c r="G907">
        <f>IF(A907="","",IF(OR(B907&lt;&gt;B906,C907&lt;&gt;C906,E907&lt;&gt;E906),G906+1,G906))</f>
        <v/>
      </c>
    </row>
    <row r="908">
      <c r="A908" s="20">
        <f>IF(A907="","",IF(A907+1&gt;Ввод!$B$4,"",A907+1))</f>
        <v/>
      </c>
      <c r="B908">
        <f>IF(A908="","",IFERROR(INDEX(Ввод!$B$12:$B$71,MATCH(A908,Ввод!$D$12:$D$71,1)),""))</f>
        <v/>
      </c>
      <c r="C908">
        <f>IF(A908="","",DATE(YEAR(A908),12,31)-DATE(YEAR(A908),1,1)+1)</f>
        <v/>
      </c>
      <c r="D908">
        <f>IF(A908="","",SUMIFS(Акты!$D$5:$D$16,Акты!$E$5:$E$16,"&lt;="&amp;A908)-SUMIFS(Оплаты!$B$6:$B$505,Оплаты!$A$6:$A$505,"&lt;"&amp;A908,Оплаты!$D$6:$D$505,"&lt;&gt;"))</f>
        <v/>
      </c>
      <c r="E908">
        <f>IF(A908="","",IF(SUMPRODUCT((Ввод!$F$12:$F$31&lt;&gt;"")*(Ввод!$F$12:$F$31&lt;=A908)*(Ввод!$G$12:$G$31&gt;=A908))&gt;0,1,0))</f>
        <v/>
      </c>
      <c r="G908">
        <f>IF(A908="","",IF(OR(B908&lt;&gt;B907,C908&lt;&gt;C907,E908&lt;&gt;E907),G907+1,G907))</f>
        <v/>
      </c>
    </row>
    <row r="909">
      <c r="A909" s="20">
        <f>IF(A908="","",IF(A908+1&gt;Ввод!$B$4,"",A908+1))</f>
        <v/>
      </c>
      <c r="B909">
        <f>IF(A909="","",IFERROR(INDEX(Ввод!$B$12:$B$71,MATCH(A909,Ввод!$D$12:$D$71,1)),""))</f>
        <v/>
      </c>
      <c r="C909">
        <f>IF(A909="","",DATE(YEAR(A909),12,31)-DATE(YEAR(A909),1,1)+1)</f>
        <v/>
      </c>
      <c r="D909">
        <f>IF(A909="","",SUMIFS(Акты!$D$5:$D$16,Акты!$E$5:$E$16,"&lt;="&amp;A909)-SUMIFS(Оплаты!$B$6:$B$505,Оплаты!$A$6:$A$505,"&lt;"&amp;A909,Оплаты!$D$6:$D$505,"&lt;&gt;"))</f>
        <v/>
      </c>
      <c r="E909">
        <f>IF(A909="","",IF(SUMPRODUCT((Ввод!$F$12:$F$31&lt;&gt;"")*(Ввод!$F$12:$F$31&lt;=A909)*(Ввод!$G$12:$G$31&gt;=A909))&gt;0,1,0))</f>
        <v/>
      </c>
      <c r="G909">
        <f>IF(A909="","",IF(OR(B909&lt;&gt;B908,C909&lt;&gt;C908,E909&lt;&gt;E908),G908+1,G908))</f>
        <v/>
      </c>
    </row>
    <row r="910">
      <c r="A910" s="20">
        <f>IF(A909="","",IF(A909+1&gt;Ввод!$B$4,"",A909+1))</f>
        <v/>
      </c>
      <c r="B910">
        <f>IF(A910="","",IFERROR(INDEX(Ввод!$B$12:$B$71,MATCH(A910,Ввод!$D$12:$D$71,1)),""))</f>
        <v/>
      </c>
      <c r="C910">
        <f>IF(A910="","",DATE(YEAR(A910),12,31)-DATE(YEAR(A910),1,1)+1)</f>
        <v/>
      </c>
      <c r="D910">
        <f>IF(A910="","",SUMIFS(Акты!$D$5:$D$16,Акты!$E$5:$E$16,"&lt;="&amp;A910)-SUMIFS(Оплаты!$B$6:$B$505,Оплаты!$A$6:$A$505,"&lt;"&amp;A910,Оплаты!$D$6:$D$505,"&lt;&gt;"))</f>
        <v/>
      </c>
      <c r="E910">
        <f>IF(A910="","",IF(SUMPRODUCT((Ввод!$F$12:$F$31&lt;&gt;"")*(Ввод!$F$12:$F$31&lt;=A910)*(Ввод!$G$12:$G$31&gt;=A910))&gt;0,1,0))</f>
        <v/>
      </c>
      <c r="G910">
        <f>IF(A910="","",IF(OR(B910&lt;&gt;B909,C910&lt;&gt;C909,E910&lt;&gt;E909),G909+1,G909))</f>
        <v/>
      </c>
    </row>
    <row r="911">
      <c r="A911" s="20">
        <f>IF(A910="","",IF(A910+1&gt;Ввод!$B$4,"",A910+1))</f>
        <v/>
      </c>
      <c r="B911">
        <f>IF(A911="","",IFERROR(INDEX(Ввод!$B$12:$B$71,MATCH(A911,Ввод!$D$12:$D$71,1)),""))</f>
        <v/>
      </c>
      <c r="C911">
        <f>IF(A911="","",DATE(YEAR(A911),12,31)-DATE(YEAR(A911),1,1)+1)</f>
        <v/>
      </c>
      <c r="D911">
        <f>IF(A911="","",SUMIFS(Акты!$D$5:$D$16,Акты!$E$5:$E$16,"&lt;="&amp;A911)-SUMIFS(Оплаты!$B$6:$B$505,Оплаты!$A$6:$A$505,"&lt;"&amp;A911,Оплаты!$D$6:$D$505,"&lt;&gt;"))</f>
        <v/>
      </c>
      <c r="E911">
        <f>IF(A911="","",IF(SUMPRODUCT((Ввод!$F$12:$F$31&lt;&gt;"")*(Ввод!$F$12:$F$31&lt;=A911)*(Ввод!$G$12:$G$31&gt;=A911))&gt;0,1,0))</f>
        <v/>
      </c>
      <c r="G911">
        <f>IF(A911="","",IF(OR(B911&lt;&gt;B910,C911&lt;&gt;C910,E911&lt;&gt;E910),G910+1,G910))</f>
        <v/>
      </c>
    </row>
    <row r="912">
      <c r="A912" s="20">
        <f>IF(A911="","",IF(A911+1&gt;Ввод!$B$4,"",A911+1))</f>
        <v/>
      </c>
      <c r="B912">
        <f>IF(A912="","",IFERROR(INDEX(Ввод!$B$12:$B$71,MATCH(A912,Ввод!$D$12:$D$71,1)),""))</f>
        <v/>
      </c>
      <c r="C912">
        <f>IF(A912="","",DATE(YEAR(A912),12,31)-DATE(YEAR(A912),1,1)+1)</f>
        <v/>
      </c>
      <c r="D912">
        <f>IF(A912="","",SUMIFS(Акты!$D$5:$D$16,Акты!$E$5:$E$16,"&lt;="&amp;A912)-SUMIFS(Оплаты!$B$6:$B$505,Оплаты!$A$6:$A$505,"&lt;"&amp;A912,Оплаты!$D$6:$D$505,"&lt;&gt;"))</f>
        <v/>
      </c>
      <c r="E912">
        <f>IF(A912="","",IF(SUMPRODUCT((Ввод!$F$12:$F$31&lt;&gt;"")*(Ввод!$F$12:$F$31&lt;=A912)*(Ввод!$G$12:$G$31&gt;=A912))&gt;0,1,0))</f>
        <v/>
      </c>
      <c r="G912">
        <f>IF(A912="","",IF(OR(B912&lt;&gt;B911,C912&lt;&gt;C911,E912&lt;&gt;E911),G911+1,G911))</f>
        <v/>
      </c>
    </row>
    <row r="913">
      <c r="A913" s="20">
        <f>IF(A912="","",IF(A912+1&gt;Ввод!$B$4,"",A912+1))</f>
        <v/>
      </c>
      <c r="B913">
        <f>IF(A913="","",IFERROR(INDEX(Ввод!$B$12:$B$71,MATCH(A913,Ввод!$D$12:$D$71,1)),""))</f>
        <v/>
      </c>
      <c r="C913">
        <f>IF(A913="","",DATE(YEAR(A913),12,31)-DATE(YEAR(A913),1,1)+1)</f>
        <v/>
      </c>
      <c r="D913">
        <f>IF(A913="","",SUMIFS(Акты!$D$5:$D$16,Акты!$E$5:$E$16,"&lt;="&amp;A913)-SUMIFS(Оплаты!$B$6:$B$505,Оплаты!$A$6:$A$505,"&lt;"&amp;A913,Оплаты!$D$6:$D$505,"&lt;&gt;"))</f>
        <v/>
      </c>
      <c r="E913">
        <f>IF(A913="","",IF(SUMPRODUCT((Ввод!$F$12:$F$31&lt;&gt;"")*(Ввод!$F$12:$F$31&lt;=A913)*(Ввод!$G$12:$G$31&gt;=A913))&gt;0,1,0))</f>
        <v/>
      </c>
      <c r="G913">
        <f>IF(A913="","",IF(OR(B913&lt;&gt;B912,C913&lt;&gt;C912,E913&lt;&gt;E912),G912+1,G912))</f>
        <v/>
      </c>
    </row>
    <row r="914">
      <c r="A914" s="20">
        <f>IF(A913="","",IF(A913+1&gt;Ввод!$B$4,"",A913+1))</f>
        <v/>
      </c>
      <c r="B914">
        <f>IF(A914="","",IFERROR(INDEX(Ввод!$B$12:$B$71,MATCH(A914,Ввод!$D$12:$D$71,1)),""))</f>
        <v/>
      </c>
      <c r="C914">
        <f>IF(A914="","",DATE(YEAR(A914),12,31)-DATE(YEAR(A914),1,1)+1)</f>
        <v/>
      </c>
      <c r="D914">
        <f>IF(A914="","",SUMIFS(Акты!$D$5:$D$16,Акты!$E$5:$E$16,"&lt;="&amp;A914)-SUMIFS(Оплаты!$B$6:$B$505,Оплаты!$A$6:$A$505,"&lt;"&amp;A914,Оплаты!$D$6:$D$505,"&lt;&gt;"))</f>
        <v/>
      </c>
      <c r="E914">
        <f>IF(A914="","",IF(SUMPRODUCT((Ввод!$F$12:$F$31&lt;&gt;"")*(Ввод!$F$12:$F$31&lt;=A914)*(Ввод!$G$12:$G$31&gt;=A914))&gt;0,1,0))</f>
        <v/>
      </c>
      <c r="G914">
        <f>IF(A914="","",IF(OR(B914&lt;&gt;B913,C914&lt;&gt;C913,E914&lt;&gt;E913),G913+1,G913))</f>
        <v/>
      </c>
    </row>
    <row r="915">
      <c r="A915" s="20">
        <f>IF(A914="","",IF(A914+1&gt;Ввод!$B$4,"",A914+1))</f>
        <v/>
      </c>
      <c r="B915">
        <f>IF(A915="","",IFERROR(INDEX(Ввод!$B$12:$B$71,MATCH(A915,Ввод!$D$12:$D$71,1)),""))</f>
        <v/>
      </c>
      <c r="C915">
        <f>IF(A915="","",DATE(YEAR(A915),12,31)-DATE(YEAR(A915),1,1)+1)</f>
        <v/>
      </c>
      <c r="D915">
        <f>IF(A915="","",SUMIFS(Акты!$D$5:$D$16,Акты!$E$5:$E$16,"&lt;="&amp;A915)-SUMIFS(Оплаты!$B$6:$B$505,Оплаты!$A$6:$A$505,"&lt;"&amp;A915,Оплаты!$D$6:$D$505,"&lt;&gt;"))</f>
        <v/>
      </c>
      <c r="E915">
        <f>IF(A915="","",IF(SUMPRODUCT((Ввод!$F$12:$F$31&lt;&gt;"")*(Ввод!$F$12:$F$31&lt;=A915)*(Ввод!$G$12:$G$31&gt;=A915))&gt;0,1,0))</f>
        <v/>
      </c>
      <c r="G915">
        <f>IF(A915="","",IF(OR(B915&lt;&gt;B914,C915&lt;&gt;C914,E915&lt;&gt;E914),G914+1,G914))</f>
        <v/>
      </c>
    </row>
    <row r="916">
      <c r="A916" s="20">
        <f>IF(A915="","",IF(A915+1&gt;Ввод!$B$4,"",A915+1))</f>
        <v/>
      </c>
      <c r="B916">
        <f>IF(A916="","",IFERROR(INDEX(Ввод!$B$12:$B$71,MATCH(A916,Ввод!$D$12:$D$71,1)),""))</f>
        <v/>
      </c>
      <c r="C916">
        <f>IF(A916="","",DATE(YEAR(A916),12,31)-DATE(YEAR(A916),1,1)+1)</f>
        <v/>
      </c>
      <c r="D916">
        <f>IF(A916="","",SUMIFS(Акты!$D$5:$D$16,Акты!$E$5:$E$16,"&lt;="&amp;A916)-SUMIFS(Оплаты!$B$6:$B$505,Оплаты!$A$6:$A$505,"&lt;"&amp;A916,Оплаты!$D$6:$D$505,"&lt;&gt;"))</f>
        <v/>
      </c>
      <c r="E916">
        <f>IF(A916="","",IF(SUMPRODUCT((Ввод!$F$12:$F$31&lt;&gt;"")*(Ввод!$F$12:$F$31&lt;=A916)*(Ввод!$G$12:$G$31&gt;=A916))&gt;0,1,0))</f>
        <v/>
      </c>
      <c r="G916">
        <f>IF(A916="","",IF(OR(B916&lt;&gt;B915,C916&lt;&gt;C915,E916&lt;&gt;E915),G915+1,G915))</f>
        <v/>
      </c>
    </row>
    <row r="917">
      <c r="A917" s="20">
        <f>IF(A916="","",IF(A916+1&gt;Ввод!$B$4,"",A916+1))</f>
        <v/>
      </c>
      <c r="B917">
        <f>IF(A917="","",IFERROR(INDEX(Ввод!$B$12:$B$71,MATCH(A917,Ввод!$D$12:$D$71,1)),""))</f>
        <v/>
      </c>
      <c r="C917">
        <f>IF(A917="","",DATE(YEAR(A917),12,31)-DATE(YEAR(A917),1,1)+1)</f>
        <v/>
      </c>
      <c r="D917">
        <f>IF(A917="","",SUMIFS(Акты!$D$5:$D$16,Акты!$E$5:$E$16,"&lt;="&amp;A917)-SUMIFS(Оплаты!$B$6:$B$505,Оплаты!$A$6:$A$505,"&lt;"&amp;A917,Оплаты!$D$6:$D$505,"&lt;&gt;"))</f>
        <v/>
      </c>
      <c r="E917">
        <f>IF(A917="","",IF(SUMPRODUCT((Ввод!$F$12:$F$31&lt;&gt;"")*(Ввод!$F$12:$F$31&lt;=A917)*(Ввод!$G$12:$G$31&gt;=A917))&gt;0,1,0))</f>
        <v/>
      </c>
      <c r="G917">
        <f>IF(A917="","",IF(OR(B917&lt;&gt;B916,C917&lt;&gt;C916,E917&lt;&gt;E916),G916+1,G916))</f>
        <v/>
      </c>
    </row>
    <row r="918">
      <c r="A918" s="20">
        <f>IF(A917="","",IF(A917+1&gt;Ввод!$B$4,"",A917+1))</f>
        <v/>
      </c>
      <c r="B918">
        <f>IF(A918="","",IFERROR(INDEX(Ввод!$B$12:$B$71,MATCH(A918,Ввод!$D$12:$D$71,1)),""))</f>
        <v/>
      </c>
      <c r="C918">
        <f>IF(A918="","",DATE(YEAR(A918),12,31)-DATE(YEAR(A918),1,1)+1)</f>
        <v/>
      </c>
      <c r="D918">
        <f>IF(A918="","",SUMIFS(Акты!$D$5:$D$16,Акты!$E$5:$E$16,"&lt;="&amp;A918)-SUMIFS(Оплаты!$B$6:$B$505,Оплаты!$A$6:$A$505,"&lt;"&amp;A918,Оплаты!$D$6:$D$505,"&lt;&gt;"))</f>
        <v/>
      </c>
      <c r="E918">
        <f>IF(A918="","",IF(SUMPRODUCT((Ввод!$F$12:$F$31&lt;&gt;"")*(Ввод!$F$12:$F$31&lt;=A918)*(Ввод!$G$12:$G$31&gt;=A918))&gt;0,1,0))</f>
        <v/>
      </c>
      <c r="G918">
        <f>IF(A918="","",IF(OR(B918&lt;&gt;B917,C918&lt;&gt;C917,E918&lt;&gt;E917),G917+1,G917))</f>
        <v/>
      </c>
    </row>
    <row r="919">
      <c r="A919" s="20">
        <f>IF(A918="","",IF(A918+1&gt;Ввод!$B$4,"",A918+1))</f>
        <v/>
      </c>
      <c r="B919">
        <f>IF(A919="","",IFERROR(INDEX(Ввод!$B$12:$B$71,MATCH(A919,Ввод!$D$12:$D$71,1)),""))</f>
        <v/>
      </c>
      <c r="C919">
        <f>IF(A919="","",DATE(YEAR(A919),12,31)-DATE(YEAR(A919),1,1)+1)</f>
        <v/>
      </c>
      <c r="D919">
        <f>IF(A919="","",SUMIFS(Акты!$D$5:$D$16,Акты!$E$5:$E$16,"&lt;="&amp;A919)-SUMIFS(Оплаты!$B$6:$B$505,Оплаты!$A$6:$A$505,"&lt;"&amp;A919,Оплаты!$D$6:$D$505,"&lt;&gt;"))</f>
        <v/>
      </c>
      <c r="E919">
        <f>IF(A919="","",IF(SUMPRODUCT((Ввод!$F$12:$F$31&lt;&gt;"")*(Ввод!$F$12:$F$31&lt;=A919)*(Ввод!$G$12:$G$31&gt;=A919))&gt;0,1,0))</f>
        <v/>
      </c>
      <c r="G919">
        <f>IF(A919="","",IF(OR(B919&lt;&gt;B918,C919&lt;&gt;C918,E919&lt;&gt;E918),G918+1,G918))</f>
        <v/>
      </c>
    </row>
    <row r="920">
      <c r="A920" s="20">
        <f>IF(A919="","",IF(A919+1&gt;Ввод!$B$4,"",A919+1))</f>
        <v/>
      </c>
      <c r="B920">
        <f>IF(A920="","",IFERROR(INDEX(Ввод!$B$12:$B$71,MATCH(A920,Ввод!$D$12:$D$71,1)),""))</f>
        <v/>
      </c>
      <c r="C920">
        <f>IF(A920="","",DATE(YEAR(A920),12,31)-DATE(YEAR(A920),1,1)+1)</f>
        <v/>
      </c>
      <c r="D920">
        <f>IF(A920="","",SUMIFS(Акты!$D$5:$D$16,Акты!$E$5:$E$16,"&lt;="&amp;A920)-SUMIFS(Оплаты!$B$6:$B$505,Оплаты!$A$6:$A$505,"&lt;"&amp;A920,Оплаты!$D$6:$D$505,"&lt;&gt;"))</f>
        <v/>
      </c>
      <c r="E920">
        <f>IF(A920="","",IF(SUMPRODUCT((Ввод!$F$12:$F$31&lt;&gt;"")*(Ввод!$F$12:$F$31&lt;=A920)*(Ввод!$G$12:$G$31&gt;=A920))&gt;0,1,0))</f>
        <v/>
      </c>
      <c r="G920">
        <f>IF(A920="","",IF(OR(B920&lt;&gt;B919,C920&lt;&gt;C919,E920&lt;&gt;E919),G919+1,G919))</f>
        <v/>
      </c>
    </row>
    <row r="921">
      <c r="A921" s="20">
        <f>IF(A920="","",IF(A920+1&gt;Ввод!$B$4,"",A920+1))</f>
        <v/>
      </c>
      <c r="B921">
        <f>IF(A921="","",IFERROR(INDEX(Ввод!$B$12:$B$71,MATCH(A921,Ввод!$D$12:$D$71,1)),""))</f>
        <v/>
      </c>
      <c r="C921">
        <f>IF(A921="","",DATE(YEAR(A921),12,31)-DATE(YEAR(A921),1,1)+1)</f>
        <v/>
      </c>
      <c r="D921">
        <f>IF(A921="","",SUMIFS(Акты!$D$5:$D$16,Акты!$E$5:$E$16,"&lt;="&amp;A921)-SUMIFS(Оплаты!$B$6:$B$505,Оплаты!$A$6:$A$505,"&lt;"&amp;A921,Оплаты!$D$6:$D$505,"&lt;&gt;"))</f>
        <v/>
      </c>
      <c r="E921">
        <f>IF(A921="","",IF(SUMPRODUCT((Ввод!$F$12:$F$31&lt;&gt;"")*(Ввод!$F$12:$F$31&lt;=A921)*(Ввод!$G$12:$G$31&gt;=A921))&gt;0,1,0))</f>
        <v/>
      </c>
      <c r="G921">
        <f>IF(A921="","",IF(OR(B921&lt;&gt;B920,C921&lt;&gt;C920,E921&lt;&gt;E920),G920+1,G920))</f>
        <v/>
      </c>
    </row>
    <row r="922">
      <c r="A922" s="20">
        <f>IF(A921="","",IF(A921+1&gt;Ввод!$B$4,"",A921+1))</f>
        <v/>
      </c>
      <c r="B922">
        <f>IF(A922="","",IFERROR(INDEX(Ввод!$B$12:$B$71,MATCH(A922,Ввод!$D$12:$D$71,1)),""))</f>
        <v/>
      </c>
      <c r="C922">
        <f>IF(A922="","",DATE(YEAR(A922),12,31)-DATE(YEAR(A922),1,1)+1)</f>
        <v/>
      </c>
      <c r="D922">
        <f>IF(A922="","",SUMIFS(Акты!$D$5:$D$16,Акты!$E$5:$E$16,"&lt;="&amp;A922)-SUMIFS(Оплаты!$B$6:$B$505,Оплаты!$A$6:$A$505,"&lt;"&amp;A922,Оплаты!$D$6:$D$505,"&lt;&gt;"))</f>
        <v/>
      </c>
      <c r="E922">
        <f>IF(A922="","",IF(SUMPRODUCT((Ввод!$F$12:$F$31&lt;&gt;"")*(Ввод!$F$12:$F$31&lt;=A922)*(Ввод!$G$12:$G$31&gt;=A922))&gt;0,1,0))</f>
        <v/>
      </c>
      <c r="G922">
        <f>IF(A922="","",IF(OR(B922&lt;&gt;B921,C922&lt;&gt;C921,E922&lt;&gt;E921),G921+1,G921))</f>
        <v/>
      </c>
    </row>
    <row r="923">
      <c r="A923" s="20">
        <f>IF(A922="","",IF(A922+1&gt;Ввод!$B$4,"",A922+1))</f>
        <v/>
      </c>
      <c r="B923">
        <f>IF(A923="","",IFERROR(INDEX(Ввод!$B$12:$B$71,MATCH(A923,Ввод!$D$12:$D$71,1)),""))</f>
        <v/>
      </c>
      <c r="C923">
        <f>IF(A923="","",DATE(YEAR(A923),12,31)-DATE(YEAR(A923),1,1)+1)</f>
        <v/>
      </c>
      <c r="D923">
        <f>IF(A923="","",SUMIFS(Акты!$D$5:$D$16,Акты!$E$5:$E$16,"&lt;="&amp;A923)-SUMIFS(Оплаты!$B$6:$B$505,Оплаты!$A$6:$A$505,"&lt;"&amp;A923,Оплаты!$D$6:$D$505,"&lt;&gt;"))</f>
        <v/>
      </c>
      <c r="E923">
        <f>IF(A923="","",IF(SUMPRODUCT((Ввод!$F$12:$F$31&lt;&gt;"")*(Ввод!$F$12:$F$31&lt;=A923)*(Ввод!$G$12:$G$31&gt;=A923))&gt;0,1,0))</f>
        <v/>
      </c>
      <c r="G923">
        <f>IF(A923="","",IF(OR(B923&lt;&gt;B922,C923&lt;&gt;C922,E923&lt;&gt;E922),G922+1,G922))</f>
        <v/>
      </c>
    </row>
    <row r="924">
      <c r="A924" s="20">
        <f>IF(A923="","",IF(A923+1&gt;Ввод!$B$4,"",A923+1))</f>
        <v/>
      </c>
      <c r="B924">
        <f>IF(A924="","",IFERROR(INDEX(Ввод!$B$12:$B$71,MATCH(A924,Ввод!$D$12:$D$71,1)),""))</f>
        <v/>
      </c>
      <c r="C924">
        <f>IF(A924="","",DATE(YEAR(A924),12,31)-DATE(YEAR(A924),1,1)+1)</f>
        <v/>
      </c>
      <c r="D924">
        <f>IF(A924="","",SUMIFS(Акты!$D$5:$D$16,Акты!$E$5:$E$16,"&lt;="&amp;A924)-SUMIFS(Оплаты!$B$6:$B$505,Оплаты!$A$6:$A$505,"&lt;"&amp;A924,Оплаты!$D$6:$D$505,"&lt;&gt;"))</f>
        <v/>
      </c>
      <c r="E924">
        <f>IF(A924="","",IF(SUMPRODUCT((Ввод!$F$12:$F$31&lt;&gt;"")*(Ввод!$F$12:$F$31&lt;=A924)*(Ввод!$G$12:$G$31&gt;=A924))&gt;0,1,0))</f>
        <v/>
      </c>
      <c r="G924">
        <f>IF(A924="","",IF(OR(B924&lt;&gt;B923,C924&lt;&gt;C923,E924&lt;&gt;E923),G923+1,G923))</f>
        <v/>
      </c>
    </row>
    <row r="925">
      <c r="A925" s="20">
        <f>IF(A924="","",IF(A924+1&gt;Ввод!$B$4,"",A924+1))</f>
        <v/>
      </c>
      <c r="B925">
        <f>IF(A925="","",IFERROR(INDEX(Ввод!$B$12:$B$71,MATCH(A925,Ввод!$D$12:$D$71,1)),""))</f>
        <v/>
      </c>
      <c r="C925">
        <f>IF(A925="","",DATE(YEAR(A925),12,31)-DATE(YEAR(A925),1,1)+1)</f>
        <v/>
      </c>
      <c r="D925">
        <f>IF(A925="","",SUMIFS(Акты!$D$5:$D$16,Акты!$E$5:$E$16,"&lt;="&amp;A925)-SUMIFS(Оплаты!$B$6:$B$505,Оплаты!$A$6:$A$505,"&lt;"&amp;A925,Оплаты!$D$6:$D$505,"&lt;&gt;"))</f>
        <v/>
      </c>
      <c r="E925">
        <f>IF(A925="","",IF(SUMPRODUCT((Ввод!$F$12:$F$31&lt;&gt;"")*(Ввод!$F$12:$F$31&lt;=A925)*(Ввод!$G$12:$G$31&gt;=A925))&gt;0,1,0))</f>
        <v/>
      </c>
      <c r="G925">
        <f>IF(A925="","",IF(OR(B925&lt;&gt;B924,C925&lt;&gt;C924,E925&lt;&gt;E924),G924+1,G924))</f>
        <v/>
      </c>
    </row>
    <row r="926">
      <c r="A926" s="20">
        <f>IF(A925="","",IF(A925+1&gt;Ввод!$B$4,"",A925+1))</f>
        <v/>
      </c>
      <c r="B926">
        <f>IF(A926="","",IFERROR(INDEX(Ввод!$B$12:$B$71,MATCH(A926,Ввод!$D$12:$D$71,1)),""))</f>
        <v/>
      </c>
      <c r="C926">
        <f>IF(A926="","",DATE(YEAR(A926),12,31)-DATE(YEAR(A926),1,1)+1)</f>
        <v/>
      </c>
      <c r="D926">
        <f>IF(A926="","",SUMIFS(Акты!$D$5:$D$16,Акты!$E$5:$E$16,"&lt;="&amp;A926)-SUMIFS(Оплаты!$B$6:$B$505,Оплаты!$A$6:$A$505,"&lt;"&amp;A926,Оплаты!$D$6:$D$505,"&lt;&gt;"))</f>
        <v/>
      </c>
      <c r="E926">
        <f>IF(A926="","",IF(SUMPRODUCT((Ввод!$F$12:$F$31&lt;&gt;"")*(Ввод!$F$12:$F$31&lt;=A926)*(Ввод!$G$12:$G$31&gt;=A926))&gt;0,1,0))</f>
        <v/>
      </c>
      <c r="G926">
        <f>IF(A926="","",IF(OR(B926&lt;&gt;B925,C926&lt;&gt;C925,E926&lt;&gt;E925),G925+1,G925))</f>
        <v/>
      </c>
    </row>
    <row r="927">
      <c r="A927" s="20">
        <f>IF(A926="","",IF(A926+1&gt;Ввод!$B$4,"",A926+1))</f>
        <v/>
      </c>
      <c r="B927">
        <f>IF(A927="","",IFERROR(INDEX(Ввод!$B$12:$B$71,MATCH(A927,Ввод!$D$12:$D$71,1)),""))</f>
        <v/>
      </c>
      <c r="C927">
        <f>IF(A927="","",DATE(YEAR(A927),12,31)-DATE(YEAR(A927),1,1)+1)</f>
        <v/>
      </c>
      <c r="D927">
        <f>IF(A927="","",SUMIFS(Акты!$D$5:$D$16,Акты!$E$5:$E$16,"&lt;="&amp;A927)-SUMIFS(Оплаты!$B$6:$B$505,Оплаты!$A$6:$A$505,"&lt;"&amp;A927,Оплаты!$D$6:$D$505,"&lt;&gt;"))</f>
        <v/>
      </c>
      <c r="E927">
        <f>IF(A927="","",IF(SUMPRODUCT((Ввод!$F$12:$F$31&lt;&gt;"")*(Ввод!$F$12:$F$31&lt;=A927)*(Ввод!$G$12:$G$31&gt;=A927))&gt;0,1,0))</f>
        <v/>
      </c>
      <c r="G927">
        <f>IF(A927="","",IF(OR(B927&lt;&gt;B926,C927&lt;&gt;C926,E927&lt;&gt;E926),G926+1,G926))</f>
        <v/>
      </c>
    </row>
    <row r="928">
      <c r="A928" s="20">
        <f>IF(A927="","",IF(A927+1&gt;Ввод!$B$4,"",A927+1))</f>
        <v/>
      </c>
      <c r="B928">
        <f>IF(A928="","",IFERROR(INDEX(Ввод!$B$12:$B$71,MATCH(A928,Ввод!$D$12:$D$71,1)),""))</f>
        <v/>
      </c>
      <c r="C928">
        <f>IF(A928="","",DATE(YEAR(A928),12,31)-DATE(YEAR(A928),1,1)+1)</f>
        <v/>
      </c>
      <c r="D928">
        <f>IF(A928="","",SUMIFS(Акты!$D$5:$D$16,Акты!$E$5:$E$16,"&lt;="&amp;A928)-SUMIFS(Оплаты!$B$6:$B$505,Оплаты!$A$6:$A$505,"&lt;"&amp;A928,Оплаты!$D$6:$D$505,"&lt;&gt;"))</f>
        <v/>
      </c>
      <c r="E928">
        <f>IF(A928="","",IF(SUMPRODUCT((Ввод!$F$12:$F$31&lt;&gt;"")*(Ввод!$F$12:$F$31&lt;=A928)*(Ввод!$G$12:$G$31&gt;=A928))&gt;0,1,0))</f>
        <v/>
      </c>
      <c r="G928">
        <f>IF(A928="","",IF(OR(B928&lt;&gt;B927,C928&lt;&gt;C927,E928&lt;&gt;E927),G927+1,G927))</f>
        <v/>
      </c>
    </row>
    <row r="929">
      <c r="A929" s="20">
        <f>IF(A928="","",IF(A928+1&gt;Ввод!$B$4,"",A928+1))</f>
        <v/>
      </c>
      <c r="B929">
        <f>IF(A929="","",IFERROR(INDEX(Ввод!$B$12:$B$71,MATCH(A929,Ввод!$D$12:$D$71,1)),""))</f>
        <v/>
      </c>
      <c r="C929">
        <f>IF(A929="","",DATE(YEAR(A929),12,31)-DATE(YEAR(A929),1,1)+1)</f>
        <v/>
      </c>
      <c r="D929">
        <f>IF(A929="","",SUMIFS(Акты!$D$5:$D$16,Акты!$E$5:$E$16,"&lt;="&amp;A929)-SUMIFS(Оплаты!$B$6:$B$505,Оплаты!$A$6:$A$505,"&lt;"&amp;A929,Оплаты!$D$6:$D$505,"&lt;&gt;"))</f>
        <v/>
      </c>
      <c r="E929">
        <f>IF(A929="","",IF(SUMPRODUCT((Ввод!$F$12:$F$31&lt;&gt;"")*(Ввод!$F$12:$F$31&lt;=A929)*(Ввод!$G$12:$G$31&gt;=A929))&gt;0,1,0))</f>
        <v/>
      </c>
      <c r="G929">
        <f>IF(A929="","",IF(OR(B929&lt;&gt;B928,C929&lt;&gt;C928,E929&lt;&gt;E928),G928+1,G928))</f>
        <v/>
      </c>
    </row>
    <row r="930">
      <c r="A930" s="20">
        <f>IF(A929="","",IF(A929+1&gt;Ввод!$B$4,"",A929+1))</f>
        <v/>
      </c>
      <c r="B930">
        <f>IF(A930="","",IFERROR(INDEX(Ввод!$B$12:$B$71,MATCH(A930,Ввод!$D$12:$D$71,1)),""))</f>
        <v/>
      </c>
      <c r="C930">
        <f>IF(A930="","",DATE(YEAR(A930),12,31)-DATE(YEAR(A930),1,1)+1)</f>
        <v/>
      </c>
      <c r="D930">
        <f>IF(A930="","",SUMIFS(Акты!$D$5:$D$16,Акты!$E$5:$E$16,"&lt;="&amp;A930)-SUMIFS(Оплаты!$B$6:$B$505,Оплаты!$A$6:$A$505,"&lt;"&amp;A930,Оплаты!$D$6:$D$505,"&lt;&gt;"))</f>
        <v/>
      </c>
      <c r="E930">
        <f>IF(A930="","",IF(SUMPRODUCT((Ввод!$F$12:$F$31&lt;&gt;"")*(Ввод!$F$12:$F$31&lt;=A930)*(Ввод!$G$12:$G$31&gt;=A930))&gt;0,1,0))</f>
        <v/>
      </c>
      <c r="G930">
        <f>IF(A930="","",IF(OR(B930&lt;&gt;B929,C930&lt;&gt;C929,E930&lt;&gt;E929),G929+1,G929))</f>
        <v/>
      </c>
    </row>
    <row r="931">
      <c r="A931" s="20">
        <f>IF(A930="","",IF(A930+1&gt;Ввод!$B$4,"",A930+1))</f>
        <v/>
      </c>
      <c r="B931">
        <f>IF(A931="","",IFERROR(INDEX(Ввод!$B$12:$B$71,MATCH(A931,Ввод!$D$12:$D$71,1)),""))</f>
        <v/>
      </c>
      <c r="C931">
        <f>IF(A931="","",DATE(YEAR(A931),12,31)-DATE(YEAR(A931),1,1)+1)</f>
        <v/>
      </c>
      <c r="D931">
        <f>IF(A931="","",SUMIFS(Акты!$D$5:$D$16,Акты!$E$5:$E$16,"&lt;="&amp;A931)-SUMIFS(Оплаты!$B$6:$B$505,Оплаты!$A$6:$A$505,"&lt;"&amp;A931,Оплаты!$D$6:$D$505,"&lt;&gt;"))</f>
        <v/>
      </c>
      <c r="E931">
        <f>IF(A931="","",IF(SUMPRODUCT((Ввод!$F$12:$F$31&lt;&gt;"")*(Ввод!$F$12:$F$31&lt;=A931)*(Ввод!$G$12:$G$31&gt;=A931))&gt;0,1,0))</f>
        <v/>
      </c>
      <c r="G931">
        <f>IF(A931="","",IF(OR(B931&lt;&gt;B930,C931&lt;&gt;C930,E931&lt;&gt;E930),G930+1,G930))</f>
        <v/>
      </c>
    </row>
    <row r="932">
      <c r="A932" s="20">
        <f>IF(A931="","",IF(A931+1&gt;Ввод!$B$4,"",A931+1))</f>
        <v/>
      </c>
      <c r="B932">
        <f>IF(A932="","",IFERROR(INDEX(Ввод!$B$12:$B$71,MATCH(A932,Ввод!$D$12:$D$71,1)),""))</f>
        <v/>
      </c>
      <c r="C932">
        <f>IF(A932="","",DATE(YEAR(A932),12,31)-DATE(YEAR(A932),1,1)+1)</f>
        <v/>
      </c>
      <c r="D932">
        <f>IF(A932="","",SUMIFS(Акты!$D$5:$D$16,Акты!$E$5:$E$16,"&lt;="&amp;A932)-SUMIFS(Оплаты!$B$6:$B$505,Оплаты!$A$6:$A$505,"&lt;"&amp;A932,Оплаты!$D$6:$D$505,"&lt;&gt;"))</f>
        <v/>
      </c>
      <c r="E932">
        <f>IF(A932="","",IF(SUMPRODUCT((Ввод!$F$12:$F$31&lt;&gt;"")*(Ввод!$F$12:$F$31&lt;=A932)*(Ввод!$G$12:$G$31&gt;=A932))&gt;0,1,0))</f>
        <v/>
      </c>
      <c r="G932">
        <f>IF(A932="","",IF(OR(B932&lt;&gt;B931,C932&lt;&gt;C931,E932&lt;&gt;E931),G931+1,G931))</f>
        <v/>
      </c>
    </row>
    <row r="933">
      <c r="A933" s="20">
        <f>IF(A932="","",IF(A932+1&gt;Ввод!$B$4,"",A932+1))</f>
        <v/>
      </c>
      <c r="B933">
        <f>IF(A933="","",IFERROR(INDEX(Ввод!$B$12:$B$71,MATCH(A933,Ввод!$D$12:$D$71,1)),""))</f>
        <v/>
      </c>
      <c r="C933">
        <f>IF(A933="","",DATE(YEAR(A933),12,31)-DATE(YEAR(A933),1,1)+1)</f>
        <v/>
      </c>
      <c r="D933">
        <f>IF(A933="","",SUMIFS(Акты!$D$5:$D$16,Акты!$E$5:$E$16,"&lt;="&amp;A933)-SUMIFS(Оплаты!$B$6:$B$505,Оплаты!$A$6:$A$505,"&lt;"&amp;A933,Оплаты!$D$6:$D$505,"&lt;&gt;"))</f>
        <v/>
      </c>
      <c r="E933">
        <f>IF(A933="","",IF(SUMPRODUCT((Ввод!$F$12:$F$31&lt;&gt;"")*(Ввод!$F$12:$F$31&lt;=A933)*(Ввод!$G$12:$G$31&gt;=A933))&gt;0,1,0))</f>
        <v/>
      </c>
      <c r="G933">
        <f>IF(A933="","",IF(OR(B933&lt;&gt;B932,C933&lt;&gt;C932,E933&lt;&gt;E932),G932+1,G932))</f>
        <v/>
      </c>
    </row>
    <row r="934">
      <c r="A934" s="20">
        <f>IF(A933="","",IF(A933+1&gt;Ввод!$B$4,"",A933+1))</f>
        <v/>
      </c>
      <c r="B934">
        <f>IF(A934="","",IFERROR(INDEX(Ввод!$B$12:$B$71,MATCH(A934,Ввод!$D$12:$D$71,1)),""))</f>
        <v/>
      </c>
      <c r="C934">
        <f>IF(A934="","",DATE(YEAR(A934),12,31)-DATE(YEAR(A934),1,1)+1)</f>
        <v/>
      </c>
      <c r="D934">
        <f>IF(A934="","",SUMIFS(Акты!$D$5:$D$16,Акты!$E$5:$E$16,"&lt;="&amp;A934)-SUMIFS(Оплаты!$B$6:$B$505,Оплаты!$A$6:$A$505,"&lt;"&amp;A934,Оплаты!$D$6:$D$505,"&lt;&gt;"))</f>
        <v/>
      </c>
      <c r="E934">
        <f>IF(A934="","",IF(SUMPRODUCT((Ввод!$F$12:$F$31&lt;&gt;"")*(Ввод!$F$12:$F$31&lt;=A934)*(Ввод!$G$12:$G$31&gt;=A934))&gt;0,1,0))</f>
        <v/>
      </c>
      <c r="G934">
        <f>IF(A934="","",IF(OR(B934&lt;&gt;B933,C934&lt;&gt;C933,E934&lt;&gt;E933),G933+1,G933))</f>
        <v/>
      </c>
    </row>
    <row r="935">
      <c r="A935" s="20">
        <f>IF(A934="","",IF(A934+1&gt;Ввод!$B$4,"",A934+1))</f>
        <v/>
      </c>
      <c r="B935">
        <f>IF(A935="","",IFERROR(INDEX(Ввод!$B$12:$B$71,MATCH(A935,Ввод!$D$12:$D$71,1)),""))</f>
        <v/>
      </c>
      <c r="C935">
        <f>IF(A935="","",DATE(YEAR(A935),12,31)-DATE(YEAR(A935),1,1)+1)</f>
        <v/>
      </c>
      <c r="D935">
        <f>IF(A935="","",SUMIFS(Акты!$D$5:$D$16,Акты!$E$5:$E$16,"&lt;="&amp;A935)-SUMIFS(Оплаты!$B$6:$B$505,Оплаты!$A$6:$A$505,"&lt;"&amp;A935,Оплаты!$D$6:$D$505,"&lt;&gt;"))</f>
        <v/>
      </c>
      <c r="E935">
        <f>IF(A935="","",IF(SUMPRODUCT((Ввод!$F$12:$F$31&lt;&gt;"")*(Ввод!$F$12:$F$31&lt;=A935)*(Ввод!$G$12:$G$31&gt;=A935))&gt;0,1,0))</f>
        <v/>
      </c>
      <c r="G935">
        <f>IF(A935="","",IF(OR(B935&lt;&gt;B934,C935&lt;&gt;C934,E935&lt;&gt;E934),G934+1,G934))</f>
        <v/>
      </c>
    </row>
    <row r="936">
      <c r="A936" s="20">
        <f>IF(A935="","",IF(A935+1&gt;Ввод!$B$4,"",A935+1))</f>
        <v/>
      </c>
      <c r="B936">
        <f>IF(A936="","",IFERROR(INDEX(Ввод!$B$12:$B$71,MATCH(A936,Ввод!$D$12:$D$71,1)),""))</f>
        <v/>
      </c>
      <c r="C936">
        <f>IF(A936="","",DATE(YEAR(A936),12,31)-DATE(YEAR(A936),1,1)+1)</f>
        <v/>
      </c>
      <c r="D936">
        <f>IF(A936="","",SUMIFS(Акты!$D$5:$D$16,Акты!$E$5:$E$16,"&lt;="&amp;A936)-SUMIFS(Оплаты!$B$6:$B$505,Оплаты!$A$6:$A$505,"&lt;"&amp;A936,Оплаты!$D$6:$D$505,"&lt;&gt;"))</f>
        <v/>
      </c>
      <c r="E936">
        <f>IF(A936="","",IF(SUMPRODUCT((Ввод!$F$12:$F$31&lt;&gt;"")*(Ввод!$F$12:$F$31&lt;=A936)*(Ввод!$G$12:$G$31&gt;=A936))&gt;0,1,0))</f>
        <v/>
      </c>
      <c r="G936">
        <f>IF(A936="","",IF(OR(B936&lt;&gt;B935,C936&lt;&gt;C935,E936&lt;&gt;E935),G935+1,G935))</f>
        <v/>
      </c>
    </row>
    <row r="937">
      <c r="A937" s="20">
        <f>IF(A936="","",IF(A936+1&gt;Ввод!$B$4,"",A936+1))</f>
        <v/>
      </c>
      <c r="B937">
        <f>IF(A937="","",IFERROR(INDEX(Ввод!$B$12:$B$71,MATCH(A937,Ввод!$D$12:$D$71,1)),""))</f>
        <v/>
      </c>
      <c r="C937">
        <f>IF(A937="","",DATE(YEAR(A937),12,31)-DATE(YEAR(A937),1,1)+1)</f>
        <v/>
      </c>
      <c r="D937">
        <f>IF(A937="","",SUMIFS(Акты!$D$5:$D$16,Акты!$E$5:$E$16,"&lt;="&amp;A937)-SUMIFS(Оплаты!$B$6:$B$505,Оплаты!$A$6:$A$505,"&lt;"&amp;A937,Оплаты!$D$6:$D$505,"&lt;&gt;"))</f>
        <v/>
      </c>
      <c r="E937">
        <f>IF(A937="","",IF(SUMPRODUCT((Ввод!$F$12:$F$31&lt;&gt;"")*(Ввод!$F$12:$F$31&lt;=A937)*(Ввод!$G$12:$G$31&gt;=A937))&gt;0,1,0))</f>
        <v/>
      </c>
      <c r="G937">
        <f>IF(A937="","",IF(OR(B937&lt;&gt;B936,C937&lt;&gt;C936,E937&lt;&gt;E936),G936+1,G936))</f>
        <v/>
      </c>
    </row>
    <row r="938">
      <c r="A938" s="20">
        <f>IF(A937="","",IF(A937+1&gt;Ввод!$B$4,"",A937+1))</f>
        <v/>
      </c>
      <c r="B938">
        <f>IF(A938="","",IFERROR(INDEX(Ввод!$B$12:$B$71,MATCH(A938,Ввод!$D$12:$D$71,1)),""))</f>
        <v/>
      </c>
      <c r="C938">
        <f>IF(A938="","",DATE(YEAR(A938),12,31)-DATE(YEAR(A938),1,1)+1)</f>
        <v/>
      </c>
      <c r="D938">
        <f>IF(A938="","",SUMIFS(Акты!$D$5:$D$16,Акты!$E$5:$E$16,"&lt;="&amp;A938)-SUMIFS(Оплаты!$B$6:$B$505,Оплаты!$A$6:$A$505,"&lt;"&amp;A938,Оплаты!$D$6:$D$505,"&lt;&gt;"))</f>
        <v/>
      </c>
      <c r="E938">
        <f>IF(A938="","",IF(SUMPRODUCT((Ввод!$F$12:$F$31&lt;&gt;"")*(Ввод!$F$12:$F$31&lt;=A938)*(Ввод!$G$12:$G$31&gt;=A938))&gt;0,1,0))</f>
        <v/>
      </c>
      <c r="G938">
        <f>IF(A938="","",IF(OR(B938&lt;&gt;B937,C938&lt;&gt;C937,E938&lt;&gt;E937),G937+1,G937))</f>
        <v/>
      </c>
    </row>
    <row r="939">
      <c r="A939" s="20">
        <f>IF(A938="","",IF(A938+1&gt;Ввод!$B$4,"",A938+1))</f>
        <v/>
      </c>
      <c r="B939">
        <f>IF(A939="","",IFERROR(INDEX(Ввод!$B$12:$B$71,MATCH(A939,Ввод!$D$12:$D$71,1)),""))</f>
        <v/>
      </c>
      <c r="C939">
        <f>IF(A939="","",DATE(YEAR(A939),12,31)-DATE(YEAR(A939),1,1)+1)</f>
        <v/>
      </c>
      <c r="D939">
        <f>IF(A939="","",SUMIFS(Акты!$D$5:$D$16,Акты!$E$5:$E$16,"&lt;="&amp;A939)-SUMIFS(Оплаты!$B$6:$B$505,Оплаты!$A$6:$A$505,"&lt;"&amp;A939,Оплаты!$D$6:$D$505,"&lt;&gt;"))</f>
        <v/>
      </c>
      <c r="E939">
        <f>IF(A939="","",IF(SUMPRODUCT((Ввод!$F$12:$F$31&lt;&gt;"")*(Ввод!$F$12:$F$31&lt;=A939)*(Ввод!$G$12:$G$31&gt;=A939))&gt;0,1,0))</f>
        <v/>
      </c>
      <c r="G939">
        <f>IF(A939="","",IF(OR(B939&lt;&gt;B938,C939&lt;&gt;C938,E939&lt;&gt;E938),G938+1,G938))</f>
        <v/>
      </c>
    </row>
    <row r="940">
      <c r="A940" s="20">
        <f>IF(A939="","",IF(A939+1&gt;Ввод!$B$4,"",A939+1))</f>
        <v/>
      </c>
      <c r="B940">
        <f>IF(A940="","",IFERROR(INDEX(Ввод!$B$12:$B$71,MATCH(A940,Ввод!$D$12:$D$71,1)),""))</f>
        <v/>
      </c>
      <c r="C940">
        <f>IF(A940="","",DATE(YEAR(A940),12,31)-DATE(YEAR(A940),1,1)+1)</f>
        <v/>
      </c>
      <c r="D940">
        <f>IF(A940="","",SUMIFS(Акты!$D$5:$D$16,Акты!$E$5:$E$16,"&lt;="&amp;A940)-SUMIFS(Оплаты!$B$6:$B$505,Оплаты!$A$6:$A$505,"&lt;"&amp;A940,Оплаты!$D$6:$D$505,"&lt;&gt;"))</f>
        <v/>
      </c>
      <c r="E940">
        <f>IF(A940="","",IF(SUMPRODUCT((Ввод!$F$12:$F$31&lt;&gt;"")*(Ввод!$F$12:$F$31&lt;=A940)*(Ввод!$G$12:$G$31&gt;=A940))&gt;0,1,0))</f>
        <v/>
      </c>
      <c r="G940">
        <f>IF(A940="","",IF(OR(B940&lt;&gt;B939,C940&lt;&gt;C939,E940&lt;&gt;E939),G939+1,G939))</f>
        <v/>
      </c>
    </row>
    <row r="941">
      <c r="A941" s="20">
        <f>IF(A940="","",IF(A940+1&gt;Ввод!$B$4,"",A940+1))</f>
        <v/>
      </c>
      <c r="B941">
        <f>IF(A941="","",IFERROR(INDEX(Ввод!$B$12:$B$71,MATCH(A941,Ввод!$D$12:$D$71,1)),""))</f>
        <v/>
      </c>
      <c r="C941">
        <f>IF(A941="","",DATE(YEAR(A941),12,31)-DATE(YEAR(A941),1,1)+1)</f>
        <v/>
      </c>
      <c r="D941">
        <f>IF(A941="","",SUMIFS(Акты!$D$5:$D$16,Акты!$E$5:$E$16,"&lt;="&amp;A941)-SUMIFS(Оплаты!$B$6:$B$505,Оплаты!$A$6:$A$505,"&lt;"&amp;A941,Оплаты!$D$6:$D$505,"&lt;&gt;"))</f>
        <v/>
      </c>
      <c r="E941">
        <f>IF(A941="","",IF(SUMPRODUCT((Ввод!$F$12:$F$31&lt;&gt;"")*(Ввод!$F$12:$F$31&lt;=A941)*(Ввод!$G$12:$G$31&gt;=A941))&gt;0,1,0))</f>
        <v/>
      </c>
      <c r="G941">
        <f>IF(A941="","",IF(OR(B941&lt;&gt;B940,C941&lt;&gt;C940,E941&lt;&gt;E940),G940+1,G940))</f>
        <v/>
      </c>
    </row>
    <row r="942">
      <c r="A942" s="20">
        <f>IF(A941="","",IF(A941+1&gt;Ввод!$B$4,"",A941+1))</f>
        <v/>
      </c>
      <c r="B942">
        <f>IF(A942="","",IFERROR(INDEX(Ввод!$B$12:$B$71,MATCH(A942,Ввод!$D$12:$D$71,1)),""))</f>
        <v/>
      </c>
      <c r="C942">
        <f>IF(A942="","",DATE(YEAR(A942),12,31)-DATE(YEAR(A942),1,1)+1)</f>
        <v/>
      </c>
      <c r="D942">
        <f>IF(A942="","",SUMIFS(Акты!$D$5:$D$16,Акты!$E$5:$E$16,"&lt;="&amp;A942)-SUMIFS(Оплаты!$B$6:$B$505,Оплаты!$A$6:$A$505,"&lt;"&amp;A942,Оплаты!$D$6:$D$505,"&lt;&gt;"))</f>
        <v/>
      </c>
      <c r="E942">
        <f>IF(A942="","",IF(SUMPRODUCT((Ввод!$F$12:$F$31&lt;&gt;"")*(Ввод!$F$12:$F$31&lt;=A942)*(Ввод!$G$12:$G$31&gt;=A942))&gt;0,1,0))</f>
        <v/>
      </c>
      <c r="G942">
        <f>IF(A942="","",IF(OR(B942&lt;&gt;B941,C942&lt;&gt;C941,E942&lt;&gt;E941),G941+1,G941))</f>
        <v/>
      </c>
    </row>
    <row r="943">
      <c r="A943" s="20">
        <f>IF(A942="","",IF(A942+1&gt;Ввод!$B$4,"",A942+1))</f>
        <v/>
      </c>
      <c r="B943">
        <f>IF(A943="","",IFERROR(INDEX(Ввод!$B$12:$B$71,MATCH(A943,Ввод!$D$12:$D$71,1)),""))</f>
        <v/>
      </c>
      <c r="C943">
        <f>IF(A943="","",DATE(YEAR(A943),12,31)-DATE(YEAR(A943),1,1)+1)</f>
        <v/>
      </c>
      <c r="D943">
        <f>IF(A943="","",SUMIFS(Акты!$D$5:$D$16,Акты!$E$5:$E$16,"&lt;="&amp;A943)-SUMIFS(Оплаты!$B$6:$B$505,Оплаты!$A$6:$A$505,"&lt;"&amp;A943,Оплаты!$D$6:$D$505,"&lt;&gt;"))</f>
        <v/>
      </c>
      <c r="E943">
        <f>IF(A943="","",IF(SUMPRODUCT((Ввод!$F$12:$F$31&lt;&gt;"")*(Ввод!$F$12:$F$31&lt;=A943)*(Ввод!$G$12:$G$31&gt;=A943))&gt;0,1,0))</f>
        <v/>
      </c>
      <c r="G943">
        <f>IF(A943="","",IF(OR(B943&lt;&gt;B942,C943&lt;&gt;C942,E943&lt;&gt;E942),G942+1,G942))</f>
        <v/>
      </c>
    </row>
    <row r="944">
      <c r="A944" s="20">
        <f>IF(A943="","",IF(A943+1&gt;Ввод!$B$4,"",A943+1))</f>
        <v/>
      </c>
      <c r="B944">
        <f>IF(A944="","",IFERROR(INDEX(Ввод!$B$12:$B$71,MATCH(A944,Ввод!$D$12:$D$71,1)),""))</f>
        <v/>
      </c>
      <c r="C944">
        <f>IF(A944="","",DATE(YEAR(A944),12,31)-DATE(YEAR(A944),1,1)+1)</f>
        <v/>
      </c>
      <c r="D944">
        <f>IF(A944="","",SUMIFS(Акты!$D$5:$D$16,Акты!$E$5:$E$16,"&lt;="&amp;A944)-SUMIFS(Оплаты!$B$6:$B$505,Оплаты!$A$6:$A$505,"&lt;"&amp;A944,Оплаты!$D$6:$D$505,"&lt;&gt;"))</f>
        <v/>
      </c>
      <c r="E944">
        <f>IF(A944="","",IF(SUMPRODUCT((Ввод!$F$12:$F$31&lt;&gt;"")*(Ввод!$F$12:$F$31&lt;=A944)*(Ввод!$G$12:$G$31&gt;=A944))&gt;0,1,0))</f>
        <v/>
      </c>
      <c r="G944">
        <f>IF(A944="","",IF(OR(B944&lt;&gt;B943,C944&lt;&gt;C943,E944&lt;&gt;E943),G943+1,G943))</f>
        <v/>
      </c>
    </row>
    <row r="945">
      <c r="A945" s="20">
        <f>IF(A944="","",IF(A944+1&gt;Ввод!$B$4,"",A944+1))</f>
        <v/>
      </c>
      <c r="B945">
        <f>IF(A945="","",IFERROR(INDEX(Ввод!$B$12:$B$71,MATCH(A945,Ввод!$D$12:$D$71,1)),""))</f>
        <v/>
      </c>
      <c r="C945">
        <f>IF(A945="","",DATE(YEAR(A945),12,31)-DATE(YEAR(A945),1,1)+1)</f>
        <v/>
      </c>
      <c r="D945">
        <f>IF(A945="","",SUMIFS(Акты!$D$5:$D$16,Акты!$E$5:$E$16,"&lt;="&amp;A945)-SUMIFS(Оплаты!$B$6:$B$505,Оплаты!$A$6:$A$505,"&lt;"&amp;A945,Оплаты!$D$6:$D$505,"&lt;&gt;"))</f>
        <v/>
      </c>
      <c r="E945">
        <f>IF(A945="","",IF(SUMPRODUCT((Ввод!$F$12:$F$31&lt;&gt;"")*(Ввод!$F$12:$F$31&lt;=A945)*(Ввод!$G$12:$G$31&gt;=A945))&gt;0,1,0))</f>
        <v/>
      </c>
      <c r="G945">
        <f>IF(A945="","",IF(OR(B945&lt;&gt;B944,C945&lt;&gt;C944,E945&lt;&gt;E944),G944+1,G944))</f>
        <v/>
      </c>
    </row>
    <row r="946">
      <c r="A946" s="20">
        <f>IF(A945="","",IF(A945+1&gt;Ввод!$B$4,"",A945+1))</f>
        <v/>
      </c>
      <c r="B946">
        <f>IF(A946="","",IFERROR(INDEX(Ввод!$B$12:$B$71,MATCH(A946,Ввод!$D$12:$D$71,1)),""))</f>
        <v/>
      </c>
      <c r="C946">
        <f>IF(A946="","",DATE(YEAR(A946),12,31)-DATE(YEAR(A946),1,1)+1)</f>
        <v/>
      </c>
      <c r="D946">
        <f>IF(A946="","",SUMIFS(Акты!$D$5:$D$16,Акты!$E$5:$E$16,"&lt;="&amp;A946)-SUMIFS(Оплаты!$B$6:$B$505,Оплаты!$A$6:$A$505,"&lt;"&amp;A946,Оплаты!$D$6:$D$505,"&lt;&gt;"))</f>
        <v/>
      </c>
      <c r="E946">
        <f>IF(A946="","",IF(SUMPRODUCT((Ввод!$F$12:$F$31&lt;&gt;"")*(Ввод!$F$12:$F$31&lt;=A946)*(Ввод!$G$12:$G$31&gt;=A946))&gt;0,1,0))</f>
        <v/>
      </c>
      <c r="G946">
        <f>IF(A946="","",IF(OR(B946&lt;&gt;B945,C946&lt;&gt;C945,E946&lt;&gt;E945),G945+1,G945))</f>
        <v/>
      </c>
    </row>
    <row r="947">
      <c r="A947" s="20">
        <f>IF(A946="","",IF(A946+1&gt;Ввод!$B$4,"",A946+1))</f>
        <v/>
      </c>
      <c r="B947">
        <f>IF(A947="","",IFERROR(INDEX(Ввод!$B$12:$B$71,MATCH(A947,Ввод!$D$12:$D$71,1)),""))</f>
        <v/>
      </c>
      <c r="C947">
        <f>IF(A947="","",DATE(YEAR(A947),12,31)-DATE(YEAR(A947),1,1)+1)</f>
        <v/>
      </c>
      <c r="D947">
        <f>IF(A947="","",SUMIFS(Акты!$D$5:$D$16,Акты!$E$5:$E$16,"&lt;="&amp;A947)-SUMIFS(Оплаты!$B$6:$B$505,Оплаты!$A$6:$A$505,"&lt;"&amp;A947,Оплаты!$D$6:$D$505,"&lt;&gt;"))</f>
        <v/>
      </c>
      <c r="E947">
        <f>IF(A947="","",IF(SUMPRODUCT((Ввод!$F$12:$F$31&lt;&gt;"")*(Ввод!$F$12:$F$31&lt;=A947)*(Ввод!$G$12:$G$31&gt;=A947))&gt;0,1,0))</f>
        <v/>
      </c>
      <c r="G947">
        <f>IF(A947="","",IF(OR(B947&lt;&gt;B946,C947&lt;&gt;C946,E947&lt;&gt;E946),G946+1,G946))</f>
        <v/>
      </c>
    </row>
    <row r="948">
      <c r="A948" s="20">
        <f>IF(A947="","",IF(A947+1&gt;Ввод!$B$4,"",A947+1))</f>
        <v/>
      </c>
      <c r="B948">
        <f>IF(A948="","",IFERROR(INDEX(Ввод!$B$12:$B$71,MATCH(A948,Ввод!$D$12:$D$71,1)),""))</f>
        <v/>
      </c>
      <c r="C948">
        <f>IF(A948="","",DATE(YEAR(A948),12,31)-DATE(YEAR(A948),1,1)+1)</f>
        <v/>
      </c>
      <c r="D948">
        <f>IF(A948="","",SUMIFS(Акты!$D$5:$D$16,Акты!$E$5:$E$16,"&lt;="&amp;A948)-SUMIFS(Оплаты!$B$6:$B$505,Оплаты!$A$6:$A$505,"&lt;"&amp;A948,Оплаты!$D$6:$D$505,"&lt;&gt;"))</f>
        <v/>
      </c>
      <c r="E948">
        <f>IF(A948="","",IF(SUMPRODUCT((Ввод!$F$12:$F$31&lt;&gt;"")*(Ввод!$F$12:$F$31&lt;=A948)*(Ввод!$G$12:$G$31&gt;=A948))&gt;0,1,0))</f>
        <v/>
      </c>
      <c r="G948">
        <f>IF(A948="","",IF(OR(B948&lt;&gt;B947,C948&lt;&gt;C947,E948&lt;&gt;E947),G947+1,G947))</f>
        <v/>
      </c>
    </row>
    <row r="949">
      <c r="A949" s="20">
        <f>IF(A948="","",IF(A948+1&gt;Ввод!$B$4,"",A948+1))</f>
        <v/>
      </c>
      <c r="B949">
        <f>IF(A949="","",IFERROR(INDEX(Ввод!$B$12:$B$71,MATCH(A949,Ввод!$D$12:$D$71,1)),""))</f>
        <v/>
      </c>
      <c r="C949">
        <f>IF(A949="","",DATE(YEAR(A949),12,31)-DATE(YEAR(A949),1,1)+1)</f>
        <v/>
      </c>
      <c r="D949">
        <f>IF(A949="","",SUMIFS(Акты!$D$5:$D$16,Акты!$E$5:$E$16,"&lt;="&amp;A949)-SUMIFS(Оплаты!$B$6:$B$505,Оплаты!$A$6:$A$505,"&lt;"&amp;A949,Оплаты!$D$6:$D$505,"&lt;&gt;"))</f>
        <v/>
      </c>
      <c r="E949">
        <f>IF(A949="","",IF(SUMPRODUCT((Ввод!$F$12:$F$31&lt;&gt;"")*(Ввод!$F$12:$F$31&lt;=A949)*(Ввод!$G$12:$G$31&gt;=A949))&gt;0,1,0))</f>
        <v/>
      </c>
      <c r="G949">
        <f>IF(A949="","",IF(OR(B949&lt;&gt;B948,C949&lt;&gt;C948,E949&lt;&gt;E948),G948+1,G948))</f>
        <v/>
      </c>
    </row>
    <row r="950">
      <c r="A950" s="20">
        <f>IF(A949="","",IF(A949+1&gt;Ввод!$B$4,"",A949+1))</f>
        <v/>
      </c>
      <c r="B950">
        <f>IF(A950="","",IFERROR(INDEX(Ввод!$B$12:$B$71,MATCH(A950,Ввод!$D$12:$D$71,1)),""))</f>
        <v/>
      </c>
      <c r="C950">
        <f>IF(A950="","",DATE(YEAR(A950),12,31)-DATE(YEAR(A950),1,1)+1)</f>
        <v/>
      </c>
      <c r="D950">
        <f>IF(A950="","",SUMIFS(Акты!$D$5:$D$16,Акты!$E$5:$E$16,"&lt;="&amp;A950)-SUMIFS(Оплаты!$B$6:$B$505,Оплаты!$A$6:$A$505,"&lt;"&amp;A950,Оплаты!$D$6:$D$505,"&lt;&gt;"))</f>
        <v/>
      </c>
      <c r="E950">
        <f>IF(A950="","",IF(SUMPRODUCT((Ввод!$F$12:$F$31&lt;&gt;"")*(Ввод!$F$12:$F$31&lt;=A950)*(Ввод!$G$12:$G$31&gt;=A950))&gt;0,1,0))</f>
        <v/>
      </c>
      <c r="G950">
        <f>IF(A950="","",IF(OR(B950&lt;&gt;B949,C950&lt;&gt;C949,E950&lt;&gt;E949),G949+1,G949))</f>
        <v/>
      </c>
    </row>
    <row r="951">
      <c r="A951" s="20">
        <f>IF(A950="","",IF(A950+1&gt;Ввод!$B$4,"",A950+1))</f>
        <v/>
      </c>
      <c r="B951">
        <f>IF(A951="","",IFERROR(INDEX(Ввод!$B$12:$B$71,MATCH(A951,Ввод!$D$12:$D$71,1)),""))</f>
        <v/>
      </c>
      <c r="C951">
        <f>IF(A951="","",DATE(YEAR(A951),12,31)-DATE(YEAR(A951),1,1)+1)</f>
        <v/>
      </c>
      <c r="D951">
        <f>IF(A951="","",SUMIFS(Акты!$D$5:$D$16,Акты!$E$5:$E$16,"&lt;="&amp;A951)-SUMIFS(Оплаты!$B$6:$B$505,Оплаты!$A$6:$A$505,"&lt;"&amp;A951,Оплаты!$D$6:$D$505,"&lt;&gt;"))</f>
        <v/>
      </c>
      <c r="E951">
        <f>IF(A951="","",IF(SUMPRODUCT((Ввод!$F$12:$F$31&lt;&gt;"")*(Ввод!$F$12:$F$31&lt;=A951)*(Ввод!$G$12:$G$31&gt;=A951))&gt;0,1,0))</f>
        <v/>
      </c>
      <c r="G951">
        <f>IF(A951="","",IF(OR(B951&lt;&gt;B950,C951&lt;&gt;C950,E951&lt;&gt;E950),G950+1,G950))</f>
        <v/>
      </c>
    </row>
    <row r="952">
      <c r="A952" s="20">
        <f>IF(A951="","",IF(A951+1&gt;Ввод!$B$4,"",A951+1))</f>
        <v/>
      </c>
      <c r="B952">
        <f>IF(A952="","",IFERROR(INDEX(Ввод!$B$12:$B$71,MATCH(A952,Ввод!$D$12:$D$71,1)),""))</f>
        <v/>
      </c>
      <c r="C952">
        <f>IF(A952="","",DATE(YEAR(A952),12,31)-DATE(YEAR(A952),1,1)+1)</f>
        <v/>
      </c>
      <c r="D952">
        <f>IF(A952="","",SUMIFS(Акты!$D$5:$D$16,Акты!$E$5:$E$16,"&lt;="&amp;A952)-SUMIFS(Оплаты!$B$6:$B$505,Оплаты!$A$6:$A$505,"&lt;"&amp;A952,Оплаты!$D$6:$D$505,"&lt;&gt;"))</f>
        <v/>
      </c>
      <c r="E952">
        <f>IF(A952="","",IF(SUMPRODUCT((Ввод!$F$12:$F$31&lt;&gt;"")*(Ввод!$F$12:$F$31&lt;=A952)*(Ввод!$G$12:$G$31&gt;=A952))&gt;0,1,0))</f>
        <v/>
      </c>
      <c r="G952">
        <f>IF(A952="","",IF(OR(B952&lt;&gt;B951,C952&lt;&gt;C951,E952&lt;&gt;E951),G951+1,G951))</f>
        <v/>
      </c>
    </row>
    <row r="953">
      <c r="A953" s="20">
        <f>IF(A952="","",IF(A952+1&gt;Ввод!$B$4,"",A952+1))</f>
        <v/>
      </c>
      <c r="B953">
        <f>IF(A953="","",IFERROR(INDEX(Ввод!$B$12:$B$71,MATCH(A953,Ввод!$D$12:$D$71,1)),""))</f>
        <v/>
      </c>
      <c r="C953">
        <f>IF(A953="","",DATE(YEAR(A953),12,31)-DATE(YEAR(A953),1,1)+1)</f>
        <v/>
      </c>
      <c r="D953">
        <f>IF(A953="","",SUMIFS(Акты!$D$5:$D$16,Акты!$E$5:$E$16,"&lt;="&amp;A953)-SUMIFS(Оплаты!$B$6:$B$505,Оплаты!$A$6:$A$505,"&lt;"&amp;A953,Оплаты!$D$6:$D$505,"&lt;&gt;"))</f>
        <v/>
      </c>
      <c r="E953">
        <f>IF(A953="","",IF(SUMPRODUCT((Ввод!$F$12:$F$31&lt;&gt;"")*(Ввод!$F$12:$F$31&lt;=A953)*(Ввод!$G$12:$G$31&gt;=A953))&gt;0,1,0))</f>
        <v/>
      </c>
      <c r="G953">
        <f>IF(A953="","",IF(OR(B953&lt;&gt;B952,C953&lt;&gt;C952,E953&lt;&gt;E952),G952+1,G952))</f>
        <v/>
      </c>
    </row>
    <row r="954">
      <c r="A954" s="20">
        <f>IF(A953="","",IF(A953+1&gt;Ввод!$B$4,"",A953+1))</f>
        <v/>
      </c>
      <c r="B954">
        <f>IF(A954="","",IFERROR(INDEX(Ввод!$B$12:$B$71,MATCH(A954,Ввод!$D$12:$D$71,1)),""))</f>
        <v/>
      </c>
      <c r="C954">
        <f>IF(A954="","",DATE(YEAR(A954),12,31)-DATE(YEAR(A954),1,1)+1)</f>
        <v/>
      </c>
      <c r="D954">
        <f>IF(A954="","",SUMIFS(Акты!$D$5:$D$16,Акты!$E$5:$E$16,"&lt;="&amp;A954)-SUMIFS(Оплаты!$B$6:$B$505,Оплаты!$A$6:$A$505,"&lt;"&amp;A954,Оплаты!$D$6:$D$505,"&lt;&gt;"))</f>
        <v/>
      </c>
      <c r="E954">
        <f>IF(A954="","",IF(SUMPRODUCT((Ввод!$F$12:$F$31&lt;&gt;"")*(Ввод!$F$12:$F$31&lt;=A954)*(Ввод!$G$12:$G$31&gt;=A954))&gt;0,1,0))</f>
        <v/>
      </c>
      <c r="G954">
        <f>IF(A954="","",IF(OR(B954&lt;&gt;B953,C954&lt;&gt;C953,E954&lt;&gt;E953),G953+1,G953))</f>
        <v/>
      </c>
    </row>
    <row r="955">
      <c r="A955" s="20">
        <f>IF(A954="","",IF(A954+1&gt;Ввод!$B$4,"",A954+1))</f>
        <v/>
      </c>
      <c r="B955">
        <f>IF(A955="","",IFERROR(INDEX(Ввод!$B$12:$B$71,MATCH(A955,Ввод!$D$12:$D$71,1)),""))</f>
        <v/>
      </c>
      <c r="C955">
        <f>IF(A955="","",DATE(YEAR(A955),12,31)-DATE(YEAR(A955),1,1)+1)</f>
        <v/>
      </c>
      <c r="D955">
        <f>IF(A955="","",SUMIFS(Акты!$D$5:$D$16,Акты!$E$5:$E$16,"&lt;="&amp;A955)-SUMIFS(Оплаты!$B$6:$B$505,Оплаты!$A$6:$A$505,"&lt;"&amp;A955,Оплаты!$D$6:$D$505,"&lt;&gt;"))</f>
        <v/>
      </c>
      <c r="E955">
        <f>IF(A955="","",IF(SUMPRODUCT((Ввод!$F$12:$F$31&lt;&gt;"")*(Ввод!$F$12:$F$31&lt;=A955)*(Ввод!$G$12:$G$31&gt;=A955))&gt;0,1,0))</f>
        <v/>
      </c>
      <c r="G955">
        <f>IF(A955="","",IF(OR(B955&lt;&gt;B954,C955&lt;&gt;C954,E955&lt;&gt;E954),G954+1,G954))</f>
        <v/>
      </c>
    </row>
    <row r="956">
      <c r="A956" s="20">
        <f>IF(A955="","",IF(A955+1&gt;Ввод!$B$4,"",A955+1))</f>
        <v/>
      </c>
      <c r="B956">
        <f>IF(A956="","",IFERROR(INDEX(Ввод!$B$12:$B$71,MATCH(A956,Ввод!$D$12:$D$71,1)),""))</f>
        <v/>
      </c>
      <c r="C956">
        <f>IF(A956="","",DATE(YEAR(A956),12,31)-DATE(YEAR(A956),1,1)+1)</f>
        <v/>
      </c>
      <c r="D956">
        <f>IF(A956="","",SUMIFS(Акты!$D$5:$D$16,Акты!$E$5:$E$16,"&lt;="&amp;A956)-SUMIFS(Оплаты!$B$6:$B$505,Оплаты!$A$6:$A$505,"&lt;"&amp;A956,Оплаты!$D$6:$D$505,"&lt;&gt;"))</f>
        <v/>
      </c>
      <c r="E956">
        <f>IF(A956="","",IF(SUMPRODUCT((Ввод!$F$12:$F$31&lt;&gt;"")*(Ввод!$F$12:$F$31&lt;=A956)*(Ввод!$G$12:$G$31&gt;=A956))&gt;0,1,0))</f>
        <v/>
      </c>
      <c r="G956">
        <f>IF(A956="","",IF(OR(B956&lt;&gt;B955,C956&lt;&gt;C955,E956&lt;&gt;E955),G955+1,G955))</f>
        <v/>
      </c>
    </row>
    <row r="957">
      <c r="A957" s="20">
        <f>IF(A956="","",IF(A956+1&gt;Ввод!$B$4,"",A956+1))</f>
        <v/>
      </c>
      <c r="B957">
        <f>IF(A957="","",IFERROR(INDEX(Ввод!$B$12:$B$71,MATCH(A957,Ввод!$D$12:$D$71,1)),""))</f>
        <v/>
      </c>
      <c r="C957">
        <f>IF(A957="","",DATE(YEAR(A957),12,31)-DATE(YEAR(A957),1,1)+1)</f>
        <v/>
      </c>
      <c r="D957">
        <f>IF(A957="","",SUMIFS(Акты!$D$5:$D$16,Акты!$E$5:$E$16,"&lt;="&amp;A957)-SUMIFS(Оплаты!$B$6:$B$505,Оплаты!$A$6:$A$505,"&lt;"&amp;A957,Оплаты!$D$6:$D$505,"&lt;&gt;"))</f>
        <v/>
      </c>
      <c r="E957">
        <f>IF(A957="","",IF(SUMPRODUCT((Ввод!$F$12:$F$31&lt;&gt;"")*(Ввод!$F$12:$F$31&lt;=A957)*(Ввод!$G$12:$G$31&gt;=A957))&gt;0,1,0))</f>
        <v/>
      </c>
      <c r="G957">
        <f>IF(A957="","",IF(OR(B957&lt;&gt;B956,C957&lt;&gt;C956,E957&lt;&gt;E956),G956+1,G956))</f>
        <v/>
      </c>
    </row>
    <row r="958">
      <c r="A958" s="20">
        <f>IF(A957="","",IF(A957+1&gt;Ввод!$B$4,"",A957+1))</f>
        <v/>
      </c>
      <c r="B958">
        <f>IF(A958="","",IFERROR(INDEX(Ввод!$B$12:$B$71,MATCH(A958,Ввод!$D$12:$D$71,1)),""))</f>
        <v/>
      </c>
      <c r="C958">
        <f>IF(A958="","",DATE(YEAR(A958),12,31)-DATE(YEAR(A958),1,1)+1)</f>
        <v/>
      </c>
      <c r="D958">
        <f>IF(A958="","",SUMIFS(Акты!$D$5:$D$16,Акты!$E$5:$E$16,"&lt;="&amp;A958)-SUMIFS(Оплаты!$B$6:$B$505,Оплаты!$A$6:$A$505,"&lt;"&amp;A958,Оплаты!$D$6:$D$505,"&lt;&gt;"))</f>
        <v/>
      </c>
      <c r="E958">
        <f>IF(A958="","",IF(SUMPRODUCT((Ввод!$F$12:$F$31&lt;&gt;"")*(Ввод!$F$12:$F$31&lt;=A958)*(Ввод!$G$12:$G$31&gt;=A958))&gt;0,1,0))</f>
        <v/>
      </c>
      <c r="G958">
        <f>IF(A958="","",IF(OR(B958&lt;&gt;B957,C958&lt;&gt;C957,E958&lt;&gt;E957),G957+1,G957))</f>
        <v/>
      </c>
    </row>
    <row r="959">
      <c r="A959" s="20">
        <f>IF(A958="","",IF(A958+1&gt;Ввод!$B$4,"",A958+1))</f>
        <v/>
      </c>
      <c r="B959">
        <f>IF(A959="","",IFERROR(INDEX(Ввод!$B$12:$B$71,MATCH(A959,Ввод!$D$12:$D$71,1)),""))</f>
        <v/>
      </c>
      <c r="C959">
        <f>IF(A959="","",DATE(YEAR(A959),12,31)-DATE(YEAR(A959),1,1)+1)</f>
        <v/>
      </c>
      <c r="D959">
        <f>IF(A959="","",SUMIFS(Акты!$D$5:$D$16,Акты!$E$5:$E$16,"&lt;="&amp;A959)-SUMIFS(Оплаты!$B$6:$B$505,Оплаты!$A$6:$A$505,"&lt;"&amp;A959,Оплаты!$D$6:$D$505,"&lt;&gt;"))</f>
        <v/>
      </c>
      <c r="E959">
        <f>IF(A959="","",IF(SUMPRODUCT((Ввод!$F$12:$F$31&lt;&gt;"")*(Ввод!$F$12:$F$31&lt;=A959)*(Ввод!$G$12:$G$31&gt;=A959))&gt;0,1,0))</f>
        <v/>
      </c>
      <c r="G959">
        <f>IF(A959="","",IF(OR(B959&lt;&gt;B958,C959&lt;&gt;C958,E959&lt;&gt;E958),G958+1,G958))</f>
        <v/>
      </c>
    </row>
    <row r="960">
      <c r="A960" s="20">
        <f>IF(A959="","",IF(A959+1&gt;Ввод!$B$4,"",A959+1))</f>
        <v/>
      </c>
      <c r="B960">
        <f>IF(A960="","",IFERROR(INDEX(Ввод!$B$12:$B$71,MATCH(A960,Ввод!$D$12:$D$71,1)),""))</f>
        <v/>
      </c>
      <c r="C960">
        <f>IF(A960="","",DATE(YEAR(A960),12,31)-DATE(YEAR(A960),1,1)+1)</f>
        <v/>
      </c>
      <c r="D960">
        <f>IF(A960="","",SUMIFS(Акты!$D$5:$D$16,Акты!$E$5:$E$16,"&lt;="&amp;A960)-SUMIFS(Оплаты!$B$6:$B$505,Оплаты!$A$6:$A$505,"&lt;"&amp;A960,Оплаты!$D$6:$D$505,"&lt;&gt;"))</f>
        <v/>
      </c>
      <c r="E960">
        <f>IF(A960="","",IF(SUMPRODUCT((Ввод!$F$12:$F$31&lt;&gt;"")*(Ввод!$F$12:$F$31&lt;=A960)*(Ввод!$G$12:$G$31&gt;=A960))&gt;0,1,0))</f>
        <v/>
      </c>
      <c r="G960">
        <f>IF(A960="","",IF(OR(B960&lt;&gt;B959,C960&lt;&gt;C959,E960&lt;&gt;E959),G959+1,G959))</f>
        <v/>
      </c>
    </row>
    <row r="961">
      <c r="A961" s="20">
        <f>IF(A960="","",IF(A960+1&gt;Ввод!$B$4,"",A960+1))</f>
        <v/>
      </c>
      <c r="B961">
        <f>IF(A961="","",IFERROR(INDEX(Ввод!$B$12:$B$71,MATCH(A961,Ввод!$D$12:$D$71,1)),""))</f>
        <v/>
      </c>
      <c r="C961">
        <f>IF(A961="","",DATE(YEAR(A961),12,31)-DATE(YEAR(A961),1,1)+1)</f>
        <v/>
      </c>
      <c r="D961">
        <f>IF(A961="","",SUMIFS(Акты!$D$5:$D$16,Акты!$E$5:$E$16,"&lt;="&amp;A961)-SUMIFS(Оплаты!$B$6:$B$505,Оплаты!$A$6:$A$505,"&lt;"&amp;A961,Оплаты!$D$6:$D$505,"&lt;&gt;"))</f>
        <v/>
      </c>
      <c r="E961">
        <f>IF(A961="","",IF(SUMPRODUCT((Ввод!$F$12:$F$31&lt;&gt;"")*(Ввод!$F$12:$F$31&lt;=A961)*(Ввод!$G$12:$G$31&gt;=A961))&gt;0,1,0))</f>
        <v/>
      </c>
      <c r="G961">
        <f>IF(A961="","",IF(OR(B961&lt;&gt;B960,C961&lt;&gt;C960,E961&lt;&gt;E960),G960+1,G960))</f>
        <v/>
      </c>
    </row>
    <row r="962">
      <c r="A962" s="20">
        <f>IF(A961="","",IF(A961+1&gt;Ввод!$B$4,"",A961+1))</f>
        <v/>
      </c>
      <c r="B962">
        <f>IF(A962="","",IFERROR(INDEX(Ввод!$B$12:$B$71,MATCH(A962,Ввод!$D$12:$D$71,1)),""))</f>
        <v/>
      </c>
      <c r="C962">
        <f>IF(A962="","",DATE(YEAR(A962),12,31)-DATE(YEAR(A962),1,1)+1)</f>
        <v/>
      </c>
      <c r="D962">
        <f>IF(A962="","",SUMIFS(Акты!$D$5:$D$16,Акты!$E$5:$E$16,"&lt;="&amp;A962)-SUMIFS(Оплаты!$B$6:$B$505,Оплаты!$A$6:$A$505,"&lt;"&amp;A962,Оплаты!$D$6:$D$505,"&lt;&gt;"))</f>
        <v/>
      </c>
      <c r="E962">
        <f>IF(A962="","",IF(SUMPRODUCT((Ввод!$F$12:$F$31&lt;&gt;"")*(Ввод!$F$12:$F$31&lt;=A962)*(Ввод!$G$12:$G$31&gt;=A962))&gt;0,1,0))</f>
        <v/>
      </c>
      <c r="G962">
        <f>IF(A962="","",IF(OR(B962&lt;&gt;B961,C962&lt;&gt;C961,E962&lt;&gt;E961),G961+1,G961))</f>
        <v/>
      </c>
    </row>
    <row r="963">
      <c r="A963" s="20">
        <f>IF(A962="","",IF(A962+1&gt;Ввод!$B$4,"",A962+1))</f>
        <v/>
      </c>
      <c r="B963">
        <f>IF(A963="","",IFERROR(INDEX(Ввод!$B$12:$B$71,MATCH(A963,Ввод!$D$12:$D$71,1)),""))</f>
        <v/>
      </c>
      <c r="C963">
        <f>IF(A963="","",DATE(YEAR(A963),12,31)-DATE(YEAR(A963),1,1)+1)</f>
        <v/>
      </c>
      <c r="D963">
        <f>IF(A963="","",SUMIFS(Акты!$D$5:$D$16,Акты!$E$5:$E$16,"&lt;="&amp;A963)-SUMIFS(Оплаты!$B$6:$B$505,Оплаты!$A$6:$A$505,"&lt;"&amp;A963,Оплаты!$D$6:$D$505,"&lt;&gt;"))</f>
        <v/>
      </c>
      <c r="E963">
        <f>IF(A963="","",IF(SUMPRODUCT((Ввод!$F$12:$F$31&lt;&gt;"")*(Ввод!$F$12:$F$31&lt;=A963)*(Ввод!$G$12:$G$31&gt;=A963))&gt;0,1,0))</f>
        <v/>
      </c>
      <c r="G963">
        <f>IF(A963="","",IF(OR(B963&lt;&gt;B962,C963&lt;&gt;C962,E963&lt;&gt;E962),G962+1,G962))</f>
        <v/>
      </c>
    </row>
    <row r="964">
      <c r="A964" s="20">
        <f>IF(A963="","",IF(A963+1&gt;Ввод!$B$4,"",A963+1))</f>
        <v/>
      </c>
      <c r="B964">
        <f>IF(A964="","",IFERROR(INDEX(Ввод!$B$12:$B$71,MATCH(A964,Ввод!$D$12:$D$71,1)),""))</f>
        <v/>
      </c>
      <c r="C964">
        <f>IF(A964="","",DATE(YEAR(A964),12,31)-DATE(YEAR(A964),1,1)+1)</f>
        <v/>
      </c>
      <c r="D964">
        <f>IF(A964="","",SUMIFS(Акты!$D$5:$D$16,Акты!$E$5:$E$16,"&lt;="&amp;A964)-SUMIFS(Оплаты!$B$6:$B$505,Оплаты!$A$6:$A$505,"&lt;"&amp;A964,Оплаты!$D$6:$D$505,"&lt;&gt;"))</f>
        <v/>
      </c>
      <c r="E964">
        <f>IF(A964="","",IF(SUMPRODUCT((Ввод!$F$12:$F$31&lt;&gt;"")*(Ввод!$F$12:$F$31&lt;=A964)*(Ввод!$G$12:$G$31&gt;=A964))&gt;0,1,0))</f>
        <v/>
      </c>
      <c r="G964">
        <f>IF(A964="","",IF(OR(B964&lt;&gt;B963,C964&lt;&gt;C963,E964&lt;&gt;E963),G963+1,G963))</f>
        <v/>
      </c>
    </row>
    <row r="965">
      <c r="A965" s="20">
        <f>IF(A964="","",IF(A964+1&gt;Ввод!$B$4,"",A964+1))</f>
        <v/>
      </c>
      <c r="B965">
        <f>IF(A965="","",IFERROR(INDEX(Ввод!$B$12:$B$71,MATCH(A965,Ввод!$D$12:$D$71,1)),""))</f>
        <v/>
      </c>
      <c r="C965">
        <f>IF(A965="","",DATE(YEAR(A965),12,31)-DATE(YEAR(A965),1,1)+1)</f>
        <v/>
      </c>
      <c r="D965">
        <f>IF(A965="","",SUMIFS(Акты!$D$5:$D$16,Акты!$E$5:$E$16,"&lt;="&amp;A965)-SUMIFS(Оплаты!$B$6:$B$505,Оплаты!$A$6:$A$505,"&lt;"&amp;A965,Оплаты!$D$6:$D$505,"&lt;&gt;"))</f>
        <v/>
      </c>
      <c r="E965">
        <f>IF(A965="","",IF(SUMPRODUCT((Ввод!$F$12:$F$31&lt;&gt;"")*(Ввод!$F$12:$F$31&lt;=A965)*(Ввод!$G$12:$G$31&gt;=A965))&gt;0,1,0))</f>
        <v/>
      </c>
      <c r="G965">
        <f>IF(A965="","",IF(OR(B965&lt;&gt;B964,C965&lt;&gt;C964,E965&lt;&gt;E964),G964+1,G964))</f>
        <v/>
      </c>
    </row>
    <row r="966">
      <c r="A966" s="20">
        <f>IF(A965="","",IF(A965+1&gt;Ввод!$B$4,"",A965+1))</f>
        <v/>
      </c>
      <c r="B966">
        <f>IF(A966="","",IFERROR(INDEX(Ввод!$B$12:$B$71,MATCH(A966,Ввод!$D$12:$D$71,1)),""))</f>
        <v/>
      </c>
      <c r="C966">
        <f>IF(A966="","",DATE(YEAR(A966),12,31)-DATE(YEAR(A966),1,1)+1)</f>
        <v/>
      </c>
      <c r="D966">
        <f>IF(A966="","",SUMIFS(Акты!$D$5:$D$16,Акты!$E$5:$E$16,"&lt;="&amp;A966)-SUMIFS(Оплаты!$B$6:$B$505,Оплаты!$A$6:$A$505,"&lt;"&amp;A966,Оплаты!$D$6:$D$505,"&lt;&gt;"))</f>
        <v/>
      </c>
      <c r="E966">
        <f>IF(A966="","",IF(SUMPRODUCT((Ввод!$F$12:$F$31&lt;&gt;"")*(Ввод!$F$12:$F$31&lt;=A966)*(Ввод!$G$12:$G$31&gt;=A966))&gt;0,1,0))</f>
        <v/>
      </c>
      <c r="G966">
        <f>IF(A966="","",IF(OR(B966&lt;&gt;B965,C966&lt;&gt;C965,E966&lt;&gt;E965),G965+1,G965))</f>
        <v/>
      </c>
    </row>
    <row r="967">
      <c r="A967" s="20">
        <f>IF(A966="","",IF(A966+1&gt;Ввод!$B$4,"",A966+1))</f>
        <v/>
      </c>
      <c r="B967">
        <f>IF(A967="","",IFERROR(INDEX(Ввод!$B$12:$B$71,MATCH(A967,Ввод!$D$12:$D$71,1)),""))</f>
        <v/>
      </c>
      <c r="C967">
        <f>IF(A967="","",DATE(YEAR(A967),12,31)-DATE(YEAR(A967),1,1)+1)</f>
        <v/>
      </c>
      <c r="D967">
        <f>IF(A967="","",SUMIFS(Акты!$D$5:$D$16,Акты!$E$5:$E$16,"&lt;="&amp;A967)-SUMIFS(Оплаты!$B$6:$B$505,Оплаты!$A$6:$A$505,"&lt;"&amp;A967,Оплаты!$D$6:$D$505,"&lt;&gt;"))</f>
        <v/>
      </c>
      <c r="E967">
        <f>IF(A967="","",IF(SUMPRODUCT((Ввод!$F$12:$F$31&lt;&gt;"")*(Ввод!$F$12:$F$31&lt;=A967)*(Ввод!$G$12:$G$31&gt;=A967))&gt;0,1,0))</f>
        <v/>
      </c>
      <c r="G967">
        <f>IF(A967="","",IF(OR(B967&lt;&gt;B966,C967&lt;&gt;C966,E967&lt;&gt;E966),G966+1,G966))</f>
        <v/>
      </c>
    </row>
    <row r="968">
      <c r="A968" s="20">
        <f>IF(A967="","",IF(A967+1&gt;Ввод!$B$4,"",A967+1))</f>
        <v/>
      </c>
      <c r="B968">
        <f>IF(A968="","",IFERROR(INDEX(Ввод!$B$12:$B$71,MATCH(A968,Ввод!$D$12:$D$71,1)),""))</f>
        <v/>
      </c>
      <c r="C968">
        <f>IF(A968="","",DATE(YEAR(A968),12,31)-DATE(YEAR(A968),1,1)+1)</f>
        <v/>
      </c>
      <c r="D968">
        <f>IF(A968="","",SUMIFS(Акты!$D$5:$D$16,Акты!$E$5:$E$16,"&lt;="&amp;A968)-SUMIFS(Оплаты!$B$6:$B$505,Оплаты!$A$6:$A$505,"&lt;"&amp;A968,Оплаты!$D$6:$D$505,"&lt;&gt;"))</f>
        <v/>
      </c>
      <c r="E968">
        <f>IF(A968="","",IF(SUMPRODUCT((Ввод!$F$12:$F$31&lt;&gt;"")*(Ввод!$F$12:$F$31&lt;=A968)*(Ввод!$G$12:$G$31&gt;=A968))&gt;0,1,0))</f>
        <v/>
      </c>
      <c r="G968">
        <f>IF(A968="","",IF(OR(B968&lt;&gt;B967,C968&lt;&gt;C967,E968&lt;&gt;E967),G967+1,G967))</f>
        <v/>
      </c>
    </row>
    <row r="969">
      <c r="A969" s="20">
        <f>IF(A968="","",IF(A968+1&gt;Ввод!$B$4,"",A968+1))</f>
        <v/>
      </c>
      <c r="B969">
        <f>IF(A969="","",IFERROR(INDEX(Ввод!$B$12:$B$71,MATCH(A969,Ввод!$D$12:$D$71,1)),""))</f>
        <v/>
      </c>
      <c r="C969">
        <f>IF(A969="","",DATE(YEAR(A969),12,31)-DATE(YEAR(A969),1,1)+1)</f>
        <v/>
      </c>
      <c r="D969">
        <f>IF(A969="","",SUMIFS(Акты!$D$5:$D$16,Акты!$E$5:$E$16,"&lt;="&amp;A969)-SUMIFS(Оплаты!$B$6:$B$505,Оплаты!$A$6:$A$505,"&lt;"&amp;A969,Оплаты!$D$6:$D$505,"&lt;&gt;"))</f>
        <v/>
      </c>
      <c r="E969">
        <f>IF(A969="","",IF(SUMPRODUCT((Ввод!$F$12:$F$31&lt;&gt;"")*(Ввод!$F$12:$F$31&lt;=A969)*(Ввод!$G$12:$G$31&gt;=A969))&gt;0,1,0))</f>
        <v/>
      </c>
      <c r="G969">
        <f>IF(A969="","",IF(OR(B969&lt;&gt;B968,C969&lt;&gt;C968,E969&lt;&gt;E968),G968+1,G968))</f>
        <v/>
      </c>
    </row>
    <row r="970">
      <c r="A970" s="20">
        <f>IF(A969="","",IF(A969+1&gt;Ввод!$B$4,"",A969+1))</f>
        <v/>
      </c>
      <c r="B970">
        <f>IF(A970="","",IFERROR(INDEX(Ввод!$B$12:$B$71,MATCH(A970,Ввод!$D$12:$D$71,1)),""))</f>
        <v/>
      </c>
      <c r="C970">
        <f>IF(A970="","",DATE(YEAR(A970),12,31)-DATE(YEAR(A970),1,1)+1)</f>
        <v/>
      </c>
      <c r="D970">
        <f>IF(A970="","",SUMIFS(Акты!$D$5:$D$16,Акты!$E$5:$E$16,"&lt;="&amp;A970)-SUMIFS(Оплаты!$B$6:$B$505,Оплаты!$A$6:$A$505,"&lt;"&amp;A970,Оплаты!$D$6:$D$505,"&lt;&gt;"))</f>
        <v/>
      </c>
      <c r="E970">
        <f>IF(A970="","",IF(SUMPRODUCT((Ввод!$F$12:$F$31&lt;&gt;"")*(Ввод!$F$12:$F$31&lt;=A970)*(Ввод!$G$12:$G$31&gt;=A970))&gt;0,1,0))</f>
        <v/>
      </c>
      <c r="G970">
        <f>IF(A970="","",IF(OR(B970&lt;&gt;B969,C970&lt;&gt;C969,E970&lt;&gt;E969),G969+1,G969))</f>
        <v/>
      </c>
    </row>
    <row r="971">
      <c r="A971" s="20">
        <f>IF(A970="","",IF(A970+1&gt;Ввод!$B$4,"",A970+1))</f>
        <v/>
      </c>
      <c r="B971">
        <f>IF(A971="","",IFERROR(INDEX(Ввод!$B$12:$B$71,MATCH(A971,Ввод!$D$12:$D$71,1)),""))</f>
        <v/>
      </c>
      <c r="C971">
        <f>IF(A971="","",DATE(YEAR(A971),12,31)-DATE(YEAR(A971),1,1)+1)</f>
        <v/>
      </c>
      <c r="D971">
        <f>IF(A971="","",SUMIFS(Акты!$D$5:$D$16,Акты!$E$5:$E$16,"&lt;="&amp;A971)-SUMIFS(Оплаты!$B$6:$B$505,Оплаты!$A$6:$A$505,"&lt;"&amp;A971,Оплаты!$D$6:$D$505,"&lt;&gt;"))</f>
        <v/>
      </c>
      <c r="E971">
        <f>IF(A971="","",IF(SUMPRODUCT((Ввод!$F$12:$F$31&lt;&gt;"")*(Ввод!$F$12:$F$31&lt;=A971)*(Ввод!$G$12:$G$31&gt;=A971))&gt;0,1,0))</f>
        <v/>
      </c>
      <c r="G971">
        <f>IF(A971="","",IF(OR(B971&lt;&gt;B970,C971&lt;&gt;C970,E971&lt;&gt;E970),G970+1,G970))</f>
        <v/>
      </c>
    </row>
    <row r="972">
      <c r="A972" s="20">
        <f>IF(A971="","",IF(A971+1&gt;Ввод!$B$4,"",A971+1))</f>
        <v/>
      </c>
      <c r="B972">
        <f>IF(A972="","",IFERROR(INDEX(Ввод!$B$12:$B$71,MATCH(A972,Ввод!$D$12:$D$71,1)),""))</f>
        <v/>
      </c>
      <c r="C972">
        <f>IF(A972="","",DATE(YEAR(A972),12,31)-DATE(YEAR(A972),1,1)+1)</f>
        <v/>
      </c>
      <c r="D972">
        <f>IF(A972="","",SUMIFS(Акты!$D$5:$D$16,Акты!$E$5:$E$16,"&lt;="&amp;A972)-SUMIFS(Оплаты!$B$6:$B$505,Оплаты!$A$6:$A$505,"&lt;"&amp;A972,Оплаты!$D$6:$D$505,"&lt;&gt;"))</f>
        <v/>
      </c>
      <c r="E972">
        <f>IF(A972="","",IF(SUMPRODUCT((Ввод!$F$12:$F$31&lt;&gt;"")*(Ввод!$F$12:$F$31&lt;=A972)*(Ввод!$G$12:$G$31&gt;=A972))&gt;0,1,0))</f>
        <v/>
      </c>
      <c r="G972">
        <f>IF(A972="","",IF(OR(B972&lt;&gt;B971,C972&lt;&gt;C971,E972&lt;&gt;E971),G971+1,G971))</f>
        <v/>
      </c>
    </row>
    <row r="973">
      <c r="A973" s="20">
        <f>IF(A972="","",IF(A972+1&gt;Ввод!$B$4,"",A972+1))</f>
        <v/>
      </c>
      <c r="B973">
        <f>IF(A973="","",IFERROR(INDEX(Ввод!$B$12:$B$71,MATCH(A973,Ввод!$D$12:$D$71,1)),""))</f>
        <v/>
      </c>
      <c r="C973">
        <f>IF(A973="","",DATE(YEAR(A973),12,31)-DATE(YEAR(A973),1,1)+1)</f>
        <v/>
      </c>
      <c r="D973">
        <f>IF(A973="","",SUMIFS(Акты!$D$5:$D$16,Акты!$E$5:$E$16,"&lt;="&amp;A973)-SUMIFS(Оплаты!$B$6:$B$505,Оплаты!$A$6:$A$505,"&lt;"&amp;A973,Оплаты!$D$6:$D$505,"&lt;&gt;"))</f>
        <v/>
      </c>
      <c r="E973">
        <f>IF(A973="","",IF(SUMPRODUCT((Ввод!$F$12:$F$31&lt;&gt;"")*(Ввод!$F$12:$F$31&lt;=A973)*(Ввод!$G$12:$G$31&gt;=A973))&gt;0,1,0))</f>
        <v/>
      </c>
      <c r="G973">
        <f>IF(A973="","",IF(OR(B973&lt;&gt;B972,C973&lt;&gt;C972,E973&lt;&gt;E972),G972+1,G972))</f>
        <v/>
      </c>
    </row>
    <row r="974">
      <c r="A974" s="20">
        <f>IF(A973="","",IF(A973+1&gt;Ввод!$B$4,"",A973+1))</f>
        <v/>
      </c>
      <c r="B974">
        <f>IF(A974="","",IFERROR(INDEX(Ввод!$B$12:$B$71,MATCH(A974,Ввод!$D$12:$D$71,1)),""))</f>
        <v/>
      </c>
      <c r="C974">
        <f>IF(A974="","",DATE(YEAR(A974),12,31)-DATE(YEAR(A974),1,1)+1)</f>
        <v/>
      </c>
      <c r="D974">
        <f>IF(A974="","",SUMIFS(Акты!$D$5:$D$16,Акты!$E$5:$E$16,"&lt;="&amp;A974)-SUMIFS(Оплаты!$B$6:$B$505,Оплаты!$A$6:$A$505,"&lt;"&amp;A974,Оплаты!$D$6:$D$505,"&lt;&gt;"))</f>
        <v/>
      </c>
      <c r="E974">
        <f>IF(A974="","",IF(SUMPRODUCT((Ввод!$F$12:$F$31&lt;&gt;"")*(Ввод!$F$12:$F$31&lt;=A974)*(Ввод!$G$12:$G$31&gt;=A974))&gt;0,1,0))</f>
        <v/>
      </c>
      <c r="G974">
        <f>IF(A974="","",IF(OR(B974&lt;&gt;B973,C974&lt;&gt;C973,E974&lt;&gt;E973),G973+1,G973))</f>
        <v/>
      </c>
    </row>
    <row r="975">
      <c r="A975" s="20">
        <f>IF(A974="","",IF(A974+1&gt;Ввод!$B$4,"",A974+1))</f>
        <v/>
      </c>
      <c r="B975">
        <f>IF(A975="","",IFERROR(INDEX(Ввод!$B$12:$B$71,MATCH(A975,Ввод!$D$12:$D$71,1)),""))</f>
        <v/>
      </c>
      <c r="C975">
        <f>IF(A975="","",DATE(YEAR(A975),12,31)-DATE(YEAR(A975),1,1)+1)</f>
        <v/>
      </c>
      <c r="D975">
        <f>IF(A975="","",SUMIFS(Акты!$D$5:$D$16,Акты!$E$5:$E$16,"&lt;="&amp;A975)-SUMIFS(Оплаты!$B$6:$B$505,Оплаты!$A$6:$A$505,"&lt;"&amp;A975,Оплаты!$D$6:$D$505,"&lt;&gt;"))</f>
        <v/>
      </c>
      <c r="E975">
        <f>IF(A975="","",IF(SUMPRODUCT((Ввод!$F$12:$F$31&lt;&gt;"")*(Ввод!$F$12:$F$31&lt;=A975)*(Ввод!$G$12:$G$31&gt;=A975))&gt;0,1,0))</f>
        <v/>
      </c>
      <c r="G975">
        <f>IF(A975="","",IF(OR(B975&lt;&gt;B974,C975&lt;&gt;C974,E975&lt;&gt;E974),G974+1,G974))</f>
        <v/>
      </c>
    </row>
    <row r="976">
      <c r="A976" s="20">
        <f>IF(A975="","",IF(A975+1&gt;Ввод!$B$4,"",A975+1))</f>
        <v/>
      </c>
      <c r="B976">
        <f>IF(A976="","",IFERROR(INDEX(Ввод!$B$12:$B$71,MATCH(A976,Ввод!$D$12:$D$71,1)),""))</f>
        <v/>
      </c>
      <c r="C976">
        <f>IF(A976="","",DATE(YEAR(A976),12,31)-DATE(YEAR(A976),1,1)+1)</f>
        <v/>
      </c>
      <c r="D976">
        <f>IF(A976="","",SUMIFS(Акты!$D$5:$D$16,Акты!$E$5:$E$16,"&lt;="&amp;A976)-SUMIFS(Оплаты!$B$6:$B$505,Оплаты!$A$6:$A$505,"&lt;"&amp;A976,Оплаты!$D$6:$D$505,"&lt;&gt;"))</f>
        <v/>
      </c>
      <c r="E976">
        <f>IF(A976="","",IF(SUMPRODUCT((Ввод!$F$12:$F$31&lt;&gt;"")*(Ввод!$F$12:$F$31&lt;=A976)*(Ввод!$G$12:$G$31&gt;=A976))&gt;0,1,0))</f>
        <v/>
      </c>
      <c r="G976">
        <f>IF(A976="","",IF(OR(B976&lt;&gt;B975,C976&lt;&gt;C975,E976&lt;&gt;E975),G975+1,G975))</f>
        <v/>
      </c>
    </row>
    <row r="977">
      <c r="A977" s="20">
        <f>IF(A976="","",IF(A976+1&gt;Ввод!$B$4,"",A976+1))</f>
        <v/>
      </c>
      <c r="B977">
        <f>IF(A977="","",IFERROR(INDEX(Ввод!$B$12:$B$71,MATCH(A977,Ввод!$D$12:$D$71,1)),""))</f>
        <v/>
      </c>
      <c r="C977">
        <f>IF(A977="","",DATE(YEAR(A977),12,31)-DATE(YEAR(A977),1,1)+1)</f>
        <v/>
      </c>
      <c r="D977">
        <f>IF(A977="","",SUMIFS(Акты!$D$5:$D$16,Акты!$E$5:$E$16,"&lt;="&amp;A977)-SUMIFS(Оплаты!$B$6:$B$505,Оплаты!$A$6:$A$505,"&lt;"&amp;A977,Оплаты!$D$6:$D$505,"&lt;&gt;"))</f>
        <v/>
      </c>
      <c r="E977">
        <f>IF(A977="","",IF(SUMPRODUCT((Ввод!$F$12:$F$31&lt;&gt;"")*(Ввод!$F$12:$F$31&lt;=A977)*(Ввод!$G$12:$G$31&gt;=A977))&gt;0,1,0))</f>
        <v/>
      </c>
      <c r="G977">
        <f>IF(A977="","",IF(OR(B977&lt;&gt;B976,C977&lt;&gt;C976,E977&lt;&gt;E976),G976+1,G976))</f>
        <v/>
      </c>
    </row>
    <row r="978">
      <c r="A978" s="20">
        <f>IF(A977="","",IF(A977+1&gt;Ввод!$B$4,"",A977+1))</f>
        <v/>
      </c>
      <c r="B978">
        <f>IF(A978="","",IFERROR(INDEX(Ввод!$B$12:$B$71,MATCH(A978,Ввод!$D$12:$D$71,1)),""))</f>
        <v/>
      </c>
      <c r="C978">
        <f>IF(A978="","",DATE(YEAR(A978),12,31)-DATE(YEAR(A978),1,1)+1)</f>
        <v/>
      </c>
      <c r="D978">
        <f>IF(A978="","",SUMIFS(Акты!$D$5:$D$16,Акты!$E$5:$E$16,"&lt;="&amp;A978)-SUMIFS(Оплаты!$B$6:$B$505,Оплаты!$A$6:$A$505,"&lt;"&amp;A978,Оплаты!$D$6:$D$505,"&lt;&gt;"))</f>
        <v/>
      </c>
      <c r="E978">
        <f>IF(A978="","",IF(SUMPRODUCT((Ввод!$F$12:$F$31&lt;&gt;"")*(Ввод!$F$12:$F$31&lt;=A978)*(Ввод!$G$12:$G$31&gt;=A978))&gt;0,1,0))</f>
        <v/>
      </c>
      <c r="G978">
        <f>IF(A978="","",IF(OR(B978&lt;&gt;B977,C978&lt;&gt;C977,E978&lt;&gt;E977),G977+1,G977))</f>
        <v/>
      </c>
    </row>
    <row r="979">
      <c r="A979" s="20">
        <f>IF(A978="","",IF(A978+1&gt;Ввод!$B$4,"",A978+1))</f>
        <v/>
      </c>
      <c r="B979">
        <f>IF(A979="","",IFERROR(INDEX(Ввод!$B$12:$B$71,MATCH(A979,Ввод!$D$12:$D$71,1)),""))</f>
        <v/>
      </c>
      <c r="C979">
        <f>IF(A979="","",DATE(YEAR(A979),12,31)-DATE(YEAR(A979),1,1)+1)</f>
        <v/>
      </c>
      <c r="D979">
        <f>IF(A979="","",SUMIFS(Акты!$D$5:$D$16,Акты!$E$5:$E$16,"&lt;="&amp;A979)-SUMIFS(Оплаты!$B$6:$B$505,Оплаты!$A$6:$A$505,"&lt;"&amp;A979,Оплаты!$D$6:$D$505,"&lt;&gt;"))</f>
        <v/>
      </c>
      <c r="E979">
        <f>IF(A979="","",IF(SUMPRODUCT((Ввод!$F$12:$F$31&lt;&gt;"")*(Ввод!$F$12:$F$31&lt;=A979)*(Ввод!$G$12:$G$31&gt;=A979))&gt;0,1,0))</f>
        <v/>
      </c>
      <c r="G979">
        <f>IF(A979="","",IF(OR(B979&lt;&gt;B978,C979&lt;&gt;C978,E979&lt;&gt;E978),G978+1,G978))</f>
        <v/>
      </c>
    </row>
    <row r="980">
      <c r="A980" s="20">
        <f>IF(A979="","",IF(A979+1&gt;Ввод!$B$4,"",A979+1))</f>
        <v/>
      </c>
      <c r="B980">
        <f>IF(A980="","",IFERROR(INDEX(Ввод!$B$12:$B$71,MATCH(A980,Ввод!$D$12:$D$71,1)),""))</f>
        <v/>
      </c>
      <c r="C980">
        <f>IF(A980="","",DATE(YEAR(A980),12,31)-DATE(YEAR(A980),1,1)+1)</f>
        <v/>
      </c>
      <c r="D980">
        <f>IF(A980="","",SUMIFS(Акты!$D$5:$D$16,Акты!$E$5:$E$16,"&lt;="&amp;A980)-SUMIFS(Оплаты!$B$6:$B$505,Оплаты!$A$6:$A$505,"&lt;"&amp;A980,Оплаты!$D$6:$D$505,"&lt;&gt;"))</f>
        <v/>
      </c>
      <c r="E980">
        <f>IF(A980="","",IF(SUMPRODUCT((Ввод!$F$12:$F$31&lt;&gt;"")*(Ввод!$F$12:$F$31&lt;=A980)*(Ввод!$G$12:$G$31&gt;=A980))&gt;0,1,0))</f>
        <v/>
      </c>
      <c r="G980">
        <f>IF(A980="","",IF(OR(B980&lt;&gt;B979,C980&lt;&gt;C979,E980&lt;&gt;E979),G979+1,G979))</f>
        <v/>
      </c>
    </row>
    <row r="981">
      <c r="A981" s="20">
        <f>IF(A980="","",IF(A980+1&gt;Ввод!$B$4,"",A980+1))</f>
        <v/>
      </c>
      <c r="B981">
        <f>IF(A981="","",IFERROR(INDEX(Ввод!$B$12:$B$71,MATCH(A981,Ввод!$D$12:$D$71,1)),""))</f>
        <v/>
      </c>
      <c r="C981">
        <f>IF(A981="","",DATE(YEAR(A981),12,31)-DATE(YEAR(A981),1,1)+1)</f>
        <v/>
      </c>
      <c r="D981">
        <f>IF(A981="","",SUMIFS(Акты!$D$5:$D$16,Акты!$E$5:$E$16,"&lt;="&amp;A981)-SUMIFS(Оплаты!$B$6:$B$505,Оплаты!$A$6:$A$505,"&lt;"&amp;A981,Оплаты!$D$6:$D$505,"&lt;&gt;"))</f>
        <v/>
      </c>
      <c r="E981">
        <f>IF(A981="","",IF(SUMPRODUCT((Ввод!$F$12:$F$31&lt;&gt;"")*(Ввод!$F$12:$F$31&lt;=A981)*(Ввод!$G$12:$G$31&gt;=A981))&gt;0,1,0))</f>
        <v/>
      </c>
      <c r="G981">
        <f>IF(A981="","",IF(OR(B981&lt;&gt;B980,C981&lt;&gt;C980,E981&lt;&gt;E980),G980+1,G980))</f>
        <v/>
      </c>
    </row>
    <row r="982">
      <c r="A982" s="20">
        <f>IF(A981="","",IF(A981+1&gt;Ввод!$B$4,"",A981+1))</f>
        <v/>
      </c>
      <c r="B982">
        <f>IF(A982="","",IFERROR(INDEX(Ввод!$B$12:$B$71,MATCH(A982,Ввод!$D$12:$D$71,1)),""))</f>
        <v/>
      </c>
      <c r="C982">
        <f>IF(A982="","",DATE(YEAR(A982),12,31)-DATE(YEAR(A982),1,1)+1)</f>
        <v/>
      </c>
      <c r="D982">
        <f>IF(A982="","",SUMIFS(Акты!$D$5:$D$16,Акты!$E$5:$E$16,"&lt;="&amp;A982)-SUMIFS(Оплаты!$B$6:$B$505,Оплаты!$A$6:$A$505,"&lt;"&amp;A982,Оплаты!$D$6:$D$505,"&lt;&gt;"))</f>
        <v/>
      </c>
      <c r="E982">
        <f>IF(A982="","",IF(SUMPRODUCT((Ввод!$F$12:$F$31&lt;&gt;"")*(Ввод!$F$12:$F$31&lt;=A982)*(Ввод!$G$12:$G$31&gt;=A982))&gt;0,1,0))</f>
        <v/>
      </c>
      <c r="G982">
        <f>IF(A982="","",IF(OR(B982&lt;&gt;B981,C982&lt;&gt;C981,E982&lt;&gt;E981),G981+1,G981))</f>
        <v/>
      </c>
    </row>
    <row r="983">
      <c r="A983" s="20">
        <f>IF(A982="","",IF(A982+1&gt;Ввод!$B$4,"",A982+1))</f>
        <v/>
      </c>
      <c r="B983">
        <f>IF(A983="","",IFERROR(INDEX(Ввод!$B$12:$B$71,MATCH(A983,Ввод!$D$12:$D$71,1)),""))</f>
        <v/>
      </c>
      <c r="C983">
        <f>IF(A983="","",DATE(YEAR(A983),12,31)-DATE(YEAR(A983),1,1)+1)</f>
        <v/>
      </c>
      <c r="D983">
        <f>IF(A983="","",SUMIFS(Акты!$D$5:$D$16,Акты!$E$5:$E$16,"&lt;="&amp;A983)-SUMIFS(Оплаты!$B$6:$B$505,Оплаты!$A$6:$A$505,"&lt;"&amp;A983,Оплаты!$D$6:$D$505,"&lt;&gt;"))</f>
        <v/>
      </c>
      <c r="E983">
        <f>IF(A983="","",IF(SUMPRODUCT((Ввод!$F$12:$F$31&lt;&gt;"")*(Ввод!$F$12:$F$31&lt;=A983)*(Ввод!$G$12:$G$31&gt;=A983))&gt;0,1,0))</f>
        <v/>
      </c>
      <c r="G983">
        <f>IF(A983="","",IF(OR(B983&lt;&gt;B982,C983&lt;&gt;C982,E983&lt;&gt;E982),G982+1,G982))</f>
        <v/>
      </c>
    </row>
    <row r="984">
      <c r="A984" s="20">
        <f>IF(A983="","",IF(A983+1&gt;Ввод!$B$4,"",A983+1))</f>
        <v/>
      </c>
      <c r="B984">
        <f>IF(A984="","",IFERROR(INDEX(Ввод!$B$12:$B$71,MATCH(A984,Ввод!$D$12:$D$71,1)),""))</f>
        <v/>
      </c>
      <c r="C984">
        <f>IF(A984="","",DATE(YEAR(A984),12,31)-DATE(YEAR(A984),1,1)+1)</f>
        <v/>
      </c>
      <c r="D984">
        <f>IF(A984="","",SUMIFS(Акты!$D$5:$D$16,Акты!$E$5:$E$16,"&lt;="&amp;A984)-SUMIFS(Оплаты!$B$6:$B$505,Оплаты!$A$6:$A$505,"&lt;"&amp;A984,Оплаты!$D$6:$D$505,"&lt;&gt;"))</f>
        <v/>
      </c>
      <c r="E984">
        <f>IF(A984="","",IF(SUMPRODUCT((Ввод!$F$12:$F$31&lt;&gt;"")*(Ввод!$F$12:$F$31&lt;=A984)*(Ввод!$G$12:$G$31&gt;=A984))&gt;0,1,0))</f>
        <v/>
      </c>
      <c r="G984">
        <f>IF(A984="","",IF(OR(B984&lt;&gt;B983,C984&lt;&gt;C983,E984&lt;&gt;E983),G983+1,G983))</f>
        <v/>
      </c>
    </row>
    <row r="985">
      <c r="A985" s="20">
        <f>IF(A984="","",IF(A984+1&gt;Ввод!$B$4,"",A984+1))</f>
        <v/>
      </c>
      <c r="B985">
        <f>IF(A985="","",IFERROR(INDEX(Ввод!$B$12:$B$71,MATCH(A985,Ввод!$D$12:$D$71,1)),""))</f>
        <v/>
      </c>
      <c r="C985">
        <f>IF(A985="","",DATE(YEAR(A985),12,31)-DATE(YEAR(A985),1,1)+1)</f>
        <v/>
      </c>
      <c r="D985">
        <f>IF(A985="","",SUMIFS(Акты!$D$5:$D$16,Акты!$E$5:$E$16,"&lt;="&amp;A985)-SUMIFS(Оплаты!$B$6:$B$505,Оплаты!$A$6:$A$505,"&lt;"&amp;A985,Оплаты!$D$6:$D$505,"&lt;&gt;"))</f>
        <v/>
      </c>
      <c r="E985">
        <f>IF(A985="","",IF(SUMPRODUCT((Ввод!$F$12:$F$31&lt;&gt;"")*(Ввод!$F$12:$F$31&lt;=A985)*(Ввод!$G$12:$G$31&gt;=A985))&gt;0,1,0))</f>
        <v/>
      </c>
      <c r="G985">
        <f>IF(A985="","",IF(OR(B985&lt;&gt;B984,C985&lt;&gt;C984,E985&lt;&gt;E984),G984+1,G984))</f>
        <v/>
      </c>
    </row>
    <row r="986">
      <c r="A986" s="20">
        <f>IF(A985="","",IF(A985+1&gt;Ввод!$B$4,"",A985+1))</f>
        <v/>
      </c>
      <c r="B986">
        <f>IF(A986="","",IFERROR(INDEX(Ввод!$B$12:$B$71,MATCH(A986,Ввод!$D$12:$D$71,1)),""))</f>
        <v/>
      </c>
      <c r="C986">
        <f>IF(A986="","",DATE(YEAR(A986),12,31)-DATE(YEAR(A986),1,1)+1)</f>
        <v/>
      </c>
      <c r="D986">
        <f>IF(A986="","",SUMIFS(Акты!$D$5:$D$16,Акты!$E$5:$E$16,"&lt;="&amp;A986)-SUMIFS(Оплаты!$B$6:$B$505,Оплаты!$A$6:$A$505,"&lt;"&amp;A986,Оплаты!$D$6:$D$505,"&lt;&gt;"))</f>
        <v/>
      </c>
      <c r="E986">
        <f>IF(A986="","",IF(SUMPRODUCT((Ввод!$F$12:$F$31&lt;&gt;"")*(Ввод!$F$12:$F$31&lt;=A986)*(Ввод!$G$12:$G$31&gt;=A986))&gt;0,1,0))</f>
        <v/>
      </c>
      <c r="G986">
        <f>IF(A986="","",IF(OR(B986&lt;&gt;B985,C986&lt;&gt;C985,E986&lt;&gt;E985),G985+1,G985))</f>
        <v/>
      </c>
    </row>
    <row r="987">
      <c r="A987" s="20">
        <f>IF(A986="","",IF(A986+1&gt;Ввод!$B$4,"",A986+1))</f>
        <v/>
      </c>
      <c r="B987">
        <f>IF(A987="","",IFERROR(INDEX(Ввод!$B$12:$B$71,MATCH(A987,Ввод!$D$12:$D$71,1)),""))</f>
        <v/>
      </c>
      <c r="C987">
        <f>IF(A987="","",DATE(YEAR(A987),12,31)-DATE(YEAR(A987),1,1)+1)</f>
        <v/>
      </c>
      <c r="D987">
        <f>IF(A987="","",SUMIFS(Акты!$D$5:$D$16,Акты!$E$5:$E$16,"&lt;="&amp;A987)-SUMIFS(Оплаты!$B$6:$B$505,Оплаты!$A$6:$A$505,"&lt;"&amp;A987,Оплаты!$D$6:$D$505,"&lt;&gt;"))</f>
        <v/>
      </c>
      <c r="E987">
        <f>IF(A987="","",IF(SUMPRODUCT((Ввод!$F$12:$F$31&lt;&gt;"")*(Ввод!$F$12:$F$31&lt;=A987)*(Ввод!$G$12:$G$31&gt;=A987))&gt;0,1,0))</f>
        <v/>
      </c>
      <c r="G987">
        <f>IF(A987="","",IF(OR(B987&lt;&gt;B986,C987&lt;&gt;C986,E987&lt;&gt;E986),G986+1,G986))</f>
        <v/>
      </c>
    </row>
    <row r="988">
      <c r="A988" s="20">
        <f>IF(A987="","",IF(A987+1&gt;Ввод!$B$4,"",A987+1))</f>
        <v/>
      </c>
      <c r="B988">
        <f>IF(A988="","",IFERROR(INDEX(Ввод!$B$12:$B$71,MATCH(A988,Ввод!$D$12:$D$71,1)),""))</f>
        <v/>
      </c>
      <c r="C988">
        <f>IF(A988="","",DATE(YEAR(A988),12,31)-DATE(YEAR(A988),1,1)+1)</f>
        <v/>
      </c>
      <c r="D988">
        <f>IF(A988="","",SUMIFS(Акты!$D$5:$D$16,Акты!$E$5:$E$16,"&lt;="&amp;A988)-SUMIFS(Оплаты!$B$6:$B$505,Оплаты!$A$6:$A$505,"&lt;"&amp;A988,Оплаты!$D$6:$D$505,"&lt;&gt;"))</f>
        <v/>
      </c>
      <c r="E988">
        <f>IF(A988="","",IF(SUMPRODUCT((Ввод!$F$12:$F$31&lt;&gt;"")*(Ввод!$F$12:$F$31&lt;=A988)*(Ввод!$G$12:$G$31&gt;=A988))&gt;0,1,0))</f>
        <v/>
      </c>
      <c r="G988">
        <f>IF(A988="","",IF(OR(B988&lt;&gt;B987,C988&lt;&gt;C987,E988&lt;&gt;E987),G987+1,G987))</f>
        <v/>
      </c>
    </row>
    <row r="989">
      <c r="A989" s="20">
        <f>IF(A988="","",IF(A988+1&gt;Ввод!$B$4,"",A988+1))</f>
        <v/>
      </c>
      <c r="B989">
        <f>IF(A989="","",IFERROR(INDEX(Ввод!$B$12:$B$71,MATCH(A989,Ввод!$D$12:$D$71,1)),""))</f>
        <v/>
      </c>
      <c r="C989">
        <f>IF(A989="","",DATE(YEAR(A989),12,31)-DATE(YEAR(A989),1,1)+1)</f>
        <v/>
      </c>
      <c r="D989">
        <f>IF(A989="","",SUMIFS(Акты!$D$5:$D$16,Акты!$E$5:$E$16,"&lt;="&amp;A989)-SUMIFS(Оплаты!$B$6:$B$505,Оплаты!$A$6:$A$505,"&lt;"&amp;A989,Оплаты!$D$6:$D$505,"&lt;&gt;"))</f>
        <v/>
      </c>
      <c r="E989">
        <f>IF(A989="","",IF(SUMPRODUCT((Ввод!$F$12:$F$31&lt;&gt;"")*(Ввод!$F$12:$F$31&lt;=A989)*(Ввод!$G$12:$G$31&gt;=A989))&gt;0,1,0))</f>
        <v/>
      </c>
      <c r="G989">
        <f>IF(A989="","",IF(OR(B989&lt;&gt;B988,C989&lt;&gt;C988,E989&lt;&gt;E988),G988+1,G988))</f>
        <v/>
      </c>
    </row>
    <row r="990">
      <c r="A990" s="20">
        <f>IF(A989="","",IF(A989+1&gt;Ввод!$B$4,"",A989+1))</f>
        <v/>
      </c>
      <c r="B990">
        <f>IF(A990="","",IFERROR(INDEX(Ввод!$B$12:$B$71,MATCH(A990,Ввод!$D$12:$D$71,1)),""))</f>
        <v/>
      </c>
      <c r="C990">
        <f>IF(A990="","",DATE(YEAR(A990),12,31)-DATE(YEAR(A990),1,1)+1)</f>
        <v/>
      </c>
      <c r="D990">
        <f>IF(A990="","",SUMIFS(Акты!$D$5:$D$16,Акты!$E$5:$E$16,"&lt;="&amp;A990)-SUMIFS(Оплаты!$B$6:$B$505,Оплаты!$A$6:$A$505,"&lt;"&amp;A990,Оплаты!$D$6:$D$505,"&lt;&gt;"))</f>
        <v/>
      </c>
      <c r="E990">
        <f>IF(A990="","",IF(SUMPRODUCT((Ввод!$F$12:$F$31&lt;&gt;"")*(Ввод!$F$12:$F$31&lt;=A990)*(Ввод!$G$12:$G$31&gt;=A990))&gt;0,1,0))</f>
        <v/>
      </c>
      <c r="G990">
        <f>IF(A990="","",IF(OR(B990&lt;&gt;B989,C990&lt;&gt;C989,E990&lt;&gt;E989),G989+1,G989))</f>
        <v/>
      </c>
    </row>
    <row r="991">
      <c r="A991" s="20">
        <f>IF(A990="","",IF(A990+1&gt;Ввод!$B$4,"",A990+1))</f>
        <v/>
      </c>
      <c r="B991">
        <f>IF(A991="","",IFERROR(INDEX(Ввод!$B$12:$B$71,MATCH(A991,Ввод!$D$12:$D$71,1)),""))</f>
        <v/>
      </c>
      <c r="C991">
        <f>IF(A991="","",DATE(YEAR(A991),12,31)-DATE(YEAR(A991),1,1)+1)</f>
        <v/>
      </c>
      <c r="D991">
        <f>IF(A991="","",SUMIFS(Акты!$D$5:$D$16,Акты!$E$5:$E$16,"&lt;="&amp;A991)-SUMIFS(Оплаты!$B$6:$B$505,Оплаты!$A$6:$A$505,"&lt;"&amp;A991,Оплаты!$D$6:$D$505,"&lt;&gt;"))</f>
        <v/>
      </c>
      <c r="E991">
        <f>IF(A991="","",IF(SUMPRODUCT((Ввод!$F$12:$F$31&lt;&gt;"")*(Ввод!$F$12:$F$31&lt;=A991)*(Ввод!$G$12:$G$31&gt;=A991))&gt;0,1,0))</f>
        <v/>
      </c>
      <c r="G991">
        <f>IF(A991="","",IF(OR(B991&lt;&gt;B990,C991&lt;&gt;C990,E991&lt;&gt;E990),G990+1,G990))</f>
        <v/>
      </c>
    </row>
    <row r="992">
      <c r="A992" s="20">
        <f>IF(A991="","",IF(A991+1&gt;Ввод!$B$4,"",A991+1))</f>
        <v/>
      </c>
      <c r="B992">
        <f>IF(A992="","",IFERROR(INDEX(Ввод!$B$12:$B$71,MATCH(A992,Ввод!$D$12:$D$71,1)),""))</f>
        <v/>
      </c>
      <c r="C992">
        <f>IF(A992="","",DATE(YEAR(A992),12,31)-DATE(YEAR(A992),1,1)+1)</f>
        <v/>
      </c>
      <c r="D992">
        <f>IF(A992="","",SUMIFS(Акты!$D$5:$D$16,Акты!$E$5:$E$16,"&lt;="&amp;A992)-SUMIFS(Оплаты!$B$6:$B$505,Оплаты!$A$6:$A$505,"&lt;"&amp;A992,Оплаты!$D$6:$D$505,"&lt;&gt;"))</f>
        <v/>
      </c>
      <c r="E992">
        <f>IF(A992="","",IF(SUMPRODUCT((Ввод!$F$12:$F$31&lt;&gt;"")*(Ввод!$F$12:$F$31&lt;=A992)*(Ввод!$G$12:$G$31&gt;=A992))&gt;0,1,0))</f>
        <v/>
      </c>
      <c r="G992">
        <f>IF(A992="","",IF(OR(B992&lt;&gt;B991,C992&lt;&gt;C991,E992&lt;&gt;E991),G991+1,G991))</f>
        <v/>
      </c>
    </row>
    <row r="993">
      <c r="A993" s="20">
        <f>IF(A992="","",IF(A992+1&gt;Ввод!$B$4,"",A992+1))</f>
        <v/>
      </c>
      <c r="B993">
        <f>IF(A993="","",IFERROR(INDEX(Ввод!$B$12:$B$71,MATCH(A993,Ввод!$D$12:$D$71,1)),""))</f>
        <v/>
      </c>
      <c r="C993">
        <f>IF(A993="","",DATE(YEAR(A993),12,31)-DATE(YEAR(A993),1,1)+1)</f>
        <v/>
      </c>
      <c r="D993">
        <f>IF(A993="","",SUMIFS(Акты!$D$5:$D$16,Акты!$E$5:$E$16,"&lt;="&amp;A993)-SUMIFS(Оплаты!$B$6:$B$505,Оплаты!$A$6:$A$505,"&lt;"&amp;A993,Оплаты!$D$6:$D$505,"&lt;&gt;"))</f>
        <v/>
      </c>
      <c r="E993">
        <f>IF(A993="","",IF(SUMPRODUCT((Ввод!$F$12:$F$31&lt;&gt;"")*(Ввод!$F$12:$F$31&lt;=A993)*(Ввод!$G$12:$G$31&gt;=A993))&gt;0,1,0))</f>
        <v/>
      </c>
      <c r="G993">
        <f>IF(A993="","",IF(OR(B993&lt;&gt;B992,C993&lt;&gt;C992,E993&lt;&gt;E992),G992+1,G992))</f>
        <v/>
      </c>
    </row>
    <row r="994">
      <c r="A994" s="20">
        <f>IF(A993="","",IF(A993+1&gt;Ввод!$B$4,"",A993+1))</f>
        <v/>
      </c>
      <c r="B994">
        <f>IF(A994="","",IFERROR(INDEX(Ввод!$B$12:$B$71,MATCH(A994,Ввод!$D$12:$D$71,1)),""))</f>
        <v/>
      </c>
      <c r="C994">
        <f>IF(A994="","",DATE(YEAR(A994),12,31)-DATE(YEAR(A994),1,1)+1)</f>
        <v/>
      </c>
      <c r="D994">
        <f>IF(A994="","",SUMIFS(Акты!$D$5:$D$16,Акты!$E$5:$E$16,"&lt;="&amp;A994)-SUMIFS(Оплаты!$B$6:$B$505,Оплаты!$A$6:$A$505,"&lt;"&amp;A994,Оплаты!$D$6:$D$505,"&lt;&gt;"))</f>
        <v/>
      </c>
      <c r="E994">
        <f>IF(A994="","",IF(SUMPRODUCT((Ввод!$F$12:$F$31&lt;&gt;"")*(Ввод!$F$12:$F$31&lt;=A994)*(Ввод!$G$12:$G$31&gt;=A994))&gt;0,1,0))</f>
        <v/>
      </c>
      <c r="G994">
        <f>IF(A994="","",IF(OR(B994&lt;&gt;B993,C994&lt;&gt;C993,E994&lt;&gt;E993),G993+1,G993))</f>
        <v/>
      </c>
    </row>
    <row r="995">
      <c r="A995" s="20">
        <f>IF(A994="","",IF(A994+1&gt;Ввод!$B$4,"",A994+1))</f>
        <v/>
      </c>
      <c r="B995">
        <f>IF(A995="","",IFERROR(INDEX(Ввод!$B$12:$B$71,MATCH(A995,Ввод!$D$12:$D$71,1)),""))</f>
        <v/>
      </c>
      <c r="C995">
        <f>IF(A995="","",DATE(YEAR(A995),12,31)-DATE(YEAR(A995),1,1)+1)</f>
        <v/>
      </c>
      <c r="D995">
        <f>IF(A995="","",SUMIFS(Акты!$D$5:$D$16,Акты!$E$5:$E$16,"&lt;="&amp;A995)-SUMIFS(Оплаты!$B$6:$B$505,Оплаты!$A$6:$A$505,"&lt;"&amp;A995,Оплаты!$D$6:$D$505,"&lt;&gt;"))</f>
        <v/>
      </c>
      <c r="E995">
        <f>IF(A995="","",IF(SUMPRODUCT((Ввод!$F$12:$F$31&lt;&gt;"")*(Ввод!$F$12:$F$31&lt;=A995)*(Ввод!$G$12:$G$31&gt;=A995))&gt;0,1,0))</f>
        <v/>
      </c>
      <c r="G995">
        <f>IF(A995="","",IF(OR(B995&lt;&gt;B994,C995&lt;&gt;C994,E995&lt;&gt;E994),G994+1,G994))</f>
        <v/>
      </c>
    </row>
    <row r="996">
      <c r="A996" s="20">
        <f>IF(A995="","",IF(A995+1&gt;Ввод!$B$4,"",A995+1))</f>
        <v/>
      </c>
      <c r="B996">
        <f>IF(A996="","",IFERROR(INDEX(Ввод!$B$12:$B$71,MATCH(A996,Ввод!$D$12:$D$71,1)),""))</f>
        <v/>
      </c>
      <c r="C996">
        <f>IF(A996="","",DATE(YEAR(A996),12,31)-DATE(YEAR(A996),1,1)+1)</f>
        <v/>
      </c>
      <c r="D996">
        <f>IF(A996="","",SUMIFS(Акты!$D$5:$D$16,Акты!$E$5:$E$16,"&lt;="&amp;A996)-SUMIFS(Оплаты!$B$6:$B$505,Оплаты!$A$6:$A$505,"&lt;"&amp;A996,Оплаты!$D$6:$D$505,"&lt;&gt;"))</f>
        <v/>
      </c>
      <c r="E996">
        <f>IF(A996="","",IF(SUMPRODUCT((Ввод!$F$12:$F$31&lt;&gt;"")*(Ввод!$F$12:$F$31&lt;=A996)*(Ввод!$G$12:$G$31&gt;=A996))&gt;0,1,0))</f>
        <v/>
      </c>
      <c r="G996">
        <f>IF(A996="","",IF(OR(B996&lt;&gt;B995,C996&lt;&gt;C995,E996&lt;&gt;E995),G995+1,G995))</f>
        <v/>
      </c>
    </row>
    <row r="997">
      <c r="A997" s="20">
        <f>IF(A996="","",IF(A996+1&gt;Ввод!$B$4,"",A996+1))</f>
        <v/>
      </c>
      <c r="B997">
        <f>IF(A997="","",IFERROR(INDEX(Ввод!$B$12:$B$71,MATCH(A997,Ввод!$D$12:$D$71,1)),""))</f>
        <v/>
      </c>
      <c r="C997">
        <f>IF(A997="","",DATE(YEAR(A997),12,31)-DATE(YEAR(A997),1,1)+1)</f>
        <v/>
      </c>
      <c r="D997">
        <f>IF(A997="","",SUMIFS(Акты!$D$5:$D$16,Акты!$E$5:$E$16,"&lt;="&amp;A997)-SUMIFS(Оплаты!$B$6:$B$505,Оплаты!$A$6:$A$505,"&lt;"&amp;A997,Оплаты!$D$6:$D$505,"&lt;&gt;"))</f>
        <v/>
      </c>
      <c r="E997">
        <f>IF(A997="","",IF(SUMPRODUCT((Ввод!$F$12:$F$31&lt;&gt;"")*(Ввод!$F$12:$F$31&lt;=A997)*(Ввод!$G$12:$G$31&gt;=A997))&gt;0,1,0))</f>
        <v/>
      </c>
      <c r="G997">
        <f>IF(A997="","",IF(OR(B997&lt;&gt;B996,C997&lt;&gt;C996,E997&lt;&gt;E996),G996+1,G996))</f>
        <v/>
      </c>
    </row>
    <row r="998">
      <c r="A998" s="20">
        <f>IF(A997="","",IF(A997+1&gt;Ввод!$B$4,"",A997+1))</f>
        <v/>
      </c>
      <c r="B998">
        <f>IF(A998="","",IFERROR(INDEX(Ввод!$B$12:$B$71,MATCH(A998,Ввод!$D$12:$D$71,1)),""))</f>
        <v/>
      </c>
      <c r="C998">
        <f>IF(A998="","",DATE(YEAR(A998),12,31)-DATE(YEAR(A998),1,1)+1)</f>
        <v/>
      </c>
      <c r="D998">
        <f>IF(A998="","",SUMIFS(Акты!$D$5:$D$16,Акты!$E$5:$E$16,"&lt;="&amp;A998)-SUMIFS(Оплаты!$B$6:$B$505,Оплаты!$A$6:$A$505,"&lt;"&amp;A998,Оплаты!$D$6:$D$505,"&lt;&gt;"))</f>
        <v/>
      </c>
      <c r="E998">
        <f>IF(A998="","",IF(SUMPRODUCT((Ввод!$F$12:$F$31&lt;&gt;"")*(Ввод!$F$12:$F$31&lt;=A998)*(Ввод!$G$12:$G$31&gt;=A998))&gt;0,1,0))</f>
        <v/>
      </c>
      <c r="G998">
        <f>IF(A998="","",IF(OR(B998&lt;&gt;B997,C998&lt;&gt;C997,E998&lt;&gt;E997),G997+1,G997))</f>
        <v/>
      </c>
    </row>
    <row r="999">
      <c r="A999" s="20">
        <f>IF(A998="","",IF(A998+1&gt;Ввод!$B$4,"",A998+1))</f>
        <v/>
      </c>
      <c r="B999">
        <f>IF(A999="","",IFERROR(INDEX(Ввод!$B$12:$B$71,MATCH(A999,Ввод!$D$12:$D$71,1)),""))</f>
        <v/>
      </c>
      <c r="C999">
        <f>IF(A999="","",DATE(YEAR(A999),12,31)-DATE(YEAR(A999),1,1)+1)</f>
        <v/>
      </c>
      <c r="D999">
        <f>IF(A999="","",SUMIFS(Акты!$D$5:$D$16,Акты!$E$5:$E$16,"&lt;="&amp;A999)-SUMIFS(Оплаты!$B$6:$B$505,Оплаты!$A$6:$A$505,"&lt;"&amp;A999,Оплаты!$D$6:$D$505,"&lt;&gt;"))</f>
        <v/>
      </c>
      <c r="E999">
        <f>IF(A999="","",IF(SUMPRODUCT((Ввод!$F$12:$F$31&lt;&gt;"")*(Ввод!$F$12:$F$31&lt;=A999)*(Ввод!$G$12:$G$31&gt;=A999))&gt;0,1,0))</f>
        <v/>
      </c>
      <c r="G999">
        <f>IF(A999="","",IF(OR(B999&lt;&gt;B998,C999&lt;&gt;C998,E999&lt;&gt;E998),G998+1,G998))</f>
        <v/>
      </c>
    </row>
    <row r="1000">
      <c r="A1000" s="20">
        <f>IF(A999="","",IF(A999+1&gt;Ввод!$B$4,"",A999+1))</f>
        <v/>
      </c>
      <c r="B1000">
        <f>IF(A1000="","",IFERROR(INDEX(Ввод!$B$12:$B$71,MATCH(A1000,Ввод!$D$12:$D$71,1)),""))</f>
        <v/>
      </c>
      <c r="C1000">
        <f>IF(A1000="","",DATE(YEAR(A1000),12,31)-DATE(YEAR(A1000),1,1)+1)</f>
        <v/>
      </c>
      <c r="D1000">
        <f>IF(A1000="","",SUMIFS(Акты!$D$5:$D$16,Акты!$E$5:$E$16,"&lt;="&amp;A1000)-SUMIFS(Оплаты!$B$6:$B$505,Оплаты!$A$6:$A$505,"&lt;"&amp;A1000,Оплаты!$D$6:$D$505,"&lt;&gt;"))</f>
        <v/>
      </c>
      <c r="E1000">
        <f>IF(A1000="","",IF(SUMPRODUCT((Ввод!$F$12:$F$31&lt;&gt;"")*(Ввод!$F$12:$F$31&lt;=A1000)*(Ввод!$G$12:$G$31&gt;=A1000))&gt;0,1,0))</f>
        <v/>
      </c>
      <c r="G1000">
        <f>IF(A1000="","",IF(OR(B1000&lt;&gt;B999,C1000&lt;&gt;C999,E1000&lt;&gt;E999),G999+1,G999))</f>
        <v/>
      </c>
    </row>
    <row r="1001">
      <c r="A1001" s="20">
        <f>IF(A1000="","",IF(A1000+1&gt;Ввод!$B$4,"",A1000+1))</f>
        <v/>
      </c>
      <c r="B1001">
        <f>IF(A1001="","",IFERROR(INDEX(Ввод!$B$12:$B$71,MATCH(A1001,Ввод!$D$12:$D$71,1)),""))</f>
        <v/>
      </c>
      <c r="C1001">
        <f>IF(A1001="","",DATE(YEAR(A1001),12,31)-DATE(YEAR(A1001),1,1)+1)</f>
        <v/>
      </c>
      <c r="D1001">
        <f>IF(A1001="","",SUMIFS(Акты!$D$5:$D$16,Акты!$E$5:$E$16,"&lt;="&amp;A1001)-SUMIFS(Оплаты!$B$6:$B$505,Оплаты!$A$6:$A$505,"&lt;"&amp;A1001,Оплаты!$D$6:$D$505,"&lt;&gt;"))</f>
        <v/>
      </c>
      <c r="E1001">
        <f>IF(A1001="","",IF(SUMPRODUCT((Ввод!$F$12:$F$31&lt;&gt;"")*(Ввод!$F$12:$F$31&lt;=A1001)*(Ввод!$G$12:$G$31&gt;=A1001))&gt;0,1,0))</f>
        <v/>
      </c>
      <c r="G1001">
        <f>IF(A1001="","",IF(OR(B1001&lt;&gt;B1000,C1001&lt;&gt;C1000,E1001&lt;&gt;E1000),G1000+1,G1000))</f>
        <v/>
      </c>
    </row>
    <row r="1002">
      <c r="A1002" s="20">
        <f>IF(A1001="","",IF(A1001+1&gt;Ввод!$B$4,"",A1001+1))</f>
        <v/>
      </c>
      <c r="B1002">
        <f>IF(A1002="","",IFERROR(INDEX(Ввод!$B$12:$B$71,MATCH(A1002,Ввод!$D$12:$D$71,1)),""))</f>
        <v/>
      </c>
      <c r="C1002">
        <f>IF(A1002="","",DATE(YEAR(A1002),12,31)-DATE(YEAR(A1002),1,1)+1)</f>
        <v/>
      </c>
      <c r="D1002">
        <f>IF(A1002="","",SUMIFS(Акты!$D$5:$D$16,Акты!$E$5:$E$16,"&lt;="&amp;A1002)-SUMIFS(Оплаты!$B$6:$B$505,Оплаты!$A$6:$A$505,"&lt;"&amp;A1002,Оплаты!$D$6:$D$505,"&lt;&gt;"))</f>
        <v/>
      </c>
      <c r="E1002">
        <f>IF(A1002="","",IF(SUMPRODUCT((Ввод!$F$12:$F$31&lt;&gt;"")*(Ввод!$F$12:$F$31&lt;=A1002)*(Ввод!$G$12:$G$31&gt;=A1002))&gt;0,1,0))</f>
        <v/>
      </c>
      <c r="G1002">
        <f>IF(A1002="","",IF(OR(B1002&lt;&gt;B1001,C1002&lt;&gt;C1001,E1002&lt;&gt;E1001),G1001+1,G1001))</f>
        <v/>
      </c>
    </row>
    <row r="1003">
      <c r="A1003" s="20">
        <f>IF(A1002="","",IF(A1002+1&gt;Ввод!$B$4,"",A1002+1))</f>
        <v/>
      </c>
      <c r="B1003">
        <f>IF(A1003="","",IFERROR(INDEX(Ввод!$B$12:$B$71,MATCH(A1003,Ввод!$D$12:$D$71,1)),""))</f>
        <v/>
      </c>
      <c r="C1003">
        <f>IF(A1003="","",DATE(YEAR(A1003),12,31)-DATE(YEAR(A1003),1,1)+1)</f>
        <v/>
      </c>
      <c r="D1003">
        <f>IF(A1003="","",SUMIFS(Акты!$D$5:$D$16,Акты!$E$5:$E$16,"&lt;="&amp;A1003)-SUMIFS(Оплаты!$B$6:$B$505,Оплаты!$A$6:$A$505,"&lt;"&amp;A1003,Оплаты!$D$6:$D$505,"&lt;&gt;"))</f>
        <v/>
      </c>
      <c r="E1003">
        <f>IF(A1003="","",IF(SUMPRODUCT((Ввод!$F$12:$F$31&lt;&gt;"")*(Ввод!$F$12:$F$31&lt;=A1003)*(Ввод!$G$12:$G$31&gt;=A1003))&gt;0,1,0))</f>
        <v/>
      </c>
      <c r="G1003">
        <f>IF(A1003="","",IF(OR(B1003&lt;&gt;B1002,C1003&lt;&gt;C1002,E1003&lt;&gt;E1002),G1002+1,G1002))</f>
        <v/>
      </c>
    </row>
    <row r="1004">
      <c r="A1004" s="20">
        <f>IF(A1003="","",IF(A1003+1&gt;Ввод!$B$4,"",A1003+1))</f>
        <v/>
      </c>
      <c r="B1004">
        <f>IF(A1004="","",IFERROR(INDEX(Ввод!$B$12:$B$71,MATCH(A1004,Ввод!$D$12:$D$71,1)),""))</f>
        <v/>
      </c>
      <c r="C1004">
        <f>IF(A1004="","",DATE(YEAR(A1004),12,31)-DATE(YEAR(A1004),1,1)+1)</f>
        <v/>
      </c>
      <c r="D1004">
        <f>IF(A1004="","",SUMIFS(Акты!$D$5:$D$16,Акты!$E$5:$E$16,"&lt;="&amp;A1004)-SUMIFS(Оплаты!$B$6:$B$505,Оплаты!$A$6:$A$505,"&lt;"&amp;A1004,Оплаты!$D$6:$D$505,"&lt;&gt;"))</f>
        <v/>
      </c>
      <c r="E1004">
        <f>IF(A1004="","",IF(SUMPRODUCT((Ввод!$F$12:$F$31&lt;&gt;"")*(Ввод!$F$12:$F$31&lt;=A1004)*(Ввод!$G$12:$G$31&gt;=A1004))&gt;0,1,0))</f>
        <v/>
      </c>
      <c r="G1004">
        <f>IF(A1004="","",IF(OR(B1004&lt;&gt;B1003,C1004&lt;&gt;C1003,E1004&lt;&gt;E1003),G1003+1,G1003))</f>
        <v/>
      </c>
    </row>
    <row r="1005">
      <c r="A1005" s="20">
        <f>IF(A1004="","",IF(A1004+1&gt;Ввод!$B$4,"",A1004+1))</f>
        <v/>
      </c>
      <c r="B1005">
        <f>IF(A1005="","",IFERROR(INDEX(Ввод!$B$12:$B$71,MATCH(A1005,Ввод!$D$12:$D$71,1)),""))</f>
        <v/>
      </c>
      <c r="C1005">
        <f>IF(A1005="","",DATE(YEAR(A1005),12,31)-DATE(YEAR(A1005),1,1)+1)</f>
        <v/>
      </c>
      <c r="D1005">
        <f>IF(A1005="","",SUMIFS(Акты!$D$5:$D$16,Акты!$E$5:$E$16,"&lt;="&amp;A1005)-SUMIFS(Оплаты!$B$6:$B$505,Оплаты!$A$6:$A$505,"&lt;"&amp;A1005,Оплаты!$D$6:$D$505,"&lt;&gt;"))</f>
        <v/>
      </c>
      <c r="E1005">
        <f>IF(A1005="","",IF(SUMPRODUCT((Ввод!$F$12:$F$31&lt;&gt;"")*(Ввод!$F$12:$F$31&lt;=A1005)*(Ввод!$G$12:$G$31&gt;=A1005))&gt;0,1,0))</f>
        <v/>
      </c>
      <c r="G1005">
        <f>IF(A1005="","",IF(OR(B1005&lt;&gt;B1004,C1005&lt;&gt;C1004,E1005&lt;&gt;E1004),G1004+1,G1004))</f>
        <v/>
      </c>
    </row>
    <row r="1006">
      <c r="A1006" s="20">
        <f>IF(A1005="","",IF(A1005+1&gt;Ввод!$B$4,"",A1005+1))</f>
        <v/>
      </c>
      <c r="B1006">
        <f>IF(A1006="","",IFERROR(INDEX(Ввод!$B$12:$B$71,MATCH(A1006,Ввод!$D$12:$D$71,1)),""))</f>
        <v/>
      </c>
      <c r="C1006">
        <f>IF(A1006="","",DATE(YEAR(A1006),12,31)-DATE(YEAR(A1006),1,1)+1)</f>
        <v/>
      </c>
      <c r="D1006">
        <f>IF(A1006="","",SUMIFS(Акты!$D$5:$D$16,Акты!$E$5:$E$16,"&lt;="&amp;A1006)-SUMIFS(Оплаты!$B$6:$B$505,Оплаты!$A$6:$A$505,"&lt;"&amp;A1006,Оплаты!$D$6:$D$505,"&lt;&gt;"))</f>
        <v/>
      </c>
      <c r="E1006">
        <f>IF(A1006="","",IF(SUMPRODUCT((Ввод!$F$12:$F$31&lt;&gt;"")*(Ввод!$F$12:$F$31&lt;=A1006)*(Ввод!$G$12:$G$31&gt;=A1006))&gt;0,1,0))</f>
        <v/>
      </c>
      <c r="G1006">
        <f>IF(A1006="","",IF(OR(B1006&lt;&gt;B1005,C1006&lt;&gt;C1005,E1006&lt;&gt;E1005),G1005+1,G1005))</f>
        <v/>
      </c>
    </row>
    <row r="1007">
      <c r="A1007" s="20">
        <f>IF(A1006="","",IF(A1006+1&gt;Ввод!$B$4,"",A1006+1))</f>
        <v/>
      </c>
      <c r="B1007">
        <f>IF(A1007="","",IFERROR(INDEX(Ввод!$B$12:$B$71,MATCH(A1007,Ввод!$D$12:$D$71,1)),""))</f>
        <v/>
      </c>
      <c r="C1007">
        <f>IF(A1007="","",DATE(YEAR(A1007),12,31)-DATE(YEAR(A1007),1,1)+1)</f>
        <v/>
      </c>
      <c r="D1007">
        <f>IF(A1007="","",SUMIFS(Акты!$D$5:$D$16,Акты!$E$5:$E$16,"&lt;="&amp;A1007)-SUMIFS(Оплаты!$B$6:$B$505,Оплаты!$A$6:$A$505,"&lt;"&amp;A1007,Оплаты!$D$6:$D$505,"&lt;&gt;"))</f>
        <v/>
      </c>
      <c r="E1007">
        <f>IF(A1007="","",IF(SUMPRODUCT((Ввод!$F$12:$F$31&lt;&gt;"")*(Ввод!$F$12:$F$31&lt;=A1007)*(Ввод!$G$12:$G$31&gt;=A1007))&gt;0,1,0))</f>
        <v/>
      </c>
      <c r="G1007">
        <f>IF(A1007="","",IF(OR(B1007&lt;&gt;B1006,C1007&lt;&gt;C1006,E1007&lt;&gt;E1006),G1006+1,G1006))</f>
        <v/>
      </c>
    </row>
    <row r="1008">
      <c r="A1008" s="20">
        <f>IF(A1007="","",IF(A1007+1&gt;Ввод!$B$4,"",A1007+1))</f>
        <v/>
      </c>
      <c r="B1008">
        <f>IF(A1008="","",IFERROR(INDEX(Ввод!$B$12:$B$71,MATCH(A1008,Ввод!$D$12:$D$71,1)),""))</f>
        <v/>
      </c>
      <c r="C1008">
        <f>IF(A1008="","",DATE(YEAR(A1008),12,31)-DATE(YEAR(A1008),1,1)+1)</f>
        <v/>
      </c>
      <c r="D1008">
        <f>IF(A1008="","",SUMIFS(Акты!$D$5:$D$16,Акты!$E$5:$E$16,"&lt;="&amp;A1008)-SUMIFS(Оплаты!$B$6:$B$505,Оплаты!$A$6:$A$505,"&lt;"&amp;A1008,Оплаты!$D$6:$D$505,"&lt;&gt;"))</f>
        <v/>
      </c>
      <c r="E1008">
        <f>IF(A1008="","",IF(SUMPRODUCT((Ввод!$F$12:$F$31&lt;&gt;"")*(Ввод!$F$12:$F$31&lt;=A1008)*(Ввод!$G$12:$G$31&gt;=A1008))&gt;0,1,0))</f>
        <v/>
      </c>
      <c r="G1008">
        <f>IF(A1008="","",IF(OR(B1008&lt;&gt;B1007,C1008&lt;&gt;C1007,E1008&lt;&gt;E1007),G1007+1,G1007))</f>
        <v/>
      </c>
    </row>
    <row r="1009">
      <c r="A1009" s="20">
        <f>IF(A1008="","",IF(A1008+1&gt;Ввод!$B$4,"",A1008+1))</f>
        <v/>
      </c>
      <c r="B1009">
        <f>IF(A1009="","",IFERROR(INDEX(Ввод!$B$12:$B$71,MATCH(A1009,Ввод!$D$12:$D$71,1)),""))</f>
        <v/>
      </c>
      <c r="C1009">
        <f>IF(A1009="","",DATE(YEAR(A1009),12,31)-DATE(YEAR(A1009),1,1)+1)</f>
        <v/>
      </c>
      <c r="D1009">
        <f>IF(A1009="","",SUMIFS(Акты!$D$5:$D$16,Акты!$E$5:$E$16,"&lt;="&amp;A1009)-SUMIFS(Оплаты!$B$6:$B$505,Оплаты!$A$6:$A$505,"&lt;"&amp;A1009,Оплаты!$D$6:$D$505,"&lt;&gt;"))</f>
        <v/>
      </c>
      <c r="E1009">
        <f>IF(A1009="","",IF(SUMPRODUCT((Ввод!$F$12:$F$31&lt;&gt;"")*(Ввод!$F$12:$F$31&lt;=A1009)*(Ввод!$G$12:$G$31&gt;=A1009))&gt;0,1,0))</f>
        <v/>
      </c>
      <c r="G1009">
        <f>IF(A1009="","",IF(OR(B1009&lt;&gt;B1008,C1009&lt;&gt;C1008,E1009&lt;&gt;E1008),G1008+1,G1008))</f>
        <v/>
      </c>
    </row>
    <row r="1010">
      <c r="A1010" s="20">
        <f>IF(A1009="","",IF(A1009+1&gt;Ввод!$B$4,"",A1009+1))</f>
        <v/>
      </c>
      <c r="B1010">
        <f>IF(A1010="","",IFERROR(INDEX(Ввод!$B$12:$B$71,MATCH(A1010,Ввод!$D$12:$D$71,1)),""))</f>
        <v/>
      </c>
      <c r="C1010">
        <f>IF(A1010="","",DATE(YEAR(A1010),12,31)-DATE(YEAR(A1010),1,1)+1)</f>
        <v/>
      </c>
      <c r="D1010">
        <f>IF(A1010="","",SUMIFS(Акты!$D$5:$D$16,Акты!$E$5:$E$16,"&lt;="&amp;A1010)-SUMIFS(Оплаты!$B$6:$B$505,Оплаты!$A$6:$A$505,"&lt;"&amp;A1010,Оплаты!$D$6:$D$505,"&lt;&gt;"))</f>
        <v/>
      </c>
      <c r="E1010">
        <f>IF(A1010="","",IF(SUMPRODUCT((Ввод!$F$12:$F$31&lt;&gt;"")*(Ввод!$F$12:$F$31&lt;=A1010)*(Ввод!$G$12:$G$31&gt;=A1010))&gt;0,1,0))</f>
        <v/>
      </c>
      <c r="G1010">
        <f>IF(A1010="","",IF(OR(B1010&lt;&gt;B1009,C1010&lt;&gt;C1009,E1010&lt;&gt;E1009),G1009+1,G1009))</f>
        <v/>
      </c>
    </row>
    <row r="1011">
      <c r="A1011" s="20">
        <f>IF(A1010="","",IF(A1010+1&gt;Ввод!$B$4,"",A1010+1))</f>
        <v/>
      </c>
      <c r="B1011">
        <f>IF(A1011="","",IFERROR(INDEX(Ввод!$B$12:$B$71,MATCH(A1011,Ввод!$D$12:$D$71,1)),""))</f>
        <v/>
      </c>
      <c r="C1011">
        <f>IF(A1011="","",DATE(YEAR(A1011),12,31)-DATE(YEAR(A1011),1,1)+1)</f>
        <v/>
      </c>
      <c r="D1011">
        <f>IF(A1011="","",SUMIFS(Акты!$D$5:$D$16,Акты!$E$5:$E$16,"&lt;="&amp;A1011)-SUMIFS(Оплаты!$B$6:$B$505,Оплаты!$A$6:$A$505,"&lt;"&amp;A1011,Оплаты!$D$6:$D$505,"&lt;&gt;"))</f>
        <v/>
      </c>
      <c r="E1011">
        <f>IF(A1011="","",IF(SUMPRODUCT((Ввод!$F$12:$F$31&lt;&gt;"")*(Ввод!$F$12:$F$31&lt;=A1011)*(Ввод!$G$12:$G$31&gt;=A1011))&gt;0,1,0))</f>
        <v/>
      </c>
      <c r="G1011">
        <f>IF(A1011="","",IF(OR(B1011&lt;&gt;B1010,C1011&lt;&gt;C1010,E1011&lt;&gt;E1010),G1010+1,G1010))</f>
        <v/>
      </c>
    </row>
    <row r="1012">
      <c r="A1012" s="20">
        <f>IF(A1011="","",IF(A1011+1&gt;Ввод!$B$4,"",A1011+1))</f>
        <v/>
      </c>
      <c r="B1012">
        <f>IF(A1012="","",IFERROR(INDEX(Ввод!$B$12:$B$71,MATCH(A1012,Ввод!$D$12:$D$71,1)),""))</f>
        <v/>
      </c>
      <c r="C1012">
        <f>IF(A1012="","",DATE(YEAR(A1012),12,31)-DATE(YEAR(A1012),1,1)+1)</f>
        <v/>
      </c>
      <c r="D1012">
        <f>IF(A1012="","",SUMIFS(Акты!$D$5:$D$16,Акты!$E$5:$E$16,"&lt;="&amp;A1012)-SUMIFS(Оплаты!$B$6:$B$505,Оплаты!$A$6:$A$505,"&lt;"&amp;A1012,Оплаты!$D$6:$D$505,"&lt;&gt;"))</f>
        <v/>
      </c>
      <c r="E1012">
        <f>IF(A1012="","",IF(SUMPRODUCT((Ввод!$F$12:$F$31&lt;&gt;"")*(Ввод!$F$12:$F$31&lt;=A1012)*(Ввод!$G$12:$G$31&gt;=A1012))&gt;0,1,0))</f>
        <v/>
      </c>
      <c r="G1012">
        <f>IF(A1012="","",IF(OR(B1012&lt;&gt;B1011,C1012&lt;&gt;C1011,E1012&lt;&gt;E1011),G1011+1,G1011))</f>
        <v/>
      </c>
    </row>
    <row r="1013">
      <c r="A1013" s="20">
        <f>IF(A1012="","",IF(A1012+1&gt;Ввод!$B$4,"",A1012+1))</f>
        <v/>
      </c>
      <c r="B1013">
        <f>IF(A1013="","",IFERROR(INDEX(Ввод!$B$12:$B$71,MATCH(A1013,Ввод!$D$12:$D$71,1)),""))</f>
        <v/>
      </c>
      <c r="C1013">
        <f>IF(A1013="","",DATE(YEAR(A1013),12,31)-DATE(YEAR(A1013),1,1)+1)</f>
        <v/>
      </c>
      <c r="D1013">
        <f>IF(A1013="","",SUMIFS(Акты!$D$5:$D$16,Акты!$E$5:$E$16,"&lt;="&amp;A1013)-SUMIFS(Оплаты!$B$6:$B$505,Оплаты!$A$6:$A$505,"&lt;"&amp;A1013,Оплаты!$D$6:$D$505,"&lt;&gt;"))</f>
        <v/>
      </c>
      <c r="E1013">
        <f>IF(A1013="","",IF(SUMPRODUCT((Ввод!$F$12:$F$31&lt;&gt;"")*(Ввод!$F$12:$F$31&lt;=A1013)*(Ввод!$G$12:$G$31&gt;=A1013))&gt;0,1,0))</f>
        <v/>
      </c>
      <c r="G1013">
        <f>IF(A1013="","",IF(OR(B1013&lt;&gt;B1012,C1013&lt;&gt;C1012,E1013&lt;&gt;E1012),G1012+1,G1012))</f>
        <v/>
      </c>
    </row>
    <row r="1014">
      <c r="A1014" s="20">
        <f>IF(A1013="","",IF(A1013+1&gt;Ввод!$B$4,"",A1013+1))</f>
        <v/>
      </c>
      <c r="B1014">
        <f>IF(A1014="","",IFERROR(INDEX(Ввод!$B$12:$B$71,MATCH(A1014,Ввод!$D$12:$D$71,1)),""))</f>
        <v/>
      </c>
      <c r="C1014">
        <f>IF(A1014="","",DATE(YEAR(A1014),12,31)-DATE(YEAR(A1014),1,1)+1)</f>
        <v/>
      </c>
      <c r="D1014">
        <f>IF(A1014="","",SUMIFS(Акты!$D$5:$D$16,Акты!$E$5:$E$16,"&lt;="&amp;A1014)-SUMIFS(Оплаты!$B$6:$B$505,Оплаты!$A$6:$A$505,"&lt;"&amp;A1014,Оплаты!$D$6:$D$505,"&lt;&gt;"))</f>
        <v/>
      </c>
      <c r="E1014">
        <f>IF(A1014="","",IF(SUMPRODUCT((Ввод!$F$12:$F$31&lt;&gt;"")*(Ввод!$F$12:$F$31&lt;=A1014)*(Ввод!$G$12:$G$31&gt;=A1014))&gt;0,1,0))</f>
        <v/>
      </c>
      <c r="G1014">
        <f>IF(A1014="","",IF(OR(B1014&lt;&gt;B1013,C1014&lt;&gt;C1013,E1014&lt;&gt;E1013),G1013+1,G1013))</f>
        <v/>
      </c>
    </row>
    <row r="1015">
      <c r="A1015" s="20">
        <f>IF(A1014="","",IF(A1014+1&gt;Ввод!$B$4,"",A1014+1))</f>
        <v/>
      </c>
      <c r="B1015">
        <f>IF(A1015="","",IFERROR(INDEX(Ввод!$B$12:$B$71,MATCH(A1015,Ввод!$D$12:$D$71,1)),""))</f>
        <v/>
      </c>
      <c r="C1015">
        <f>IF(A1015="","",DATE(YEAR(A1015),12,31)-DATE(YEAR(A1015),1,1)+1)</f>
        <v/>
      </c>
      <c r="D1015">
        <f>IF(A1015="","",SUMIFS(Акты!$D$5:$D$16,Акты!$E$5:$E$16,"&lt;="&amp;A1015)-SUMIFS(Оплаты!$B$6:$B$505,Оплаты!$A$6:$A$505,"&lt;"&amp;A1015,Оплаты!$D$6:$D$505,"&lt;&gt;"))</f>
        <v/>
      </c>
      <c r="E1015">
        <f>IF(A1015="","",IF(SUMPRODUCT((Ввод!$F$12:$F$31&lt;&gt;"")*(Ввод!$F$12:$F$31&lt;=A1015)*(Ввод!$G$12:$G$31&gt;=A1015))&gt;0,1,0))</f>
        <v/>
      </c>
      <c r="G1015">
        <f>IF(A1015="","",IF(OR(B1015&lt;&gt;B1014,C1015&lt;&gt;C1014,E1015&lt;&gt;E1014),G1014+1,G1014))</f>
        <v/>
      </c>
    </row>
    <row r="1016">
      <c r="A1016" s="20">
        <f>IF(A1015="","",IF(A1015+1&gt;Ввод!$B$4,"",A1015+1))</f>
        <v/>
      </c>
      <c r="B1016">
        <f>IF(A1016="","",IFERROR(INDEX(Ввод!$B$12:$B$71,MATCH(A1016,Ввод!$D$12:$D$71,1)),""))</f>
        <v/>
      </c>
      <c r="C1016">
        <f>IF(A1016="","",DATE(YEAR(A1016),12,31)-DATE(YEAR(A1016),1,1)+1)</f>
        <v/>
      </c>
      <c r="D1016">
        <f>IF(A1016="","",SUMIFS(Акты!$D$5:$D$16,Акты!$E$5:$E$16,"&lt;="&amp;A1016)-SUMIFS(Оплаты!$B$6:$B$505,Оплаты!$A$6:$A$505,"&lt;"&amp;A1016,Оплаты!$D$6:$D$505,"&lt;&gt;"))</f>
        <v/>
      </c>
      <c r="E1016">
        <f>IF(A1016="","",IF(SUMPRODUCT((Ввод!$F$12:$F$31&lt;&gt;"")*(Ввод!$F$12:$F$31&lt;=A1016)*(Ввод!$G$12:$G$31&gt;=A1016))&gt;0,1,0))</f>
        <v/>
      </c>
      <c r="G1016">
        <f>IF(A1016="","",IF(OR(B1016&lt;&gt;B1015,C1016&lt;&gt;C1015,E1016&lt;&gt;E1015),G1015+1,G1015))</f>
        <v/>
      </c>
    </row>
    <row r="1017">
      <c r="A1017" s="20">
        <f>IF(A1016="","",IF(A1016+1&gt;Ввод!$B$4,"",A1016+1))</f>
        <v/>
      </c>
      <c r="B1017">
        <f>IF(A1017="","",IFERROR(INDEX(Ввод!$B$12:$B$71,MATCH(A1017,Ввод!$D$12:$D$71,1)),""))</f>
        <v/>
      </c>
      <c r="C1017">
        <f>IF(A1017="","",DATE(YEAR(A1017),12,31)-DATE(YEAR(A1017),1,1)+1)</f>
        <v/>
      </c>
      <c r="D1017">
        <f>IF(A1017="","",SUMIFS(Акты!$D$5:$D$16,Акты!$E$5:$E$16,"&lt;="&amp;A1017)-SUMIFS(Оплаты!$B$6:$B$505,Оплаты!$A$6:$A$505,"&lt;"&amp;A1017,Оплаты!$D$6:$D$505,"&lt;&gt;"))</f>
        <v/>
      </c>
      <c r="E1017">
        <f>IF(A1017="","",IF(SUMPRODUCT((Ввод!$F$12:$F$31&lt;&gt;"")*(Ввод!$F$12:$F$31&lt;=A1017)*(Ввод!$G$12:$G$31&gt;=A1017))&gt;0,1,0))</f>
        <v/>
      </c>
      <c r="G1017">
        <f>IF(A1017="","",IF(OR(B1017&lt;&gt;B1016,C1017&lt;&gt;C1016,E1017&lt;&gt;E1016),G1016+1,G1016))</f>
        <v/>
      </c>
    </row>
    <row r="1018">
      <c r="A1018" s="20">
        <f>IF(A1017="","",IF(A1017+1&gt;Ввод!$B$4,"",A1017+1))</f>
        <v/>
      </c>
      <c r="B1018">
        <f>IF(A1018="","",IFERROR(INDEX(Ввод!$B$12:$B$71,MATCH(A1018,Ввод!$D$12:$D$71,1)),""))</f>
        <v/>
      </c>
      <c r="C1018">
        <f>IF(A1018="","",DATE(YEAR(A1018),12,31)-DATE(YEAR(A1018),1,1)+1)</f>
        <v/>
      </c>
      <c r="D1018">
        <f>IF(A1018="","",SUMIFS(Акты!$D$5:$D$16,Акты!$E$5:$E$16,"&lt;="&amp;A1018)-SUMIFS(Оплаты!$B$6:$B$505,Оплаты!$A$6:$A$505,"&lt;"&amp;A1018,Оплаты!$D$6:$D$505,"&lt;&gt;"))</f>
        <v/>
      </c>
      <c r="E1018">
        <f>IF(A1018="","",IF(SUMPRODUCT((Ввод!$F$12:$F$31&lt;&gt;"")*(Ввод!$F$12:$F$31&lt;=A1018)*(Ввод!$G$12:$G$31&gt;=A1018))&gt;0,1,0))</f>
        <v/>
      </c>
      <c r="G1018">
        <f>IF(A1018="","",IF(OR(B1018&lt;&gt;B1017,C1018&lt;&gt;C1017,E1018&lt;&gt;E1017),G1017+1,G1017))</f>
        <v/>
      </c>
    </row>
    <row r="1019">
      <c r="A1019" s="20">
        <f>IF(A1018="","",IF(A1018+1&gt;Ввод!$B$4,"",A1018+1))</f>
        <v/>
      </c>
      <c r="B1019">
        <f>IF(A1019="","",IFERROR(INDEX(Ввод!$B$12:$B$71,MATCH(A1019,Ввод!$D$12:$D$71,1)),""))</f>
        <v/>
      </c>
      <c r="C1019">
        <f>IF(A1019="","",DATE(YEAR(A1019),12,31)-DATE(YEAR(A1019),1,1)+1)</f>
        <v/>
      </c>
      <c r="D1019">
        <f>IF(A1019="","",SUMIFS(Акты!$D$5:$D$16,Акты!$E$5:$E$16,"&lt;="&amp;A1019)-SUMIFS(Оплаты!$B$6:$B$505,Оплаты!$A$6:$A$505,"&lt;"&amp;A1019,Оплаты!$D$6:$D$505,"&lt;&gt;"))</f>
        <v/>
      </c>
      <c r="E1019">
        <f>IF(A1019="","",IF(SUMPRODUCT((Ввод!$F$12:$F$31&lt;&gt;"")*(Ввод!$F$12:$F$31&lt;=A1019)*(Ввод!$G$12:$G$31&gt;=A1019))&gt;0,1,0))</f>
        <v/>
      </c>
      <c r="G1019">
        <f>IF(A1019="","",IF(OR(B1019&lt;&gt;B1018,C1019&lt;&gt;C1018,E1019&lt;&gt;E1018),G1018+1,G1018))</f>
        <v/>
      </c>
    </row>
    <row r="1020">
      <c r="A1020" s="20">
        <f>IF(A1019="","",IF(A1019+1&gt;Ввод!$B$4,"",A1019+1))</f>
        <v/>
      </c>
      <c r="B1020">
        <f>IF(A1020="","",IFERROR(INDEX(Ввод!$B$12:$B$71,MATCH(A1020,Ввод!$D$12:$D$71,1)),""))</f>
        <v/>
      </c>
      <c r="C1020">
        <f>IF(A1020="","",DATE(YEAR(A1020),12,31)-DATE(YEAR(A1020),1,1)+1)</f>
        <v/>
      </c>
      <c r="D1020">
        <f>IF(A1020="","",SUMIFS(Акты!$D$5:$D$16,Акты!$E$5:$E$16,"&lt;="&amp;A1020)-SUMIFS(Оплаты!$B$6:$B$505,Оплаты!$A$6:$A$505,"&lt;"&amp;A1020,Оплаты!$D$6:$D$505,"&lt;&gt;"))</f>
        <v/>
      </c>
      <c r="E1020">
        <f>IF(A1020="","",IF(SUMPRODUCT((Ввод!$F$12:$F$31&lt;&gt;"")*(Ввод!$F$12:$F$31&lt;=A1020)*(Ввод!$G$12:$G$31&gt;=A1020))&gt;0,1,0))</f>
        <v/>
      </c>
      <c r="G1020">
        <f>IF(A1020="","",IF(OR(B1020&lt;&gt;B1019,C1020&lt;&gt;C1019,E1020&lt;&gt;E1019),G1019+1,G1019))</f>
        <v/>
      </c>
    </row>
    <row r="1021">
      <c r="A1021" s="20">
        <f>IF(A1020="","",IF(A1020+1&gt;Ввод!$B$4,"",A1020+1))</f>
        <v/>
      </c>
      <c r="B1021">
        <f>IF(A1021="","",IFERROR(INDEX(Ввод!$B$12:$B$71,MATCH(A1021,Ввод!$D$12:$D$71,1)),""))</f>
        <v/>
      </c>
      <c r="C1021">
        <f>IF(A1021="","",DATE(YEAR(A1021),12,31)-DATE(YEAR(A1021),1,1)+1)</f>
        <v/>
      </c>
      <c r="D1021">
        <f>IF(A1021="","",SUMIFS(Акты!$D$5:$D$16,Акты!$E$5:$E$16,"&lt;="&amp;A1021)-SUMIFS(Оплаты!$B$6:$B$505,Оплаты!$A$6:$A$505,"&lt;"&amp;A1021,Оплаты!$D$6:$D$505,"&lt;&gt;"))</f>
        <v/>
      </c>
      <c r="E1021">
        <f>IF(A1021="","",IF(SUMPRODUCT((Ввод!$F$12:$F$31&lt;&gt;"")*(Ввод!$F$12:$F$31&lt;=A1021)*(Ввод!$G$12:$G$31&gt;=A1021))&gt;0,1,0))</f>
        <v/>
      </c>
      <c r="G1021">
        <f>IF(A1021="","",IF(OR(B1021&lt;&gt;B1020,C1021&lt;&gt;C1020,E1021&lt;&gt;E1020),G1020+1,G1020))</f>
        <v/>
      </c>
    </row>
    <row r="1022">
      <c r="A1022" s="20">
        <f>IF(A1021="","",IF(A1021+1&gt;Ввод!$B$4,"",A1021+1))</f>
        <v/>
      </c>
      <c r="B1022">
        <f>IF(A1022="","",IFERROR(INDEX(Ввод!$B$12:$B$71,MATCH(A1022,Ввод!$D$12:$D$71,1)),""))</f>
        <v/>
      </c>
      <c r="C1022">
        <f>IF(A1022="","",DATE(YEAR(A1022),12,31)-DATE(YEAR(A1022),1,1)+1)</f>
        <v/>
      </c>
      <c r="D1022">
        <f>IF(A1022="","",SUMIFS(Акты!$D$5:$D$16,Акты!$E$5:$E$16,"&lt;="&amp;A1022)-SUMIFS(Оплаты!$B$6:$B$505,Оплаты!$A$6:$A$505,"&lt;"&amp;A1022,Оплаты!$D$6:$D$505,"&lt;&gt;"))</f>
        <v/>
      </c>
      <c r="E1022">
        <f>IF(A1022="","",IF(SUMPRODUCT((Ввод!$F$12:$F$31&lt;&gt;"")*(Ввод!$F$12:$F$31&lt;=A1022)*(Ввод!$G$12:$G$31&gt;=A1022))&gt;0,1,0))</f>
        <v/>
      </c>
      <c r="G1022">
        <f>IF(A1022="","",IF(OR(B1022&lt;&gt;B1021,C1022&lt;&gt;C1021,E1022&lt;&gt;E1021),G1021+1,G1021))</f>
        <v/>
      </c>
    </row>
    <row r="1023">
      <c r="A1023" s="20">
        <f>IF(A1022="","",IF(A1022+1&gt;Ввод!$B$4,"",A1022+1))</f>
        <v/>
      </c>
      <c r="B1023">
        <f>IF(A1023="","",IFERROR(INDEX(Ввод!$B$12:$B$71,MATCH(A1023,Ввод!$D$12:$D$71,1)),""))</f>
        <v/>
      </c>
      <c r="C1023">
        <f>IF(A1023="","",DATE(YEAR(A1023),12,31)-DATE(YEAR(A1023),1,1)+1)</f>
        <v/>
      </c>
      <c r="D1023">
        <f>IF(A1023="","",SUMIFS(Акты!$D$5:$D$16,Акты!$E$5:$E$16,"&lt;="&amp;A1023)-SUMIFS(Оплаты!$B$6:$B$505,Оплаты!$A$6:$A$505,"&lt;"&amp;A1023,Оплаты!$D$6:$D$505,"&lt;&gt;"))</f>
        <v/>
      </c>
      <c r="E1023">
        <f>IF(A1023="","",IF(SUMPRODUCT((Ввод!$F$12:$F$31&lt;&gt;"")*(Ввод!$F$12:$F$31&lt;=A1023)*(Ввод!$G$12:$G$31&gt;=A1023))&gt;0,1,0))</f>
        <v/>
      </c>
      <c r="G1023">
        <f>IF(A1023="","",IF(OR(B1023&lt;&gt;B1022,C1023&lt;&gt;C1022,E1023&lt;&gt;E1022),G1022+1,G1022))</f>
        <v/>
      </c>
    </row>
    <row r="1024">
      <c r="A1024" s="20">
        <f>IF(A1023="","",IF(A1023+1&gt;Ввод!$B$4,"",A1023+1))</f>
        <v/>
      </c>
      <c r="B1024">
        <f>IF(A1024="","",IFERROR(INDEX(Ввод!$B$12:$B$71,MATCH(A1024,Ввод!$D$12:$D$71,1)),""))</f>
        <v/>
      </c>
      <c r="C1024">
        <f>IF(A1024="","",DATE(YEAR(A1024),12,31)-DATE(YEAR(A1024),1,1)+1)</f>
        <v/>
      </c>
      <c r="D1024">
        <f>IF(A1024="","",SUMIFS(Акты!$D$5:$D$16,Акты!$E$5:$E$16,"&lt;="&amp;A1024)-SUMIFS(Оплаты!$B$6:$B$505,Оплаты!$A$6:$A$505,"&lt;"&amp;A1024,Оплаты!$D$6:$D$505,"&lt;&gt;"))</f>
        <v/>
      </c>
      <c r="E1024">
        <f>IF(A1024="","",IF(SUMPRODUCT((Ввод!$F$12:$F$31&lt;&gt;"")*(Ввод!$F$12:$F$31&lt;=A1024)*(Ввод!$G$12:$G$31&gt;=A1024))&gt;0,1,0))</f>
        <v/>
      </c>
      <c r="G1024">
        <f>IF(A1024="","",IF(OR(B1024&lt;&gt;B1023,C1024&lt;&gt;C1023,E1024&lt;&gt;E1023),G1023+1,G1023))</f>
        <v/>
      </c>
    </row>
    <row r="1025">
      <c r="A1025" s="20">
        <f>IF(A1024="","",IF(A1024+1&gt;Ввод!$B$4,"",A1024+1))</f>
        <v/>
      </c>
      <c r="B1025">
        <f>IF(A1025="","",IFERROR(INDEX(Ввод!$B$12:$B$71,MATCH(A1025,Ввод!$D$12:$D$71,1)),""))</f>
        <v/>
      </c>
      <c r="C1025">
        <f>IF(A1025="","",DATE(YEAR(A1025),12,31)-DATE(YEAR(A1025),1,1)+1)</f>
        <v/>
      </c>
      <c r="D1025">
        <f>IF(A1025="","",SUMIFS(Акты!$D$5:$D$16,Акты!$E$5:$E$16,"&lt;="&amp;A1025)-SUMIFS(Оплаты!$B$6:$B$505,Оплаты!$A$6:$A$505,"&lt;"&amp;A1025,Оплаты!$D$6:$D$505,"&lt;&gt;"))</f>
        <v/>
      </c>
      <c r="E1025">
        <f>IF(A1025="","",IF(SUMPRODUCT((Ввод!$F$12:$F$31&lt;&gt;"")*(Ввод!$F$12:$F$31&lt;=A1025)*(Ввод!$G$12:$G$31&gt;=A1025))&gt;0,1,0))</f>
        <v/>
      </c>
      <c r="G1025">
        <f>IF(A1025="","",IF(OR(B1025&lt;&gt;B1024,C1025&lt;&gt;C1024,E1025&lt;&gt;E1024),G1024+1,G1024))</f>
        <v/>
      </c>
    </row>
    <row r="1026">
      <c r="A1026" s="20">
        <f>IF(A1025="","",IF(A1025+1&gt;Ввод!$B$4,"",A1025+1))</f>
        <v/>
      </c>
      <c r="B1026">
        <f>IF(A1026="","",IFERROR(INDEX(Ввод!$B$12:$B$71,MATCH(A1026,Ввод!$D$12:$D$71,1)),""))</f>
        <v/>
      </c>
      <c r="C1026">
        <f>IF(A1026="","",DATE(YEAR(A1026),12,31)-DATE(YEAR(A1026),1,1)+1)</f>
        <v/>
      </c>
      <c r="D1026">
        <f>IF(A1026="","",SUMIFS(Акты!$D$5:$D$16,Акты!$E$5:$E$16,"&lt;="&amp;A1026)-SUMIFS(Оплаты!$B$6:$B$505,Оплаты!$A$6:$A$505,"&lt;"&amp;A1026,Оплаты!$D$6:$D$505,"&lt;&gt;"))</f>
        <v/>
      </c>
      <c r="E1026">
        <f>IF(A1026="","",IF(SUMPRODUCT((Ввод!$F$12:$F$31&lt;&gt;"")*(Ввод!$F$12:$F$31&lt;=A1026)*(Ввод!$G$12:$G$31&gt;=A1026))&gt;0,1,0))</f>
        <v/>
      </c>
      <c r="G1026">
        <f>IF(A1026="","",IF(OR(B1026&lt;&gt;B1025,C1026&lt;&gt;C1025,E1026&lt;&gt;E1025),G1025+1,G1025))</f>
        <v/>
      </c>
    </row>
    <row r="1027">
      <c r="A1027" s="20">
        <f>IF(A1026="","",IF(A1026+1&gt;Ввод!$B$4,"",A1026+1))</f>
        <v/>
      </c>
      <c r="B1027">
        <f>IF(A1027="","",IFERROR(INDEX(Ввод!$B$12:$B$71,MATCH(A1027,Ввод!$D$12:$D$71,1)),""))</f>
        <v/>
      </c>
      <c r="C1027">
        <f>IF(A1027="","",DATE(YEAR(A1027),12,31)-DATE(YEAR(A1027),1,1)+1)</f>
        <v/>
      </c>
      <c r="D1027">
        <f>IF(A1027="","",SUMIFS(Акты!$D$5:$D$16,Акты!$E$5:$E$16,"&lt;="&amp;A1027)-SUMIFS(Оплаты!$B$6:$B$505,Оплаты!$A$6:$A$505,"&lt;"&amp;A1027,Оплаты!$D$6:$D$505,"&lt;&gt;"))</f>
        <v/>
      </c>
      <c r="E1027">
        <f>IF(A1027="","",IF(SUMPRODUCT((Ввод!$F$12:$F$31&lt;&gt;"")*(Ввод!$F$12:$F$31&lt;=A1027)*(Ввод!$G$12:$G$31&gt;=A1027))&gt;0,1,0))</f>
        <v/>
      </c>
      <c r="G1027">
        <f>IF(A1027="","",IF(OR(B1027&lt;&gt;B1026,C1027&lt;&gt;C1026,E1027&lt;&gt;E1026),G1026+1,G1026))</f>
        <v/>
      </c>
    </row>
    <row r="1028">
      <c r="A1028" s="20">
        <f>IF(A1027="","",IF(A1027+1&gt;Ввод!$B$4,"",A1027+1))</f>
        <v/>
      </c>
      <c r="B1028">
        <f>IF(A1028="","",IFERROR(INDEX(Ввод!$B$12:$B$71,MATCH(A1028,Ввод!$D$12:$D$71,1)),""))</f>
        <v/>
      </c>
      <c r="C1028">
        <f>IF(A1028="","",DATE(YEAR(A1028),12,31)-DATE(YEAR(A1028),1,1)+1)</f>
        <v/>
      </c>
      <c r="D1028">
        <f>IF(A1028="","",SUMIFS(Акты!$D$5:$D$16,Акты!$E$5:$E$16,"&lt;="&amp;A1028)-SUMIFS(Оплаты!$B$6:$B$505,Оплаты!$A$6:$A$505,"&lt;"&amp;A1028,Оплаты!$D$6:$D$505,"&lt;&gt;"))</f>
        <v/>
      </c>
      <c r="E1028">
        <f>IF(A1028="","",IF(SUMPRODUCT((Ввод!$F$12:$F$31&lt;&gt;"")*(Ввод!$F$12:$F$31&lt;=A1028)*(Ввод!$G$12:$G$31&gt;=A1028))&gt;0,1,0))</f>
        <v/>
      </c>
      <c r="G1028">
        <f>IF(A1028="","",IF(OR(B1028&lt;&gt;B1027,C1028&lt;&gt;C1027,E1028&lt;&gt;E1027),G1027+1,G1027))</f>
        <v/>
      </c>
    </row>
    <row r="1029">
      <c r="A1029" s="20">
        <f>IF(A1028="","",IF(A1028+1&gt;Ввод!$B$4,"",A1028+1))</f>
        <v/>
      </c>
      <c r="B1029">
        <f>IF(A1029="","",IFERROR(INDEX(Ввод!$B$12:$B$71,MATCH(A1029,Ввод!$D$12:$D$71,1)),""))</f>
        <v/>
      </c>
      <c r="C1029">
        <f>IF(A1029="","",DATE(YEAR(A1029),12,31)-DATE(YEAR(A1029),1,1)+1)</f>
        <v/>
      </c>
      <c r="D1029">
        <f>IF(A1029="","",SUMIFS(Акты!$D$5:$D$16,Акты!$E$5:$E$16,"&lt;="&amp;A1029)-SUMIFS(Оплаты!$B$6:$B$505,Оплаты!$A$6:$A$505,"&lt;"&amp;A1029,Оплаты!$D$6:$D$505,"&lt;&gt;"))</f>
        <v/>
      </c>
      <c r="E1029">
        <f>IF(A1029="","",IF(SUMPRODUCT((Ввод!$F$12:$F$31&lt;&gt;"")*(Ввод!$F$12:$F$31&lt;=A1029)*(Ввод!$G$12:$G$31&gt;=A1029))&gt;0,1,0))</f>
        <v/>
      </c>
      <c r="G1029">
        <f>IF(A1029="","",IF(OR(B1029&lt;&gt;B1028,C1029&lt;&gt;C1028,E1029&lt;&gt;E1028),G1028+1,G1028))</f>
        <v/>
      </c>
    </row>
    <row r="1030">
      <c r="A1030" s="20">
        <f>IF(A1029="","",IF(A1029+1&gt;Ввод!$B$4,"",A1029+1))</f>
        <v/>
      </c>
      <c r="B1030">
        <f>IF(A1030="","",IFERROR(INDEX(Ввод!$B$12:$B$71,MATCH(A1030,Ввод!$D$12:$D$71,1)),""))</f>
        <v/>
      </c>
      <c r="C1030">
        <f>IF(A1030="","",DATE(YEAR(A1030),12,31)-DATE(YEAR(A1030),1,1)+1)</f>
        <v/>
      </c>
      <c r="D1030">
        <f>IF(A1030="","",SUMIFS(Акты!$D$5:$D$16,Акты!$E$5:$E$16,"&lt;="&amp;A1030)-SUMIFS(Оплаты!$B$6:$B$505,Оплаты!$A$6:$A$505,"&lt;"&amp;A1030,Оплаты!$D$6:$D$505,"&lt;&gt;"))</f>
        <v/>
      </c>
      <c r="E1030">
        <f>IF(A1030="","",IF(SUMPRODUCT((Ввод!$F$12:$F$31&lt;&gt;"")*(Ввод!$F$12:$F$31&lt;=A1030)*(Ввод!$G$12:$G$31&gt;=A1030))&gt;0,1,0))</f>
        <v/>
      </c>
      <c r="G1030">
        <f>IF(A1030="","",IF(OR(B1030&lt;&gt;B1029,C1030&lt;&gt;C1029,E1030&lt;&gt;E1029),G1029+1,G1029))</f>
        <v/>
      </c>
    </row>
    <row r="1031">
      <c r="A1031" s="20">
        <f>IF(A1030="","",IF(A1030+1&gt;Ввод!$B$4,"",A1030+1))</f>
        <v/>
      </c>
      <c r="B1031">
        <f>IF(A1031="","",IFERROR(INDEX(Ввод!$B$12:$B$71,MATCH(A1031,Ввод!$D$12:$D$71,1)),""))</f>
        <v/>
      </c>
      <c r="C1031">
        <f>IF(A1031="","",DATE(YEAR(A1031),12,31)-DATE(YEAR(A1031),1,1)+1)</f>
        <v/>
      </c>
      <c r="D1031">
        <f>IF(A1031="","",SUMIFS(Акты!$D$5:$D$16,Акты!$E$5:$E$16,"&lt;="&amp;A1031)-SUMIFS(Оплаты!$B$6:$B$505,Оплаты!$A$6:$A$505,"&lt;"&amp;A1031,Оплаты!$D$6:$D$505,"&lt;&gt;"))</f>
        <v/>
      </c>
      <c r="E1031">
        <f>IF(A1031="","",IF(SUMPRODUCT((Ввод!$F$12:$F$31&lt;&gt;"")*(Ввод!$F$12:$F$31&lt;=A1031)*(Ввод!$G$12:$G$31&gt;=A1031))&gt;0,1,0))</f>
        <v/>
      </c>
      <c r="G1031">
        <f>IF(A1031="","",IF(OR(B1031&lt;&gt;B1030,C1031&lt;&gt;C1030,E1031&lt;&gt;E1030),G1030+1,G1030))</f>
        <v/>
      </c>
    </row>
    <row r="1032">
      <c r="A1032" s="20">
        <f>IF(A1031="","",IF(A1031+1&gt;Ввод!$B$4,"",A1031+1))</f>
        <v/>
      </c>
      <c r="B1032">
        <f>IF(A1032="","",IFERROR(INDEX(Ввод!$B$12:$B$71,MATCH(A1032,Ввод!$D$12:$D$71,1)),""))</f>
        <v/>
      </c>
      <c r="C1032">
        <f>IF(A1032="","",DATE(YEAR(A1032),12,31)-DATE(YEAR(A1032),1,1)+1)</f>
        <v/>
      </c>
      <c r="D1032">
        <f>IF(A1032="","",SUMIFS(Акты!$D$5:$D$16,Акты!$E$5:$E$16,"&lt;="&amp;A1032)-SUMIFS(Оплаты!$B$6:$B$505,Оплаты!$A$6:$A$505,"&lt;"&amp;A1032,Оплаты!$D$6:$D$505,"&lt;&gt;"))</f>
        <v/>
      </c>
      <c r="E1032">
        <f>IF(A1032="","",IF(SUMPRODUCT((Ввод!$F$12:$F$31&lt;&gt;"")*(Ввод!$F$12:$F$31&lt;=A1032)*(Ввод!$G$12:$G$31&gt;=A1032))&gt;0,1,0))</f>
        <v/>
      </c>
      <c r="G1032">
        <f>IF(A1032="","",IF(OR(B1032&lt;&gt;B1031,C1032&lt;&gt;C1031,E1032&lt;&gt;E1031),G1031+1,G1031))</f>
        <v/>
      </c>
    </row>
    <row r="1033">
      <c r="A1033" s="20">
        <f>IF(A1032="","",IF(A1032+1&gt;Ввод!$B$4,"",A1032+1))</f>
        <v/>
      </c>
      <c r="B1033">
        <f>IF(A1033="","",IFERROR(INDEX(Ввод!$B$12:$B$71,MATCH(A1033,Ввод!$D$12:$D$71,1)),""))</f>
        <v/>
      </c>
      <c r="C1033">
        <f>IF(A1033="","",DATE(YEAR(A1033),12,31)-DATE(YEAR(A1033),1,1)+1)</f>
        <v/>
      </c>
      <c r="D1033">
        <f>IF(A1033="","",SUMIFS(Акты!$D$5:$D$16,Акты!$E$5:$E$16,"&lt;="&amp;A1033)-SUMIFS(Оплаты!$B$6:$B$505,Оплаты!$A$6:$A$505,"&lt;"&amp;A1033,Оплаты!$D$6:$D$505,"&lt;&gt;"))</f>
        <v/>
      </c>
      <c r="E1033">
        <f>IF(A1033="","",IF(SUMPRODUCT((Ввод!$F$12:$F$31&lt;&gt;"")*(Ввод!$F$12:$F$31&lt;=A1033)*(Ввод!$G$12:$G$31&gt;=A1033))&gt;0,1,0))</f>
        <v/>
      </c>
      <c r="G1033">
        <f>IF(A1033="","",IF(OR(B1033&lt;&gt;B1032,C1033&lt;&gt;C1032,E1033&lt;&gt;E1032),G1032+1,G1032))</f>
        <v/>
      </c>
    </row>
    <row r="1034">
      <c r="A1034" s="20">
        <f>IF(A1033="","",IF(A1033+1&gt;Ввод!$B$4,"",A1033+1))</f>
        <v/>
      </c>
      <c r="B1034">
        <f>IF(A1034="","",IFERROR(INDEX(Ввод!$B$12:$B$71,MATCH(A1034,Ввод!$D$12:$D$71,1)),""))</f>
        <v/>
      </c>
      <c r="C1034">
        <f>IF(A1034="","",DATE(YEAR(A1034),12,31)-DATE(YEAR(A1034),1,1)+1)</f>
        <v/>
      </c>
      <c r="D1034">
        <f>IF(A1034="","",SUMIFS(Акты!$D$5:$D$16,Акты!$E$5:$E$16,"&lt;="&amp;A1034)-SUMIFS(Оплаты!$B$6:$B$505,Оплаты!$A$6:$A$505,"&lt;"&amp;A1034,Оплаты!$D$6:$D$505,"&lt;&gt;"))</f>
        <v/>
      </c>
      <c r="E1034">
        <f>IF(A1034="","",IF(SUMPRODUCT((Ввод!$F$12:$F$31&lt;&gt;"")*(Ввод!$F$12:$F$31&lt;=A1034)*(Ввод!$G$12:$G$31&gt;=A1034))&gt;0,1,0))</f>
        <v/>
      </c>
      <c r="G1034">
        <f>IF(A1034="","",IF(OR(B1034&lt;&gt;B1033,C1034&lt;&gt;C1033,E1034&lt;&gt;E1033),G1033+1,G1033))</f>
        <v/>
      </c>
    </row>
    <row r="1035">
      <c r="A1035" s="20">
        <f>IF(A1034="","",IF(A1034+1&gt;Ввод!$B$4,"",A1034+1))</f>
        <v/>
      </c>
      <c r="B1035">
        <f>IF(A1035="","",IFERROR(INDEX(Ввод!$B$12:$B$71,MATCH(A1035,Ввод!$D$12:$D$71,1)),""))</f>
        <v/>
      </c>
      <c r="C1035">
        <f>IF(A1035="","",DATE(YEAR(A1035),12,31)-DATE(YEAR(A1035),1,1)+1)</f>
        <v/>
      </c>
      <c r="D1035">
        <f>IF(A1035="","",SUMIFS(Акты!$D$5:$D$16,Акты!$E$5:$E$16,"&lt;="&amp;A1035)-SUMIFS(Оплаты!$B$6:$B$505,Оплаты!$A$6:$A$505,"&lt;"&amp;A1035,Оплаты!$D$6:$D$505,"&lt;&gt;"))</f>
        <v/>
      </c>
      <c r="E1035">
        <f>IF(A1035="","",IF(SUMPRODUCT((Ввод!$F$12:$F$31&lt;&gt;"")*(Ввод!$F$12:$F$31&lt;=A1035)*(Ввод!$G$12:$G$31&gt;=A1035))&gt;0,1,0))</f>
        <v/>
      </c>
      <c r="G1035">
        <f>IF(A1035="","",IF(OR(B1035&lt;&gt;B1034,C1035&lt;&gt;C1034,E1035&lt;&gt;E1034),G1034+1,G1034))</f>
        <v/>
      </c>
    </row>
    <row r="1036">
      <c r="A1036" s="20">
        <f>IF(A1035="","",IF(A1035+1&gt;Ввод!$B$4,"",A1035+1))</f>
        <v/>
      </c>
      <c r="B1036">
        <f>IF(A1036="","",IFERROR(INDEX(Ввод!$B$12:$B$71,MATCH(A1036,Ввод!$D$12:$D$71,1)),""))</f>
        <v/>
      </c>
      <c r="C1036">
        <f>IF(A1036="","",DATE(YEAR(A1036),12,31)-DATE(YEAR(A1036),1,1)+1)</f>
        <v/>
      </c>
      <c r="D1036">
        <f>IF(A1036="","",SUMIFS(Акты!$D$5:$D$16,Акты!$E$5:$E$16,"&lt;="&amp;A1036)-SUMIFS(Оплаты!$B$6:$B$505,Оплаты!$A$6:$A$505,"&lt;"&amp;A1036,Оплаты!$D$6:$D$505,"&lt;&gt;"))</f>
        <v/>
      </c>
      <c r="E1036">
        <f>IF(A1036="","",IF(SUMPRODUCT((Ввод!$F$12:$F$31&lt;&gt;"")*(Ввод!$F$12:$F$31&lt;=A1036)*(Ввод!$G$12:$G$31&gt;=A1036))&gt;0,1,0))</f>
        <v/>
      </c>
      <c r="G1036">
        <f>IF(A1036="","",IF(OR(B1036&lt;&gt;B1035,C1036&lt;&gt;C1035,E1036&lt;&gt;E1035),G1035+1,G1035))</f>
        <v/>
      </c>
    </row>
    <row r="1037">
      <c r="A1037" s="20">
        <f>IF(A1036="","",IF(A1036+1&gt;Ввод!$B$4,"",A1036+1))</f>
        <v/>
      </c>
      <c r="B1037">
        <f>IF(A1037="","",IFERROR(INDEX(Ввод!$B$12:$B$71,MATCH(A1037,Ввод!$D$12:$D$71,1)),""))</f>
        <v/>
      </c>
      <c r="C1037">
        <f>IF(A1037="","",DATE(YEAR(A1037),12,31)-DATE(YEAR(A1037),1,1)+1)</f>
        <v/>
      </c>
      <c r="D1037">
        <f>IF(A1037="","",SUMIFS(Акты!$D$5:$D$16,Акты!$E$5:$E$16,"&lt;="&amp;A1037)-SUMIFS(Оплаты!$B$6:$B$505,Оплаты!$A$6:$A$505,"&lt;"&amp;A1037,Оплаты!$D$6:$D$505,"&lt;&gt;"))</f>
        <v/>
      </c>
      <c r="E1037">
        <f>IF(A1037="","",IF(SUMPRODUCT((Ввод!$F$12:$F$31&lt;&gt;"")*(Ввод!$F$12:$F$31&lt;=A1037)*(Ввод!$G$12:$G$31&gt;=A1037))&gt;0,1,0))</f>
        <v/>
      </c>
      <c r="G1037">
        <f>IF(A1037="","",IF(OR(B1037&lt;&gt;B1036,C1037&lt;&gt;C1036,E1037&lt;&gt;E1036),G1036+1,G1036))</f>
        <v/>
      </c>
    </row>
    <row r="1038">
      <c r="A1038" s="20">
        <f>IF(A1037="","",IF(A1037+1&gt;Ввод!$B$4,"",A1037+1))</f>
        <v/>
      </c>
      <c r="B1038">
        <f>IF(A1038="","",IFERROR(INDEX(Ввод!$B$12:$B$71,MATCH(A1038,Ввод!$D$12:$D$71,1)),""))</f>
        <v/>
      </c>
      <c r="C1038">
        <f>IF(A1038="","",DATE(YEAR(A1038),12,31)-DATE(YEAR(A1038),1,1)+1)</f>
        <v/>
      </c>
      <c r="D1038">
        <f>IF(A1038="","",SUMIFS(Акты!$D$5:$D$16,Акты!$E$5:$E$16,"&lt;="&amp;A1038)-SUMIFS(Оплаты!$B$6:$B$505,Оплаты!$A$6:$A$505,"&lt;"&amp;A1038,Оплаты!$D$6:$D$505,"&lt;&gt;"))</f>
        <v/>
      </c>
      <c r="E1038">
        <f>IF(A1038="","",IF(SUMPRODUCT((Ввод!$F$12:$F$31&lt;&gt;"")*(Ввод!$F$12:$F$31&lt;=A1038)*(Ввод!$G$12:$G$31&gt;=A1038))&gt;0,1,0))</f>
        <v/>
      </c>
      <c r="G1038">
        <f>IF(A1038="","",IF(OR(B1038&lt;&gt;B1037,C1038&lt;&gt;C1037,E1038&lt;&gt;E1037),G1037+1,G1037))</f>
        <v/>
      </c>
    </row>
    <row r="1039">
      <c r="A1039" s="20">
        <f>IF(A1038="","",IF(A1038+1&gt;Ввод!$B$4,"",A1038+1))</f>
        <v/>
      </c>
      <c r="B1039">
        <f>IF(A1039="","",IFERROR(INDEX(Ввод!$B$12:$B$71,MATCH(A1039,Ввод!$D$12:$D$71,1)),""))</f>
        <v/>
      </c>
      <c r="C1039">
        <f>IF(A1039="","",DATE(YEAR(A1039),12,31)-DATE(YEAR(A1039),1,1)+1)</f>
        <v/>
      </c>
      <c r="D1039">
        <f>IF(A1039="","",SUMIFS(Акты!$D$5:$D$16,Акты!$E$5:$E$16,"&lt;="&amp;A1039)-SUMIFS(Оплаты!$B$6:$B$505,Оплаты!$A$6:$A$505,"&lt;"&amp;A1039,Оплаты!$D$6:$D$505,"&lt;&gt;"))</f>
        <v/>
      </c>
      <c r="E1039">
        <f>IF(A1039="","",IF(SUMPRODUCT((Ввод!$F$12:$F$31&lt;&gt;"")*(Ввод!$F$12:$F$31&lt;=A1039)*(Ввод!$G$12:$G$31&gt;=A1039))&gt;0,1,0))</f>
        <v/>
      </c>
      <c r="G1039">
        <f>IF(A1039="","",IF(OR(B1039&lt;&gt;B1038,C1039&lt;&gt;C1038,E1039&lt;&gt;E1038),G1038+1,G1038))</f>
        <v/>
      </c>
    </row>
    <row r="1040">
      <c r="A1040" s="20">
        <f>IF(A1039="","",IF(A1039+1&gt;Ввод!$B$4,"",A1039+1))</f>
        <v/>
      </c>
      <c r="B1040">
        <f>IF(A1040="","",IFERROR(INDEX(Ввод!$B$12:$B$71,MATCH(A1040,Ввод!$D$12:$D$71,1)),""))</f>
        <v/>
      </c>
      <c r="C1040">
        <f>IF(A1040="","",DATE(YEAR(A1040),12,31)-DATE(YEAR(A1040),1,1)+1)</f>
        <v/>
      </c>
      <c r="D1040">
        <f>IF(A1040="","",SUMIFS(Акты!$D$5:$D$16,Акты!$E$5:$E$16,"&lt;="&amp;A1040)-SUMIFS(Оплаты!$B$6:$B$505,Оплаты!$A$6:$A$505,"&lt;"&amp;A1040,Оплаты!$D$6:$D$505,"&lt;&gt;"))</f>
        <v/>
      </c>
      <c r="E1040">
        <f>IF(A1040="","",IF(SUMPRODUCT((Ввод!$F$12:$F$31&lt;&gt;"")*(Ввод!$F$12:$F$31&lt;=A1040)*(Ввод!$G$12:$G$31&gt;=A1040))&gt;0,1,0))</f>
        <v/>
      </c>
      <c r="G1040">
        <f>IF(A1040="","",IF(OR(B1040&lt;&gt;B1039,C1040&lt;&gt;C1039,E1040&lt;&gt;E1039),G1039+1,G1039))</f>
        <v/>
      </c>
    </row>
    <row r="1041">
      <c r="A1041" s="20">
        <f>IF(A1040="","",IF(A1040+1&gt;Ввод!$B$4,"",A1040+1))</f>
        <v/>
      </c>
      <c r="B1041">
        <f>IF(A1041="","",IFERROR(INDEX(Ввод!$B$12:$B$71,MATCH(A1041,Ввод!$D$12:$D$71,1)),""))</f>
        <v/>
      </c>
      <c r="C1041">
        <f>IF(A1041="","",DATE(YEAR(A1041),12,31)-DATE(YEAR(A1041),1,1)+1)</f>
        <v/>
      </c>
      <c r="D1041">
        <f>IF(A1041="","",SUMIFS(Акты!$D$5:$D$16,Акты!$E$5:$E$16,"&lt;="&amp;A1041)-SUMIFS(Оплаты!$B$6:$B$505,Оплаты!$A$6:$A$505,"&lt;"&amp;A1041,Оплаты!$D$6:$D$505,"&lt;&gt;"))</f>
        <v/>
      </c>
      <c r="E1041">
        <f>IF(A1041="","",IF(SUMPRODUCT((Ввод!$F$12:$F$31&lt;&gt;"")*(Ввод!$F$12:$F$31&lt;=A1041)*(Ввод!$G$12:$G$31&gt;=A1041))&gt;0,1,0))</f>
        <v/>
      </c>
      <c r="G1041">
        <f>IF(A1041="","",IF(OR(B1041&lt;&gt;B1040,C1041&lt;&gt;C1040,E1041&lt;&gt;E1040),G1040+1,G1040))</f>
        <v/>
      </c>
    </row>
    <row r="1042">
      <c r="A1042" s="20">
        <f>IF(A1041="","",IF(A1041+1&gt;Ввод!$B$4,"",A1041+1))</f>
        <v/>
      </c>
      <c r="B1042">
        <f>IF(A1042="","",IFERROR(INDEX(Ввод!$B$12:$B$71,MATCH(A1042,Ввод!$D$12:$D$71,1)),""))</f>
        <v/>
      </c>
      <c r="C1042">
        <f>IF(A1042="","",DATE(YEAR(A1042),12,31)-DATE(YEAR(A1042),1,1)+1)</f>
        <v/>
      </c>
      <c r="D1042">
        <f>IF(A1042="","",SUMIFS(Акты!$D$5:$D$16,Акты!$E$5:$E$16,"&lt;="&amp;A1042)-SUMIFS(Оплаты!$B$6:$B$505,Оплаты!$A$6:$A$505,"&lt;"&amp;A1042,Оплаты!$D$6:$D$505,"&lt;&gt;"))</f>
        <v/>
      </c>
      <c r="E1042">
        <f>IF(A1042="","",IF(SUMPRODUCT((Ввод!$F$12:$F$31&lt;&gt;"")*(Ввод!$F$12:$F$31&lt;=A1042)*(Ввод!$G$12:$G$31&gt;=A1042))&gt;0,1,0))</f>
        <v/>
      </c>
      <c r="G1042">
        <f>IF(A1042="","",IF(OR(B1042&lt;&gt;B1041,C1042&lt;&gt;C1041,E1042&lt;&gt;E1041),G1041+1,G1041))</f>
        <v/>
      </c>
    </row>
    <row r="1043">
      <c r="A1043" s="20">
        <f>IF(A1042="","",IF(A1042+1&gt;Ввод!$B$4,"",A1042+1))</f>
        <v/>
      </c>
      <c r="B1043">
        <f>IF(A1043="","",IFERROR(INDEX(Ввод!$B$12:$B$71,MATCH(A1043,Ввод!$D$12:$D$71,1)),""))</f>
        <v/>
      </c>
      <c r="C1043">
        <f>IF(A1043="","",DATE(YEAR(A1043),12,31)-DATE(YEAR(A1043),1,1)+1)</f>
        <v/>
      </c>
      <c r="D1043">
        <f>IF(A1043="","",SUMIFS(Акты!$D$5:$D$16,Акты!$E$5:$E$16,"&lt;="&amp;A1043)-SUMIFS(Оплаты!$B$6:$B$505,Оплаты!$A$6:$A$505,"&lt;"&amp;A1043,Оплаты!$D$6:$D$505,"&lt;&gt;"))</f>
        <v/>
      </c>
      <c r="E1043">
        <f>IF(A1043="","",IF(SUMPRODUCT((Ввод!$F$12:$F$31&lt;&gt;"")*(Ввод!$F$12:$F$31&lt;=A1043)*(Ввод!$G$12:$G$31&gt;=A1043))&gt;0,1,0))</f>
        <v/>
      </c>
      <c r="G1043">
        <f>IF(A1043="","",IF(OR(B1043&lt;&gt;B1042,C1043&lt;&gt;C1042,E1043&lt;&gt;E1042),G1042+1,G1042))</f>
        <v/>
      </c>
    </row>
    <row r="1044">
      <c r="A1044" s="20">
        <f>IF(A1043="","",IF(A1043+1&gt;Ввод!$B$4,"",A1043+1))</f>
        <v/>
      </c>
      <c r="B1044">
        <f>IF(A1044="","",IFERROR(INDEX(Ввод!$B$12:$B$71,MATCH(A1044,Ввод!$D$12:$D$71,1)),""))</f>
        <v/>
      </c>
      <c r="C1044">
        <f>IF(A1044="","",DATE(YEAR(A1044),12,31)-DATE(YEAR(A1044),1,1)+1)</f>
        <v/>
      </c>
      <c r="D1044">
        <f>IF(A1044="","",SUMIFS(Акты!$D$5:$D$16,Акты!$E$5:$E$16,"&lt;="&amp;A1044)-SUMIFS(Оплаты!$B$6:$B$505,Оплаты!$A$6:$A$505,"&lt;"&amp;A1044,Оплаты!$D$6:$D$505,"&lt;&gt;"))</f>
        <v/>
      </c>
      <c r="E1044">
        <f>IF(A1044="","",IF(SUMPRODUCT((Ввод!$F$12:$F$31&lt;&gt;"")*(Ввод!$F$12:$F$31&lt;=A1044)*(Ввод!$G$12:$G$31&gt;=A1044))&gt;0,1,0))</f>
        <v/>
      </c>
      <c r="G1044">
        <f>IF(A1044="","",IF(OR(B1044&lt;&gt;B1043,C1044&lt;&gt;C1043,E1044&lt;&gt;E1043),G1043+1,G1043))</f>
        <v/>
      </c>
    </row>
    <row r="1045">
      <c r="A1045" s="20">
        <f>IF(A1044="","",IF(A1044+1&gt;Ввод!$B$4,"",A1044+1))</f>
        <v/>
      </c>
      <c r="B1045">
        <f>IF(A1045="","",IFERROR(INDEX(Ввод!$B$12:$B$71,MATCH(A1045,Ввод!$D$12:$D$71,1)),""))</f>
        <v/>
      </c>
      <c r="C1045">
        <f>IF(A1045="","",DATE(YEAR(A1045),12,31)-DATE(YEAR(A1045),1,1)+1)</f>
        <v/>
      </c>
      <c r="D1045">
        <f>IF(A1045="","",SUMIFS(Акты!$D$5:$D$16,Акты!$E$5:$E$16,"&lt;="&amp;A1045)-SUMIFS(Оплаты!$B$6:$B$505,Оплаты!$A$6:$A$505,"&lt;"&amp;A1045,Оплаты!$D$6:$D$505,"&lt;&gt;"))</f>
        <v/>
      </c>
      <c r="E1045">
        <f>IF(A1045="","",IF(SUMPRODUCT((Ввод!$F$12:$F$31&lt;&gt;"")*(Ввод!$F$12:$F$31&lt;=A1045)*(Ввод!$G$12:$G$31&gt;=A1045))&gt;0,1,0))</f>
        <v/>
      </c>
      <c r="G1045">
        <f>IF(A1045="","",IF(OR(B1045&lt;&gt;B1044,C1045&lt;&gt;C1044,E1045&lt;&gt;E1044),G1044+1,G1044))</f>
        <v/>
      </c>
    </row>
    <row r="1046">
      <c r="A1046" s="20">
        <f>IF(A1045="","",IF(A1045+1&gt;Ввод!$B$4,"",A1045+1))</f>
        <v/>
      </c>
      <c r="B1046">
        <f>IF(A1046="","",IFERROR(INDEX(Ввод!$B$12:$B$71,MATCH(A1046,Ввод!$D$12:$D$71,1)),""))</f>
        <v/>
      </c>
      <c r="C1046">
        <f>IF(A1046="","",DATE(YEAR(A1046),12,31)-DATE(YEAR(A1046),1,1)+1)</f>
        <v/>
      </c>
      <c r="D1046">
        <f>IF(A1046="","",SUMIFS(Акты!$D$5:$D$16,Акты!$E$5:$E$16,"&lt;="&amp;A1046)-SUMIFS(Оплаты!$B$6:$B$505,Оплаты!$A$6:$A$505,"&lt;"&amp;A1046,Оплаты!$D$6:$D$505,"&lt;&gt;"))</f>
        <v/>
      </c>
      <c r="E1046">
        <f>IF(A1046="","",IF(SUMPRODUCT((Ввод!$F$12:$F$31&lt;&gt;"")*(Ввод!$F$12:$F$31&lt;=A1046)*(Ввод!$G$12:$G$31&gt;=A1046))&gt;0,1,0))</f>
        <v/>
      </c>
      <c r="G1046">
        <f>IF(A1046="","",IF(OR(B1046&lt;&gt;B1045,C1046&lt;&gt;C1045,E1046&lt;&gt;E1045),G1045+1,G1045))</f>
        <v/>
      </c>
    </row>
    <row r="1047">
      <c r="A1047" s="20">
        <f>IF(A1046="","",IF(A1046+1&gt;Ввод!$B$4,"",A1046+1))</f>
        <v/>
      </c>
      <c r="B1047">
        <f>IF(A1047="","",IFERROR(INDEX(Ввод!$B$12:$B$71,MATCH(A1047,Ввод!$D$12:$D$71,1)),""))</f>
        <v/>
      </c>
      <c r="C1047">
        <f>IF(A1047="","",DATE(YEAR(A1047),12,31)-DATE(YEAR(A1047),1,1)+1)</f>
        <v/>
      </c>
      <c r="D1047">
        <f>IF(A1047="","",SUMIFS(Акты!$D$5:$D$16,Акты!$E$5:$E$16,"&lt;="&amp;A1047)-SUMIFS(Оплаты!$B$6:$B$505,Оплаты!$A$6:$A$505,"&lt;"&amp;A1047,Оплаты!$D$6:$D$505,"&lt;&gt;"))</f>
        <v/>
      </c>
      <c r="E1047">
        <f>IF(A1047="","",IF(SUMPRODUCT((Ввод!$F$12:$F$31&lt;&gt;"")*(Ввод!$F$12:$F$31&lt;=A1047)*(Ввод!$G$12:$G$31&gt;=A1047))&gt;0,1,0))</f>
        <v/>
      </c>
      <c r="G1047">
        <f>IF(A1047="","",IF(OR(B1047&lt;&gt;B1046,C1047&lt;&gt;C1046,E1047&lt;&gt;E1046),G1046+1,G1046))</f>
        <v/>
      </c>
    </row>
    <row r="1048">
      <c r="A1048" s="20">
        <f>IF(A1047="","",IF(A1047+1&gt;Ввод!$B$4,"",A1047+1))</f>
        <v/>
      </c>
      <c r="B1048">
        <f>IF(A1048="","",IFERROR(INDEX(Ввод!$B$12:$B$71,MATCH(A1048,Ввод!$D$12:$D$71,1)),""))</f>
        <v/>
      </c>
      <c r="C1048">
        <f>IF(A1048="","",DATE(YEAR(A1048),12,31)-DATE(YEAR(A1048),1,1)+1)</f>
        <v/>
      </c>
      <c r="D1048">
        <f>IF(A1048="","",SUMIFS(Акты!$D$5:$D$16,Акты!$E$5:$E$16,"&lt;="&amp;A1048)-SUMIFS(Оплаты!$B$6:$B$505,Оплаты!$A$6:$A$505,"&lt;"&amp;A1048,Оплаты!$D$6:$D$505,"&lt;&gt;"))</f>
        <v/>
      </c>
      <c r="E1048">
        <f>IF(A1048="","",IF(SUMPRODUCT((Ввод!$F$12:$F$31&lt;&gt;"")*(Ввод!$F$12:$F$31&lt;=A1048)*(Ввод!$G$12:$G$31&gt;=A1048))&gt;0,1,0))</f>
        <v/>
      </c>
      <c r="G1048">
        <f>IF(A1048="","",IF(OR(B1048&lt;&gt;B1047,C1048&lt;&gt;C1047,E1048&lt;&gt;E1047),G1047+1,G1047))</f>
        <v/>
      </c>
    </row>
    <row r="1049">
      <c r="A1049" s="20">
        <f>IF(A1048="","",IF(A1048+1&gt;Ввод!$B$4,"",A1048+1))</f>
        <v/>
      </c>
      <c r="B1049">
        <f>IF(A1049="","",IFERROR(INDEX(Ввод!$B$12:$B$71,MATCH(A1049,Ввод!$D$12:$D$71,1)),""))</f>
        <v/>
      </c>
      <c r="C1049">
        <f>IF(A1049="","",DATE(YEAR(A1049),12,31)-DATE(YEAR(A1049),1,1)+1)</f>
        <v/>
      </c>
      <c r="D1049">
        <f>IF(A1049="","",SUMIFS(Акты!$D$5:$D$16,Акты!$E$5:$E$16,"&lt;="&amp;A1049)-SUMIFS(Оплаты!$B$6:$B$505,Оплаты!$A$6:$A$505,"&lt;"&amp;A1049,Оплаты!$D$6:$D$505,"&lt;&gt;"))</f>
        <v/>
      </c>
      <c r="E1049">
        <f>IF(A1049="","",IF(SUMPRODUCT((Ввод!$F$12:$F$31&lt;&gt;"")*(Ввод!$F$12:$F$31&lt;=A1049)*(Ввод!$G$12:$G$31&gt;=A1049))&gt;0,1,0))</f>
        <v/>
      </c>
      <c r="G1049">
        <f>IF(A1049="","",IF(OR(B1049&lt;&gt;B1048,C1049&lt;&gt;C1048,E1049&lt;&gt;E1048),G1048+1,G1048))</f>
        <v/>
      </c>
    </row>
    <row r="1050">
      <c r="A1050" s="20">
        <f>IF(A1049="","",IF(A1049+1&gt;Ввод!$B$4,"",A1049+1))</f>
        <v/>
      </c>
      <c r="B1050">
        <f>IF(A1050="","",IFERROR(INDEX(Ввод!$B$12:$B$71,MATCH(A1050,Ввод!$D$12:$D$71,1)),""))</f>
        <v/>
      </c>
      <c r="C1050">
        <f>IF(A1050="","",DATE(YEAR(A1050),12,31)-DATE(YEAR(A1050),1,1)+1)</f>
        <v/>
      </c>
      <c r="D1050">
        <f>IF(A1050="","",SUMIFS(Акты!$D$5:$D$16,Акты!$E$5:$E$16,"&lt;="&amp;A1050)-SUMIFS(Оплаты!$B$6:$B$505,Оплаты!$A$6:$A$505,"&lt;"&amp;A1050,Оплаты!$D$6:$D$505,"&lt;&gt;"))</f>
        <v/>
      </c>
      <c r="E1050">
        <f>IF(A1050="","",IF(SUMPRODUCT((Ввод!$F$12:$F$31&lt;&gt;"")*(Ввод!$F$12:$F$31&lt;=A1050)*(Ввод!$G$12:$G$31&gt;=A1050))&gt;0,1,0))</f>
        <v/>
      </c>
      <c r="G1050">
        <f>IF(A1050="","",IF(OR(B1050&lt;&gt;B1049,C1050&lt;&gt;C1049,E1050&lt;&gt;E1049),G1049+1,G1049))</f>
        <v/>
      </c>
    </row>
    <row r="1051">
      <c r="A1051" s="20">
        <f>IF(A1050="","",IF(A1050+1&gt;Ввод!$B$4,"",A1050+1))</f>
        <v/>
      </c>
      <c r="B1051">
        <f>IF(A1051="","",IFERROR(INDEX(Ввод!$B$12:$B$71,MATCH(A1051,Ввод!$D$12:$D$71,1)),""))</f>
        <v/>
      </c>
      <c r="C1051">
        <f>IF(A1051="","",DATE(YEAR(A1051),12,31)-DATE(YEAR(A1051),1,1)+1)</f>
        <v/>
      </c>
      <c r="D1051">
        <f>IF(A1051="","",SUMIFS(Акты!$D$5:$D$16,Акты!$E$5:$E$16,"&lt;="&amp;A1051)-SUMIFS(Оплаты!$B$6:$B$505,Оплаты!$A$6:$A$505,"&lt;"&amp;A1051,Оплаты!$D$6:$D$505,"&lt;&gt;"))</f>
        <v/>
      </c>
      <c r="E1051">
        <f>IF(A1051="","",IF(SUMPRODUCT((Ввод!$F$12:$F$31&lt;&gt;"")*(Ввод!$F$12:$F$31&lt;=A1051)*(Ввод!$G$12:$G$31&gt;=A1051))&gt;0,1,0))</f>
        <v/>
      </c>
      <c r="G1051">
        <f>IF(A1051="","",IF(OR(B1051&lt;&gt;B1050,C1051&lt;&gt;C1050,E1051&lt;&gt;E1050),G1050+1,G1050))</f>
        <v/>
      </c>
    </row>
    <row r="1052">
      <c r="A1052" s="20">
        <f>IF(A1051="","",IF(A1051+1&gt;Ввод!$B$4,"",A1051+1))</f>
        <v/>
      </c>
      <c r="B1052">
        <f>IF(A1052="","",IFERROR(INDEX(Ввод!$B$12:$B$71,MATCH(A1052,Ввод!$D$12:$D$71,1)),""))</f>
        <v/>
      </c>
      <c r="C1052">
        <f>IF(A1052="","",DATE(YEAR(A1052),12,31)-DATE(YEAR(A1052),1,1)+1)</f>
        <v/>
      </c>
      <c r="D1052">
        <f>IF(A1052="","",SUMIFS(Акты!$D$5:$D$16,Акты!$E$5:$E$16,"&lt;="&amp;A1052)-SUMIFS(Оплаты!$B$6:$B$505,Оплаты!$A$6:$A$505,"&lt;"&amp;A1052,Оплаты!$D$6:$D$505,"&lt;&gt;"))</f>
        <v/>
      </c>
      <c r="E1052">
        <f>IF(A1052="","",IF(SUMPRODUCT((Ввод!$F$12:$F$31&lt;&gt;"")*(Ввод!$F$12:$F$31&lt;=A1052)*(Ввод!$G$12:$G$31&gt;=A1052))&gt;0,1,0))</f>
        <v/>
      </c>
      <c r="G1052">
        <f>IF(A1052="","",IF(OR(B1052&lt;&gt;B1051,C1052&lt;&gt;C1051,E1052&lt;&gt;E1051),G1051+1,G1051))</f>
        <v/>
      </c>
    </row>
    <row r="1053">
      <c r="A1053" s="20">
        <f>IF(A1052="","",IF(A1052+1&gt;Ввод!$B$4,"",A1052+1))</f>
        <v/>
      </c>
      <c r="B1053">
        <f>IF(A1053="","",IFERROR(INDEX(Ввод!$B$12:$B$71,MATCH(A1053,Ввод!$D$12:$D$71,1)),""))</f>
        <v/>
      </c>
      <c r="C1053">
        <f>IF(A1053="","",DATE(YEAR(A1053),12,31)-DATE(YEAR(A1053),1,1)+1)</f>
        <v/>
      </c>
      <c r="D1053">
        <f>IF(A1053="","",SUMIFS(Акты!$D$5:$D$16,Акты!$E$5:$E$16,"&lt;="&amp;A1053)-SUMIFS(Оплаты!$B$6:$B$505,Оплаты!$A$6:$A$505,"&lt;"&amp;A1053,Оплаты!$D$6:$D$505,"&lt;&gt;"))</f>
        <v/>
      </c>
      <c r="E1053">
        <f>IF(A1053="","",IF(SUMPRODUCT((Ввод!$F$12:$F$31&lt;&gt;"")*(Ввод!$F$12:$F$31&lt;=A1053)*(Ввод!$G$12:$G$31&gt;=A1053))&gt;0,1,0))</f>
        <v/>
      </c>
      <c r="G1053">
        <f>IF(A1053="","",IF(OR(B1053&lt;&gt;B1052,C1053&lt;&gt;C1052,E1053&lt;&gt;E1052),G1052+1,G1052))</f>
        <v/>
      </c>
    </row>
    <row r="1054">
      <c r="A1054" s="20">
        <f>IF(A1053="","",IF(A1053+1&gt;Ввод!$B$4,"",A1053+1))</f>
        <v/>
      </c>
      <c r="B1054">
        <f>IF(A1054="","",IFERROR(INDEX(Ввод!$B$12:$B$71,MATCH(A1054,Ввод!$D$12:$D$71,1)),""))</f>
        <v/>
      </c>
      <c r="C1054">
        <f>IF(A1054="","",DATE(YEAR(A1054),12,31)-DATE(YEAR(A1054),1,1)+1)</f>
        <v/>
      </c>
      <c r="D1054">
        <f>IF(A1054="","",SUMIFS(Акты!$D$5:$D$16,Акты!$E$5:$E$16,"&lt;="&amp;A1054)-SUMIFS(Оплаты!$B$6:$B$505,Оплаты!$A$6:$A$505,"&lt;"&amp;A1054,Оплаты!$D$6:$D$505,"&lt;&gt;"))</f>
        <v/>
      </c>
      <c r="E1054">
        <f>IF(A1054="","",IF(SUMPRODUCT((Ввод!$F$12:$F$31&lt;&gt;"")*(Ввод!$F$12:$F$31&lt;=A1054)*(Ввод!$G$12:$G$31&gt;=A1054))&gt;0,1,0))</f>
        <v/>
      </c>
      <c r="G1054">
        <f>IF(A1054="","",IF(OR(B1054&lt;&gt;B1053,C1054&lt;&gt;C1053,E1054&lt;&gt;E1053),G1053+1,G1053))</f>
        <v/>
      </c>
    </row>
    <row r="1055">
      <c r="A1055" s="20">
        <f>IF(A1054="","",IF(A1054+1&gt;Ввод!$B$4,"",A1054+1))</f>
        <v/>
      </c>
      <c r="B1055">
        <f>IF(A1055="","",IFERROR(INDEX(Ввод!$B$12:$B$71,MATCH(A1055,Ввод!$D$12:$D$71,1)),""))</f>
        <v/>
      </c>
      <c r="C1055">
        <f>IF(A1055="","",DATE(YEAR(A1055),12,31)-DATE(YEAR(A1055),1,1)+1)</f>
        <v/>
      </c>
      <c r="D1055">
        <f>IF(A1055="","",SUMIFS(Акты!$D$5:$D$16,Акты!$E$5:$E$16,"&lt;="&amp;A1055)-SUMIFS(Оплаты!$B$6:$B$505,Оплаты!$A$6:$A$505,"&lt;"&amp;A1055,Оплаты!$D$6:$D$505,"&lt;&gt;"))</f>
        <v/>
      </c>
      <c r="E1055">
        <f>IF(A1055="","",IF(SUMPRODUCT((Ввод!$F$12:$F$31&lt;&gt;"")*(Ввод!$F$12:$F$31&lt;=A1055)*(Ввод!$G$12:$G$31&gt;=A1055))&gt;0,1,0))</f>
        <v/>
      </c>
      <c r="G1055">
        <f>IF(A1055="","",IF(OR(B1055&lt;&gt;B1054,C1055&lt;&gt;C1054,E1055&lt;&gt;E1054),G1054+1,G1054))</f>
        <v/>
      </c>
    </row>
    <row r="1056">
      <c r="A1056" s="20">
        <f>IF(A1055="","",IF(A1055+1&gt;Ввод!$B$4,"",A1055+1))</f>
        <v/>
      </c>
      <c r="B1056">
        <f>IF(A1056="","",IFERROR(INDEX(Ввод!$B$12:$B$71,MATCH(A1056,Ввод!$D$12:$D$71,1)),""))</f>
        <v/>
      </c>
      <c r="C1056">
        <f>IF(A1056="","",DATE(YEAR(A1056),12,31)-DATE(YEAR(A1056),1,1)+1)</f>
        <v/>
      </c>
      <c r="D1056">
        <f>IF(A1056="","",SUMIFS(Акты!$D$5:$D$16,Акты!$E$5:$E$16,"&lt;="&amp;A1056)-SUMIFS(Оплаты!$B$6:$B$505,Оплаты!$A$6:$A$505,"&lt;"&amp;A1056,Оплаты!$D$6:$D$505,"&lt;&gt;"))</f>
        <v/>
      </c>
      <c r="E1056">
        <f>IF(A1056="","",IF(SUMPRODUCT((Ввод!$F$12:$F$31&lt;&gt;"")*(Ввод!$F$12:$F$31&lt;=A1056)*(Ввод!$G$12:$G$31&gt;=A1056))&gt;0,1,0))</f>
        <v/>
      </c>
      <c r="G1056">
        <f>IF(A1056="","",IF(OR(B1056&lt;&gt;B1055,C1056&lt;&gt;C1055,E1056&lt;&gt;E1055),G1055+1,G1055))</f>
        <v/>
      </c>
    </row>
    <row r="1057">
      <c r="A1057" s="20">
        <f>IF(A1056="","",IF(A1056+1&gt;Ввод!$B$4,"",A1056+1))</f>
        <v/>
      </c>
      <c r="B1057">
        <f>IF(A1057="","",IFERROR(INDEX(Ввод!$B$12:$B$71,MATCH(A1057,Ввод!$D$12:$D$71,1)),""))</f>
        <v/>
      </c>
      <c r="C1057">
        <f>IF(A1057="","",DATE(YEAR(A1057),12,31)-DATE(YEAR(A1057),1,1)+1)</f>
        <v/>
      </c>
      <c r="D1057">
        <f>IF(A1057="","",SUMIFS(Акты!$D$5:$D$16,Акты!$E$5:$E$16,"&lt;="&amp;A1057)-SUMIFS(Оплаты!$B$6:$B$505,Оплаты!$A$6:$A$505,"&lt;"&amp;A1057,Оплаты!$D$6:$D$505,"&lt;&gt;"))</f>
        <v/>
      </c>
      <c r="E1057">
        <f>IF(A1057="","",IF(SUMPRODUCT((Ввод!$F$12:$F$31&lt;&gt;"")*(Ввод!$F$12:$F$31&lt;=A1057)*(Ввод!$G$12:$G$31&gt;=A1057))&gt;0,1,0))</f>
        <v/>
      </c>
      <c r="G1057">
        <f>IF(A1057="","",IF(OR(B1057&lt;&gt;B1056,C1057&lt;&gt;C1056,E1057&lt;&gt;E1056),G1056+1,G1056))</f>
        <v/>
      </c>
    </row>
    <row r="1058">
      <c r="A1058" s="20">
        <f>IF(A1057="","",IF(A1057+1&gt;Ввод!$B$4,"",A1057+1))</f>
        <v/>
      </c>
      <c r="B1058">
        <f>IF(A1058="","",IFERROR(INDEX(Ввод!$B$12:$B$71,MATCH(A1058,Ввод!$D$12:$D$71,1)),""))</f>
        <v/>
      </c>
      <c r="C1058">
        <f>IF(A1058="","",DATE(YEAR(A1058),12,31)-DATE(YEAR(A1058),1,1)+1)</f>
        <v/>
      </c>
      <c r="D1058">
        <f>IF(A1058="","",SUMIFS(Акты!$D$5:$D$16,Акты!$E$5:$E$16,"&lt;="&amp;A1058)-SUMIFS(Оплаты!$B$6:$B$505,Оплаты!$A$6:$A$505,"&lt;"&amp;A1058,Оплаты!$D$6:$D$505,"&lt;&gt;"))</f>
        <v/>
      </c>
      <c r="E1058">
        <f>IF(A1058="","",IF(SUMPRODUCT((Ввод!$F$12:$F$31&lt;&gt;"")*(Ввод!$F$12:$F$31&lt;=A1058)*(Ввод!$G$12:$G$31&gt;=A1058))&gt;0,1,0))</f>
        <v/>
      </c>
      <c r="G1058">
        <f>IF(A1058="","",IF(OR(B1058&lt;&gt;B1057,C1058&lt;&gt;C1057,E1058&lt;&gt;E1057),G1057+1,G1057))</f>
        <v/>
      </c>
    </row>
    <row r="1059">
      <c r="A1059" s="20">
        <f>IF(A1058="","",IF(A1058+1&gt;Ввод!$B$4,"",A1058+1))</f>
        <v/>
      </c>
      <c r="B1059">
        <f>IF(A1059="","",IFERROR(INDEX(Ввод!$B$12:$B$71,MATCH(A1059,Ввод!$D$12:$D$71,1)),""))</f>
        <v/>
      </c>
      <c r="C1059">
        <f>IF(A1059="","",DATE(YEAR(A1059),12,31)-DATE(YEAR(A1059),1,1)+1)</f>
        <v/>
      </c>
      <c r="D1059">
        <f>IF(A1059="","",SUMIFS(Акты!$D$5:$D$16,Акты!$E$5:$E$16,"&lt;="&amp;A1059)-SUMIFS(Оплаты!$B$6:$B$505,Оплаты!$A$6:$A$505,"&lt;"&amp;A1059,Оплаты!$D$6:$D$505,"&lt;&gt;"))</f>
        <v/>
      </c>
      <c r="E1059">
        <f>IF(A1059="","",IF(SUMPRODUCT((Ввод!$F$12:$F$31&lt;&gt;"")*(Ввод!$F$12:$F$31&lt;=A1059)*(Ввод!$G$12:$G$31&gt;=A1059))&gt;0,1,0))</f>
        <v/>
      </c>
      <c r="G1059">
        <f>IF(A1059="","",IF(OR(B1059&lt;&gt;B1058,C1059&lt;&gt;C1058,E1059&lt;&gt;E1058),G1058+1,G1058))</f>
        <v/>
      </c>
    </row>
    <row r="1060">
      <c r="A1060" s="20">
        <f>IF(A1059="","",IF(A1059+1&gt;Ввод!$B$4,"",A1059+1))</f>
        <v/>
      </c>
      <c r="B1060">
        <f>IF(A1060="","",IFERROR(INDEX(Ввод!$B$12:$B$71,MATCH(A1060,Ввод!$D$12:$D$71,1)),""))</f>
        <v/>
      </c>
      <c r="C1060">
        <f>IF(A1060="","",DATE(YEAR(A1060),12,31)-DATE(YEAR(A1060),1,1)+1)</f>
        <v/>
      </c>
      <c r="D1060">
        <f>IF(A1060="","",SUMIFS(Акты!$D$5:$D$16,Акты!$E$5:$E$16,"&lt;="&amp;A1060)-SUMIFS(Оплаты!$B$6:$B$505,Оплаты!$A$6:$A$505,"&lt;"&amp;A1060,Оплаты!$D$6:$D$505,"&lt;&gt;"))</f>
        <v/>
      </c>
      <c r="E1060">
        <f>IF(A1060="","",IF(SUMPRODUCT((Ввод!$F$12:$F$31&lt;&gt;"")*(Ввод!$F$12:$F$31&lt;=A1060)*(Ввод!$G$12:$G$31&gt;=A1060))&gt;0,1,0))</f>
        <v/>
      </c>
      <c r="G1060">
        <f>IF(A1060="","",IF(OR(B1060&lt;&gt;B1059,C1060&lt;&gt;C1059,E1060&lt;&gt;E1059),G1059+1,G1059))</f>
        <v/>
      </c>
    </row>
    <row r="1061">
      <c r="A1061" s="20">
        <f>IF(A1060="","",IF(A1060+1&gt;Ввод!$B$4,"",A1060+1))</f>
        <v/>
      </c>
      <c r="B1061">
        <f>IF(A1061="","",IFERROR(INDEX(Ввод!$B$12:$B$71,MATCH(A1061,Ввод!$D$12:$D$71,1)),""))</f>
        <v/>
      </c>
      <c r="C1061">
        <f>IF(A1061="","",DATE(YEAR(A1061),12,31)-DATE(YEAR(A1061),1,1)+1)</f>
        <v/>
      </c>
      <c r="D1061">
        <f>IF(A1061="","",SUMIFS(Акты!$D$5:$D$16,Акты!$E$5:$E$16,"&lt;="&amp;A1061)-SUMIFS(Оплаты!$B$6:$B$505,Оплаты!$A$6:$A$505,"&lt;"&amp;A1061,Оплаты!$D$6:$D$505,"&lt;&gt;"))</f>
        <v/>
      </c>
      <c r="E1061">
        <f>IF(A1061="","",IF(SUMPRODUCT((Ввод!$F$12:$F$31&lt;&gt;"")*(Ввод!$F$12:$F$31&lt;=A1061)*(Ввод!$G$12:$G$31&gt;=A1061))&gt;0,1,0))</f>
        <v/>
      </c>
      <c r="G1061">
        <f>IF(A1061="","",IF(OR(B1061&lt;&gt;B1060,C1061&lt;&gt;C1060,E1061&lt;&gt;E1060),G1060+1,G1060))</f>
        <v/>
      </c>
    </row>
    <row r="1062">
      <c r="A1062" s="20">
        <f>IF(A1061="","",IF(A1061+1&gt;Ввод!$B$4,"",A1061+1))</f>
        <v/>
      </c>
      <c r="B1062">
        <f>IF(A1062="","",IFERROR(INDEX(Ввод!$B$12:$B$71,MATCH(A1062,Ввод!$D$12:$D$71,1)),""))</f>
        <v/>
      </c>
      <c r="C1062">
        <f>IF(A1062="","",DATE(YEAR(A1062),12,31)-DATE(YEAR(A1062),1,1)+1)</f>
        <v/>
      </c>
      <c r="D1062">
        <f>IF(A1062="","",SUMIFS(Акты!$D$5:$D$16,Акты!$E$5:$E$16,"&lt;="&amp;A1062)-SUMIFS(Оплаты!$B$6:$B$505,Оплаты!$A$6:$A$505,"&lt;"&amp;A1062,Оплаты!$D$6:$D$505,"&lt;&gt;"))</f>
        <v/>
      </c>
      <c r="E1062">
        <f>IF(A1062="","",IF(SUMPRODUCT((Ввод!$F$12:$F$31&lt;&gt;"")*(Ввод!$F$12:$F$31&lt;=A1062)*(Ввод!$G$12:$G$31&gt;=A1062))&gt;0,1,0))</f>
        <v/>
      </c>
      <c r="G1062">
        <f>IF(A1062="","",IF(OR(B1062&lt;&gt;B1061,C1062&lt;&gt;C1061,E1062&lt;&gt;E1061),G1061+1,G1061))</f>
        <v/>
      </c>
    </row>
    <row r="1063">
      <c r="A1063" s="20">
        <f>IF(A1062="","",IF(A1062+1&gt;Ввод!$B$4,"",A1062+1))</f>
        <v/>
      </c>
      <c r="B1063">
        <f>IF(A1063="","",IFERROR(INDEX(Ввод!$B$12:$B$71,MATCH(A1063,Ввод!$D$12:$D$71,1)),""))</f>
        <v/>
      </c>
      <c r="C1063">
        <f>IF(A1063="","",DATE(YEAR(A1063),12,31)-DATE(YEAR(A1063),1,1)+1)</f>
        <v/>
      </c>
      <c r="D1063">
        <f>IF(A1063="","",SUMIFS(Акты!$D$5:$D$16,Акты!$E$5:$E$16,"&lt;="&amp;A1063)-SUMIFS(Оплаты!$B$6:$B$505,Оплаты!$A$6:$A$505,"&lt;"&amp;A1063,Оплаты!$D$6:$D$505,"&lt;&gt;"))</f>
        <v/>
      </c>
      <c r="E1063">
        <f>IF(A1063="","",IF(SUMPRODUCT((Ввод!$F$12:$F$31&lt;&gt;"")*(Ввод!$F$12:$F$31&lt;=A1063)*(Ввод!$G$12:$G$31&gt;=A1063))&gt;0,1,0))</f>
        <v/>
      </c>
      <c r="G1063">
        <f>IF(A1063="","",IF(OR(B1063&lt;&gt;B1062,C1063&lt;&gt;C1062,E1063&lt;&gt;E1062),G1062+1,G1062))</f>
        <v/>
      </c>
    </row>
    <row r="1064">
      <c r="A1064" s="20">
        <f>IF(A1063="","",IF(A1063+1&gt;Ввод!$B$4,"",A1063+1))</f>
        <v/>
      </c>
      <c r="B1064">
        <f>IF(A1064="","",IFERROR(INDEX(Ввод!$B$12:$B$71,MATCH(A1064,Ввод!$D$12:$D$71,1)),""))</f>
        <v/>
      </c>
      <c r="C1064">
        <f>IF(A1064="","",DATE(YEAR(A1064),12,31)-DATE(YEAR(A1064),1,1)+1)</f>
        <v/>
      </c>
      <c r="D1064">
        <f>IF(A1064="","",SUMIFS(Акты!$D$5:$D$16,Акты!$E$5:$E$16,"&lt;="&amp;A1064)-SUMIFS(Оплаты!$B$6:$B$505,Оплаты!$A$6:$A$505,"&lt;"&amp;A1064,Оплаты!$D$6:$D$505,"&lt;&gt;"))</f>
        <v/>
      </c>
      <c r="E1064">
        <f>IF(A1064="","",IF(SUMPRODUCT((Ввод!$F$12:$F$31&lt;&gt;"")*(Ввод!$F$12:$F$31&lt;=A1064)*(Ввод!$G$12:$G$31&gt;=A1064))&gt;0,1,0))</f>
        <v/>
      </c>
      <c r="G1064">
        <f>IF(A1064="","",IF(OR(B1064&lt;&gt;B1063,C1064&lt;&gt;C1063,E1064&lt;&gt;E1063),G1063+1,G1063))</f>
        <v/>
      </c>
    </row>
    <row r="1065">
      <c r="A1065" s="20">
        <f>IF(A1064="","",IF(A1064+1&gt;Ввод!$B$4,"",A1064+1))</f>
        <v/>
      </c>
      <c r="B1065">
        <f>IF(A1065="","",IFERROR(INDEX(Ввод!$B$12:$B$71,MATCH(A1065,Ввод!$D$12:$D$71,1)),""))</f>
        <v/>
      </c>
      <c r="C1065">
        <f>IF(A1065="","",DATE(YEAR(A1065),12,31)-DATE(YEAR(A1065),1,1)+1)</f>
        <v/>
      </c>
      <c r="D1065">
        <f>IF(A1065="","",SUMIFS(Акты!$D$5:$D$16,Акты!$E$5:$E$16,"&lt;="&amp;A1065)-SUMIFS(Оплаты!$B$6:$B$505,Оплаты!$A$6:$A$505,"&lt;"&amp;A1065,Оплаты!$D$6:$D$505,"&lt;&gt;"))</f>
        <v/>
      </c>
      <c r="E1065">
        <f>IF(A1065="","",IF(SUMPRODUCT((Ввод!$F$12:$F$31&lt;&gt;"")*(Ввод!$F$12:$F$31&lt;=A1065)*(Ввод!$G$12:$G$31&gt;=A1065))&gt;0,1,0))</f>
        <v/>
      </c>
      <c r="G1065">
        <f>IF(A1065="","",IF(OR(B1065&lt;&gt;B1064,C1065&lt;&gt;C1064,E1065&lt;&gt;E1064),G1064+1,G1064))</f>
        <v/>
      </c>
    </row>
    <row r="1066">
      <c r="A1066" s="20">
        <f>IF(A1065="","",IF(A1065+1&gt;Ввод!$B$4,"",A1065+1))</f>
        <v/>
      </c>
      <c r="B1066">
        <f>IF(A1066="","",IFERROR(INDEX(Ввод!$B$12:$B$71,MATCH(A1066,Ввод!$D$12:$D$71,1)),""))</f>
        <v/>
      </c>
      <c r="C1066">
        <f>IF(A1066="","",DATE(YEAR(A1066),12,31)-DATE(YEAR(A1066),1,1)+1)</f>
        <v/>
      </c>
      <c r="D1066">
        <f>IF(A1066="","",SUMIFS(Акты!$D$5:$D$16,Акты!$E$5:$E$16,"&lt;="&amp;A1066)-SUMIFS(Оплаты!$B$6:$B$505,Оплаты!$A$6:$A$505,"&lt;"&amp;A1066,Оплаты!$D$6:$D$505,"&lt;&gt;"))</f>
        <v/>
      </c>
      <c r="E1066">
        <f>IF(A1066="","",IF(SUMPRODUCT((Ввод!$F$12:$F$31&lt;&gt;"")*(Ввод!$F$12:$F$31&lt;=A1066)*(Ввод!$G$12:$G$31&gt;=A1066))&gt;0,1,0))</f>
        <v/>
      </c>
      <c r="G1066">
        <f>IF(A1066="","",IF(OR(B1066&lt;&gt;B1065,C1066&lt;&gt;C1065,E1066&lt;&gt;E1065),G1065+1,G1065))</f>
        <v/>
      </c>
    </row>
    <row r="1067">
      <c r="A1067" s="20">
        <f>IF(A1066="","",IF(A1066+1&gt;Ввод!$B$4,"",A1066+1))</f>
        <v/>
      </c>
      <c r="B1067">
        <f>IF(A1067="","",IFERROR(INDEX(Ввод!$B$12:$B$71,MATCH(A1067,Ввод!$D$12:$D$71,1)),""))</f>
        <v/>
      </c>
      <c r="C1067">
        <f>IF(A1067="","",DATE(YEAR(A1067),12,31)-DATE(YEAR(A1067),1,1)+1)</f>
        <v/>
      </c>
      <c r="D1067">
        <f>IF(A1067="","",SUMIFS(Акты!$D$5:$D$16,Акты!$E$5:$E$16,"&lt;="&amp;A1067)-SUMIFS(Оплаты!$B$6:$B$505,Оплаты!$A$6:$A$505,"&lt;"&amp;A1067,Оплаты!$D$6:$D$505,"&lt;&gt;"))</f>
        <v/>
      </c>
      <c r="E1067">
        <f>IF(A1067="","",IF(SUMPRODUCT((Ввод!$F$12:$F$31&lt;&gt;"")*(Ввод!$F$12:$F$31&lt;=A1067)*(Ввод!$G$12:$G$31&gt;=A1067))&gt;0,1,0))</f>
        <v/>
      </c>
      <c r="G1067">
        <f>IF(A1067="","",IF(OR(B1067&lt;&gt;B1066,C1067&lt;&gt;C1066,E1067&lt;&gt;E1066),G1066+1,G1066))</f>
        <v/>
      </c>
    </row>
    <row r="1068">
      <c r="A1068" s="20">
        <f>IF(A1067="","",IF(A1067+1&gt;Ввод!$B$4,"",A1067+1))</f>
        <v/>
      </c>
      <c r="B1068">
        <f>IF(A1068="","",IFERROR(INDEX(Ввод!$B$12:$B$71,MATCH(A1068,Ввод!$D$12:$D$71,1)),""))</f>
        <v/>
      </c>
      <c r="C1068">
        <f>IF(A1068="","",DATE(YEAR(A1068),12,31)-DATE(YEAR(A1068),1,1)+1)</f>
        <v/>
      </c>
      <c r="D1068">
        <f>IF(A1068="","",SUMIFS(Акты!$D$5:$D$16,Акты!$E$5:$E$16,"&lt;="&amp;A1068)-SUMIFS(Оплаты!$B$6:$B$505,Оплаты!$A$6:$A$505,"&lt;"&amp;A1068,Оплаты!$D$6:$D$505,"&lt;&gt;"))</f>
        <v/>
      </c>
      <c r="E1068">
        <f>IF(A1068="","",IF(SUMPRODUCT((Ввод!$F$12:$F$31&lt;&gt;"")*(Ввод!$F$12:$F$31&lt;=A1068)*(Ввод!$G$12:$G$31&gt;=A1068))&gt;0,1,0))</f>
        <v/>
      </c>
      <c r="G1068">
        <f>IF(A1068="","",IF(OR(B1068&lt;&gt;B1067,C1068&lt;&gt;C1067,E1068&lt;&gt;E1067),G1067+1,G1067))</f>
        <v/>
      </c>
    </row>
    <row r="1069">
      <c r="A1069" s="20">
        <f>IF(A1068="","",IF(A1068+1&gt;Ввод!$B$4,"",A1068+1))</f>
        <v/>
      </c>
      <c r="B1069">
        <f>IF(A1069="","",IFERROR(INDEX(Ввод!$B$12:$B$71,MATCH(A1069,Ввод!$D$12:$D$71,1)),""))</f>
        <v/>
      </c>
      <c r="C1069">
        <f>IF(A1069="","",DATE(YEAR(A1069),12,31)-DATE(YEAR(A1069),1,1)+1)</f>
        <v/>
      </c>
      <c r="D1069">
        <f>IF(A1069="","",SUMIFS(Акты!$D$5:$D$16,Акты!$E$5:$E$16,"&lt;="&amp;A1069)-SUMIFS(Оплаты!$B$6:$B$505,Оплаты!$A$6:$A$505,"&lt;"&amp;A1069,Оплаты!$D$6:$D$505,"&lt;&gt;"))</f>
        <v/>
      </c>
      <c r="E1069">
        <f>IF(A1069="","",IF(SUMPRODUCT((Ввод!$F$12:$F$31&lt;&gt;"")*(Ввод!$F$12:$F$31&lt;=A1069)*(Ввод!$G$12:$G$31&gt;=A1069))&gt;0,1,0))</f>
        <v/>
      </c>
      <c r="G1069">
        <f>IF(A1069="","",IF(OR(B1069&lt;&gt;B1068,C1069&lt;&gt;C1068,E1069&lt;&gt;E1068),G1068+1,G1068))</f>
        <v/>
      </c>
    </row>
    <row r="1070">
      <c r="A1070" s="20">
        <f>IF(A1069="","",IF(A1069+1&gt;Ввод!$B$4,"",A1069+1))</f>
        <v/>
      </c>
      <c r="B1070">
        <f>IF(A1070="","",IFERROR(INDEX(Ввод!$B$12:$B$71,MATCH(A1070,Ввод!$D$12:$D$71,1)),""))</f>
        <v/>
      </c>
      <c r="C1070">
        <f>IF(A1070="","",DATE(YEAR(A1070),12,31)-DATE(YEAR(A1070),1,1)+1)</f>
        <v/>
      </c>
      <c r="D1070">
        <f>IF(A1070="","",SUMIFS(Акты!$D$5:$D$16,Акты!$E$5:$E$16,"&lt;="&amp;A1070)-SUMIFS(Оплаты!$B$6:$B$505,Оплаты!$A$6:$A$505,"&lt;"&amp;A1070,Оплаты!$D$6:$D$505,"&lt;&gt;"))</f>
        <v/>
      </c>
      <c r="E1070">
        <f>IF(A1070="","",IF(SUMPRODUCT((Ввод!$F$12:$F$31&lt;&gt;"")*(Ввод!$F$12:$F$31&lt;=A1070)*(Ввод!$G$12:$G$31&gt;=A1070))&gt;0,1,0))</f>
        <v/>
      </c>
      <c r="G1070">
        <f>IF(A1070="","",IF(OR(B1070&lt;&gt;B1069,C1070&lt;&gt;C1069,E1070&lt;&gt;E1069),G1069+1,G1069))</f>
        <v/>
      </c>
    </row>
    <row r="1071">
      <c r="A1071" s="20">
        <f>IF(A1070="","",IF(A1070+1&gt;Ввод!$B$4,"",A1070+1))</f>
        <v/>
      </c>
      <c r="B1071">
        <f>IF(A1071="","",IFERROR(INDEX(Ввод!$B$12:$B$71,MATCH(A1071,Ввод!$D$12:$D$71,1)),""))</f>
        <v/>
      </c>
      <c r="C1071">
        <f>IF(A1071="","",DATE(YEAR(A1071),12,31)-DATE(YEAR(A1071),1,1)+1)</f>
        <v/>
      </c>
      <c r="D1071">
        <f>IF(A1071="","",SUMIFS(Акты!$D$5:$D$16,Акты!$E$5:$E$16,"&lt;="&amp;A1071)-SUMIFS(Оплаты!$B$6:$B$505,Оплаты!$A$6:$A$505,"&lt;"&amp;A1071,Оплаты!$D$6:$D$505,"&lt;&gt;"))</f>
        <v/>
      </c>
      <c r="E1071">
        <f>IF(A1071="","",IF(SUMPRODUCT((Ввод!$F$12:$F$31&lt;&gt;"")*(Ввод!$F$12:$F$31&lt;=A1071)*(Ввод!$G$12:$G$31&gt;=A1071))&gt;0,1,0))</f>
        <v/>
      </c>
      <c r="G1071">
        <f>IF(A1071="","",IF(OR(B1071&lt;&gt;B1070,C1071&lt;&gt;C1070,E1071&lt;&gt;E1070),G1070+1,G1070))</f>
        <v/>
      </c>
    </row>
    <row r="1072">
      <c r="A1072" s="20">
        <f>IF(A1071="","",IF(A1071+1&gt;Ввод!$B$4,"",A1071+1))</f>
        <v/>
      </c>
      <c r="B1072">
        <f>IF(A1072="","",IFERROR(INDEX(Ввод!$B$12:$B$71,MATCH(A1072,Ввод!$D$12:$D$71,1)),""))</f>
        <v/>
      </c>
      <c r="C1072">
        <f>IF(A1072="","",DATE(YEAR(A1072),12,31)-DATE(YEAR(A1072),1,1)+1)</f>
        <v/>
      </c>
      <c r="D1072">
        <f>IF(A1072="","",SUMIFS(Акты!$D$5:$D$16,Акты!$E$5:$E$16,"&lt;="&amp;A1072)-SUMIFS(Оплаты!$B$6:$B$505,Оплаты!$A$6:$A$505,"&lt;"&amp;A1072,Оплаты!$D$6:$D$505,"&lt;&gt;"))</f>
        <v/>
      </c>
      <c r="E1072">
        <f>IF(A1072="","",IF(SUMPRODUCT((Ввод!$F$12:$F$31&lt;&gt;"")*(Ввод!$F$12:$F$31&lt;=A1072)*(Ввод!$G$12:$G$31&gt;=A1072))&gt;0,1,0))</f>
        <v/>
      </c>
      <c r="G1072">
        <f>IF(A1072="","",IF(OR(B1072&lt;&gt;B1071,C1072&lt;&gt;C1071,E1072&lt;&gt;E1071),G1071+1,G1071))</f>
        <v/>
      </c>
    </row>
    <row r="1073">
      <c r="A1073" s="20">
        <f>IF(A1072="","",IF(A1072+1&gt;Ввод!$B$4,"",A1072+1))</f>
        <v/>
      </c>
      <c r="B1073">
        <f>IF(A1073="","",IFERROR(INDEX(Ввод!$B$12:$B$71,MATCH(A1073,Ввод!$D$12:$D$71,1)),""))</f>
        <v/>
      </c>
      <c r="C1073">
        <f>IF(A1073="","",DATE(YEAR(A1073),12,31)-DATE(YEAR(A1073),1,1)+1)</f>
        <v/>
      </c>
      <c r="D1073">
        <f>IF(A1073="","",SUMIFS(Акты!$D$5:$D$16,Акты!$E$5:$E$16,"&lt;="&amp;A1073)-SUMIFS(Оплаты!$B$6:$B$505,Оплаты!$A$6:$A$505,"&lt;"&amp;A1073,Оплаты!$D$6:$D$505,"&lt;&gt;"))</f>
        <v/>
      </c>
      <c r="E1073">
        <f>IF(A1073="","",IF(SUMPRODUCT((Ввод!$F$12:$F$31&lt;&gt;"")*(Ввод!$F$12:$F$31&lt;=A1073)*(Ввод!$G$12:$G$31&gt;=A1073))&gt;0,1,0))</f>
        <v/>
      </c>
      <c r="G1073">
        <f>IF(A1073="","",IF(OR(B1073&lt;&gt;B1072,C1073&lt;&gt;C1072,E1073&lt;&gt;E1072),G1072+1,G1072))</f>
        <v/>
      </c>
    </row>
    <row r="1074">
      <c r="A1074" s="20">
        <f>IF(A1073="","",IF(A1073+1&gt;Ввод!$B$4,"",A1073+1))</f>
        <v/>
      </c>
      <c r="B1074">
        <f>IF(A1074="","",IFERROR(INDEX(Ввод!$B$12:$B$71,MATCH(A1074,Ввод!$D$12:$D$71,1)),""))</f>
        <v/>
      </c>
      <c r="C1074">
        <f>IF(A1074="","",DATE(YEAR(A1074),12,31)-DATE(YEAR(A1074),1,1)+1)</f>
        <v/>
      </c>
      <c r="D1074">
        <f>IF(A1074="","",SUMIFS(Акты!$D$5:$D$16,Акты!$E$5:$E$16,"&lt;="&amp;A1074)-SUMIFS(Оплаты!$B$6:$B$505,Оплаты!$A$6:$A$505,"&lt;"&amp;A1074,Оплаты!$D$6:$D$505,"&lt;&gt;"))</f>
        <v/>
      </c>
      <c r="E1074">
        <f>IF(A1074="","",IF(SUMPRODUCT((Ввод!$F$12:$F$31&lt;&gt;"")*(Ввод!$F$12:$F$31&lt;=A1074)*(Ввод!$G$12:$G$31&gt;=A1074))&gt;0,1,0))</f>
        <v/>
      </c>
      <c r="G1074">
        <f>IF(A1074="","",IF(OR(B1074&lt;&gt;B1073,C1074&lt;&gt;C1073,E1074&lt;&gt;E1073),G1073+1,G1073))</f>
        <v/>
      </c>
    </row>
    <row r="1075">
      <c r="A1075" s="20">
        <f>IF(A1074="","",IF(A1074+1&gt;Ввод!$B$4,"",A1074+1))</f>
        <v/>
      </c>
      <c r="B1075">
        <f>IF(A1075="","",IFERROR(INDEX(Ввод!$B$12:$B$71,MATCH(A1075,Ввод!$D$12:$D$71,1)),""))</f>
        <v/>
      </c>
      <c r="C1075">
        <f>IF(A1075="","",DATE(YEAR(A1075),12,31)-DATE(YEAR(A1075),1,1)+1)</f>
        <v/>
      </c>
      <c r="D1075">
        <f>IF(A1075="","",SUMIFS(Акты!$D$5:$D$16,Акты!$E$5:$E$16,"&lt;="&amp;A1075)-SUMIFS(Оплаты!$B$6:$B$505,Оплаты!$A$6:$A$505,"&lt;"&amp;A1075,Оплаты!$D$6:$D$505,"&lt;&gt;"))</f>
        <v/>
      </c>
      <c r="E1075">
        <f>IF(A1075="","",IF(SUMPRODUCT((Ввод!$F$12:$F$31&lt;&gt;"")*(Ввод!$F$12:$F$31&lt;=A1075)*(Ввод!$G$12:$G$31&gt;=A1075))&gt;0,1,0))</f>
        <v/>
      </c>
      <c r="G1075">
        <f>IF(A1075="","",IF(OR(B1075&lt;&gt;B1074,C1075&lt;&gt;C1074,E1075&lt;&gt;E1074),G1074+1,G1074))</f>
        <v/>
      </c>
    </row>
    <row r="1076">
      <c r="A1076" s="20">
        <f>IF(A1075="","",IF(A1075+1&gt;Ввод!$B$4,"",A1075+1))</f>
        <v/>
      </c>
      <c r="B1076">
        <f>IF(A1076="","",IFERROR(INDEX(Ввод!$B$12:$B$71,MATCH(A1076,Ввод!$D$12:$D$71,1)),""))</f>
        <v/>
      </c>
      <c r="C1076">
        <f>IF(A1076="","",DATE(YEAR(A1076),12,31)-DATE(YEAR(A1076),1,1)+1)</f>
        <v/>
      </c>
      <c r="D1076">
        <f>IF(A1076="","",SUMIFS(Акты!$D$5:$D$16,Акты!$E$5:$E$16,"&lt;="&amp;A1076)-SUMIFS(Оплаты!$B$6:$B$505,Оплаты!$A$6:$A$505,"&lt;"&amp;A1076,Оплаты!$D$6:$D$505,"&lt;&gt;"))</f>
        <v/>
      </c>
      <c r="E1076">
        <f>IF(A1076="","",IF(SUMPRODUCT((Ввод!$F$12:$F$31&lt;&gt;"")*(Ввод!$F$12:$F$31&lt;=A1076)*(Ввод!$G$12:$G$31&gt;=A1076))&gt;0,1,0))</f>
        <v/>
      </c>
      <c r="G1076">
        <f>IF(A1076="","",IF(OR(B1076&lt;&gt;B1075,C1076&lt;&gt;C1075,E1076&lt;&gt;E1075),G1075+1,G1075))</f>
        <v/>
      </c>
    </row>
    <row r="1077">
      <c r="A1077" s="20">
        <f>IF(A1076="","",IF(A1076+1&gt;Ввод!$B$4,"",A1076+1))</f>
        <v/>
      </c>
      <c r="B1077">
        <f>IF(A1077="","",IFERROR(INDEX(Ввод!$B$12:$B$71,MATCH(A1077,Ввод!$D$12:$D$71,1)),""))</f>
        <v/>
      </c>
      <c r="C1077">
        <f>IF(A1077="","",DATE(YEAR(A1077),12,31)-DATE(YEAR(A1077),1,1)+1)</f>
        <v/>
      </c>
      <c r="D1077">
        <f>IF(A1077="","",SUMIFS(Акты!$D$5:$D$16,Акты!$E$5:$E$16,"&lt;="&amp;A1077)-SUMIFS(Оплаты!$B$6:$B$505,Оплаты!$A$6:$A$505,"&lt;"&amp;A1077,Оплаты!$D$6:$D$505,"&lt;&gt;"))</f>
        <v/>
      </c>
      <c r="E1077">
        <f>IF(A1077="","",IF(SUMPRODUCT((Ввод!$F$12:$F$31&lt;&gt;"")*(Ввод!$F$12:$F$31&lt;=A1077)*(Ввод!$G$12:$G$31&gt;=A1077))&gt;0,1,0))</f>
        <v/>
      </c>
      <c r="G1077">
        <f>IF(A1077="","",IF(OR(B1077&lt;&gt;B1076,C1077&lt;&gt;C1076,E1077&lt;&gt;E1076),G1076+1,G1076))</f>
        <v/>
      </c>
    </row>
    <row r="1078">
      <c r="A1078" s="20">
        <f>IF(A1077="","",IF(A1077+1&gt;Ввод!$B$4,"",A1077+1))</f>
        <v/>
      </c>
      <c r="B1078">
        <f>IF(A1078="","",IFERROR(INDEX(Ввод!$B$12:$B$71,MATCH(A1078,Ввод!$D$12:$D$71,1)),""))</f>
        <v/>
      </c>
      <c r="C1078">
        <f>IF(A1078="","",DATE(YEAR(A1078),12,31)-DATE(YEAR(A1078),1,1)+1)</f>
        <v/>
      </c>
      <c r="D1078">
        <f>IF(A1078="","",SUMIFS(Акты!$D$5:$D$16,Акты!$E$5:$E$16,"&lt;="&amp;A1078)-SUMIFS(Оплаты!$B$6:$B$505,Оплаты!$A$6:$A$505,"&lt;"&amp;A1078,Оплаты!$D$6:$D$505,"&lt;&gt;"))</f>
        <v/>
      </c>
      <c r="E1078">
        <f>IF(A1078="","",IF(SUMPRODUCT((Ввод!$F$12:$F$31&lt;&gt;"")*(Ввод!$F$12:$F$31&lt;=A1078)*(Ввод!$G$12:$G$31&gt;=A1078))&gt;0,1,0))</f>
        <v/>
      </c>
      <c r="G1078">
        <f>IF(A1078="","",IF(OR(B1078&lt;&gt;B1077,C1078&lt;&gt;C1077,E1078&lt;&gt;E1077),G1077+1,G1077))</f>
        <v/>
      </c>
    </row>
    <row r="1079">
      <c r="A1079" s="20">
        <f>IF(A1078="","",IF(A1078+1&gt;Ввод!$B$4,"",A1078+1))</f>
        <v/>
      </c>
      <c r="B1079">
        <f>IF(A1079="","",IFERROR(INDEX(Ввод!$B$12:$B$71,MATCH(A1079,Ввод!$D$12:$D$71,1)),""))</f>
        <v/>
      </c>
      <c r="C1079">
        <f>IF(A1079="","",DATE(YEAR(A1079),12,31)-DATE(YEAR(A1079),1,1)+1)</f>
        <v/>
      </c>
      <c r="D1079">
        <f>IF(A1079="","",SUMIFS(Акты!$D$5:$D$16,Акты!$E$5:$E$16,"&lt;="&amp;A1079)-SUMIFS(Оплаты!$B$6:$B$505,Оплаты!$A$6:$A$505,"&lt;"&amp;A1079,Оплаты!$D$6:$D$505,"&lt;&gt;"))</f>
        <v/>
      </c>
      <c r="E1079">
        <f>IF(A1079="","",IF(SUMPRODUCT((Ввод!$F$12:$F$31&lt;&gt;"")*(Ввод!$F$12:$F$31&lt;=A1079)*(Ввод!$G$12:$G$31&gt;=A1079))&gt;0,1,0))</f>
        <v/>
      </c>
      <c r="G1079">
        <f>IF(A1079="","",IF(OR(B1079&lt;&gt;B1078,C1079&lt;&gt;C1078,E1079&lt;&gt;E1078),G1078+1,G1078))</f>
        <v/>
      </c>
    </row>
    <row r="1080">
      <c r="A1080" s="20">
        <f>IF(A1079="","",IF(A1079+1&gt;Ввод!$B$4,"",A1079+1))</f>
        <v/>
      </c>
      <c r="B1080">
        <f>IF(A1080="","",IFERROR(INDEX(Ввод!$B$12:$B$71,MATCH(A1080,Ввод!$D$12:$D$71,1)),""))</f>
        <v/>
      </c>
      <c r="C1080">
        <f>IF(A1080="","",DATE(YEAR(A1080),12,31)-DATE(YEAR(A1080),1,1)+1)</f>
        <v/>
      </c>
      <c r="D1080">
        <f>IF(A1080="","",SUMIFS(Акты!$D$5:$D$16,Акты!$E$5:$E$16,"&lt;="&amp;A1080)-SUMIFS(Оплаты!$B$6:$B$505,Оплаты!$A$6:$A$505,"&lt;"&amp;A1080,Оплаты!$D$6:$D$505,"&lt;&gt;"))</f>
        <v/>
      </c>
      <c r="E1080">
        <f>IF(A1080="","",IF(SUMPRODUCT((Ввод!$F$12:$F$31&lt;&gt;"")*(Ввод!$F$12:$F$31&lt;=A1080)*(Ввод!$G$12:$G$31&gt;=A1080))&gt;0,1,0))</f>
        <v/>
      </c>
      <c r="G1080">
        <f>IF(A1080="","",IF(OR(B1080&lt;&gt;B1079,C1080&lt;&gt;C1079,E1080&lt;&gt;E1079),G1079+1,G1079))</f>
        <v/>
      </c>
    </row>
    <row r="1081">
      <c r="A1081" s="20">
        <f>IF(A1080="","",IF(A1080+1&gt;Ввод!$B$4,"",A1080+1))</f>
        <v/>
      </c>
      <c r="B1081">
        <f>IF(A1081="","",IFERROR(INDEX(Ввод!$B$12:$B$71,MATCH(A1081,Ввод!$D$12:$D$71,1)),""))</f>
        <v/>
      </c>
      <c r="C1081">
        <f>IF(A1081="","",DATE(YEAR(A1081),12,31)-DATE(YEAR(A1081),1,1)+1)</f>
        <v/>
      </c>
      <c r="D1081">
        <f>IF(A1081="","",SUMIFS(Акты!$D$5:$D$16,Акты!$E$5:$E$16,"&lt;="&amp;A1081)-SUMIFS(Оплаты!$B$6:$B$505,Оплаты!$A$6:$A$505,"&lt;"&amp;A1081,Оплаты!$D$6:$D$505,"&lt;&gt;"))</f>
        <v/>
      </c>
      <c r="E1081">
        <f>IF(A1081="","",IF(SUMPRODUCT((Ввод!$F$12:$F$31&lt;&gt;"")*(Ввод!$F$12:$F$31&lt;=A1081)*(Ввод!$G$12:$G$31&gt;=A1081))&gt;0,1,0))</f>
        <v/>
      </c>
      <c r="G1081">
        <f>IF(A1081="","",IF(OR(B1081&lt;&gt;B1080,C1081&lt;&gt;C1080,E1081&lt;&gt;E1080),G1080+1,G1080))</f>
        <v/>
      </c>
    </row>
    <row r="1082">
      <c r="A1082" s="20">
        <f>IF(A1081="","",IF(A1081+1&gt;Ввод!$B$4,"",A1081+1))</f>
        <v/>
      </c>
      <c r="B1082">
        <f>IF(A1082="","",IFERROR(INDEX(Ввод!$B$12:$B$71,MATCH(A1082,Ввод!$D$12:$D$71,1)),""))</f>
        <v/>
      </c>
      <c r="C1082">
        <f>IF(A1082="","",DATE(YEAR(A1082),12,31)-DATE(YEAR(A1082),1,1)+1)</f>
        <v/>
      </c>
      <c r="D1082">
        <f>IF(A1082="","",SUMIFS(Акты!$D$5:$D$16,Акты!$E$5:$E$16,"&lt;="&amp;A1082)-SUMIFS(Оплаты!$B$6:$B$505,Оплаты!$A$6:$A$505,"&lt;"&amp;A1082,Оплаты!$D$6:$D$505,"&lt;&gt;"))</f>
        <v/>
      </c>
      <c r="E1082">
        <f>IF(A1082="","",IF(SUMPRODUCT((Ввод!$F$12:$F$31&lt;&gt;"")*(Ввод!$F$12:$F$31&lt;=A1082)*(Ввод!$G$12:$G$31&gt;=A1082))&gt;0,1,0))</f>
        <v/>
      </c>
      <c r="G1082">
        <f>IF(A1082="","",IF(OR(B1082&lt;&gt;B1081,C1082&lt;&gt;C1081,E1082&lt;&gt;E1081),G1081+1,G1081))</f>
        <v/>
      </c>
    </row>
    <row r="1083">
      <c r="A1083" s="20">
        <f>IF(A1082="","",IF(A1082+1&gt;Ввод!$B$4,"",A1082+1))</f>
        <v/>
      </c>
      <c r="B1083">
        <f>IF(A1083="","",IFERROR(INDEX(Ввод!$B$12:$B$71,MATCH(A1083,Ввод!$D$12:$D$71,1)),""))</f>
        <v/>
      </c>
      <c r="C1083">
        <f>IF(A1083="","",DATE(YEAR(A1083),12,31)-DATE(YEAR(A1083),1,1)+1)</f>
        <v/>
      </c>
      <c r="D1083">
        <f>IF(A1083="","",SUMIFS(Акты!$D$5:$D$16,Акты!$E$5:$E$16,"&lt;="&amp;A1083)-SUMIFS(Оплаты!$B$6:$B$505,Оплаты!$A$6:$A$505,"&lt;"&amp;A1083,Оплаты!$D$6:$D$505,"&lt;&gt;"))</f>
        <v/>
      </c>
      <c r="E1083">
        <f>IF(A1083="","",IF(SUMPRODUCT((Ввод!$F$12:$F$31&lt;&gt;"")*(Ввод!$F$12:$F$31&lt;=A1083)*(Ввод!$G$12:$G$31&gt;=A1083))&gt;0,1,0))</f>
        <v/>
      </c>
      <c r="G1083">
        <f>IF(A1083="","",IF(OR(B1083&lt;&gt;B1082,C1083&lt;&gt;C1082,E1083&lt;&gt;E1082),G1082+1,G1082))</f>
        <v/>
      </c>
    </row>
    <row r="1084">
      <c r="A1084" s="20">
        <f>IF(A1083="","",IF(A1083+1&gt;Ввод!$B$4,"",A1083+1))</f>
        <v/>
      </c>
      <c r="B1084">
        <f>IF(A1084="","",IFERROR(INDEX(Ввод!$B$12:$B$71,MATCH(A1084,Ввод!$D$12:$D$71,1)),""))</f>
        <v/>
      </c>
      <c r="C1084">
        <f>IF(A1084="","",DATE(YEAR(A1084),12,31)-DATE(YEAR(A1084),1,1)+1)</f>
        <v/>
      </c>
      <c r="D1084">
        <f>IF(A1084="","",SUMIFS(Акты!$D$5:$D$16,Акты!$E$5:$E$16,"&lt;="&amp;A1084)-SUMIFS(Оплаты!$B$6:$B$505,Оплаты!$A$6:$A$505,"&lt;"&amp;A1084,Оплаты!$D$6:$D$505,"&lt;&gt;"))</f>
        <v/>
      </c>
      <c r="E1084">
        <f>IF(A1084="","",IF(SUMPRODUCT((Ввод!$F$12:$F$31&lt;&gt;"")*(Ввод!$F$12:$F$31&lt;=A1084)*(Ввод!$G$12:$G$31&gt;=A1084))&gt;0,1,0))</f>
        <v/>
      </c>
      <c r="G1084">
        <f>IF(A1084="","",IF(OR(B1084&lt;&gt;B1083,C1084&lt;&gt;C1083,E1084&lt;&gt;E1083),G1083+1,G1083))</f>
        <v/>
      </c>
    </row>
    <row r="1085">
      <c r="A1085" s="20">
        <f>IF(A1084="","",IF(A1084+1&gt;Ввод!$B$4,"",A1084+1))</f>
        <v/>
      </c>
      <c r="B1085">
        <f>IF(A1085="","",IFERROR(INDEX(Ввод!$B$12:$B$71,MATCH(A1085,Ввод!$D$12:$D$71,1)),""))</f>
        <v/>
      </c>
      <c r="C1085">
        <f>IF(A1085="","",DATE(YEAR(A1085),12,31)-DATE(YEAR(A1085),1,1)+1)</f>
        <v/>
      </c>
      <c r="D1085">
        <f>IF(A1085="","",SUMIFS(Акты!$D$5:$D$16,Акты!$E$5:$E$16,"&lt;="&amp;A1085)-SUMIFS(Оплаты!$B$6:$B$505,Оплаты!$A$6:$A$505,"&lt;"&amp;A1085,Оплаты!$D$6:$D$505,"&lt;&gt;"))</f>
        <v/>
      </c>
      <c r="E1085">
        <f>IF(A1085="","",IF(SUMPRODUCT((Ввод!$F$12:$F$31&lt;&gt;"")*(Ввод!$F$12:$F$31&lt;=A1085)*(Ввод!$G$12:$G$31&gt;=A1085))&gt;0,1,0))</f>
        <v/>
      </c>
      <c r="G1085">
        <f>IF(A1085="","",IF(OR(B1085&lt;&gt;B1084,C1085&lt;&gt;C1084,E1085&lt;&gt;E1084),G1084+1,G1084))</f>
        <v/>
      </c>
    </row>
    <row r="1086">
      <c r="A1086" s="20">
        <f>IF(A1085="","",IF(A1085+1&gt;Ввод!$B$4,"",A1085+1))</f>
        <v/>
      </c>
      <c r="B1086">
        <f>IF(A1086="","",IFERROR(INDEX(Ввод!$B$12:$B$71,MATCH(A1086,Ввод!$D$12:$D$71,1)),""))</f>
        <v/>
      </c>
      <c r="C1086">
        <f>IF(A1086="","",DATE(YEAR(A1086),12,31)-DATE(YEAR(A1086),1,1)+1)</f>
        <v/>
      </c>
      <c r="D1086">
        <f>IF(A1086="","",SUMIFS(Акты!$D$5:$D$16,Акты!$E$5:$E$16,"&lt;="&amp;A1086)-SUMIFS(Оплаты!$B$6:$B$505,Оплаты!$A$6:$A$505,"&lt;"&amp;A1086,Оплаты!$D$6:$D$505,"&lt;&gt;"))</f>
        <v/>
      </c>
      <c r="E1086">
        <f>IF(A1086="","",IF(SUMPRODUCT((Ввод!$F$12:$F$31&lt;&gt;"")*(Ввод!$F$12:$F$31&lt;=A1086)*(Ввод!$G$12:$G$31&gt;=A1086))&gt;0,1,0))</f>
        <v/>
      </c>
      <c r="G1086">
        <f>IF(A1086="","",IF(OR(B1086&lt;&gt;B1085,C1086&lt;&gt;C1085,E1086&lt;&gt;E1085),G1085+1,G1085))</f>
        <v/>
      </c>
    </row>
    <row r="1087">
      <c r="A1087" s="20">
        <f>IF(A1086="","",IF(A1086+1&gt;Ввод!$B$4,"",A1086+1))</f>
        <v/>
      </c>
      <c r="B1087">
        <f>IF(A1087="","",IFERROR(INDEX(Ввод!$B$12:$B$71,MATCH(A1087,Ввод!$D$12:$D$71,1)),""))</f>
        <v/>
      </c>
      <c r="C1087">
        <f>IF(A1087="","",DATE(YEAR(A1087),12,31)-DATE(YEAR(A1087),1,1)+1)</f>
        <v/>
      </c>
      <c r="D1087">
        <f>IF(A1087="","",SUMIFS(Акты!$D$5:$D$16,Акты!$E$5:$E$16,"&lt;="&amp;A1087)-SUMIFS(Оплаты!$B$6:$B$505,Оплаты!$A$6:$A$505,"&lt;"&amp;A1087,Оплаты!$D$6:$D$505,"&lt;&gt;"))</f>
        <v/>
      </c>
      <c r="E1087">
        <f>IF(A1087="","",IF(SUMPRODUCT((Ввод!$F$12:$F$31&lt;&gt;"")*(Ввод!$F$12:$F$31&lt;=A1087)*(Ввод!$G$12:$G$31&gt;=A1087))&gt;0,1,0))</f>
        <v/>
      </c>
      <c r="G1087">
        <f>IF(A1087="","",IF(OR(B1087&lt;&gt;B1086,C1087&lt;&gt;C1086,E1087&lt;&gt;E1086),G1086+1,G1086))</f>
        <v/>
      </c>
    </row>
    <row r="1088">
      <c r="A1088" s="20">
        <f>IF(A1087="","",IF(A1087+1&gt;Ввод!$B$4,"",A1087+1))</f>
        <v/>
      </c>
      <c r="B1088">
        <f>IF(A1088="","",IFERROR(INDEX(Ввод!$B$12:$B$71,MATCH(A1088,Ввод!$D$12:$D$71,1)),""))</f>
        <v/>
      </c>
      <c r="C1088">
        <f>IF(A1088="","",DATE(YEAR(A1088),12,31)-DATE(YEAR(A1088),1,1)+1)</f>
        <v/>
      </c>
      <c r="D1088">
        <f>IF(A1088="","",SUMIFS(Акты!$D$5:$D$16,Акты!$E$5:$E$16,"&lt;="&amp;A1088)-SUMIFS(Оплаты!$B$6:$B$505,Оплаты!$A$6:$A$505,"&lt;"&amp;A1088,Оплаты!$D$6:$D$505,"&lt;&gt;"))</f>
        <v/>
      </c>
      <c r="E1088">
        <f>IF(A1088="","",IF(SUMPRODUCT((Ввод!$F$12:$F$31&lt;&gt;"")*(Ввод!$F$12:$F$31&lt;=A1088)*(Ввод!$G$12:$G$31&gt;=A1088))&gt;0,1,0))</f>
        <v/>
      </c>
      <c r="G1088">
        <f>IF(A1088="","",IF(OR(B1088&lt;&gt;B1087,C1088&lt;&gt;C1087,E1088&lt;&gt;E1087),G1087+1,G1087))</f>
        <v/>
      </c>
    </row>
    <row r="1089">
      <c r="A1089" s="20">
        <f>IF(A1088="","",IF(A1088+1&gt;Ввод!$B$4,"",A1088+1))</f>
        <v/>
      </c>
      <c r="B1089">
        <f>IF(A1089="","",IFERROR(INDEX(Ввод!$B$12:$B$71,MATCH(A1089,Ввод!$D$12:$D$71,1)),""))</f>
        <v/>
      </c>
      <c r="C1089">
        <f>IF(A1089="","",DATE(YEAR(A1089),12,31)-DATE(YEAR(A1089),1,1)+1)</f>
        <v/>
      </c>
      <c r="D1089">
        <f>IF(A1089="","",SUMIFS(Акты!$D$5:$D$16,Акты!$E$5:$E$16,"&lt;="&amp;A1089)-SUMIFS(Оплаты!$B$6:$B$505,Оплаты!$A$6:$A$505,"&lt;"&amp;A1089,Оплаты!$D$6:$D$505,"&lt;&gt;"))</f>
        <v/>
      </c>
      <c r="E1089">
        <f>IF(A1089="","",IF(SUMPRODUCT((Ввод!$F$12:$F$31&lt;&gt;"")*(Ввод!$F$12:$F$31&lt;=A1089)*(Ввод!$G$12:$G$31&gt;=A1089))&gt;0,1,0))</f>
        <v/>
      </c>
      <c r="G1089">
        <f>IF(A1089="","",IF(OR(B1089&lt;&gt;B1088,C1089&lt;&gt;C1088,E1089&lt;&gt;E1088),G1088+1,G1088))</f>
        <v/>
      </c>
    </row>
    <row r="1090">
      <c r="A1090" s="20">
        <f>IF(A1089="","",IF(A1089+1&gt;Ввод!$B$4,"",A1089+1))</f>
        <v/>
      </c>
      <c r="B1090">
        <f>IF(A1090="","",IFERROR(INDEX(Ввод!$B$12:$B$71,MATCH(A1090,Ввод!$D$12:$D$71,1)),""))</f>
        <v/>
      </c>
      <c r="C1090">
        <f>IF(A1090="","",DATE(YEAR(A1090),12,31)-DATE(YEAR(A1090),1,1)+1)</f>
        <v/>
      </c>
      <c r="D1090">
        <f>IF(A1090="","",SUMIFS(Акты!$D$5:$D$16,Акты!$E$5:$E$16,"&lt;="&amp;A1090)-SUMIFS(Оплаты!$B$6:$B$505,Оплаты!$A$6:$A$505,"&lt;"&amp;A1090,Оплаты!$D$6:$D$505,"&lt;&gt;"))</f>
        <v/>
      </c>
      <c r="E1090">
        <f>IF(A1090="","",IF(SUMPRODUCT((Ввод!$F$12:$F$31&lt;&gt;"")*(Ввод!$F$12:$F$31&lt;=A1090)*(Ввод!$G$12:$G$31&gt;=A1090))&gt;0,1,0))</f>
        <v/>
      </c>
      <c r="G1090">
        <f>IF(A1090="","",IF(OR(B1090&lt;&gt;B1089,C1090&lt;&gt;C1089,E1090&lt;&gt;E1089),G1089+1,G1089))</f>
        <v/>
      </c>
    </row>
    <row r="1091">
      <c r="A1091" s="20">
        <f>IF(A1090="","",IF(A1090+1&gt;Ввод!$B$4,"",A1090+1))</f>
        <v/>
      </c>
      <c r="B1091">
        <f>IF(A1091="","",IFERROR(INDEX(Ввод!$B$12:$B$71,MATCH(A1091,Ввод!$D$12:$D$71,1)),""))</f>
        <v/>
      </c>
      <c r="C1091">
        <f>IF(A1091="","",DATE(YEAR(A1091),12,31)-DATE(YEAR(A1091),1,1)+1)</f>
        <v/>
      </c>
      <c r="D1091">
        <f>IF(A1091="","",SUMIFS(Акты!$D$5:$D$16,Акты!$E$5:$E$16,"&lt;="&amp;A1091)-SUMIFS(Оплаты!$B$6:$B$505,Оплаты!$A$6:$A$505,"&lt;"&amp;A1091,Оплаты!$D$6:$D$505,"&lt;&gt;"))</f>
        <v/>
      </c>
      <c r="E1091">
        <f>IF(A1091="","",IF(SUMPRODUCT((Ввод!$F$12:$F$31&lt;&gt;"")*(Ввод!$F$12:$F$31&lt;=A1091)*(Ввод!$G$12:$G$31&gt;=A1091))&gt;0,1,0))</f>
        <v/>
      </c>
      <c r="G1091">
        <f>IF(A1091="","",IF(OR(B1091&lt;&gt;B1090,C1091&lt;&gt;C1090,E1091&lt;&gt;E1090),G1090+1,G1090))</f>
        <v/>
      </c>
    </row>
    <row r="1092">
      <c r="A1092" s="20">
        <f>IF(A1091="","",IF(A1091+1&gt;Ввод!$B$4,"",A1091+1))</f>
        <v/>
      </c>
      <c r="B1092">
        <f>IF(A1092="","",IFERROR(INDEX(Ввод!$B$12:$B$71,MATCH(A1092,Ввод!$D$12:$D$71,1)),""))</f>
        <v/>
      </c>
      <c r="C1092">
        <f>IF(A1092="","",DATE(YEAR(A1092),12,31)-DATE(YEAR(A1092),1,1)+1)</f>
        <v/>
      </c>
      <c r="D1092">
        <f>IF(A1092="","",SUMIFS(Акты!$D$5:$D$16,Акты!$E$5:$E$16,"&lt;="&amp;A1092)-SUMIFS(Оплаты!$B$6:$B$505,Оплаты!$A$6:$A$505,"&lt;"&amp;A1092,Оплаты!$D$6:$D$505,"&lt;&gt;"))</f>
        <v/>
      </c>
      <c r="E1092">
        <f>IF(A1092="","",IF(SUMPRODUCT((Ввод!$F$12:$F$31&lt;&gt;"")*(Ввод!$F$12:$F$31&lt;=A1092)*(Ввод!$G$12:$G$31&gt;=A1092))&gt;0,1,0))</f>
        <v/>
      </c>
      <c r="G1092">
        <f>IF(A1092="","",IF(OR(B1092&lt;&gt;B1091,C1092&lt;&gt;C1091,E1092&lt;&gt;E1091),G1091+1,G1091))</f>
        <v/>
      </c>
    </row>
    <row r="1093">
      <c r="A1093" s="20">
        <f>IF(A1092="","",IF(A1092+1&gt;Ввод!$B$4,"",A1092+1))</f>
        <v/>
      </c>
      <c r="B1093">
        <f>IF(A1093="","",IFERROR(INDEX(Ввод!$B$12:$B$71,MATCH(A1093,Ввод!$D$12:$D$71,1)),""))</f>
        <v/>
      </c>
      <c r="C1093">
        <f>IF(A1093="","",DATE(YEAR(A1093),12,31)-DATE(YEAR(A1093),1,1)+1)</f>
        <v/>
      </c>
      <c r="D1093">
        <f>IF(A1093="","",SUMIFS(Акты!$D$5:$D$16,Акты!$E$5:$E$16,"&lt;="&amp;A1093)-SUMIFS(Оплаты!$B$6:$B$505,Оплаты!$A$6:$A$505,"&lt;"&amp;A1093,Оплаты!$D$6:$D$505,"&lt;&gt;"))</f>
        <v/>
      </c>
      <c r="E1093">
        <f>IF(A1093="","",IF(SUMPRODUCT((Ввод!$F$12:$F$31&lt;&gt;"")*(Ввод!$F$12:$F$31&lt;=A1093)*(Ввод!$G$12:$G$31&gt;=A1093))&gt;0,1,0))</f>
        <v/>
      </c>
      <c r="G1093">
        <f>IF(A1093="","",IF(OR(B1093&lt;&gt;B1092,C1093&lt;&gt;C1092,E1093&lt;&gt;E1092),G1092+1,G1092))</f>
        <v/>
      </c>
    </row>
    <row r="1094">
      <c r="A1094" s="20">
        <f>IF(A1093="","",IF(A1093+1&gt;Ввод!$B$4,"",A1093+1))</f>
        <v/>
      </c>
      <c r="B1094">
        <f>IF(A1094="","",IFERROR(INDEX(Ввод!$B$12:$B$71,MATCH(A1094,Ввод!$D$12:$D$71,1)),""))</f>
        <v/>
      </c>
      <c r="C1094">
        <f>IF(A1094="","",DATE(YEAR(A1094),12,31)-DATE(YEAR(A1094),1,1)+1)</f>
        <v/>
      </c>
      <c r="D1094">
        <f>IF(A1094="","",SUMIFS(Акты!$D$5:$D$16,Акты!$E$5:$E$16,"&lt;="&amp;A1094)-SUMIFS(Оплаты!$B$6:$B$505,Оплаты!$A$6:$A$505,"&lt;"&amp;A1094,Оплаты!$D$6:$D$505,"&lt;&gt;"))</f>
        <v/>
      </c>
      <c r="E1094">
        <f>IF(A1094="","",IF(SUMPRODUCT((Ввод!$F$12:$F$31&lt;&gt;"")*(Ввод!$F$12:$F$31&lt;=A1094)*(Ввод!$G$12:$G$31&gt;=A1094))&gt;0,1,0))</f>
        <v/>
      </c>
      <c r="G1094">
        <f>IF(A1094="","",IF(OR(B1094&lt;&gt;B1093,C1094&lt;&gt;C1093,E1094&lt;&gt;E1093),G1093+1,G1093))</f>
        <v/>
      </c>
    </row>
    <row r="1095">
      <c r="A1095" s="20">
        <f>IF(A1094="","",IF(A1094+1&gt;Ввод!$B$4,"",A1094+1))</f>
        <v/>
      </c>
      <c r="B1095">
        <f>IF(A1095="","",IFERROR(INDEX(Ввод!$B$12:$B$71,MATCH(A1095,Ввод!$D$12:$D$71,1)),""))</f>
        <v/>
      </c>
      <c r="C1095">
        <f>IF(A1095="","",DATE(YEAR(A1095),12,31)-DATE(YEAR(A1095),1,1)+1)</f>
        <v/>
      </c>
      <c r="D1095">
        <f>IF(A1095="","",SUMIFS(Акты!$D$5:$D$16,Акты!$E$5:$E$16,"&lt;="&amp;A1095)-SUMIFS(Оплаты!$B$6:$B$505,Оплаты!$A$6:$A$505,"&lt;"&amp;A1095,Оплаты!$D$6:$D$505,"&lt;&gt;"))</f>
        <v/>
      </c>
      <c r="E1095">
        <f>IF(A1095="","",IF(SUMPRODUCT((Ввод!$F$12:$F$31&lt;&gt;"")*(Ввод!$F$12:$F$31&lt;=A1095)*(Ввод!$G$12:$G$31&gt;=A1095))&gt;0,1,0))</f>
        <v/>
      </c>
      <c r="G1095">
        <f>IF(A1095="","",IF(OR(B1095&lt;&gt;B1094,C1095&lt;&gt;C1094,E1095&lt;&gt;E1094),G1094+1,G1094))</f>
        <v/>
      </c>
    </row>
    <row r="1096">
      <c r="A1096" s="20">
        <f>IF(A1095="","",IF(A1095+1&gt;Ввод!$B$4,"",A1095+1))</f>
        <v/>
      </c>
      <c r="B1096">
        <f>IF(A1096="","",IFERROR(INDEX(Ввод!$B$12:$B$71,MATCH(A1096,Ввод!$D$12:$D$71,1)),""))</f>
        <v/>
      </c>
      <c r="C1096">
        <f>IF(A1096="","",DATE(YEAR(A1096),12,31)-DATE(YEAR(A1096),1,1)+1)</f>
        <v/>
      </c>
      <c r="D1096">
        <f>IF(A1096="","",SUMIFS(Акты!$D$5:$D$16,Акты!$E$5:$E$16,"&lt;="&amp;A1096)-SUMIFS(Оплаты!$B$6:$B$505,Оплаты!$A$6:$A$505,"&lt;"&amp;A1096,Оплаты!$D$6:$D$505,"&lt;&gt;"))</f>
        <v/>
      </c>
      <c r="E1096">
        <f>IF(A1096="","",IF(SUMPRODUCT((Ввод!$F$12:$F$31&lt;&gt;"")*(Ввод!$F$12:$F$31&lt;=A1096)*(Ввод!$G$12:$G$31&gt;=A1096))&gt;0,1,0))</f>
        <v/>
      </c>
      <c r="G1096">
        <f>IF(A1096="","",IF(OR(B1096&lt;&gt;B1095,C1096&lt;&gt;C1095,E1096&lt;&gt;E1095),G1095+1,G1095))</f>
        <v/>
      </c>
    </row>
    <row r="1097">
      <c r="A1097" s="20">
        <f>IF(A1096="","",IF(A1096+1&gt;Ввод!$B$4,"",A1096+1))</f>
        <v/>
      </c>
      <c r="B1097">
        <f>IF(A1097="","",IFERROR(INDEX(Ввод!$B$12:$B$71,MATCH(A1097,Ввод!$D$12:$D$71,1)),""))</f>
        <v/>
      </c>
      <c r="C1097">
        <f>IF(A1097="","",DATE(YEAR(A1097),12,31)-DATE(YEAR(A1097),1,1)+1)</f>
        <v/>
      </c>
      <c r="D1097">
        <f>IF(A1097="","",SUMIFS(Акты!$D$5:$D$16,Акты!$E$5:$E$16,"&lt;="&amp;A1097)-SUMIFS(Оплаты!$B$6:$B$505,Оплаты!$A$6:$A$505,"&lt;"&amp;A1097,Оплаты!$D$6:$D$505,"&lt;&gt;"))</f>
        <v/>
      </c>
      <c r="E1097">
        <f>IF(A1097="","",IF(SUMPRODUCT((Ввод!$F$12:$F$31&lt;&gt;"")*(Ввод!$F$12:$F$31&lt;=A1097)*(Ввод!$G$12:$G$31&gt;=A1097))&gt;0,1,0))</f>
        <v/>
      </c>
      <c r="G1097">
        <f>IF(A1097="","",IF(OR(B1097&lt;&gt;B1096,C1097&lt;&gt;C1096,E1097&lt;&gt;E1096),G1096+1,G1096))</f>
        <v/>
      </c>
    </row>
    <row r="1098">
      <c r="A1098" s="20">
        <f>IF(A1097="","",IF(A1097+1&gt;Ввод!$B$4,"",A1097+1))</f>
        <v/>
      </c>
      <c r="B1098">
        <f>IF(A1098="","",IFERROR(INDEX(Ввод!$B$12:$B$71,MATCH(A1098,Ввод!$D$12:$D$71,1)),""))</f>
        <v/>
      </c>
      <c r="C1098">
        <f>IF(A1098="","",DATE(YEAR(A1098),12,31)-DATE(YEAR(A1098),1,1)+1)</f>
        <v/>
      </c>
      <c r="D1098">
        <f>IF(A1098="","",SUMIFS(Акты!$D$5:$D$16,Акты!$E$5:$E$16,"&lt;="&amp;A1098)-SUMIFS(Оплаты!$B$6:$B$505,Оплаты!$A$6:$A$505,"&lt;"&amp;A1098,Оплаты!$D$6:$D$505,"&lt;&gt;"))</f>
        <v/>
      </c>
      <c r="E1098">
        <f>IF(A1098="","",IF(SUMPRODUCT((Ввод!$F$12:$F$31&lt;&gt;"")*(Ввод!$F$12:$F$31&lt;=A1098)*(Ввод!$G$12:$G$31&gt;=A1098))&gt;0,1,0))</f>
        <v/>
      </c>
      <c r="G1098">
        <f>IF(A1098="","",IF(OR(B1098&lt;&gt;B1097,C1098&lt;&gt;C1097,E1098&lt;&gt;E1097),G1097+1,G1097))</f>
        <v/>
      </c>
    </row>
    <row r="1099">
      <c r="A1099" s="20">
        <f>IF(A1098="","",IF(A1098+1&gt;Ввод!$B$4,"",A1098+1))</f>
        <v/>
      </c>
      <c r="B1099">
        <f>IF(A1099="","",IFERROR(INDEX(Ввод!$B$12:$B$71,MATCH(A1099,Ввод!$D$12:$D$71,1)),""))</f>
        <v/>
      </c>
      <c r="C1099">
        <f>IF(A1099="","",DATE(YEAR(A1099),12,31)-DATE(YEAR(A1099),1,1)+1)</f>
        <v/>
      </c>
      <c r="D1099">
        <f>IF(A1099="","",SUMIFS(Акты!$D$5:$D$16,Акты!$E$5:$E$16,"&lt;="&amp;A1099)-SUMIFS(Оплаты!$B$6:$B$505,Оплаты!$A$6:$A$505,"&lt;"&amp;A1099,Оплаты!$D$6:$D$505,"&lt;&gt;"))</f>
        <v/>
      </c>
      <c r="E1099">
        <f>IF(A1099="","",IF(SUMPRODUCT((Ввод!$F$12:$F$31&lt;&gt;"")*(Ввод!$F$12:$F$31&lt;=A1099)*(Ввод!$G$12:$G$31&gt;=A1099))&gt;0,1,0))</f>
        <v/>
      </c>
      <c r="G1099">
        <f>IF(A1099="","",IF(OR(B1099&lt;&gt;B1098,C1099&lt;&gt;C1098,E1099&lt;&gt;E1098),G1098+1,G1098))</f>
        <v/>
      </c>
    </row>
    <row r="1100">
      <c r="A1100" s="20">
        <f>IF(A1099="","",IF(A1099+1&gt;Ввод!$B$4,"",A1099+1))</f>
        <v/>
      </c>
      <c r="B1100">
        <f>IF(A1100="","",IFERROR(INDEX(Ввод!$B$12:$B$71,MATCH(A1100,Ввод!$D$12:$D$71,1)),""))</f>
        <v/>
      </c>
      <c r="C1100">
        <f>IF(A1100="","",DATE(YEAR(A1100),12,31)-DATE(YEAR(A1100),1,1)+1)</f>
        <v/>
      </c>
      <c r="D1100">
        <f>IF(A1100="","",SUMIFS(Акты!$D$5:$D$16,Акты!$E$5:$E$16,"&lt;="&amp;A1100)-SUMIFS(Оплаты!$B$6:$B$505,Оплаты!$A$6:$A$505,"&lt;"&amp;A1100,Оплаты!$D$6:$D$505,"&lt;&gt;"))</f>
        <v/>
      </c>
      <c r="E1100">
        <f>IF(A1100="","",IF(SUMPRODUCT((Ввод!$F$12:$F$31&lt;&gt;"")*(Ввод!$F$12:$F$31&lt;=A1100)*(Ввод!$G$12:$G$31&gt;=A1100))&gt;0,1,0))</f>
        <v/>
      </c>
      <c r="G1100">
        <f>IF(A1100="","",IF(OR(B1100&lt;&gt;B1099,C1100&lt;&gt;C1099,E1100&lt;&gt;E1099),G1099+1,G1099))</f>
        <v/>
      </c>
    </row>
    <row r="1101">
      <c r="A1101" s="20">
        <f>IF(A1100="","",IF(A1100+1&gt;Ввод!$B$4,"",A1100+1))</f>
        <v/>
      </c>
      <c r="B1101">
        <f>IF(A1101="","",IFERROR(INDEX(Ввод!$B$12:$B$71,MATCH(A1101,Ввод!$D$12:$D$71,1)),""))</f>
        <v/>
      </c>
      <c r="C1101">
        <f>IF(A1101="","",DATE(YEAR(A1101),12,31)-DATE(YEAR(A1101),1,1)+1)</f>
        <v/>
      </c>
      <c r="D1101">
        <f>IF(A1101="","",SUMIFS(Акты!$D$5:$D$16,Акты!$E$5:$E$16,"&lt;="&amp;A1101)-SUMIFS(Оплаты!$B$6:$B$505,Оплаты!$A$6:$A$505,"&lt;"&amp;A1101,Оплаты!$D$6:$D$505,"&lt;&gt;"))</f>
        <v/>
      </c>
      <c r="E1101">
        <f>IF(A1101="","",IF(SUMPRODUCT((Ввод!$F$12:$F$31&lt;&gt;"")*(Ввод!$F$12:$F$31&lt;=A1101)*(Ввод!$G$12:$G$31&gt;=A1101))&gt;0,1,0))</f>
        <v/>
      </c>
      <c r="G1101">
        <f>IF(A1101="","",IF(OR(B1101&lt;&gt;B1100,C1101&lt;&gt;C1100,E1101&lt;&gt;E1100),G1100+1,G1100))</f>
        <v/>
      </c>
    </row>
    <row r="1102">
      <c r="A1102" s="20">
        <f>IF(A1101="","",IF(A1101+1&gt;Ввод!$B$4,"",A1101+1))</f>
        <v/>
      </c>
      <c r="B1102">
        <f>IF(A1102="","",IFERROR(INDEX(Ввод!$B$12:$B$71,MATCH(A1102,Ввод!$D$12:$D$71,1)),""))</f>
        <v/>
      </c>
      <c r="C1102">
        <f>IF(A1102="","",DATE(YEAR(A1102),12,31)-DATE(YEAR(A1102),1,1)+1)</f>
        <v/>
      </c>
      <c r="D1102">
        <f>IF(A1102="","",SUMIFS(Акты!$D$5:$D$16,Акты!$E$5:$E$16,"&lt;="&amp;A1102)-SUMIFS(Оплаты!$B$6:$B$505,Оплаты!$A$6:$A$505,"&lt;"&amp;A1102,Оплаты!$D$6:$D$505,"&lt;&gt;"))</f>
        <v/>
      </c>
      <c r="E1102">
        <f>IF(A1102="","",IF(SUMPRODUCT((Ввод!$F$12:$F$31&lt;&gt;"")*(Ввод!$F$12:$F$31&lt;=A1102)*(Ввод!$G$12:$G$31&gt;=A1102))&gt;0,1,0))</f>
        <v/>
      </c>
      <c r="G1102">
        <f>IF(A1102="","",IF(OR(B1102&lt;&gt;B1101,C1102&lt;&gt;C1101,E1102&lt;&gt;E1101),G1101+1,G1101))</f>
        <v/>
      </c>
    </row>
    <row r="1103">
      <c r="A1103" s="20">
        <f>IF(A1102="","",IF(A1102+1&gt;Ввод!$B$4,"",A1102+1))</f>
        <v/>
      </c>
      <c r="B1103">
        <f>IF(A1103="","",IFERROR(INDEX(Ввод!$B$12:$B$71,MATCH(A1103,Ввод!$D$12:$D$71,1)),""))</f>
        <v/>
      </c>
      <c r="C1103">
        <f>IF(A1103="","",DATE(YEAR(A1103),12,31)-DATE(YEAR(A1103),1,1)+1)</f>
        <v/>
      </c>
      <c r="D1103">
        <f>IF(A1103="","",SUMIFS(Акты!$D$5:$D$16,Акты!$E$5:$E$16,"&lt;="&amp;A1103)-SUMIFS(Оплаты!$B$6:$B$505,Оплаты!$A$6:$A$505,"&lt;"&amp;A1103,Оплаты!$D$6:$D$505,"&lt;&gt;"))</f>
        <v/>
      </c>
      <c r="E1103">
        <f>IF(A1103="","",IF(SUMPRODUCT((Ввод!$F$12:$F$31&lt;&gt;"")*(Ввод!$F$12:$F$31&lt;=A1103)*(Ввод!$G$12:$G$31&gt;=A1103))&gt;0,1,0))</f>
        <v/>
      </c>
      <c r="G1103">
        <f>IF(A1103="","",IF(OR(B1103&lt;&gt;B1102,C1103&lt;&gt;C1102,E1103&lt;&gt;E1102),G1102+1,G1102))</f>
        <v/>
      </c>
    </row>
    <row r="1104">
      <c r="A1104" s="20">
        <f>IF(A1103="","",IF(A1103+1&gt;Ввод!$B$4,"",A1103+1))</f>
        <v/>
      </c>
      <c r="B1104">
        <f>IF(A1104="","",IFERROR(INDEX(Ввод!$B$12:$B$71,MATCH(A1104,Ввод!$D$12:$D$71,1)),""))</f>
        <v/>
      </c>
      <c r="C1104">
        <f>IF(A1104="","",DATE(YEAR(A1104),12,31)-DATE(YEAR(A1104),1,1)+1)</f>
        <v/>
      </c>
      <c r="D1104">
        <f>IF(A1104="","",SUMIFS(Акты!$D$5:$D$16,Акты!$E$5:$E$16,"&lt;="&amp;A1104)-SUMIFS(Оплаты!$B$6:$B$505,Оплаты!$A$6:$A$505,"&lt;"&amp;A1104,Оплаты!$D$6:$D$505,"&lt;&gt;"))</f>
        <v/>
      </c>
      <c r="E1104">
        <f>IF(A1104="","",IF(SUMPRODUCT((Ввод!$F$12:$F$31&lt;&gt;"")*(Ввод!$F$12:$F$31&lt;=A1104)*(Ввод!$G$12:$G$31&gt;=A1104))&gt;0,1,0))</f>
        <v/>
      </c>
      <c r="G1104">
        <f>IF(A1104="","",IF(OR(B1104&lt;&gt;B1103,C1104&lt;&gt;C1103,E1104&lt;&gt;E1103),G1103+1,G1103))</f>
        <v/>
      </c>
    </row>
    <row r="1105">
      <c r="A1105" s="20">
        <f>IF(A1104="","",IF(A1104+1&gt;Ввод!$B$4,"",A1104+1))</f>
        <v/>
      </c>
      <c r="B1105">
        <f>IF(A1105="","",IFERROR(INDEX(Ввод!$B$12:$B$71,MATCH(A1105,Ввод!$D$12:$D$71,1)),""))</f>
        <v/>
      </c>
      <c r="C1105">
        <f>IF(A1105="","",DATE(YEAR(A1105),12,31)-DATE(YEAR(A1105),1,1)+1)</f>
        <v/>
      </c>
      <c r="D1105">
        <f>IF(A1105="","",SUMIFS(Акты!$D$5:$D$16,Акты!$E$5:$E$16,"&lt;="&amp;A1105)-SUMIFS(Оплаты!$B$6:$B$505,Оплаты!$A$6:$A$505,"&lt;"&amp;A1105,Оплаты!$D$6:$D$505,"&lt;&gt;"))</f>
        <v/>
      </c>
      <c r="E1105">
        <f>IF(A1105="","",IF(SUMPRODUCT((Ввод!$F$12:$F$31&lt;&gt;"")*(Ввод!$F$12:$F$31&lt;=A1105)*(Ввод!$G$12:$G$31&gt;=A1105))&gt;0,1,0))</f>
        <v/>
      </c>
      <c r="G1105">
        <f>IF(A1105="","",IF(OR(B1105&lt;&gt;B1104,C1105&lt;&gt;C1104,E1105&lt;&gt;E1104),G1104+1,G1104))</f>
        <v/>
      </c>
    </row>
    <row r="1106">
      <c r="A1106" s="20">
        <f>IF(A1105="","",IF(A1105+1&gt;Ввод!$B$4,"",A1105+1))</f>
        <v/>
      </c>
      <c r="B1106">
        <f>IF(A1106="","",IFERROR(INDEX(Ввод!$B$12:$B$71,MATCH(A1106,Ввод!$D$12:$D$71,1)),""))</f>
        <v/>
      </c>
      <c r="C1106">
        <f>IF(A1106="","",DATE(YEAR(A1106),12,31)-DATE(YEAR(A1106),1,1)+1)</f>
        <v/>
      </c>
      <c r="D1106">
        <f>IF(A1106="","",SUMIFS(Акты!$D$5:$D$16,Акты!$E$5:$E$16,"&lt;="&amp;A1106)-SUMIFS(Оплаты!$B$6:$B$505,Оплаты!$A$6:$A$505,"&lt;"&amp;A1106,Оплаты!$D$6:$D$505,"&lt;&gt;"))</f>
        <v/>
      </c>
      <c r="E1106">
        <f>IF(A1106="","",IF(SUMPRODUCT((Ввод!$F$12:$F$31&lt;&gt;"")*(Ввод!$F$12:$F$31&lt;=A1106)*(Ввод!$G$12:$G$31&gt;=A1106))&gt;0,1,0))</f>
        <v/>
      </c>
      <c r="G1106">
        <f>IF(A1106="","",IF(OR(B1106&lt;&gt;B1105,C1106&lt;&gt;C1105,E1106&lt;&gt;E1105),G1105+1,G1105))</f>
        <v/>
      </c>
    </row>
    <row r="1107">
      <c r="A1107" s="20">
        <f>IF(A1106="","",IF(A1106+1&gt;Ввод!$B$4,"",A1106+1))</f>
        <v/>
      </c>
      <c r="B1107">
        <f>IF(A1107="","",IFERROR(INDEX(Ввод!$B$12:$B$71,MATCH(A1107,Ввод!$D$12:$D$71,1)),""))</f>
        <v/>
      </c>
      <c r="C1107">
        <f>IF(A1107="","",DATE(YEAR(A1107),12,31)-DATE(YEAR(A1107),1,1)+1)</f>
        <v/>
      </c>
      <c r="D1107">
        <f>IF(A1107="","",SUMIFS(Акты!$D$5:$D$16,Акты!$E$5:$E$16,"&lt;="&amp;A1107)-SUMIFS(Оплаты!$B$6:$B$505,Оплаты!$A$6:$A$505,"&lt;"&amp;A1107,Оплаты!$D$6:$D$505,"&lt;&gt;"))</f>
        <v/>
      </c>
      <c r="E1107">
        <f>IF(A1107="","",IF(SUMPRODUCT((Ввод!$F$12:$F$31&lt;&gt;"")*(Ввод!$F$12:$F$31&lt;=A1107)*(Ввод!$G$12:$G$31&gt;=A1107))&gt;0,1,0))</f>
        <v/>
      </c>
      <c r="G1107">
        <f>IF(A1107="","",IF(OR(B1107&lt;&gt;B1106,C1107&lt;&gt;C1106,E1107&lt;&gt;E1106),G1106+1,G1106))</f>
        <v/>
      </c>
    </row>
    <row r="1108">
      <c r="A1108" s="20">
        <f>IF(A1107="","",IF(A1107+1&gt;Ввод!$B$4,"",A1107+1))</f>
        <v/>
      </c>
      <c r="B1108">
        <f>IF(A1108="","",IFERROR(INDEX(Ввод!$B$12:$B$71,MATCH(A1108,Ввод!$D$12:$D$71,1)),""))</f>
        <v/>
      </c>
      <c r="C1108">
        <f>IF(A1108="","",DATE(YEAR(A1108),12,31)-DATE(YEAR(A1108),1,1)+1)</f>
        <v/>
      </c>
      <c r="D1108">
        <f>IF(A1108="","",SUMIFS(Акты!$D$5:$D$16,Акты!$E$5:$E$16,"&lt;="&amp;A1108)-SUMIFS(Оплаты!$B$6:$B$505,Оплаты!$A$6:$A$505,"&lt;"&amp;A1108,Оплаты!$D$6:$D$505,"&lt;&gt;"))</f>
        <v/>
      </c>
      <c r="E1108">
        <f>IF(A1108="","",IF(SUMPRODUCT((Ввод!$F$12:$F$31&lt;&gt;"")*(Ввод!$F$12:$F$31&lt;=A1108)*(Ввод!$G$12:$G$31&gt;=A1108))&gt;0,1,0))</f>
        <v/>
      </c>
      <c r="G1108">
        <f>IF(A1108="","",IF(OR(B1108&lt;&gt;B1107,C1108&lt;&gt;C1107,E1108&lt;&gt;E1107),G1107+1,G1107))</f>
        <v/>
      </c>
    </row>
    <row r="1109">
      <c r="A1109" s="20">
        <f>IF(A1108="","",IF(A1108+1&gt;Ввод!$B$4,"",A1108+1))</f>
        <v/>
      </c>
      <c r="B1109">
        <f>IF(A1109="","",IFERROR(INDEX(Ввод!$B$12:$B$71,MATCH(A1109,Ввод!$D$12:$D$71,1)),""))</f>
        <v/>
      </c>
      <c r="C1109">
        <f>IF(A1109="","",DATE(YEAR(A1109),12,31)-DATE(YEAR(A1109),1,1)+1)</f>
        <v/>
      </c>
      <c r="D1109">
        <f>IF(A1109="","",SUMIFS(Акты!$D$5:$D$16,Акты!$E$5:$E$16,"&lt;="&amp;A1109)-SUMIFS(Оплаты!$B$6:$B$505,Оплаты!$A$6:$A$505,"&lt;"&amp;A1109,Оплаты!$D$6:$D$505,"&lt;&gt;"))</f>
        <v/>
      </c>
      <c r="E1109">
        <f>IF(A1109="","",IF(SUMPRODUCT((Ввод!$F$12:$F$31&lt;&gt;"")*(Ввод!$F$12:$F$31&lt;=A1109)*(Ввод!$G$12:$G$31&gt;=A1109))&gt;0,1,0))</f>
        <v/>
      </c>
      <c r="G1109">
        <f>IF(A1109="","",IF(OR(B1109&lt;&gt;B1108,C1109&lt;&gt;C1108,E1109&lt;&gt;E1108),G1108+1,G1108))</f>
        <v/>
      </c>
    </row>
    <row r="1110">
      <c r="A1110" s="20">
        <f>IF(A1109="","",IF(A1109+1&gt;Ввод!$B$4,"",A1109+1))</f>
        <v/>
      </c>
      <c r="B1110">
        <f>IF(A1110="","",IFERROR(INDEX(Ввод!$B$12:$B$71,MATCH(A1110,Ввод!$D$12:$D$71,1)),""))</f>
        <v/>
      </c>
      <c r="C1110">
        <f>IF(A1110="","",DATE(YEAR(A1110),12,31)-DATE(YEAR(A1110),1,1)+1)</f>
        <v/>
      </c>
      <c r="D1110">
        <f>IF(A1110="","",SUMIFS(Акты!$D$5:$D$16,Акты!$E$5:$E$16,"&lt;="&amp;A1110)-SUMIFS(Оплаты!$B$6:$B$505,Оплаты!$A$6:$A$505,"&lt;"&amp;A1110,Оплаты!$D$6:$D$505,"&lt;&gt;"))</f>
        <v/>
      </c>
      <c r="E1110">
        <f>IF(A1110="","",IF(SUMPRODUCT((Ввод!$F$12:$F$31&lt;&gt;"")*(Ввод!$F$12:$F$31&lt;=A1110)*(Ввод!$G$12:$G$31&gt;=A1110))&gt;0,1,0))</f>
        <v/>
      </c>
      <c r="G1110">
        <f>IF(A1110="","",IF(OR(B1110&lt;&gt;B1109,C1110&lt;&gt;C1109,E1110&lt;&gt;E1109),G1109+1,G1109))</f>
        <v/>
      </c>
    </row>
    <row r="1111">
      <c r="A1111" s="20">
        <f>IF(A1110="","",IF(A1110+1&gt;Ввод!$B$4,"",A1110+1))</f>
        <v/>
      </c>
      <c r="B1111">
        <f>IF(A1111="","",IFERROR(INDEX(Ввод!$B$12:$B$71,MATCH(A1111,Ввод!$D$12:$D$71,1)),""))</f>
        <v/>
      </c>
      <c r="C1111">
        <f>IF(A1111="","",DATE(YEAR(A1111),12,31)-DATE(YEAR(A1111),1,1)+1)</f>
        <v/>
      </c>
      <c r="D1111">
        <f>IF(A1111="","",SUMIFS(Акты!$D$5:$D$16,Акты!$E$5:$E$16,"&lt;="&amp;A1111)-SUMIFS(Оплаты!$B$6:$B$505,Оплаты!$A$6:$A$505,"&lt;"&amp;A1111,Оплаты!$D$6:$D$505,"&lt;&gt;"))</f>
        <v/>
      </c>
      <c r="E1111">
        <f>IF(A1111="","",IF(SUMPRODUCT((Ввод!$F$12:$F$31&lt;&gt;"")*(Ввод!$F$12:$F$31&lt;=A1111)*(Ввод!$G$12:$G$31&gt;=A1111))&gt;0,1,0))</f>
        <v/>
      </c>
      <c r="G1111">
        <f>IF(A1111="","",IF(OR(B1111&lt;&gt;B1110,C1111&lt;&gt;C1110,E1111&lt;&gt;E1110),G1110+1,G1110))</f>
        <v/>
      </c>
    </row>
    <row r="1112">
      <c r="A1112" s="20">
        <f>IF(A1111="","",IF(A1111+1&gt;Ввод!$B$4,"",A1111+1))</f>
        <v/>
      </c>
      <c r="B1112">
        <f>IF(A1112="","",IFERROR(INDEX(Ввод!$B$12:$B$71,MATCH(A1112,Ввод!$D$12:$D$71,1)),""))</f>
        <v/>
      </c>
      <c r="C1112">
        <f>IF(A1112="","",DATE(YEAR(A1112),12,31)-DATE(YEAR(A1112),1,1)+1)</f>
        <v/>
      </c>
      <c r="D1112">
        <f>IF(A1112="","",SUMIFS(Акты!$D$5:$D$16,Акты!$E$5:$E$16,"&lt;="&amp;A1112)-SUMIFS(Оплаты!$B$6:$B$505,Оплаты!$A$6:$A$505,"&lt;"&amp;A1112,Оплаты!$D$6:$D$505,"&lt;&gt;"))</f>
        <v/>
      </c>
      <c r="E1112">
        <f>IF(A1112="","",IF(SUMPRODUCT((Ввод!$F$12:$F$31&lt;&gt;"")*(Ввод!$F$12:$F$31&lt;=A1112)*(Ввод!$G$12:$G$31&gt;=A1112))&gt;0,1,0))</f>
        <v/>
      </c>
      <c r="G1112">
        <f>IF(A1112="","",IF(OR(B1112&lt;&gt;B1111,C1112&lt;&gt;C1111,E1112&lt;&gt;E1111),G1111+1,G1111))</f>
        <v/>
      </c>
    </row>
    <row r="1113">
      <c r="A1113" s="20">
        <f>IF(A1112="","",IF(A1112+1&gt;Ввод!$B$4,"",A1112+1))</f>
        <v/>
      </c>
      <c r="B1113">
        <f>IF(A1113="","",IFERROR(INDEX(Ввод!$B$12:$B$71,MATCH(A1113,Ввод!$D$12:$D$71,1)),""))</f>
        <v/>
      </c>
      <c r="C1113">
        <f>IF(A1113="","",DATE(YEAR(A1113),12,31)-DATE(YEAR(A1113),1,1)+1)</f>
        <v/>
      </c>
      <c r="D1113">
        <f>IF(A1113="","",SUMIFS(Акты!$D$5:$D$16,Акты!$E$5:$E$16,"&lt;="&amp;A1113)-SUMIFS(Оплаты!$B$6:$B$505,Оплаты!$A$6:$A$505,"&lt;"&amp;A1113,Оплаты!$D$6:$D$505,"&lt;&gt;"))</f>
        <v/>
      </c>
      <c r="E1113">
        <f>IF(A1113="","",IF(SUMPRODUCT((Ввод!$F$12:$F$31&lt;&gt;"")*(Ввод!$F$12:$F$31&lt;=A1113)*(Ввод!$G$12:$G$31&gt;=A1113))&gt;0,1,0))</f>
        <v/>
      </c>
      <c r="G1113">
        <f>IF(A1113="","",IF(OR(B1113&lt;&gt;B1112,C1113&lt;&gt;C1112,E1113&lt;&gt;E1112),G1112+1,G1112))</f>
        <v/>
      </c>
    </row>
    <row r="1114">
      <c r="A1114" s="20">
        <f>IF(A1113="","",IF(A1113+1&gt;Ввод!$B$4,"",A1113+1))</f>
        <v/>
      </c>
      <c r="B1114">
        <f>IF(A1114="","",IFERROR(INDEX(Ввод!$B$12:$B$71,MATCH(A1114,Ввод!$D$12:$D$71,1)),""))</f>
        <v/>
      </c>
      <c r="C1114">
        <f>IF(A1114="","",DATE(YEAR(A1114),12,31)-DATE(YEAR(A1114),1,1)+1)</f>
        <v/>
      </c>
      <c r="D1114">
        <f>IF(A1114="","",SUMIFS(Акты!$D$5:$D$16,Акты!$E$5:$E$16,"&lt;="&amp;A1114)-SUMIFS(Оплаты!$B$6:$B$505,Оплаты!$A$6:$A$505,"&lt;"&amp;A1114,Оплаты!$D$6:$D$505,"&lt;&gt;"))</f>
        <v/>
      </c>
      <c r="E1114">
        <f>IF(A1114="","",IF(SUMPRODUCT((Ввод!$F$12:$F$31&lt;&gt;"")*(Ввод!$F$12:$F$31&lt;=A1114)*(Ввод!$G$12:$G$31&gt;=A1114))&gt;0,1,0))</f>
        <v/>
      </c>
      <c r="G1114">
        <f>IF(A1114="","",IF(OR(B1114&lt;&gt;B1113,C1114&lt;&gt;C1113,E1114&lt;&gt;E1113),G1113+1,G1113))</f>
        <v/>
      </c>
    </row>
    <row r="1115">
      <c r="A1115" s="20">
        <f>IF(A1114="","",IF(A1114+1&gt;Ввод!$B$4,"",A1114+1))</f>
        <v/>
      </c>
      <c r="B1115">
        <f>IF(A1115="","",IFERROR(INDEX(Ввод!$B$12:$B$71,MATCH(A1115,Ввод!$D$12:$D$71,1)),""))</f>
        <v/>
      </c>
      <c r="C1115">
        <f>IF(A1115="","",DATE(YEAR(A1115),12,31)-DATE(YEAR(A1115),1,1)+1)</f>
        <v/>
      </c>
      <c r="D1115">
        <f>IF(A1115="","",SUMIFS(Акты!$D$5:$D$16,Акты!$E$5:$E$16,"&lt;="&amp;A1115)-SUMIFS(Оплаты!$B$6:$B$505,Оплаты!$A$6:$A$505,"&lt;"&amp;A1115,Оплаты!$D$6:$D$505,"&lt;&gt;"))</f>
        <v/>
      </c>
      <c r="E1115">
        <f>IF(A1115="","",IF(SUMPRODUCT((Ввод!$F$12:$F$31&lt;&gt;"")*(Ввод!$F$12:$F$31&lt;=A1115)*(Ввод!$G$12:$G$31&gt;=A1115))&gt;0,1,0))</f>
        <v/>
      </c>
      <c r="G1115">
        <f>IF(A1115="","",IF(OR(B1115&lt;&gt;B1114,C1115&lt;&gt;C1114,E1115&lt;&gt;E1114),G1114+1,G1114))</f>
        <v/>
      </c>
    </row>
    <row r="1116">
      <c r="A1116" s="20">
        <f>IF(A1115="","",IF(A1115+1&gt;Ввод!$B$4,"",A1115+1))</f>
        <v/>
      </c>
      <c r="B1116">
        <f>IF(A1116="","",IFERROR(INDEX(Ввод!$B$12:$B$71,MATCH(A1116,Ввод!$D$12:$D$71,1)),""))</f>
        <v/>
      </c>
      <c r="C1116">
        <f>IF(A1116="","",DATE(YEAR(A1116),12,31)-DATE(YEAR(A1116),1,1)+1)</f>
        <v/>
      </c>
      <c r="D1116">
        <f>IF(A1116="","",SUMIFS(Акты!$D$5:$D$16,Акты!$E$5:$E$16,"&lt;="&amp;A1116)-SUMIFS(Оплаты!$B$6:$B$505,Оплаты!$A$6:$A$505,"&lt;"&amp;A1116,Оплаты!$D$6:$D$505,"&lt;&gt;"))</f>
        <v/>
      </c>
      <c r="E1116">
        <f>IF(A1116="","",IF(SUMPRODUCT((Ввод!$F$12:$F$31&lt;&gt;"")*(Ввод!$F$12:$F$31&lt;=A1116)*(Ввод!$G$12:$G$31&gt;=A1116))&gt;0,1,0))</f>
        <v/>
      </c>
      <c r="G1116">
        <f>IF(A1116="","",IF(OR(B1116&lt;&gt;B1115,C1116&lt;&gt;C1115,E1116&lt;&gt;E1115),G1115+1,G1115))</f>
        <v/>
      </c>
    </row>
    <row r="1117">
      <c r="A1117" s="20">
        <f>IF(A1116="","",IF(A1116+1&gt;Ввод!$B$4,"",A1116+1))</f>
        <v/>
      </c>
      <c r="B1117">
        <f>IF(A1117="","",IFERROR(INDEX(Ввод!$B$12:$B$71,MATCH(A1117,Ввод!$D$12:$D$71,1)),""))</f>
        <v/>
      </c>
      <c r="C1117">
        <f>IF(A1117="","",DATE(YEAR(A1117),12,31)-DATE(YEAR(A1117),1,1)+1)</f>
        <v/>
      </c>
      <c r="D1117">
        <f>IF(A1117="","",SUMIFS(Акты!$D$5:$D$16,Акты!$E$5:$E$16,"&lt;="&amp;A1117)-SUMIFS(Оплаты!$B$6:$B$505,Оплаты!$A$6:$A$505,"&lt;"&amp;A1117,Оплаты!$D$6:$D$505,"&lt;&gt;"))</f>
        <v/>
      </c>
      <c r="E1117">
        <f>IF(A1117="","",IF(SUMPRODUCT((Ввод!$F$12:$F$31&lt;&gt;"")*(Ввод!$F$12:$F$31&lt;=A1117)*(Ввод!$G$12:$G$31&gt;=A1117))&gt;0,1,0))</f>
        <v/>
      </c>
      <c r="G1117">
        <f>IF(A1117="","",IF(OR(B1117&lt;&gt;B1116,C1117&lt;&gt;C1116,E1117&lt;&gt;E1116),G1116+1,G1116))</f>
        <v/>
      </c>
    </row>
    <row r="1118">
      <c r="A1118" s="20">
        <f>IF(A1117="","",IF(A1117+1&gt;Ввод!$B$4,"",A1117+1))</f>
        <v/>
      </c>
      <c r="B1118">
        <f>IF(A1118="","",IFERROR(INDEX(Ввод!$B$12:$B$71,MATCH(A1118,Ввод!$D$12:$D$71,1)),""))</f>
        <v/>
      </c>
      <c r="C1118">
        <f>IF(A1118="","",DATE(YEAR(A1118),12,31)-DATE(YEAR(A1118),1,1)+1)</f>
        <v/>
      </c>
      <c r="D1118">
        <f>IF(A1118="","",SUMIFS(Акты!$D$5:$D$16,Акты!$E$5:$E$16,"&lt;="&amp;A1118)-SUMIFS(Оплаты!$B$6:$B$505,Оплаты!$A$6:$A$505,"&lt;"&amp;A1118,Оплаты!$D$6:$D$505,"&lt;&gt;"))</f>
        <v/>
      </c>
      <c r="E1118">
        <f>IF(A1118="","",IF(SUMPRODUCT((Ввод!$F$12:$F$31&lt;&gt;"")*(Ввод!$F$12:$F$31&lt;=A1118)*(Ввод!$G$12:$G$31&gt;=A1118))&gt;0,1,0))</f>
        <v/>
      </c>
      <c r="G1118">
        <f>IF(A1118="","",IF(OR(B1118&lt;&gt;B1117,C1118&lt;&gt;C1117,E1118&lt;&gt;E1117),G1117+1,G1117))</f>
        <v/>
      </c>
    </row>
    <row r="1119">
      <c r="A1119" s="20">
        <f>IF(A1118="","",IF(A1118+1&gt;Ввод!$B$4,"",A1118+1))</f>
        <v/>
      </c>
      <c r="B1119">
        <f>IF(A1119="","",IFERROR(INDEX(Ввод!$B$12:$B$71,MATCH(A1119,Ввод!$D$12:$D$71,1)),""))</f>
        <v/>
      </c>
      <c r="C1119">
        <f>IF(A1119="","",DATE(YEAR(A1119),12,31)-DATE(YEAR(A1119),1,1)+1)</f>
        <v/>
      </c>
      <c r="D1119">
        <f>IF(A1119="","",SUMIFS(Акты!$D$5:$D$16,Акты!$E$5:$E$16,"&lt;="&amp;A1119)-SUMIFS(Оплаты!$B$6:$B$505,Оплаты!$A$6:$A$505,"&lt;"&amp;A1119,Оплаты!$D$6:$D$505,"&lt;&gt;"))</f>
        <v/>
      </c>
      <c r="E1119">
        <f>IF(A1119="","",IF(SUMPRODUCT((Ввод!$F$12:$F$31&lt;&gt;"")*(Ввод!$F$12:$F$31&lt;=A1119)*(Ввод!$G$12:$G$31&gt;=A1119))&gt;0,1,0))</f>
        <v/>
      </c>
      <c r="G1119">
        <f>IF(A1119="","",IF(OR(B1119&lt;&gt;B1118,C1119&lt;&gt;C1118,E1119&lt;&gt;E1118),G1118+1,G1118))</f>
        <v/>
      </c>
    </row>
    <row r="1120">
      <c r="A1120" s="20">
        <f>IF(A1119="","",IF(A1119+1&gt;Ввод!$B$4,"",A1119+1))</f>
        <v/>
      </c>
      <c r="B1120">
        <f>IF(A1120="","",IFERROR(INDEX(Ввод!$B$12:$B$71,MATCH(A1120,Ввод!$D$12:$D$71,1)),""))</f>
        <v/>
      </c>
      <c r="C1120">
        <f>IF(A1120="","",DATE(YEAR(A1120),12,31)-DATE(YEAR(A1120),1,1)+1)</f>
        <v/>
      </c>
      <c r="D1120">
        <f>IF(A1120="","",SUMIFS(Акты!$D$5:$D$16,Акты!$E$5:$E$16,"&lt;="&amp;A1120)-SUMIFS(Оплаты!$B$6:$B$505,Оплаты!$A$6:$A$505,"&lt;"&amp;A1120,Оплаты!$D$6:$D$505,"&lt;&gt;"))</f>
        <v/>
      </c>
      <c r="E1120">
        <f>IF(A1120="","",IF(SUMPRODUCT((Ввод!$F$12:$F$31&lt;&gt;"")*(Ввод!$F$12:$F$31&lt;=A1120)*(Ввод!$G$12:$G$31&gt;=A1120))&gt;0,1,0))</f>
        <v/>
      </c>
      <c r="G1120">
        <f>IF(A1120="","",IF(OR(B1120&lt;&gt;B1119,C1120&lt;&gt;C1119,E1120&lt;&gt;E1119),G1119+1,G1119))</f>
        <v/>
      </c>
    </row>
    <row r="1121">
      <c r="A1121" s="20">
        <f>IF(A1120="","",IF(A1120+1&gt;Ввод!$B$4,"",A1120+1))</f>
        <v/>
      </c>
      <c r="B1121">
        <f>IF(A1121="","",IFERROR(INDEX(Ввод!$B$12:$B$71,MATCH(A1121,Ввод!$D$12:$D$71,1)),""))</f>
        <v/>
      </c>
      <c r="C1121">
        <f>IF(A1121="","",DATE(YEAR(A1121),12,31)-DATE(YEAR(A1121),1,1)+1)</f>
        <v/>
      </c>
      <c r="D1121">
        <f>IF(A1121="","",SUMIFS(Акты!$D$5:$D$16,Акты!$E$5:$E$16,"&lt;="&amp;A1121)-SUMIFS(Оплаты!$B$6:$B$505,Оплаты!$A$6:$A$505,"&lt;"&amp;A1121,Оплаты!$D$6:$D$505,"&lt;&gt;"))</f>
        <v/>
      </c>
      <c r="E1121">
        <f>IF(A1121="","",IF(SUMPRODUCT((Ввод!$F$12:$F$31&lt;&gt;"")*(Ввод!$F$12:$F$31&lt;=A1121)*(Ввод!$G$12:$G$31&gt;=A1121))&gt;0,1,0))</f>
        <v/>
      </c>
      <c r="G1121">
        <f>IF(A1121="","",IF(OR(B1121&lt;&gt;B1120,C1121&lt;&gt;C1120,E1121&lt;&gt;E1120),G1120+1,G1120))</f>
        <v/>
      </c>
    </row>
    <row r="1122">
      <c r="A1122" s="20">
        <f>IF(A1121="","",IF(A1121+1&gt;Ввод!$B$4,"",A1121+1))</f>
        <v/>
      </c>
      <c r="B1122">
        <f>IF(A1122="","",IFERROR(INDEX(Ввод!$B$12:$B$71,MATCH(A1122,Ввод!$D$12:$D$71,1)),""))</f>
        <v/>
      </c>
      <c r="C1122">
        <f>IF(A1122="","",DATE(YEAR(A1122),12,31)-DATE(YEAR(A1122),1,1)+1)</f>
        <v/>
      </c>
      <c r="D1122">
        <f>IF(A1122="","",SUMIFS(Акты!$D$5:$D$16,Акты!$E$5:$E$16,"&lt;="&amp;A1122)-SUMIFS(Оплаты!$B$6:$B$505,Оплаты!$A$6:$A$505,"&lt;"&amp;A1122,Оплаты!$D$6:$D$505,"&lt;&gt;"))</f>
        <v/>
      </c>
      <c r="E1122">
        <f>IF(A1122="","",IF(SUMPRODUCT((Ввод!$F$12:$F$31&lt;&gt;"")*(Ввод!$F$12:$F$31&lt;=A1122)*(Ввод!$G$12:$G$31&gt;=A1122))&gt;0,1,0))</f>
        <v/>
      </c>
      <c r="G1122">
        <f>IF(A1122="","",IF(OR(B1122&lt;&gt;B1121,C1122&lt;&gt;C1121,E1122&lt;&gt;E1121),G1121+1,G1121))</f>
        <v/>
      </c>
    </row>
    <row r="1123">
      <c r="A1123" s="20">
        <f>IF(A1122="","",IF(A1122+1&gt;Ввод!$B$4,"",A1122+1))</f>
        <v/>
      </c>
      <c r="B1123">
        <f>IF(A1123="","",IFERROR(INDEX(Ввод!$B$12:$B$71,MATCH(A1123,Ввод!$D$12:$D$71,1)),""))</f>
        <v/>
      </c>
      <c r="C1123">
        <f>IF(A1123="","",DATE(YEAR(A1123),12,31)-DATE(YEAR(A1123),1,1)+1)</f>
        <v/>
      </c>
      <c r="D1123">
        <f>IF(A1123="","",SUMIFS(Акты!$D$5:$D$16,Акты!$E$5:$E$16,"&lt;="&amp;A1123)-SUMIFS(Оплаты!$B$6:$B$505,Оплаты!$A$6:$A$505,"&lt;"&amp;A1123,Оплаты!$D$6:$D$505,"&lt;&gt;"))</f>
        <v/>
      </c>
      <c r="E1123">
        <f>IF(A1123="","",IF(SUMPRODUCT((Ввод!$F$12:$F$31&lt;&gt;"")*(Ввод!$F$12:$F$31&lt;=A1123)*(Ввод!$G$12:$G$31&gt;=A1123))&gt;0,1,0))</f>
        <v/>
      </c>
      <c r="G1123">
        <f>IF(A1123="","",IF(OR(B1123&lt;&gt;B1122,C1123&lt;&gt;C1122,E1123&lt;&gt;E1122),G1122+1,G1122))</f>
        <v/>
      </c>
    </row>
    <row r="1124">
      <c r="A1124" s="20">
        <f>IF(A1123="","",IF(A1123+1&gt;Ввод!$B$4,"",A1123+1))</f>
        <v/>
      </c>
      <c r="B1124">
        <f>IF(A1124="","",IFERROR(INDEX(Ввод!$B$12:$B$71,MATCH(A1124,Ввод!$D$12:$D$71,1)),""))</f>
        <v/>
      </c>
      <c r="C1124">
        <f>IF(A1124="","",DATE(YEAR(A1124),12,31)-DATE(YEAR(A1124),1,1)+1)</f>
        <v/>
      </c>
      <c r="D1124">
        <f>IF(A1124="","",SUMIFS(Акты!$D$5:$D$16,Акты!$E$5:$E$16,"&lt;="&amp;A1124)-SUMIFS(Оплаты!$B$6:$B$505,Оплаты!$A$6:$A$505,"&lt;"&amp;A1124,Оплаты!$D$6:$D$505,"&lt;&gt;"))</f>
        <v/>
      </c>
      <c r="E1124">
        <f>IF(A1124="","",IF(SUMPRODUCT((Ввод!$F$12:$F$31&lt;&gt;"")*(Ввод!$F$12:$F$31&lt;=A1124)*(Ввод!$G$12:$G$31&gt;=A1124))&gt;0,1,0))</f>
        <v/>
      </c>
      <c r="G1124">
        <f>IF(A1124="","",IF(OR(B1124&lt;&gt;B1123,C1124&lt;&gt;C1123,E1124&lt;&gt;E1123),G1123+1,G1123))</f>
        <v/>
      </c>
    </row>
    <row r="1125">
      <c r="A1125" s="20">
        <f>IF(A1124="","",IF(A1124+1&gt;Ввод!$B$4,"",A1124+1))</f>
        <v/>
      </c>
      <c r="B1125">
        <f>IF(A1125="","",IFERROR(INDEX(Ввод!$B$12:$B$71,MATCH(A1125,Ввод!$D$12:$D$71,1)),""))</f>
        <v/>
      </c>
      <c r="C1125">
        <f>IF(A1125="","",DATE(YEAR(A1125),12,31)-DATE(YEAR(A1125),1,1)+1)</f>
        <v/>
      </c>
      <c r="D1125">
        <f>IF(A1125="","",SUMIFS(Акты!$D$5:$D$16,Акты!$E$5:$E$16,"&lt;="&amp;A1125)-SUMIFS(Оплаты!$B$6:$B$505,Оплаты!$A$6:$A$505,"&lt;"&amp;A1125,Оплаты!$D$6:$D$505,"&lt;&gt;"))</f>
        <v/>
      </c>
      <c r="E1125">
        <f>IF(A1125="","",IF(SUMPRODUCT((Ввод!$F$12:$F$31&lt;&gt;"")*(Ввод!$F$12:$F$31&lt;=A1125)*(Ввод!$G$12:$G$31&gt;=A1125))&gt;0,1,0))</f>
        <v/>
      </c>
      <c r="G1125">
        <f>IF(A1125="","",IF(OR(B1125&lt;&gt;B1124,C1125&lt;&gt;C1124,E1125&lt;&gt;E1124),G1124+1,G1124))</f>
        <v/>
      </c>
    </row>
    <row r="1126">
      <c r="A1126" s="20">
        <f>IF(A1125="","",IF(A1125+1&gt;Ввод!$B$4,"",A1125+1))</f>
        <v/>
      </c>
      <c r="B1126">
        <f>IF(A1126="","",IFERROR(INDEX(Ввод!$B$12:$B$71,MATCH(A1126,Ввод!$D$12:$D$71,1)),""))</f>
        <v/>
      </c>
      <c r="C1126">
        <f>IF(A1126="","",DATE(YEAR(A1126),12,31)-DATE(YEAR(A1126),1,1)+1)</f>
        <v/>
      </c>
      <c r="D1126">
        <f>IF(A1126="","",SUMIFS(Акты!$D$5:$D$16,Акты!$E$5:$E$16,"&lt;="&amp;A1126)-SUMIFS(Оплаты!$B$6:$B$505,Оплаты!$A$6:$A$505,"&lt;"&amp;A1126,Оплаты!$D$6:$D$505,"&lt;&gt;"))</f>
        <v/>
      </c>
      <c r="E1126">
        <f>IF(A1126="","",IF(SUMPRODUCT((Ввод!$F$12:$F$31&lt;&gt;"")*(Ввод!$F$12:$F$31&lt;=A1126)*(Ввод!$G$12:$G$31&gt;=A1126))&gt;0,1,0))</f>
        <v/>
      </c>
      <c r="G1126">
        <f>IF(A1126="","",IF(OR(B1126&lt;&gt;B1125,C1126&lt;&gt;C1125,E1126&lt;&gt;E1125),G1125+1,G1125))</f>
        <v/>
      </c>
    </row>
    <row r="1127">
      <c r="A1127" s="20">
        <f>IF(A1126="","",IF(A1126+1&gt;Ввод!$B$4,"",A1126+1))</f>
        <v/>
      </c>
      <c r="B1127">
        <f>IF(A1127="","",IFERROR(INDEX(Ввод!$B$12:$B$71,MATCH(A1127,Ввод!$D$12:$D$71,1)),""))</f>
        <v/>
      </c>
      <c r="C1127">
        <f>IF(A1127="","",DATE(YEAR(A1127),12,31)-DATE(YEAR(A1127),1,1)+1)</f>
        <v/>
      </c>
      <c r="D1127">
        <f>IF(A1127="","",SUMIFS(Акты!$D$5:$D$16,Акты!$E$5:$E$16,"&lt;="&amp;A1127)-SUMIFS(Оплаты!$B$6:$B$505,Оплаты!$A$6:$A$505,"&lt;"&amp;A1127,Оплаты!$D$6:$D$505,"&lt;&gt;"))</f>
        <v/>
      </c>
      <c r="E1127">
        <f>IF(A1127="","",IF(SUMPRODUCT((Ввод!$F$12:$F$31&lt;&gt;"")*(Ввод!$F$12:$F$31&lt;=A1127)*(Ввод!$G$12:$G$31&gt;=A1127))&gt;0,1,0))</f>
        <v/>
      </c>
      <c r="G1127">
        <f>IF(A1127="","",IF(OR(B1127&lt;&gt;B1126,C1127&lt;&gt;C1126,E1127&lt;&gt;E1126),G1126+1,G1126))</f>
        <v/>
      </c>
    </row>
    <row r="1128">
      <c r="A1128" s="20">
        <f>IF(A1127="","",IF(A1127+1&gt;Ввод!$B$4,"",A1127+1))</f>
        <v/>
      </c>
      <c r="B1128">
        <f>IF(A1128="","",IFERROR(INDEX(Ввод!$B$12:$B$71,MATCH(A1128,Ввод!$D$12:$D$71,1)),""))</f>
        <v/>
      </c>
      <c r="C1128">
        <f>IF(A1128="","",DATE(YEAR(A1128),12,31)-DATE(YEAR(A1128),1,1)+1)</f>
        <v/>
      </c>
      <c r="D1128">
        <f>IF(A1128="","",SUMIFS(Акты!$D$5:$D$16,Акты!$E$5:$E$16,"&lt;="&amp;A1128)-SUMIFS(Оплаты!$B$6:$B$505,Оплаты!$A$6:$A$505,"&lt;"&amp;A1128,Оплаты!$D$6:$D$505,"&lt;&gt;"))</f>
        <v/>
      </c>
      <c r="E1128">
        <f>IF(A1128="","",IF(SUMPRODUCT((Ввод!$F$12:$F$31&lt;&gt;"")*(Ввод!$F$12:$F$31&lt;=A1128)*(Ввод!$G$12:$G$31&gt;=A1128))&gt;0,1,0))</f>
        <v/>
      </c>
      <c r="G1128">
        <f>IF(A1128="","",IF(OR(B1128&lt;&gt;B1127,C1128&lt;&gt;C1127,E1128&lt;&gt;E1127),G1127+1,G1127))</f>
        <v/>
      </c>
    </row>
    <row r="1129">
      <c r="A1129" s="20">
        <f>IF(A1128="","",IF(A1128+1&gt;Ввод!$B$4,"",A1128+1))</f>
        <v/>
      </c>
      <c r="B1129">
        <f>IF(A1129="","",IFERROR(INDEX(Ввод!$B$12:$B$71,MATCH(A1129,Ввод!$D$12:$D$71,1)),""))</f>
        <v/>
      </c>
      <c r="C1129">
        <f>IF(A1129="","",DATE(YEAR(A1129),12,31)-DATE(YEAR(A1129),1,1)+1)</f>
        <v/>
      </c>
      <c r="D1129">
        <f>IF(A1129="","",SUMIFS(Акты!$D$5:$D$16,Акты!$E$5:$E$16,"&lt;="&amp;A1129)-SUMIFS(Оплаты!$B$6:$B$505,Оплаты!$A$6:$A$505,"&lt;"&amp;A1129,Оплаты!$D$6:$D$505,"&lt;&gt;"))</f>
        <v/>
      </c>
      <c r="E1129">
        <f>IF(A1129="","",IF(SUMPRODUCT((Ввод!$F$12:$F$31&lt;&gt;"")*(Ввод!$F$12:$F$31&lt;=A1129)*(Ввод!$G$12:$G$31&gt;=A1129))&gt;0,1,0))</f>
        <v/>
      </c>
      <c r="G1129">
        <f>IF(A1129="","",IF(OR(B1129&lt;&gt;B1128,C1129&lt;&gt;C1128,E1129&lt;&gt;E1128),G1128+1,G1128))</f>
        <v/>
      </c>
    </row>
    <row r="1130">
      <c r="A1130" s="20">
        <f>IF(A1129="","",IF(A1129+1&gt;Ввод!$B$4,"",A1129+1))</f>
        <v/>
      </c>
      <c r="B1130">
        <f>IF(A1130="","",IFERROR(INDEX(Ввод!$B$12:$B$71,MATCH(A1130,Ввод!$D$12:$D$71,1)),""))</f>
        <v/>
      </c>
      <c r="C1130">
        <f>IF(A1130="","",DATE(YEAR(A1130),12,31)-DATE(YEAR(A1130),1,1)+1)</f>
        <v/>
      </c>
      <c r="D1130">
        <f>IF(A1130="","",SUMIFS(Акты!$D$5:$D$16,Акты!$E$5:$E$16,"&lt;="&amp;A1130)-SUMIFS(Оплаты!$B$6:$B$505,Оплаты!$A$6:$A$505,"&lt;"&amp;A1130,Оплаты!$D$6:$D$505,"&lt;&gt;"))</f>
        <v/>
      </c>
      <c r="E1130">
        <f>IF(A1130="","",IF(SUMPRODUCT((Ввод!$F$12:$F$31&lt;&gt;"")*(Ввод!$F$12:$F$31&lt;=A1130)*(Ввод!$G$12:$G$31&gt;=A1130))&gt;0,1,0))</f>
        <v/>
      </c>
      <c r="G1130">
        <f>IF(A1130="","",IF(OR(B1130&lt;&gt;B1129,C1130&lt;&gt;C1129,E1130&lt;&gt;E1129),G1129+1,G1129))</f>
        <v/>
      </c>
    </row>
    <row r="1131">
      <c r="A1131" s="20">
        <f>IF(A1130="","",IF(A1130+1&gt;Ввод!$B$4,"",A1130+1))</f>
        <v/>
      </c>
      <c r="B1131">
        <f>IF(A1131="","",IFERROR(INDEX(Ввод!$B$12:$B$71,MATCH(A1131,Ввод!$D$12:$D$71,1)),""))</f>
        <v/>
      </c>
      <c r="C1131">
        <f>IF(A1131="","",DATE(YEAR(A1131),12,31)-DATE(YEAR(A1131),1,1)+1)</f>
        <v/>
      </c>
      <c r="D1131">
        <f>IF(A1131="","",SUMIFS(Акты!$D$5:$D$16,Акты!$E$5:$E$16,"&lt;="&amp;A1131)-SUMIFS(Оплаты!$B$6:$B$505,Оплаты!$A$6:$A$505,"&lt;"&amp;A1131,Оплаты!$D$6:$D$505,"&lt;&gt;"))</f>
        <v/>
      </c>
      <c r="E1131">
        <f>IF(A1131="","",IF(SUMPRODUCT((Ввод!$F$12:$F$31&lt;&gt;"")*(Ввод!$F$12:$F$31&lt;=A1131)*(Ввод!$G$12:$G$31&gt;=A1131))&gt;0,1,0))</f>
        <v/>
      </c>
      <c r="G1131">
        <f>IF(A1131="","",IF(OR(B1131&lt;&gt;B1130,C1131&lt;&gt;C1130,E1131&lt;&gt;E1130),G1130+1,G1130))</f>
        <v/>
      </c>
    </row>
    <row r="1132">
      <c r="A1132" s="20">
        <f>IF(A1131="","",IF(A1131+1&gt;Ввод!$B$4,"",A1131+1))</f>
        <v/>
      </c>
      <c r="B1132">
        <f>IF(A1132="","",IFERROR(INDEX(Ввод!$B$12:$B$71,MATCH(A1132,Ввод!$D$12:$D$71,1)),""))</f>
        <v/>
      </c>
      <c r="C1132">
        <f>IF(A1132="","",DATE(YEAR(A1132),12,31)-DATE(YEAR(A1132),1,1)+1)</f>
        <v/>
      </c>
      <c r="D1132">
        <f>IF(A1132="","",SUMIFS(Акты!$D$5:$D$16,Акты!$E$5:$E$16,"&lt;="&amp;A1132)-SUMIFS(Оплаты!$B$6:$B$505,Оплаты!$A$6:$A$505,"&lt;"&amp;A1132,Оплаты!$D$6:$D$505,"&lt;&gt;"))</f>
        <v/>
      </c>
      <c r="E1132">
        <f>IF(A1132="","",IF(SUMPRODUCT((Ввод!$F$12:$F$31&lt;&gt;"")*(Ввод!$F$12:$F$31&lt;=A1132)*(Ввод!$G$12:$G$31&gt;=A1132))&gt;0,1,0))</f>
        <v/>
      </c>
      <c r="G1132">
        <f>IF(A1132="","",IF(OR(B1132&lt;&gt;B1131,C1132&lt;&gt;C1131,E1132&lt;&gt;E1131),G1131+1,G1131))</f>
        <v/>
      </c>
    </row>
    <row r="1133">
      <c r="A1133" s="20">
        <f>IF(A1132="","",IF(A1132+1&gt;Ввод!$B$4,"",A1132+1))</f>
        <v/>
      </c>
      <c r="B1133">
        <f>IF(A1133="","",IFERROR(INDEX(Ввод!$B$12:$B$71,MATCH(A1133,Ввод!$D$12:$D$71,1)),""))</f>
        <v/>
      </c>
      <c r="C1133">
        <f>IF(A1133="","",DATE(YEAR(A1133),12,31)-DATE(YEAR(A1133),1,1)+1)</f>
        <v/>
      </c>
      <c r="D1133">
        <f>IF(A1133="","",SUMIFS(Акты!$D$5:$D$16,Акты!$E$5:$E$16,"&lt;="&amp;A1133)-SUMIFS(Оплаты!$B$6:$B$505,Оплаты!$A$6:$A$505,"&lt;"&amp;A1133,Оплаты!$D$6:$D$505,"&lt;&gt;"))</f>
        <v/>
      </c>
      <c r="E1133">
        <f>IF(A1133="","",IF(SUMPRODUCT((Ввод!$F$12:$F$31&lt;&gt;"")*(Ввод!$F$12:$F$31&lt;=A1133)*(Ввод!$G$12:$G$31&gt;=A1133))&gt;0,1,0))</f>
        <v/>
      </c>
      <c r="G1133">
        <f>IF(A1133="","",IF(OR(B1133&lt;&gt;B1132,C1133&lt;&gt;C1132,E1133&lt;&gt;E1132),G1132+1,G1132))</f>
        <v/>
      </c>
    </row>
    <row r="1134">
      <c r="A1134" s="20">
        <f>IF(A1133="","",IF(A1133+1&gt;Ввод!$B$4,"",A1133+1))</f>
        <v/>
      </c>
      <c r="B1134">
        <f>IF(A1134="","",IFERROR(INDEX(Ввод!$B$12:$B$71,MATCH(A1134,Ввод!$D$12:$D$71,1)),""))</f>
        <v/>
      </c>
      <c r="C1134">
        <f>IF(A1134="","",DATE(YEAR(A1134),12,31)-DATE(YEAR(A1134),1,1)+1)</f>
        <v/>
      </c>
      <c r="D1134">
        <f>IF(A1134="","",SUMIFS(Акты!$D$5:$D$16,Акты!$E$5:$E$16,"&lt;="&amp;A1134)-SUMIFS(Оплаты!$B$6:$B$505,Оплаты!$A$6:$A$505,"&lt;"&amp;A1134,Оплаты!$D$6:$D$505,"&lt;&gt;"))</f>
        <v/>
      </c>
      <c r="E1134">
        <f>IF(A1134="","",IF(SUMPRODUCT((Ввод!$F$12:$F$31&lt;&gt;"")*(Ввод!$F$12:$F$31&lt;=A1134)*(Ввод!$G$12:$G$31&gt;=A1134))&gt;0,1,0))</f>
        <v/>
      </c>
      <c r="G1134">
        <f>IF(A1134="","",IF(OR(B1134&lt;&gt;B1133,C1134&lt;&gt;C1133,E1134&lt;&gt;E1133),G1133+1,G1133))</f>
        <v/>
      </c>
    </row>
    <row r="1135">
      <c r="A1135" s="20">
        <f>IF(A1134="","",IF(A1134+1&gt;Ввод!$B$4,"",A1134+1))</f>
        <v/>
      </c>
      <c r="B1135">
        <f>IF(A1135="","",IFERROR(INDEX(Ввод!$B$12:$B$71,MATCH(A1135,Ввод!$D$12:$D$71,1)),""))</f>
        <v/>
      </c>
      <c r="C1135">
        <f>IF(A1135="","",DATE(YEAR(A1135),12,31)-DATE(YEAR(A1135),1,1)+1)</f>
        <v/>
      </c>
      <c r="D1135">
        <f>IF(A1135="","",SUMIFS(Акты!$D$5:$D$16,Акты!$E$5:$E$16,"&lt;="&amp;A1135)-SUMIFS(Оплаты!$B$6:$B$505,Оплаты!$A$6:$A$505,"&lt;"&amp;A1135,Оплаты!$D$6:$D$505,"&lt;&gt;"))</f>
        <v/>
      </c>
      <c r="E1135">
        <f>IF(A1135="","",IF(SUMPRODUCT((Ввод!$F$12:$F$31&lt;&gt;"")*(Ввод!$F$12:$F$31&lt;=A1135)*(Ввод!$G$12:$G$31&gt;=A1135))&gt;0,1,0))</f>
        <v/>
      </c>
      <c r="G1135">
        <f>IF(A1135="","",IF(OR(B1135&lt;&gt;B1134,C1135&lt;&gt;C1134,E1135&lt;&gt;E1134),G1134+1,G1134))</f>
        <v/>
      </c>
    </row>
    <row r="1136">
      <c r="A1136" s="20">
        <f>IF(A1135="","",IF(A1135+1&gt;Ввод!$B$4,"",A1135+1))</f>
        <v/>
      </c>
      <c r="B1136">
        <f>IF(A1136="","",IFERROR(INDEX(Ввод!$B$12:$B$71,MATCH(A1136,Ввод!$D$12:$D$71,1)),""))</f>
        <v/>
      </c>
      <c r="C1136">
        <f>IF(A1136="","",DATE(YEAR(A1136),12,31)-DATE(YEAR(A1136),1,1)+1)</f>
        <v/>
      </c>
      <c r="D1136">
        <f>IF(A1136="","",SUMIFS(Акты!$D$5:$D$16,Акты!$E$5:$E$16,"&lt;="&amp;A1136)-SUMIFS(Оплаты!$B$6:$B$505,Оплаты!$A$6:$A$505,"&lt;"&amp;A1136,Оплаты!$D$6:$D$505,"&lt;&gt;"))</f>
        <v/>
      </c>
      <c r="E1136">
        <f>IF(A1136="","",IF(SUMPRODUCT((Ввод!$F$12:$F$31&lt;&gt;"")*(Ввод!$F$12:$F$31&lt;=A1136)*(Ввод!$G$12:$G$31&gt;=A1136))&gt;0,1,0))</f>
        <v/>
      </c>
      <c r="G1136">
        <f>IF(A1136="","",IF(OR(B1136&lt;&gt;B1135,C1136&lt;&gt;C1135,E1136&lt;&gt;E1135),G1135+1,G1135))</f>
        <v/>
      </c>
    </row>
    <row r="1137">
      <c r="A1137" s="20">
        <f>IF(A1136="","",IF(A1136+1&gt;Ввод!$B$4,"",A1136+1))</f>
        <v/>
      </c>
      <c r="B1137">
        <f>IF(A1137="","",IFERROR(INDEX(Ввод!$B$12:$B$71,MATCH(A1137,Ввод!$D$12:$D$71,1)),""))</f>
        <v/>
      </c>
      <c r="C1137">
        <f>IF(A1137="","",DATE(YEAR(A1137),12,31)-DATE(YEAR(A1137),1,1)+1)</f>
        <v/>
      </c>
      <c r="D1137">
        <f>IF(A1137="","",SUMIFS(Акты!$D$5:$D$16,Акты!$E$5:$E$16,"&lt;="&amp;A1137)-SUMIFS(Оплаты!$B$6:$B$505,Оплаты!$A$6:$A$505,"&lt;"&amp;A1137,Оплаты!$D$6:$D$505,"&lt;&gt;"))</f>
        <v/>
      </c>
      <c r="E1137">
        <f>IF(A1137="","",IF(SUMPRODUCT((Ввод!$F$12:$F$31&lt;&gt;"")*(Ввод!$F$12:$F$31&lt;=A1137)*(Ввод!$G$12:$G$31&gt;=A1137))&gt;0,1,0))</f>
        <v/>
      </c>
      <c r="G1137">
        <f>IF(A1137="","",IF(OR(B1137&lt;&gt;B1136,C1137&lt;&gt;C1136,E1137&lt;&gt;E1136),G1136+1,G1136))</f>
        <v/>
      </c>
    </row>
    <row r="1138">
      <c r="A1138" s="20">
        <f>IF(A1137="","",IF(A1137+1&gt;Ввод!$B$4,"",A1137+1))</f>
        <v/>
      </c>
      <c r="B1138">
        <f>IF(A1138="","",IFERROR(INDEX(Ввод!$B$12:$B$71,MATCH(A1138,Ввод!$D$12:$D$71,1)),""))</f>
        <v/>
      </c>
      <c r="C1138">
        <f>IF(A1138="","",DATE(YEAR(A1138),12,31)-DATE(YEAR(A1138),1,1)+1)</f>
        <v/>
      </c>
      <c r="D1138">
        <f>IF(A1138="","",SUMIFS(Акты!$D$5:$D$16,Акты!$E$5:$E$16,"&lt;="&amp;A1138)-SUMIFS(Оплаты!$B$6:$B$505,Оплаты!$A$6:$A$505,"&lt;"&amp;A1138,Оплаты!$D$6:$D$505,"&lt;&gt;"))</f>
        <v/>
      </c>
      <c r="E1138">
        <f>IF(A1138="","",IF(SUMPRODUCT((Ввод!$F$12:$F$31&lt;&gt;"")*(Ввод!$F$12:$F$31&lt;=A1138)*(Ввод!$G$12:$G$31&gt;=A1138))&gt;0,1,0))</f>
        <v/>
      </c>
      <c r="G1138">
        <f>IF(A1138="","",IF(OR(B1138&lt;&gt;B1137,C1138&lt;&gt;C1137,E1138&lt;&gt;E1137),G1137+1,G1137))</f>
        <v/>
      </c>
    </row>
    <row r="1139">
      <c r="A1139" s="20">
        <f>IF(A1138="","",IF(A1138+1&gt;Ввод!$B$4,"",A1138+1))</f>
        <v/>
      </c>
      <c r="B1139">
        <f>IF(A1139="","",IFERROR(INDEX(Ввод!$B$12:$B$71,MATCH(A1139,Ввод!$D$12:$D$71,1)),""))</f>
        <v/>
      </c>
      <c r="C1139">
        <f>IF(A1139="","",DATE(YEAR(A1139),12,31)-DATE(YEAR(A1139),1,1)+1)</f>
        <v/>
      </c>
      <c r="D1139">
        <f>IF(A1139="","",SUMIFS(Акты!$D$5:$D$16,Акты!$E$5:$E$16,"&lt;="&amp;A1139)-SUMIFS(Оплаты!$B$6:$B$505,Оплаты!$A$6:$A$505,"&lt;"&amp;A1139,Оплаты!$D$6:$D$505,"&lt;&gt;"))</f>
        <v/>
      </c>
      <c r="E1139">
        <f>IF(A1139="","",IF(SUMPRODUCT((Ввод!$F$12:$F$31&lt;&gt;"")*(Ввод!$F$12:$F$31&lt;=A1139)*(Ввод!$G$12:$G$31&gt;=A1139))&gt;0,1,0))</f>
        <v/>
      </c>
      <c r="G1139">
        <f>IF(A1139="","",IF(OR(B1139&lt;&gt;B1138,C1139&lt;&gt;C1138,E1139&lt;&gt;E1138),G1138+1,G1138))</f>
        <v/>
      </c>
    </row>
    <row r="1140">
      <c r="A1140" s="20">
        <f>IF(A1139="","",IF(A1139+1&gt;Ввод!$B$4,"",A1139+1))</f>
        <v/>
      </c>
      <c r="B1140">
        <f>IF(A1140="","",IFERROR(INDEX(Ввод!$B$12:$B$71,MATCH(A1140,Ввод!$D$12:$D$71,1)),""))</f>
        <v/>
      </c>
      <c r="C1140">
        <f>IF(A1140="","",DATE(YEAR(A1140),12,31)-DATE(YEAR(A1140),1,1)+1)</f>
        <v/>
      </c>
      <c r="D1140">
        <f>IF(A1140="","",SUMIFS(Акты!$D$5:$D$16,Акты!$E$5:$E$16,"&lt;="&amp;A1140)-SUMIFS(Оплаты!$B$6:$B$505,Оплаты!$A$6:$A$505,"&lt;"&amp;A1140,Оплаты!$D$6:$D$505,"&lt;&gt;"))</f>
        <v/>
      </c>
      <c r="E1140">
        <f>IF(A1140="","",IF(SUMPRODUCT((Ввод!$F$12:$F$31&lt;&gt;"")*(Ввод!$F$12:$F$31&lt;=A1140)*(Ввод!$G$12:$G$31&gt;=A1140))&gt;0,1,0))</f>
        <v/>
      </c>
      <c r="G1140">
        <f>IF(A1140="","",IF(OR(B1140&lt;&gt;B1139,C1140&lt;&gt;C1139,E1140&lt;&gt;E1139),G1139+1,G1139))</f>
        <v/>
      </c>
    </row>
    <row r="1141">
      <c r="A1141" s="20">
        <f>IF(A1140="","",IF(A1140+1&gt;Ввод!$B$4,"",A1140+1))</f>
        <v/>
      </c>
      <c r="B1141">
        <f>IF(A1141="","",IFERROR(INDEX(Ввод!$B$12:$B$71,MATCH(A1141,Ввод!$D$12:$D$71,1)),""))</f>
        <v/>
      </c>
      <c r="C1141">
        <f>IF(A1141="","",DATE(YEAR(A1141),12,31)-DATE(YEAR(A1141),1,1)+1)</f>
        <v/>
      </c>
      <c r="D1141">
        <f>IF(A1141="","",SUMIFS(Акты!$D$5:$D$16,Акты!$E$5:$E$16,"&lt;="&amp;A1141)-SUMIFS(Оплаты!$B$6:$B$505,Оплаты!$A$6:$A$505,"&lt;"&amp;A1141,Оплаты!$D$6:$D$505,"&lt;&gt;"))</f>
        <v/>
      </c>
      <c r="E1141">
        <f>IF(A1141="","",IF(SUMPRODUCT((Ввод!$F$12:$F$31&lt;&gt;"")*(Ввод!$F$12:$F$31&lt;=A1141)*(Ввод!$G$12:$G$31&gt;=A1141))&gt;0,1,0))</f>
        <v/>
      </c>
      <c r="G1141">
        <f>IF(A1141="","",IF(OR(B1141&lt;&gt;B1140,C1141&lt;&gt;C1140,E1141&lt;&gt;E1140),G1140+1,G1140))</f>
        <v/>
      </c>
    </row>
    <row r="1142">
      <c r="A1142" s="20">
        <f>IF(A1141="","",IF(A1141+1&gt;Ввод!$B$4,"",A1141+1))</f>
        <v/>
      </c>
      <c r="B1142">
        <f>IF(A1142="","",IFERROR(INDEX(Ввод!$B$12:$B$71,MATCH(A1142,Ввод!$D$12:$D$71,1)),""))</f>
        <v/>
      </c>
      <c r="C1142">
        <f>IF(A1142="","",DATE(YEAR(A1142),12,31)-DATE(YEAR(A1142),1,1)+1)</f>
        <v/>
      </c>
      <c r="D1142">
        <f>IF(A1142="","",SUMIFS(Акты!$D$5:$D$16,Акты!$E$5:$E$16,"&lt;="&amp;A1142)-SUMIFS(Оплаты!$B$6:$B$505,Оплаты!$A$6:$A$505,"&lt;"&amp;A1142,Оплаты!$D$6:$D$505,"&lt;&gt;"))</f>
        <v/>
      </c>
      <c r="E1142">
        <f>IF(A1142="","",IF(SUMPRODUCT((Ввод!$F$12:$F$31&lt;&gt;"")*(Ввод!$F$12:$F$31&lt;=A1142)*(Ввод!$G$12:$G$31&gt;=A1142))&gt;0,1,0))</f>
        <v/>
      </c>
      <c r="G1142">
        <f>IF(A1142="","",IF(OR(B1142&lt;&gt;B1141,C1142&lt;&gt;C1141,E1142&lt;&gt;E1141),G1141+1,G1141))</f>
        <v/>
      </c>
    </row>
    <row r="1143">
      <c r="A1143" s="20">
        <f>IF(A1142="","",IF(A1142+1&gt;Ввод!$B$4,"",A1142+1))</f>
        <v/>
      </c>
      <c r="B1143">
        <f>IF(A1143="","",IFERROR(INDEX(Ввод!$B$12:$B$71,MATCH(A1143,Ввод!$D$12:$D$71,1)),""))</f>
        <v/>
      </c>
      <c r="C1143">
        <f>IF(A1143="","",DATE(YEAR(A1143),12,31)-DATE(YEAR(A1143),1,1)+1)</f>
        <v/>
      </c>
      <c r="D1143">
        <f>IF(A1143="","",SUMIFS(Акты!$D$5:$D$16,Акты!$E$5:$E$16,"&lt;="&amp;A1143)-SUMIFS(Оплаты!$B$6:$B$505,Оплаты!$A$6:$A$505,"&lt;"&amp;A1143,Оплаты!$D$6:$D$505,"&lt;&gt;"))</f>
        <v/>
      </c>
      <c r="E1143">
        <f>IF(A1143="","",IF(SUMPRODUCT((Ввод!$F$12:$F$31&lt;&gt;"")*(Ввод!$F$12:$F$31&lt;=A1143)*(Ввод!$G$12:$G$31&gt;=A1143))&gt;0,1,0))</f>
        <v/>
      </c>
      <c r="G1143">
        <f>IF(A1143="","",IF(OR(B1143&lt;&gt;B1142,C1143&lt;&gt;C1142,E1143&lt;&gt;E1142),G1142+1,G1142))</f>
        <v/>
      </c>
    </row>
    <row r="1144">
      <c r="A1144" s="20">
        <f>IF(A1143="","",IF(A1143+1&gt;Ввод!$B$4,"",A1143+1))</f>
        <v/>
      </c>
      <c r="B1144">
        <f>IF(A1144="","",IFERROR(INDEX(Ввод!$B$12:$B$71,MATCH(A1144,Ввод!$D$12:$D$71,1)),""))</f>
        <v/>
      </c>
      <c r="C1144">
        <f>IF(A1144="","",DATE(YEAR(A1144),12,31)-DATE(YEAR(A1144),1,1)+1)</f>
        <v/>
      </c>
      <c r="D1144">
        <f>IF(A1144="","",SUMIFS(Акты!$D$5:$D$16,Акты!$E$5:$E$16,"&lt;="&amp;A1144)-SUMIFS(Оплаты!$B$6:$B$505,Оплаты!$A$6:$A$505,"&lt;"&amp;A1144,Оплаты!$D$6:$D$505,"&lt;&gt;"))</f>
        <v/>
      </c>
      <c r="E1144">
        <f>IF(A1144="","",IF(SUMPRODUCT((Ввод!$F$12:$F$31&lt;&gt;"")*(Ввод!$F$12:$F$31&lt;=A1144)*(Ввод!$G$12:$G$31&gt;=A1144))&gt;0,1,0))</f>
        <v/>
      </c>
      <c r="G1144">
        <f>IF(A1144="","",IF(OR(B1144&lt;&gt;B1143,C1144&lt;&gt;C1143,E1144&lt;&gt;E1143),G1143+1,G1143))</f>
        <v/>
      </c>
    </row>
    <row r="1145">
      <c r="A1145" s="20">
        <f>IF(A1144="","",IF(A1144+1&gt;Ввод!$B$4,"",A1144+1))</f>
        <v/>
      </c>
      <c r="B1145">
        <f>IF(A1145="","",IFERROR(INDEX(Ввод!$B$12:$B$71,MATCH(A1145,Ввод!$D$12:$D$71,1)),""))</f>
        <v/>
      </c>
      <c r="C1145">
        <f>IF(A1145="","",DATE(YEAR(A1145),12,31)-DATE(YEAR(A1145),1,1)+1)</f>
        <v/>
      </c>
      <c r="D1145">
        <f>IF(A1145="","",SUMIFS(Акты!$D$5:$D$16,Акты!$E$5:$E$16,"&lt;="&amp;A1145)-SUMIFS(Оплаты!$B$6:$B$505,Оплаты!$A$6:$A$505,"&lt;"&amp;A1145,Оплаты!$D$6:$D$505,"&lt;&gt;"))</f>
        <v/>
      </c>
      <c r="E1145">
        <f>IF(A1145="","",IF(SUMPRODUCT((Ввод!$F$12:$F$31&lt;&gt;"")*(Ввод!$F$12:$F$31&lt;=A1145)*(Ввод!$G$12:$G$31&gt;=A1145))&gt;0,1,0))</f>
        <v/>
      </c>
      <c r="G1145">
        <f>IF(A1145="","",IF(OR(B1145&lt;&gt;B1144,C1145&lt;&gt;C1144,E1145&lt;&gt;E1144),G1144+1,G1144))</f>
        <v/>
      </c>
    </row>
    <row r="1146">
      <c r="A1146" s="20">
        <f>IF(A1145="","",IF(A1145+1&gt;Ввод!$B$4,"",A1145+1))</f>
        <v/>
      </c>
      <c r="B1146">
        <f>IF(A1146="","",IFERROR(INDEX(Ввод!$B$12:$B$71,MATCH(A1146,Ввод!$D$12:$D$71,1)),""))</f>
        <v/>
      </c>
      <c r="C1146">
        <f>IF(A1146="","",DATE(YEAR(A1146),12,31)-DATE(YEAR(A1146),1,1)+1)</f>
        <v/>
      </c>
      <c r="D1146">
        <f>IF(A1146="","",SUMIFS(Акты!$D$5:$D$16,Акты!$E$5:$E$16,"&lt;="&amp;A1146)-SUMIFS(Оплаты!$B$6:$B$505,Оплаты!$A$6:$A$505,"&lt;"&amp;A1146,Оплаты!$D$6:$D$505,"&lt;&gt;"))</f>
        <v/>
      </c>
      <c r="E1146">
        <f>IF(A1146="","",IF(SUMPRODUCT((Ввод!$F$12:$F$31&lt;&gt;"")*(Ввод!$F$12:$F$31&lt;=A1146)*(Ввод!$G$12:$G$31&gt;=A1146))&gt;0,1,0))</f>
        <v/>
      </c>
      <c r="G1146">
        <f>IF(A1146="","",IF(OR(B1146&lt;&gt;B1145,C1146&lt;&gt;C1145,E1146&lt;&gt;E1145),G1145+1,G1145))</f>
        <v/>
      </c>
    </row>
    <row r="1147">
      <c r="A1147" s="20">
        <f>IF(A1146="","",IF(A1146+1&gt;Ввод!$B$4,"",A1146+1))</f>
        <v/>
      </c>
      <c r="B1147">
        <f>IF(A1147="","",IFERROR(INDEX(Ввод!$B$12:$B$71,MATCH(A1147,Ввод!$D$12:$D$71,1)),""))</f>
        <v/>
      </c>
      <c r="C1147">
        <f>IF(A1147="","",DATE(YEAR(A1147),12,31)-DATE(YEAR(A1147),1,1)+1)</f>
        <v/>
      </c>
      <c r="D1147">
        <f>IF(A1147="","",SUMIFS(Акты!$D$5:$D$16,Акты!$E$5:$E$16,"&lt;="&amp;A1147)-SUMIFS(Оплаты!$B$6:$B$505,Оплаты!$A$6:$A$505,"&lt;"&amp;A1147,Оплаты!$D$6:$D$505,"&lt;&gt;"))</f>
        <v/>
      </c>
      <c r="E1147">
        <f>IF(A1147="","",IF(SUMPRODUCT((Ввод!$F$12:$F$31&lt;&gt;"")*(Ввод!$F$12:$F$31&lt;=A1147)*(Ввод!$G$12:$G$31&gt;=A1147))&gt;0,1,0))</f>
        <v/>
      </c>
      <c r="G1147">
        <f>IF(A1147="","",IF(OR(B1147&lt;&gt;B1146,C1147&lt;&gt;C1146,E1147&lt;&gt;E1146),G1146+1,G1146))</f>
        <v/>
      </c>
    </row>
    <row r="1148">
      <c r="A1148" s="20">
        <f>IF(A1147="","",IF(A1147+1&gt;Ввод!$B$4,"",A1147+1))</f>
        <v/>
      </c>
      <c r="B1148">
        <f>IF(A1148="","",IFERROR(INDEX(Ввод!$B$12:$B$71,MATCH(A1148,Ввод!$D$12:$D$71,1)),""))</f>
        <v/>
      </c>
      <c r="C1148">
        <f>IF(A1148="","",DATE(YEAR(A1148),12,31)-DATE(YEAR(A1148),1,1)+1)</f>
        <v/>
      </c>
      <c r="D1148">
        <f>IF(A1148="","",SUMIFS(Акты!$D$5:$D$16,Акты!$E$5:$E$16,"&lt;="&amp;A1148)-SUMIFS(Оплаты!$B$6:$B$505,Оплаты!$A$6:$A$505,"&lt;"&amp;A1148,Оплаты!$D$6:$D$505,"&lt;&gt;"))</f>
        <v/>
      </c>
      <c r="E1148">
        <f>IF(A1148="","",IF(SUMPRODUCT((Ввод!$F$12:$F$31&lt;&gt;"")*(Ввод!$F$12:$F$31&lt;=A1148)*(Ввод!$G$12:$G$31&gt;=A1148))&gt;0,1,0))</f>
        <v/>
      </c>
      <c r="G1148">
        <f>IF(A1148="","",IF(OR(B1148&lt;&gt;B1147,C1148&lt;&gt;C1147,E1148&lt;&gt;E1147),G1147+1,G1147))</f>
        <v/>
      </c>
    </row>
    <row r="1149">
      <c r="A1149" s="20">
        <f>IF(A1148="","",IF(A1148+1&gt;Ввод!$B$4,"",A1148+1))</f>
        <v/>
      </c>
      <c r="B1149">
        <f>IF(A1149="","",IFERROR(INDEX(Ввод!$B$12:$B$71,MATCH(A1149,Ввод!$D$12:$D$71,1)),""))</f>
        <v/>
      </c>
      <c r="C1149">
        <f>IF(A1149="","",DATE(YEAR(A1149),12,31)-DATE(YEAR(A1149),1,1)+1)</f>
        <v/>
      </c>
      <c r="D1149">
        <f>IF(A1149="","",SUMIFS(Акты!$D$5:$D$16,Акты!$E$5:$E$16,"&lt;="&amp;A1149)-SUMIFS(Оплаты!$B$6:$B$505,Оплаты!$A$6:$A$505,"&lt;"&amp;A1149,Оплаты!$D$6:$D$505,"&lt;&gt;"))</f>
        <v/>
      </c>
      <c r="E1149">
        <f>IF(A1149="","",IF(SUMPRODUCT((Ввод!$F$12:$F$31&lt;&gt;"")*(Ввод!$F$12:$F$31&lt;=A1149)*(Ввод!$G$12:$G$31&gt;=A1149))&gt;0,1,0))</f>
        <v/>
      </c>
      <c r="G1149">
        <f>IF(A1149="","",IF(OR(B1149&lt;&gt;B1148,C1149&lt;&gt;C1148,E1149&lt;&gt;E1148),G1148+1,G1148))</f>
        <v/>
      </c>
    </row>
    <row r="1150">
      <c r="A1150" s="20">
        <f>IF(A1149="","",IF(A1149+1&gt;Ввод!$B$4,"",A1149+1))</f>
        <v/>
      </c>
      <c r="B1150">
        <f>IF(A1150="","",IFERROR(INDEX(Ввод!$B$12:$B$71,MATCH(A1150,Ввод!$D$12:$D$71,1)),""))</f>
        <v/>
      </c>
      <c r="C1150">
        <f>IF(A1150="","",DATE(YEAR(A1150),12,31)-DATE(YEAR(A1150),1,1)+1)</f>
        <v/>
      </c>
      <c r="D1150">
        <f>IF(A1150="","",SUMIFS(Акты!$D$5:$D$16,Акты!$E$5:$E$16,"&lt;="&amp;A1150)-SUMIFS(Оплаты!$B$6:$B$505,Оплаты!$A$6:$A$505,"&lt;"&amp;A1150,Оплаты!$D$6:$D$505,"&lt;&gt;"))</f>
        <v/>
      </c>
      <c r="E1150">
        <f>IF(A1150="","",IF(SUMPRODUCT((Ввод!$F$12:$F$31&lt;&gt;"")*(Ввод!$F$12:$F$31&lt;=A1150)*(Ввод!$G$12:$G$31&gt;=A1150))&gt;0,1,0))</f>
        <v/>
      </c>
      <c r="G1150">
        <f>IF(A1150="","",IF(OR(B1150&lt;&gt;B1149,C1150&lt;&gt;C1149,E1150&lt;&gt;E1149),G1149+1,G1149))</f>
        <v/>
      </c>
    </row>
    <row r="1151">
      <c r="A1151" s="20">
        <f>IF(A1150="","",IF(A1150+1&gt;Ввод!$B$4,"",A1150+1))</f>
        <v/>
      </c>
      <c r="B1151">
        <f>IF(A1151="","",IFERROR(INDEX(Ввод!$B$12:$B$71,MATCH(A1151,Ввод!$D$12:$D$71,1)),""))</f>
        <v/>
      </c>
      <c r="C1151">
        <f>IF(A1151="","",DATE(YEAR(A1151),12,31)-DATE(YEAR(A1151),1,1)+1)</f>
        <v/>
      </c>
      <c r="D1151">
        <f>IF(A1151="","",SUMIFS(Акты!$D$5:$D$16,Акты!$E$5:$E$16,"&lt;="&amp;A1151)-SUMIFS(Оплаты!$B$6:$B$505,Оплаты!$A$6:$A$505,"&lt;"&amp;A1151,Оплаты!$D$6:$D$505,"&lt;&gt;"))</f>
        <v/>
      </c>
      <c r="E1151">
        <f>IF(A1151="","",IF(SUMPRODUCT((Ввод!$F$12:$F$31&lt;&gt;"")*(Ввод!$F$12:$F$31&lt;=A1151)*(Ввод!$G$12:$G$31&gt;=A1151))&gt;0,1,0))</f>
        <v/>
      </c>
      <c r="G1151">
        <f>IF(A1151="","",IF(OR(B1151&lt;&gt;B1150,C1151&lt;&gt;C1150,E1151&lt;&gt;E1150),G1150+1,G1150))</f>
        <v/>
      </c>
    </row>
    <row r="1152">
      <c r="A1152" s="20">
        <f>IF(A1151="","",IF(A1151+1&gt;Ввод!$B$4,"",A1151+1))</f>
        <v/>
      </c>
      <c r="B1152">
        <f>IF(A1152="","",IFERROR(INDEX(Ввод!$B$12:$B$71,MATCH(A1152,Ввод!$D$12:$D$71,1)),""))</f>
        <v/>
      </c>
      <c r="C1152">
        <f>IF(A1152="","",DATE(YEAR(A1152),12,31)-DATE(YEAR(A1152),1,1)+1)</f>
        <v/>
      </c>
      <c r="D1152">
        <f>IF(A1152="","",SUMIFS(Акты!$D$5:$D$16,Акты!$E$5:$E$16,"&lt;="&amp;A1152)-SUMIFS(Оплаты!$B$6:$B$505,Оплаты!$A$6:$A$505,"&lt;"&amp;A1152,Оплаты!$D$6:$D$505,"&lt;&gt;"))</f>
        <v/>
      </c>
      <c r="E1152">
        <f>IF(A1152="","",IF(SUMPRODUCT((Ввод!$F$12:$F$31&lt;&gt;"")*(Ввод!$F$12:$F$31&lt;=A1152)*(Ввод!$G$12:$G$31&gt;=A1152))&gt;0,1,0))</f>
        <v/>
      </c>
      <c r="G1152">
        <f>IF(A1152="","",IF(OR(B1152&lt;&gt;B1151,C1152&lt;&gt;C1151,E1152&lt;&gt;E1151),G1151+1,G1151))</f>
        <v/>
      </c>
    </row>
    <row r="1153">
      <c r="A1153" s="20">
        <f>IF(A1152="","",IF(A1152+1&gt;Ввод!$B$4,"",A1152+1))</f>
        <v/>
      </c>
      <c r="B1153">
        <f>IF(A1153="","",IFERROR(INDEX(Ввод!$B$12:$B$71,MATCH(A1153,Ввод!$D$12:$D$71,1)),""))</f>
        <v/>
      </c>
      <c r="C1153">
        <f>IF(A1153="","",DATE(YEAR(A1153),12,31)-DATE(YEAR(A1153),1,1)+1)</f>
        <v/>
      </c>
      <c r="D1153">
        <f>IF(A1153="","",SUMIFS(Акты!$D$5:$D$16,Акты!$E$5:$E$16,"&lt;="&amp;A1153)-SUMIFS(Оплаты!$B$6:$B$505,Оплаты!$A$6:$A$505,"&lt;"&amp;A1153,Оплаты!$D$6:$D$505,"&lt;&gt;"))</f>
        <v/>
      </c>
      <c r="E1153">
        <f>IF(A1153="","",IF(SUMPRODUCT((Ввод!$F$12:$F$31&lt;&gt;"")*(Ввод!$F$12:$F$31&lt;=A1153)*(Ввод!$G$12:$G$31&gt;=A1153))&gt;0,1,0))</f>
        <v/>
      </c>
      <c r="G1153">
        <f>IF(A1153="","",IF(OR(B1153&lt;&gt;B1152,C1153&lt;&gt;C1152,E1153&lt;&gt;E1152),G1152+1,G1152))</f>
        <v/>
      </c>
    </row>
    <row r="1154">
      <c r="A1154" s="20">
        <f>IF(A1153="","",IF(A1153+1&gt;Ввод!$B$4,"",A1153+1))</f>
        <v/>
      </c>
      <c r="B1154">
        <f>IF(A1154="","",IFERROR(INDEX(Ввод!$B$12:$B$71,MATCH(A1154,Ввод!$D$12:$D$71,1)),""))</f>
        <v/>
      </c>
      <c r="C1154">
        <f>IF(A1154="","",DATE(YEAR(A1154),12,31)-DATE(YEAR(A1154),1,1)+1)</f>
        <v/>
      </c>
      <c r="D1154">
        <f>IF(A1154="","",SUMIFS(Акты!$D$5:$D$16,Акты!$E$5:$E$16,"&lt;="&amp;A1154)-SUMIFS(Оплаты!$B$6:$B$505,Оплаты!$A$6:$A$505,"&lt;"&amp;A1154,Оплаты!$D$6:$D$505,"&lt;&gt;"))</f>
        <v/>
      </c>
      <c r="E1154">
        <f>IF(A1154="","",IF(SUMPRODUCT((Ввод!$F$12:$F$31&lt;&gt;"")*(Ввод!$F$12:$F$31&lt;=A1154)*(Ввод!$G$12:$G$31&gt;=A1154))&gt;0,1,0))</f>
        <v/>
      </c>
      <c r="G1154">
        <f>IF(A1154="","",IF(OR(B1154&lt;&gt;B1153,C1154&lt;&gt;C1153,E1154&lt;&gt;E1153),G1153+1,G1153))</f>
        <v/>
      </c>
    </row>
    <row r="1155">
      <c r="A1155" s="20">
        <f>IF(A1154="","",IF(A1154+1&gt;Ввод!$B$4,"",A1154+1))</f>
        <v/>
      </c>
      <c r="B1155">
        <f>IF(A1155="","",IFERROR(INDEX(Ввод!$B$12:$B$71,MATCH(A1155,Ввод!$D$12:$D$71,1)),""))</f>
        <v/>
      </c>
      <c r="C1155">
        <f>IF(A1155="","",DATE(YEAR(A1155),12,31)-DATE(YEAR(A1155),1,1)+1)</f>
        <v/>
      </c>
      <c r="D1155">
        <f>IF(A1155="","",SUMIFS(Акты!$D$5:$D$16,Акты!$E$5:$E$16,"&lt;="&amp;A1155)-SUMIFS(Оплаты!$B$6:$B$505,Оплаты!$A$6:$A$505,"&lt;"&amp;A1155,Оплаты!$D$6:$D$505,"&lt;&gt;"))</f>
        <v/>
      </c>
      <c r="E1155">
        <f>IF(A1155="","",IF(SUMPRODUCT((Ввод!$F$12:$F$31&lt;&gt;"")*(Ввод!$F$12:$F$31&lt;=A1155)*(Ввод!$G$12:$G$31&gt;=A1155))&gt;0,1,0))</f>
        <v/>
      </c>
      <c r="G1155">
        <f>IF(A1155="","",IF(OR(B1155&lt;&gt;B1154,C1155&lt;&gt;C1154,E1155&lt;&gt;E1154),G1154+1,G1154))</f>
        <v/>
      </c>
    </row>
    <row r="1156">
      <c r="A1156" s="20">
        <f>IF(A1155="","",IF(A1155+1&gt;Ввод!$B$4,"",A1155+1))</f>
        <v/>
      </c>
      <c r="B1156">
        <f>IF(A1156="","",IFERROR(INDEX(Ввод!$B$12:$B$71,MATCH(A1156,Ввод!$D$12:$D$71,1)),""))</f>
        <v/>
      </c>
      <c r="C1156">
        <f>IF(A1156="","",DATE(YEAR(A1156),12,31)-DATE(YEAR(A1156),1,1)+1)</f>
        <v/>
      </c>
      <c r="D1156">
        <f>IF(A1156="","",SUMIFS(Акты!$D$5:$D$16,Акты!$E$5:$E$16,"&lt;="&amp;A1156)-SUMIFS(Оплаты!$B$6:$B$505,Оплаты!$A$6:$A$505,"&lt;"&amp;A1156,Оплаты!$D$6:$D$505,"&lt;&gt;"))</f>
        <v/>
      </c>
      <c r="E1156">
        <f>IF(A1156="","",IF(SUMPRODUCT((Ввод!$F$12:$F$31&lt;&gt;"")*(Ввод!$F$12:$F$31&lt;=A1156)*(Ввод!$G$12:$G$31&gt;=A1156))&gt;0,1,0))</f>
        <v/>
      </c>
      <c r="G1156">
        <f>IF(A1156="","",IF(OR(B1156&lt;&gt;B1155,C1156&lt;&gt;C1155,E1156&lt;&gt;E1155),G1155+1,G1155))</f>
        <v/>
      </c>
    </row>
    <row r="1157">
      <c r="A1157" s="20">
        <f>IF(A1156="","",IF(A1156+1&gt;Ввод!$B$4,"",A1156+1))</f>
        <v/>
      </c>
      <c r="B1157">
        <f>IF(A1157="","",IFERROR(INDEX(Ввод!$B$12:$B$71,MATCH(A1157,Ввод!$D$12:$D$71,1)),""))</f>
        <v/>
      </c>
      <c r="C1157">
        <f>IF(A1157="","",DATE(YEAR(A1157),12,31)-DATE(YEAR(A1157),1,1)+1)</f>
        <v/>
      </c>
      <c r="D1157">
        <f>IF(A1157="","",SUMIFS(Акты!$D$5:$D$16,Акты!$E$5:$E$16,"&lt;="&amp;A1157)-SUMIFS(Оплаты!$B$6:$B$505,Оплаты!$A$6:$A$505,"&lt;"&amp;A1157,Оплаты!$D$6:$D$505,"&lt;&gt;"))</f>
        <v/>
      </c>
      <c r="E1157">
        <f>IF(A1157="","",IF(SUMPRODUCT((Ввод!$F$12:$F$31&lt;&gt;"")*(Ввод!$F$12:$F$31&lt;=A1157)*(Ввод!$G$12:$G$31&gt;=A1157))&gt;0,1,0))</f>
        <v/>
      </c>
      <c r="G1157">
        <f>IF(A1157="","",IF(OR(B1157&lt;&gt;B1156,C1157&lt;&gt;C1156,E1157&lt;&gt;E1156),G1156+1,G1156))</f>
        <v/>
      </c>
    </row>
    <row r="1158">
      <c r="A1158" s="20">
        <f>IF(A1157="","",IF(A1157+1&gt;Ввод!$B$4,"",A1157+1))</f>
        <v/>
      </c>
      <c r="B1158">
        <f>IF(A1158="","",IFERROR(INDEX(Ввод!$B$12:$B$71,MATCH(A1158,Ввод!$D$12:$D$71,1)),""))</f>
        <v/>
      </c>
      <c r="C1158">
        <f>IF(A1158="","",DATE(YEAR(A1158),12,31)-DATE(YEAR(A1158),1,1)+1)</f>
        <v/>
      </c>
      <c r="D1158">
        <f>IF(A1158="","",SUMIFS(Акты!$D$5:$D$16,Акты!$E$5:$E$16,"&lt;="&amp;A1158)-SUMIFS(Оплаты!$B$6:$B$505,Оплаты!$A$6:$A$505,"&lt;"&amp;A1158,Оплаты!$D$6:$D$505,"&lt;&gt;"))</f>
        <v/>
      </c>
      <c r="E1158">
        <f>IF(A1158="","",IF(SUMPRODUCT((Ввод!$F$12:$F$31&lt;&gt;"")*(Ввод!$F$12:$F$31&lt;=A1158)*(Ввод!$G$12:$G$31&gt;=A1158))&gt;0,1,0))</f>
        <v/>
      </c>
      <c r="G1158">
        <f>IF(A1158="","",IF(OR(B1158&lt;&gt;B1157,C1158&lt;&gt;C1157,E1158&lt;&gt;E1157),G1157+1,G1157))</f>
        <v/>
      </c>
    </row>
    <row r="1159">
      <c r="A1159" s="20">
        <f>IF(A1158="","",IF(A1158+1&gt;Ввод!$B$4,"",A1158+1))</f>
        <v/>
      </c>
      <c r="B1159">
        <f>IF(A1159="","",IFERROR(INDEX(Ввод!$B$12:$B$71,MATCH(A1159,Ввод!$D$12:$D$71,1)),""))</f>
        <v/>
      </c>
      <c r="C1159">
        <f>IF(A1159="","",DATE(YEAR(A1159),12,31)-DATE(YEAR(A1159),1,1)+1)</f>
        <v/>
      </c>
      <c r="D1159">
        <f>IF(A1159="","",SUMIFS(Акты!$D$5:$D$16,Акты!$E$5:$E$16,"&lt;="&amp;A1159)-SUMIFS(Оплаты!$B$6:$B$505,Оплаты!$A$6:$A$505,"&lt;"&amp;A1159,Оплаты!$D$6:$D$505,"&lt;&gt;"))</f>
        <v/>
      </c>
      <c r="E1159">
        <f>IF(A1159="","",IF(SUMPRODUCT((Ввод!$F$12:$F$31&lt;&gt;"")*(Ввод!$F$12:$F$31&lt;=A1159)*(Ввод!$G$12:$G$31&gt;=A1159))&gt;0,1,0))</f>
        <v/>
      </c>
      <c r="G1159">
        <f>IF(A1159="","",IF(OR(B1159&lt;&gt;B1158,C1159&lt;&gt;C1158,E1159&lt;&gt;E1158),G1158+1,G1158))</f>
        <v/>
      </c>
    </row>
    <row r="1160">
      <c r="A1160" s="20">
        <f>IF(A1159="","",IF(A1159+1&gt;Ввод!$B$4,"",A1159+1))</f>
        <v/>
      </c>
      <c r="B1160">
        <f>IF(A1160="","",IFERROR(INDEX(Ввод!$B$12:$B$71,MATCH(A1160,Ввод!$D$12:$D$71,1)),""))</f>
        <v/>
      </c>
      <c r="C1160">
        <f>IF(A1160="","",DATE(YEAR(A1160),12,31)-DATE(YEAR(A1160),1,1)+1)</f>
        <v/>
      </c>
      <c r="D1160">
        <f>IF(A1160="","",SUMIFS(Акты!$D$5:$D$16,Акты!$E$5:$E$16,"&lt;="&amp;A1160)-SUMIFS(Оплаты!$B$6:$B$505,Оплаты!$A$6:$A$505,"&lt;"&amp;A1160,Оплаты!$D$6:$D$505,"&lt;&gt;"))</f>
        <v/>
      </c>
      <c r="E1160">
        <f>IF(A1160="","",IF(SUMPRODUCT((Ввод!$F$12:$F$31&lt;&gt;"")*(Ввод!$F$12:$F$31&lt;=A1160)*(Ввод!$G$12:$G$31&gt;=A1160))&gt;0,1,0))</f>
        <v/>
      </c>
      <c r="G1160">
        <f>IF(A1160="","",IF(OR(B1160&lt;&gt;B1159,C1160&lt;&gt;C1159,E1160&lt;&gt;E1159),G1159+1,G1159))</f>
        <v/>
      </c>
    </row>
    <row r="1161">
      <c r="A1161" s="20">
        <f>IF(A1160="","",IF(A1160+1&gt;Ввод!$B$4,"",A1160+1))</f>
        <v/>
      </c>
      <c r="B1161">
        <f>IF(A1161="","",IFERROR(INDEX(Ввод!$B$12:$B$71,MATCH(A1161,Ввод!$D$12:$D$71,1)),""))</f>
        <v/>
      </c>
      <c r="C1161">
        <f>IF(A1161="","",DATE(YEAR(A1161),12,31)-DATE(YEAR(A1161),1,1)+1)</f>
        <v/>
      </c>
      <c r="D1161">
        <f>IF(A1161="","",SUMIFS(Акты!$D$5:$D$16,Акты!$E$5:$E$16,"&lt;="&amp;A1161)-SUMIFS(Оплаты!$B$6:$B$505,Оплаты!$A$6:$A$505,"&lt;"&amp;A1161,Оплаты!$D$6:$D$505,"&lt;&gt;"))</f>
        <v/>
      </c>
      <c r="E1161">
        <f>IF(A1161="","",IF(SUMPRODUCT((Ввод!$F$12:$F$31&lt;&gt;"")*(Ввод!$F$12:$F$31&lt;=A1161)*(Ввод!$G$12:$G$31&gt;=A1161))&gt;0,1,0))</f>
        <v/>
      </c>
      <c r="G1161">
        <f>IF(A1161="","",IF(OR(B1161&lt;&gt;B1160,C1161&lt;&gt;C1160,E1161&lt;&gt;E1160),G1160+1,G1160))</f>
        <v/>
      </c>
    </row>
    <row r="1162">
      <c r="A1162" s="20">
        <f>IF(A1161="","",IF(A1161+1&gt;Ввод!$B$4,"",A1161+1))</f>
        <v/>
      </c>
      <c r="B1162">
        <f>IF(A1162="","",IFERROR(INDEX(Ввод!$B$12:$B$71,MATCH(A1162,Ввод!$D$12:$D$71,1)),""))</f>
        <v/>
      </c>
      <c r="C1162">
        <f>IF(A1162="","",DATE(YEAR(A1162),12,31)-DATE(YEAR(A1162),1,1)+1)</f>
        <v/>
      </c>
      <c r="D1162">
        <f>IF(A1162="","",SUMIFS(Акты!$D$5:$D$16,Акты!$E$5:$E$16,"&lt;="&amp;A1162)-SUMIFS(Оплаты!$B$6:$B$505,Оплаты!$A$6:$A$505,"&lt;"&amp;A1162,Оплаты!$D$6:$D$505,"&lt;&gt;"))</f>
        <v/>
      </c>
      <c r="E1162">
        <f>IF(A1162="","",IF(SUMPRODUCT((Ввод!$F$12:$F$31&lt;&gt;"")*(Ввод!$F$12:$F$31&lt;=A1162)*(Ввод!$G$12:$G$31&gt;=A1162))&gt;0,1,0))</f>
        <v/>
      </c>
      <c r="G1162">
        <f>IF(A1162="","",IF(OR(B1162&lt;&gt;B1161,C1162&lt;&gt;C1161,E1162&lt;&gt;E1161),G1161+1,G1161))</f>
        <v/>
      </c>
    </row>
    <row r="1163">
      <c r="A1163" s="20">
        <f>IF(A1162="","",IF(A1162+1&gt;Ввод!$B$4,"",A1162+1))</f>
        <v/>
      </c>
      <c r="B1163">
        <f>IF(A1163="","",IFERROR(INDEX(Ввод!$B$12:$B$71,MATCH(A1163,Ввод!$D$12:$D$71,1)),""))</f>
        <v/>
      </c>
      <c r="C1163">
        <f>IF(A1163="","",DATE(YEAR(A1163),12,31)-DATE(YEAR(A1163),1,1)+1)</f>
        <v/>
      </c>
      <c r="D1163">
        <f>IF(A1163="","",SUMIFS(Акты!$D$5:$D$16,Акты!$E$5:$E$16,"&lt;="&amp;A1163)-SUMIFS(Оплаты!$B$6:$B$505,Оплаты!$A$6:$A$505,"&lt;"&amp;A1163,Оплаты!$D$6:$D$505,"&lt;&gt;"))</f>
        <v/>
      </c>
      <c r="E1163">
        <f>IF(A1163="","",IF(SUMPRODUCT((Ввод!$F$12:$F$31&lt;&gt;"")*(Ввод!$F$12:$F$31&lt;=A1163)*(Ввод!$G$12:$G$31&gt;=A1163))&gt;0,1,0))</f>
        <v/>
      </c>
      <c r="G1163">
        <f>IF(A1163="","",IF(OR(B1163&lt;&gt;B1162,C1163&lt;&gt;C1162,E1163&lt;&gt;E1162),G1162+1,G1162))</f>
        <v/>
      </c>
    </row>
    <row r="1164">
      <c r="A1164" s="20">
        <f>IF(A1163="","",IF(A1163+1&gt;Ввод!$B$4,"",A1163+1))</f>
        <v/>
      </c>
      <c r="B1164">
        <f>IF(A1164="","",IFERROR(INDEX(Ввод!$B$12:$B$71,MATCH(A1164,Ввод!$D$12:$D$71,1)),""))</f>
        <v/>
      </c>
      <c r="C1164">
        <f>IF(A1164="","",DATE(YEAR(A1164),12,31)-DATE(YEAR(A1164),1,1)+1)</f>
        <v/>
      </c>
      <c r="D1164">
        <f>IF(A1164="","",SUMIFS(Акты!$D$5:$D$16,Акты!$E$5:$E$16,"&lt;="&amp;A1164)-SUMIFS(Оплаты!$B$6:$B$505,Оплаты!$A$6:$A$505,"&lt;"&amp;A1164,Оплаты!$D$6:$D$505,"&lt;&gt;"))</f>
        <v/>
      </c>
      <c r="E1164">
        <f>IF(A1164="","",IF(SUMPRODUCT((Ввод!$F$12:$F$31&lt;&gt;"")*(Ввод!$F$12:$F$31&lt;=A1164)*(Ввод!$G$12:$G$31&gt;=A1164))&gt;0,1,0))</f>
        <v/>
      </c>
      <c r="G1164">
        <f>IF(A1164="","",IF(OR(B1164&lt;&gt;B1163,C1164&lt;&gt;C1163,E1164&lt;&gt;E1163),G1163+1,G1163))</f>
        <v/>
      </c>
    </row>
    <row r="1165">
      <c r="A1165" s="20">
        <f>IF(A1164="","",IF(A1164+1&gt;Ввод!$B$4,"",A1164+1))</f>
        <v/>
      </c>
      <c r="B1165">
        <f>IF(A1165="","",IFERROR(INDEX(Ввод!$B$12:$B$71,MATCH(A1165,Ввод!$D$12:$D$71,1)),""))</f>
        <v/>
      </c>
      <c r="C1165">
        <f>IF(A1165="","",DATE(YEAR(A1165),12,31)-DATE(YEAR(A1165),1,1)+1)</f>
        <v/>
      </c>
      <c r="D1165">
        <f>IF(A1165="","",SUMIFS(Акты!$D$5:$D$16,Акты!$E$5:$E$16,"&lt;="&amp;A1165)-SUMIFS(Оплаты!$B$6:$B$505,Оплаты!$A$6:$A$505,"&lt;"&amp;A1165,Оплаты!$D$6:$D$505,"&lt;&gt;"))</f>
        <v/>
      </c>
      <c r="E1165">
        <f>IF(A1165="","",IF(SUMPRODUCT((Ввод!$F$12:$F$31&lt;&gt;"")*(Ввод!$F$12:$F$31&lt;=A1165)*(Ввод!$G$12:$G$31&gt;=A1165))&gt;0,1,0))</f>
        <v/>
      </c>
      <c r="G1165">
        <f>IF(A1165="","",IF(OR(B1165&lt;&gt;B1164,C1165&lt;&gt;C1164,E1165&lt;&gt;E1164),G1164+1,G1164))</f>
        <v/>
      </c>
    </row>
    <row r="1166">
      <c r="A1166" s="20">
        <f>IF(A1165="","",IF(A1165+1&gt;Ввод!$B$4,"",A1165+1))</f>
        <v/>
      </c>
      <c r="B1166">
        <f>IF(A1166="","",IFERROR(INDEX(Ввод!$B$12:$B$71,MATCH(A1166,Ввод!$D$12:$D$71,1)),""))</f>
        <v/>
      </c>
      <c r="C1166">
        <f>IF(A1166="","",DATE(YEAR(A1166),12,31)-DATE(YEAR(A1166),1,1)+1)</f>
        <v/>
      </c>
      <c r="D1166">
        <f>IF(A1166="","",SUMIFS(Акты!$D$5:$D$16,Акты!$E$5:$E$16,"&lt;="&amp;A1166)-SUMIFS(Оплаты!$B$6:$B$505,Оплаты!$A$6:$A$505,"&lt;"&amp;A1166,Оплаты!$D$6:$D$505,"&lt;&gt;"))</f>
        <v/>
      </c>
      <c r="E1166">
        <f>IF(A1166="","",IF(SUMPRODUCT((Ввод!$F$12:$F$31&lt;&gt;"")*(Ввод!$F$12:$F$31&lt;=A1166)*(Ввод!$G$12:$G$31&gt;=A1166))&gt;0,1,0))</f>
        <v/>
      </c>
      <c r="G1166">
        <f>IF(A1166="","",IF(OR(B1166&lt;&gt;B1165,C1166&lt;&gt;C1165,E1166&lt;&gt;E1165),G1165+1,G1165))</f>
        <v/>
      </c>
    </row>
    <row r="1167">
      <c r="A1167" s="20">
        <f>IF(A1166="","",IF(A1166+1&gt;Ввод!$B$4,"",A1166+1))</f>
        <v/>
      </c>
      <c r="B1167">
        <f>IF(A1167="","",IFERROR(INDEX(Ввод!$B$12:$B$71,MATCH(A1167,Ввод!$D$12:$D$71,1)),""))</f>
        <v/>
      </c>
      <c r="C1167">
        <f>IF(A1167="","",DATE(YEAR(A1167),12,31)-DATE(YEAR(A1167),1,1)+1)</f>
        <v/>
      </c>
      <c r="D1167">
        <f>IF(A1167="","",SUMIFS(Акты!$D$5:$D$16,Акты!$E$5:$E$16,"&lt;="&amp;A1167)-SUMIFS(Оплаты!$B$6:$B$505,Оплаты!$A$6:$A$505,"&lt;"&amp;A1167,Оплаты!$D$6:$D$505,"&lt;&gt;"))</f>
        <v/>
      </c>
      <c r="E1167">
        <f>IF(A1167="","",IF(SUMPRODUCT((Ввод!$F$12:$F$31&lt;&gt;"")*(Ввод!$F$12:$F$31&lt;=A1167)*(Ввод!$G$12:$G$31&gt;=A1167))&gt;0,1,0))</f>
        <v/>
      </c>
      <c r="G1167">
        <f>IF(A1167="","",IF(OR(B1167&lt;&gt;B1166,C1167&lt;&gt;C1166,E1167&lt;&gt;E1166),G1166+1,G1166))</f>
        <v/>
      </c>
    </row>
    <row r="1168">
      <c r="A1168" s="20">
        <f>IF(A1167="","",IF(A1167+1&gt;Ввод!$B$4,"",A1167+1))</f>
        <v/>
      </c>
      <c r="B1168">
        <f>IF(A1168="","",IFERROR(INDEX(Ввод!$B$12:$B$71,MATCH(A1168,Ввод!$D$12:$D$71,1)),""))</f>
        <v/>
      </c>
      <c r="C1168">
        <f>IF(A1168="","",DATE(YEAR(A1168),12,31)-DATE(YEAR(A1168),1,1)+1)</f>
        <v/>
      </c>
      <c r="D1168">
        <f>IF(A1168="","",SUMIFS(Акты!$D$5:$D$16,Акты!$E$5:$E$16,"&lt;="&amp;A1168)-SUMIFS(Оплаты!$B$6:$B$505,Оплаты!$A$6:$A$505,"&lt;"&amp;A1168,Оплаты!$D$6:$D$505,"&lt;&gt;"))</f>
        <v/>
      </c>
      <c r="E1168">
        <f>IF(A1168="","",IF(SUMPRODUCT((Ввод!$F$12:$F$31&lt;&gt;"")*(Ввод!$F$12:$F$31&lt;=A1168)*(Ввод!$G$12:$G$31&gt;=A1168))&gt;0,1,0))</f>
        <v/>
      </c>
      <c r="G1168">
        <f>IF(A1168="","",IF(OR(B1168&lt;&gt;B1167,C1168&lt;&gt;C1167,E1168&lt;&gt;E1167),G1167+1,G1167))</f>
        <v/>
      </c>
    </row>
    <row r="1169">
      <c r="A1169" s="20">
        <f>IF(A1168="","",IF(A1168+1&gt;Ввод!$B$4,"",A1168+1))</f>
        <v/>
      </c>
      <c r="B1169">
        <f>IF(A1169="","",IFERROR(INDEX(Ввод!$B$12:$B$71,MATCH(A1169,Ввод!$D$12:$D$71,1)),""))</f>
        <v/>
      </c>
      <c r="C1169">
        <f>IF(A1169="","",DATE(YEAR(A1169),12,31)-DATE(YEAR(A1169),1,1)+1)</f>
        <v/>
      </c>
      <c r="D1169">
        <f>IF(A1169="","",SUMIFS(Акты!$D$5:$D$16,Акты!$E$5:$E$16,"&lt;="&amp;A1169)-SUMIFS(Оплаты!$B$6:$B$505,Оплаты!$A$6:$A$505,"&lt;"&amp;A1169,Оплаты!$D$6:$D$505,"&lt;&gt;"))</f>
        <v/>
      </c>
      <c r="E1169">
        <f>IF(A1169="","",IF(SUMPRODUCT((Ввод!$F$12:$F$31&lt;&gt;"")*(Ввод!$F$12:$F$31&lt;=A1169)*(Ввод!$G$12:$G$31&gt;=A1169))&gt;0,1,0))</f>
        <v/>
      </c>
      <c r="G1169">
        <f>IF(A1169="","",IF(OR(B1169&lt;&gt;B1168,C1169&lt;&gt;C1168,E1169&lt;&gt;E1168),G1168+1,G1168))</f>
        <v/>
      </c>
    </row>
    <row r="1170">
      <c r="A1170" s="20">
        <f>IF(A1169="","",IF(A1169+1&gt;Ввод!$B$4,"",A1169+1))</f>
        <v/>
      </c>
      <c r="B1170">
        <f>IF(A1170="","",IFERROR(INDEX(Ввод!$B$12:$B$71,MATCH(A1170,Ввод!$D$12:$D$71,1)),""))</f>
        <v/>
      </c>
      <c r="C1170">
        <f>IF(A1170="","",DATE(YEAR(A1170),12,31)-DATE(YEAR(A1170),1,1)+1)</f>
        <v/>
      </c>
      <c r="D1170">
        <f>IF(A1170="","",SUMIFS(Акты!$D$5:$D$16,Акты!$E$5:$E$16,"&lt;="&amp;A1170)-SUMIFS(Оплаты!$B$6:$B$505,Оплаты!$A$6:$A$505,"&lt;"&amp;A1170,Оплаты!$D$6:$D$505,"&lt;&gt;"))</f>
        <v/>
      </c>
      <c r="E1170">
        <f>IF(A1170="","",IF(SUMPRODUCT((Ввод!$F$12:$F$31&lt;&gt;"")*(Ввод!$F$12:$F$31&lt;=A1170)*(Ввод!$G$12:$G$31&gt;=A1170))&gt;0,1,0))</f>
        <v/>
      </c>
      <c r="G1170">
        <f>IF(A1170="","",IF(OR(B1170&lt;&gt;B1169,C1170&lt;&gt;C1169,E1170&lt;&gt;E1169),G1169+1,G1169))</f>
        <v/>
      </c>
    </row>
    <row r="1171">
      <c r="A1171" s="20">
        <f>IF(A1170="","",IF(A1170+1&gt;Ввод!$B$4,"",A1170+1))</f>
        <v/>
      </c>
      <c r="B1171">
        <f>IF(A1171="","",IFERROR(INDEX(Ввод!$B$12:$B$71,MATCH(A1171,Ввод!$D$12:$D$71,1)),""))</f>
        <v/>
      </c>
      <c r="C1171">
        <f>IF(A1171="","",DATE(YEAR(A1171),12,31)-DATE(YEAR(A1171),1,1)+1)</f>
        <v/>
      </c>
      <c r="D1171">
        <f>IF(A1171="","",SUMIFS(Акты!$D$5:$D$16,Акты!$E$5:$E$16,"&lt;="&amp;A1171)-SUMIFS(Оплаты!$B$6:$B$505,Оплаты!$A$6:$A$505,"&lt;"&amp;A1171,Оплаты!$D$6:$D$505,"&lt;&gt;"))</f>
        <v/>
      </c>
      <c r="E1171">
        <f>IF(A1171="","",IF(SUMPRODUCT((Ввод!$F$12:$F$31&lt;&gt;"")*(Ввод!$F$12:$F$31&lt;=A1171)*(Ввод!$G$12:$G$31&gt;=A1171))&gt;0,1,0))</f>
        <v/>
      </c>
      <c r="G1171">
        <f>IF(A1171="","",IF(OR(B1171&lt;&gt;B1170,C1171&lt;&gt;C1170,E1171&lt;&gt;E1170),G1170+1,G1170))</f>
        <v/>
      </c>
    </row>
    <row r="1172">
      <c r="A1172" s="20">
        <f>IF(A1171="","",IF(A1171+1&gt;Ввод!$B$4,"",A1171+1))</f>
        <v/>
      </c>
      <c r="B1172">
        <f>IF(A1172="","",IFERROR(INDEX(Ввод!$B$12:$B$71,MATCH(A1172,Ввод!$D$12:$D$71,1)),""))</f>
        <v/>
      </c>
      <c r="C1172">
        <f>IF(A1172="","",DATE(YEAR(A1172),12,31)-DATE(YEAR(A1172),1,1)+1)</f>
        <v/>
      </c>
      <c r="D1172">
        <f>IF(A1172="","",SUMIFS(Акты!$D$5:$D$16,Акты!$E$5:$E$16,"&lt;="&amp;A1172)-SUMIFS(Оплаты!$B$6:$B$505,Оплаты!$A$6:$A$505,"&lt;"&amp;A1172,Оплаты!$D$6:$D$505,"&lt;&gt;"))</f>
        <v/>
      </c>
      <c r="E1172">
        <f>IF(A1172="","",IF(SUMPRODUCT((Ввод!$F$12:$F$31&lt;&gt;"")*(Ввод!$F$12:$F$31&lt;=A1172)*(Ввод!$G$12:$G$31&gt;=A1172))&gt;0,1,0))</f>
        <v/>
      </c>
      <c r="G1172">
        <f>IF(A1172="","",IF(OR(B1172&lt;&gt;B1171,C1172&lt;&gt;C1171,E1172&lt;&gt;E1171),G1171+1,G1171))</f>
        <v/>
      </c>
    </row>
    <row r="1173">
      <c r="A1173" s="20">
        <f>IF(A1172="","",IF(A1172+1&gt;Ввод!$B$4,"",A1172+1))</f>
        <v/>
      </c>
      <c r="B1173">
        <f>IF(A1173="","",IFERROR(INDEX(Ввод!$B$12:$B$71,MATCH(A1173,Ввод!$D$12:$D$71,1)),""))</f>
        <v/>
      </c>
      <c r="C1173">
        <f>IF(A1173="","",DATE(YEAR(A1173),12,31)-DATE(YEAR(A1173),1,1)+1)</f>
        <v/>
      </c>
      <c r="D1173">
        <f>IF(A1173="","",SUMIFS(Акты!$D$5:$D$16,Акты!$E$5:$E$16,"&lt;="&amp;A1173)-SUMIFS(Оплаты!$B$6:$B$505,Оплаты!$A$6:$A$505,"&lt;"&amp;A1173,Оплаты!$D$6:$D$505,"&lt;&gt;"))</f>
        <v/>
      </c>
      <c r="E1173">
        <f>IF(A1173="","",IF(SUMPRODUCT((Ввод!$F$12:$F$31&lt;&gt;"")*(Ввод!$F$12:$F$31&lt;=A1173)*(Ввод!$G$12:$G$31&gt;=A1173))&gt;0,1,0))</f>
        <v/>
      </c>
      <c r="G1173">
        <f>IF(A1173="","",IF(OR(B1173&lt;&gt;B1172,C1173&lt;&gt;C1172,E1173&lt;&gt;E1172),G1172+1,G1172))</f>
        <v/>
      </c>
    </row>
    <row r="1174">
      <c r="A1174" s="20">
        <f>IF(A1173="","",IF(A1173+1&gt;Ввод!$B$4,"",A1173+1))</f>
        <v/>
      </c>
      <c r="B1174">
        <f>IF(A1174="","",IFERROR(INDEX(Ввод!$B$12:$B$71,MATCH(A1174,Ввод!$D$12:$D$71,1)),""))</f>
        <v/>
      </c>
      <c r="C1174">
        <f>IF(A1174="","",DATE(YEAR(A1174),12,31)-DATE(YEAR(A1174),1,1)+1)</f>
        <v/>
      </c>
      <c r="D1174">
        <f>IF(A1174="","",SUMIFS(Акты!$D$5:$D$16,Акты!$E$5:$E$16,"&lt;="&amp;A1174)-SUMIFS(Оплаты!$B$6:$B$505,Оплаты!$A$6:$A$505,"&lt;"&amp;A1174,Оплаты!$D$6:$D$505,"&lt;&gt;"))</f>
        <v/>
      </c>
      <c r="E1174">
        <f>IF(A1174="","",IF(SUMPRODUCT((Ввод!$F$12:$F$31&lt;&gt;"")*(Ввод!$F$12:$F$31&lt;=A1174)*(Ввод!$G$12:$G$31&gt;=A1174))&gt;0,1,0))</f>
        <v/>
      </c>
      <c r="G1174">
        <f>IF(A1174="","",IF(OR(B1174&lt;&gt;B1173,C1174&lt;&gt;C1173,E1174&lt;&gt;E1173),G1173+1,G1173))</f>
        <v/>
      </c>
    </row>
    <row r="1175">
      <c r="A1175" s="20">
        <f>IF(A1174="","",IF(A1174+1&gt;Ввод!$B$4,"",A1174+1))</f>
        <v/>
      </c>
      <c r="B1175">
        <f>IF(A1175="","",IFERROR(INDEX(Ввод!$B$12:$B$71,MATCH(A1175,Ввод!$D$12:$D$71,1)),""))</f>
        <v/>
      </c>
      <c r="C1175">
        <f>IF(A1175="","",DATE(YEAR(A1175),12,31)-DATE(YEAR(A1175),1,1)+1)</f>
        <v/>
      </c>
      <c r="D1175">
        <f>IF(A1175="","",SUMIFS(Акты!$D$5:$D$16,Акты!$E$5:$E$16,"&lt;="&amp;A1175)-SUMIFS(Оплаты!$B$6:$B$505,Оплаты!$A$6:$A$505,"&lt;"&amp;A1175,Оплаты!$D$6:$D$505,"&lt;&gt;"))</f>
        <v/>
      </c>
      <c r="E1175">
        <f>IF(A1175="","",IF(SUMPRODUCT((Ввод!$F$12:$F$31&lt;&gt;"")*(Ввод!$F$12:$F$31&lt;=A1175)*(Ввод!$G$12:$G$31&gt;=A1175))&gt;0,1,0))</f>
        <v/>
      </c>
      <c r="G1175">
        <f>IF(A1175="","",IF(OR(B1175&lt;&gt;B1174,C1175&lt;&gt;C1174,E1175&lt;&gt;E1174),G1174+1,G1174))</f>
        <v/>
      </c>
    </row>
    <row r="1176">
      <c r="A1176" s="20">
        <f>IF(A1175="","",IF(A1175+1&gt;Ввод!$B$4,"",A1175+1))</f>
        <v/>
      </c>
      <c r="B1176">
        <f>IF(A1176="","",IFERROR(INDEX(Ввод!$B$12:$B$71,MATCH(A1176,Ввод!$D$12:$D$71,1)),""))</f>
        <v/>
      </c>
      <c r="C1176">
        <f>IF(A1176="","",DATE(YEAR(A1176),12,31)-DATE(YEAR(A1176),1,1)+1)</f>
        <v/>
      </c>
      <c r="D1176">
        <f>IF(A1176="","",SUMIFS(Акты!$D$5:$D$16,Акты!$E$5:$E$16,"&lt;="&amp;A1176)-SUMIFS(Оплаты!$B$6:$B$505,Оплаты!$A$6:$A$505,"&lt;"&amp;A1176,Оплаты!$D$6:$D$505,"&lt;&gt;"))</f>
        <v/>
      </c>
      <c r="E1176">
        <f>IF(A1176="","",IF(SUMPRODUCT((Ввод!$F$12:$F$31&lt;&gt;"")*(Ввод!$F$12:$F$31&lt;=A1176)*(Ввод!$G$12:$G$31&gt;=A1176))&gt;0,1,0))</f>
        <v/>
      </c>
      <c r="G1176">
        <f>IF(A1176="","",IF(OR(B1176&lt;&gt;B1175,C1176&lt;&gt;C1175,E1176&lt;&gt;E1175),G1175+1,G1175))</f>
        <v/>
      </c>
    </row>
    <row r="1177">
      <c r="A1177" s="20">
        <f>IF(A1176="","",IF(A1176+1&gt;Ввод!$B$4,"",A1176+1))</f>
        <v/>
      </c>
      <c r="B1177">
        <f>IF(A1177="","",IFERROR(INDEX(Ввод!$B$12:$B$71,MATCH(A1177,Ввод!$D$12:$D$71,1)),""))</f>
        <v/>
      </c>
      <c r="C1177">
        <f>IF(A1177="","",DATE(YEAR(A1177),12,31)-DATE(YEAR(A1177),1,1)+1)</f>
        <v/>
      </c>
      <c r="D1177">
        <f>IF(A1177="","",SUMIFS(Акты!$D$5:$D$16,Акты!$E$5:$E$16,"&lt;="&amp;A1177)-SUMIFS(Оплаты!$B$6:$B$505,Оплаты!$A$6:$A$505,"&lt;"&amp;A1177,Оплаты!$D$6:$D$505,"&lt;&gt;"))</f>
        <v/>
      </c>
      <c r="E1177">
        <f>IF(A1177="","",IF(SUMPRODUCT((Ввод!$F$12:$F$31&lt;&gt;"")*(Ввод!$F$12:$F$31&lt;=A1177)*(Ввод!$G$12:$G$31&gt;=A1177))&gt;0,1,0))</f>
        <v/>
      </c>
      <c r="G1177">
        <f>IF(A1177="","",IF(OR(B1177&lt;&gt;B1176,C1177&lt;&gt;C1176,E1177&lt;&gt;E1176),G1176+1,G1176))</f>
        <v/>
      </c>
    </row>
    <row r="1178">
      <c r="A1178" s="20">
        <f>IF(A1177="","",IF(A1177+1&gt;Ввод!$B$4,"",A1177+1))</f>
        <v/>
      </c>
      <c r="B1178">
        <f>IF(A1178="","",IFERROR(INDEX(Ввод!$B$12:$B$71,MATCH(A1178,Ввод!$D$12:$D$71,1)),""))</f>
        <v/>
      </c>
      <c r="C1178">
        <f>IF(A1178="","",DATE(YEAR(A1178),12,31)-DATE(YEAR(A1178),1,1)+1)</f>
        <v/>
      </c>
      <c r="D1178">
        <f>IF(A1178="","",SUMIFS(Акты!$D$5:$D$16,Акты!$E$5:$E$16,"&lt;="&amp;A1178)-SUMIFS(Оплаты!$B$6:$B$505,Оплаты!$A$6:$A$505,"&lt;"&amp;A1178,Оплаты!$D$6:$D$505,"&lt;&gt;"))</f>
        <v/>
      </c>
      <c r="E1178">
        <f>IF(A1178="","",IF(SUMPRODUCT((Ввод!$F$12:$F$31&lt;&gt;"")*(Ввод!$F$12:$F$31&lt;=A1178)*(Ввод!$G$12:$G$31&gt;=A1178))&gt;0,1,0))</f>
        <v/>
      </c>
      <c r="G1178">
        <f>IF(A1178="","",IF(OR(B1178&lt;&gt;B1177,C1178&lt;&gt;C1177,E1178&lt;&gt;E1177),G1177+1,G1177))</f>
        <v/>
      </c>
    </row>
    <row r="1179">
      <c r="A1179" s="20">
        <f>IF(A1178="","",IF(A1178+1&gt;Ввод!$B$4,"",A1178+1))</f>
        <v/>
      </c>
      <c r="B1179">
        <f>IF(A1179="","",IFERROR(INDEX(Ввод!$B$12:$B$71,MATCH(A1179,Ввод!$D$12:$D$71,1)),""))</f>
        <v/>
      </c>
      <c r="C1179">
        <f>IF(A1179="","",DATE(YEAR(A1179),12,31)-DATE(YEAR(A1179),1,1)+1)</f>
        <v/>
      </c>
      <c r="D1179">
        <f>IF(A1179="","",SUMIFS(Акты!$D$5:$D$16,Акты!$E$5:$E$16,"&lt;="&amp;A1179)-SUMIFS(Оплаты!$B$6:$B$505,Оплаты!$A$6:$A$505,"&lt;"&amp;A1179,Оплаты!$D$6:$D$505,"&lt;&gt;"))</f>
        <v/>
      </c>
      <c r="E1179">
        <f>IF(A1179="","",IF(SUMPRODUCT((Ввод!$F$12:$F$31&lt;&gt;"")*(Ввод!$F$12:$F$31&lt;=A1179)*(Ввод!$G$12:$G$31&gt;=A1179))&gt;0,1,0))</f>
        <v/>
      </c>
      <c r="G1179">
        <f>IF(A1179="","",IF(OR(B1179&lt;&gt;B1178,C1179&lt;&gt;C1178,E1179&lt;&gt;E1178),G1178+1,G1178))</f>
        <v/>
      </c>
    </row>
    <row r="1180">
      <c r="A1180" s="20">
        <f>IF(A1179="","",IF(A1179+1&gt;Ввод!$B$4,"",A1179+1))</f>
        <v/>
      </c>
      <c r="B1180">
        <f>IF(A1180="","",IFERROR(INDEX(Ввод!$B$12:$B$71,MATCH(A1180,Ввод!$D$12:$D$71,1)),""))</f>
        <v/>
      </c>
      <c r="C1180">
        <f>IF(A1180="","",DATE(YEAR(A1180),12,31)-DATE(YEAR(A1180),1,1)+1)</f>
        <v/>
      </c>
      <c r="D1180">
        <f>IF(A1180="","",SUMIFS(Акты!$D$5:$D$16,Акты!$E$5:$E$16,"&lt;="&amp;A1180)-SUMIFS(Оплаты!$B$6:$B$505,Оплаты!$A$6:$A$505,"&lt;"&amp;A1180,Оплаты!$D$6:$D$505,"&lt;&gt;"))</f>
        <v/>
      </c>
      <c r="E1180">
        <f>IF(A1180="","",IF(SUMPRODUCT((Ввод!$F$12:$F$31&lt;&gt;"")*(Ввод!$F$12:$F$31&lt;=A1180)*(Ввод!$G$12:$G$31&gt;=A1180))&gt;0,1,0))</f>
        <v/>
      </c>
      <c r="G1180">
        <f>IF(A1180="","",IF(OR(B1180&lt;&gt;B1179,C1180&lt;&gt;C1179,E1180&lt;&gt;E1179),G1179+1,G1179))</f>
        <v/>
      </c>
    </row>
    <row r="1181">
      <c r="A1181" s="20">
        <f>IF(A1180="","",IF(A1180+1&gt;Ввод!$B$4,"",A1180+1))</f>
        <v/>
      </c>
      <c r="B1181">
        <f>IF(A1181="","",IFERROR(INDEX(Ввод!$B$12:$B$71,MATCH(A1181,Ввод!$D$12:$D$71,1)),""))</f>
        <v/>
      </c>
      <c r="C1181">
        <f>IF(A1181="","",DATE(YEAR(A1181),12,31)-DATE(YEAR(A1181),1,1)+1)</f>
        <v/>
      </c>
      <c r="D1181">
        <f>IF(A1181="","",SUMIFS(Акты!$D$5:$D$16,Акты!$E$5:$E$16,"&lt;="&amp;A1181)-SUMIFS(Оплаты!$B$6:$B$505,Оплаты!$A$6:$A$505,"&lt;"&amp;A1181,Оплаты!$D$6:$D$505,"&lt;&gt;"))</f>
        <v/>
      </c>
      <c r="E1181">
        <f>IF(A1181="","",IF(SUMPRODUCT((Ввод!$F$12:$F$31&lt;&gt;"")*(Ввод!$F$12:$F$31&lt;=A1181)*(Ввод!$G$12:$G$31&gt;=A1181))&gt;0,1,0))</f>
        <v/>
      </c>
      <c r="G1181">
        <f>IF(A1181="","",IF(OR(B1181&lt;&gt;B1180,C1181&lt;&gt;C1180,E1181&lt;&gt;E1180),G1180+1,G1180))</f>
        <v/>
      </c>
    </row>
    <row r="1182">
      <c r="A1182" s="20">
        <f>IF(A1181="","",IF(A1181+1&gt;Ввод!$B$4,"",A1181+1))</f>
        <v/>
      </c>
      <c r="B1182">
        <f>IF(A1182="","",IFERROR(INDEX(Ввод!$B$12:$B$71,MATCH(A1182,Ввод!$D$12:$D$71,1)),""))</f>
        <v/>
      </c>
      <c r="C1182">
        <f>IF(A1182="","",DATE(YEAR(A1182),12,31)-DATE(YEAR(A1182),1,1)+1)</f>
        <v/>
      </c>
      <c r="D1182">
        <f>IF(A1182="","",SUMIFS(Акты!$D$5:$D$16,Акты!$E$5:$E$16,"&lt;="&amp;A1182)-SUMIFS(Оплаты!$B$6:$B$505,Оплаты!$A$6:$A$505,"&lt;"&amp;A1182,Оплаты!$D$6:$D$505,"&lt;&gt;"))</f>
        <v/>
      </c>
      <c r="E1182">
        <f>IF(A1182="","",IF(SUMPRODUCT((Ввод!$F$12:$F$31&lt;&gt;"")*(Ввод!$F$12:$F$31&lt;=A1182)*(Ввод!$G$12:$G$31&gt;=A1182))&gt;0,1,0))</f>
        <v/>
      </c>
      <c r="G1182">
        <f>IF(A1182="","",IF(OR(B1182&lt;&gt;B1181,C1182&lt;&gt;C1181,E1182&lt;&gt;E1181),G1181+1,G1181))</f>
        <v/>
      </c>
    </row>
    <row r="1183">
      <c r="A1183" s="20">
        <f>IF(A1182="","",IF(A1182+1&gt;Ввод!$B$4,"",A1182+1))</f>
        <v/>
      </c>
      <c r="B1183">
        <f>IF(A1183="","",IFERROR(INDEX(Ввод!$B$12:$B$71,MATCH(A1183,Ввод!$D$12:$D$71,1)),""))</f>
        <v/>
      </c>
      <c r="C1183">
        <f>IF(A1183="","",DATE(YEAR(A1183),12,31)-DATE(YEAR(A1183),1,1)+1)</f>
        <v/>
      </c>
      <c r="D1183">
        <f>IF(A1183="","",SUMIFS(Акты!$D$5:$D$16,Акты!$E$5:$E$16,"&lt;="&amp;A1183)-SUMIFS(Оплаты!$B$6:$B$505,Оплаты!$A$6:$A$505,"&lt;"&amp;A1183,Оплаты!$D$6:$D$505,"&lt;&gt;"))</f>
        <v/>
      </c>
      <c r="E1183">
        <f>IF(A1183="","",IF(SUMPRODUCT((Ввод!$F$12:$F$31&lt;&gt;"")*(Ввод!$F$12:$F$31&lt;=A1183)*(Ввод!$G$12:$G$31&gt;=A1183))&gt;0,1,0))</f>
        <v/>
      </c>
      <c r="G1183">
        <f>IF(A1183="","",IF(OR(B1183&lt;&gt;B1182,C1183&lt;&gt;C1182,E1183&lt;&gt;E1182),G1182+1,G1182))</f>
        <v/>
      </c>
    </row>
    <row r="1184">
      <c r="A1184" s="20">
        <f>IF(A1183="","",IF(A1183+1&gt;Ввод!$B$4,"",A1183+1))</f>
        <v/>
      </c>
      <c r="B1184">
        <f>IF(A1184="","",IFERROR(INDEX(Ввод!$B$12:$B$71,MATCH(A1184,Ввод!$D$12:$D$71,1)),""))</f>
        <v/>
      </c>
      <c r="C1184">
        <f>IF(A1184="","",DATE(YEAR(A1184),12,31)-DATE(YEAR(A1184),1,1)+1)</f>
        <v/>
      </c>
      <c r="D1184">
        <f>IF(A1184="","",SUMIFS(Акты!$D$5:$D$16,Акты!$E$5:$E$16,"&lt;="&amp;A1184)-SUMIFS(Оплаты!$B$6:$B$505,Оплаты!$A$6:$A$505,"&lt;"&amp;A1184,Оплаты!$D$6:$D$505,"&lt;&gt;"))</f>
        <v/>
      </c>
      <c r="E1184">
        <f>IF(A1184="","",IF(SUMPRODUCT((Ввод!$F$12:$F$31&lt;&gt;"")*(Ввод!$F$12:$F$31&lt;=A1184)*(Ввод!$G$12:$G$31&gt;=A1184))&gt;0,1,0))</f>
        <v/>
      </c>
      <c r="G1184">
        <f>IF(A1184="","",IF(OR(B1184&lt;&gt;B1183,C1184&lt;&gt;C1183,E1184&lt;&gt;E1183),G1183+1,G1183))</f>
        <v/>
      </c>
    </row>
    <row r="1185">
      <c r="A1185" s="20">
        <f>IF(A1184="","",IF(A1184+1&gt;Ввод!$B$4,"",A1184+1))</f>
        <v/>
      </c>
      <c r="B1185">
        <f>IF(A1185="","",IFERROR(INDEX(Ввод!$B$12:$B$71,MATCH(A1185,Ввод!$D$12:$D$71,1)),""))</f>
        <v/>
      </c>
      <c r="C1185">
        <f>IF(A1185="","",DATE(YEAR(A1185),12,31)-DATE(YEAR(A1185),1,1)+1)</f>
        <v/>
      </c>
      <c r="D1185">
        <f>IF(A1185="","",SUMIFS(Акты!$D$5:$D$16,Акты!$E$5:$E$16,"&lt;="&amp;A1185)-SUMIFS(Оплаты!$B$6:$B$505,Оплаты!$A$6:$A$505,"&lt;"&amp;A1185,Оплаты!$D$6:$D$505,"&lt;&gt;"))</f>
        <v/>
      </c>
      <c r="E1185">
        <f>IF(A1185="","",IF(SUMPRODUCT((Ввод!$F$12:$F$31&lt;&gt;"")*(Ввод!$F$12:$F$31&lt;=A1185)*(Ввод!$G$12:$G$31&gt;=A1185))&gt;0,1,0))</f>
        <v/>
      </c>
      <c r="G1185">
        <f>IF(A1185="","",IF(OR(B1185&lt;&gt;B1184,C1185&lt;&gt;C1184,E1185&lt;&gt;E1184),G1184+1,G1184))</f>
        <v/>
      </c>
    </row>
    <row r="1186">
      <c r="A1186" s="20">
        <f>IF(A1185="","",IF(A1185+1&gt;Ввод!$B$4,"",A1185+1))</f>
        <v/>
      </c>
      <c r="B1186">
        <f>IF(A1186="","",IFERROR(INDEX(Ввод!$B$12:$B$71,MATCH(A1186,Ввод!$D$12:$D$71,1)),""))</f>
        <v/>
      </c>
      <c r="C1186">
        <f>IF(A1186="","",DATE(YEAR(A1186),12,31)-DATE(YEAR(A1186),1,1)+1)</f>
        <v/>
      </c>
      <c r="D1186">
        <f>IF(A1186="","",SUMIFS(Акты!$D$5:$D$16,Акты!$E$5:$E$16,"&lt;="&amp;A1186)-SUMIFS(Оплаты!$B$6:$B$505,Оплаты!$A$6:$A$505,"&lt;"&amp;A1186,Оплаты!$D$6:$D$505,"&lt;&gt;"))</f>
        <v/>
      </c>
      <c r="E1186">
        <f>IF(A1186="","",IF(SUMPRODUCT((Ввод!$F$12:$F$31&lt;&gt;"")*(Ввод!$F$12:$F$31&lt;=A1186)*(Ввод!$G$12:$G$31&gt;=A1186))&gt;0,1,0))</f>
        <v/>
      </c>
      <c r="G1186">
        <f>IF(A1186="","",IF(OR(B1186&lt;&gt;B1185,C1186&lt;&gt;C1185,E1186&lt;&gt;E1185),G1185+1,G1185))</f>
        <v/>
      </c>
    </row>
    <row r="1187">
      <c r="A1187" s="20">
        <f>IF(A1186="","",IF(A1186+1&gt;Ввод!$B$4,"",A1186+1))</f>
        <v/>
      </c>
      <c r="B1187">
        <f>IF(A1187="","",IFERROR(INDEX(Ввод!$B$12:$B$71,MATCH(A1187,Ввод!$D$12:$D$71,1)),""))</f>
        <v/>
      </c>
      <c r="C1187">
        <f>IF(A1187="","",DATE(YEAR(A1187),12,31)-DATE(YEAR(A1187),1,1)+1)</f>
        <v/>
      </c>
      <c r="D1187">
        <f>IF(A1187="","",SUMIFS(Акты!$D$5:$D$16,Акты!$E$5:$E$16,"&lt;="&amp;A1187)-SUMIFS(Оплаты!$B$6:$B$505,Оплаты!$A$6:$A$505,"&lt;"&amp;A1187,Оплаты!$D$6:$D$505,"&lt;&gt;"))</f>
        <v/>
      </c>
      <c r="E1187">
        <f>IF(A1187="","",IF(SUMPRODUCT((Ввод!$F$12:$F$31&lt;&gt;"")*(Ввод!$F$12:$F$31&lt;=A1187)*(Ввод!$G$12:$G$31&gt;=A1187))&gt;0,1,0))</f>
        <v/>
      </c>
      <c r="G1187">
        <f>IF(A1187="","",IF(OR(B1187&lt;&gt;B1186,C1187&lt;&gt;C1186,E1187&lt;&gt;E1186),G1186+1,G1186))</f>
        <v/>
      </c>
    </row>
    <row r="1188">
      <c r="A1188" s="20">
        <f>IF(A1187="","",IF(A1187+1&gt;Ввод!$B$4,"",A1187+1))</f>
        <v/>
      </c>
      <c r="B1188">
        <f>IF(A1188="","",IFERROR(INDEX(Ввод!$B$12:$B$71,MATCH(A1188,Ввод!$D$12:$D$71,1)),""))</f>
        <v/>
      </c>
      <c r="C1188">
        <f>IF(A1188="","",DATE(YEAR(A1188),12,31)-DATE(YEAR(A1188),1,1)+1)</f>
        <v/>
      </c>
      <c r="D1188">
        <f>IF(A1188="","",SUMIFS(Акты!$D$5:$D$16,Акты!$E$5:$E$16,"&lt;="&amp;A1188)-SUMIFS(Оплаты!$B$6:$B$505,Оплаты!$A$6:$A$505,"&lt;"&amp;A1188,Оплаты!$D$6:$D$505,"&lt;&gt;"))</f>
        <v/>
      </c>
      <c r="E1188">
        <f>IF(A1188="","",IF(SUMPRODUCT((Ввод!$F$12:$F$31&lt;&gt;"")*(Ввод!$F$12:$F$31&lt;=A1188)*(Ввод!$G$12:$G$31&gt;=A1188))&gt;0,1,0))</f>
        <v/>
      </c>
      <c r="G1188">
        <f>IF(A1188="","",IF(OR(B1188&lt;&gt;B1187,C1188&lt;&gt;C1187,E1188&lt;&gt;E1187),G1187+1,G1187))</f>
        <v/>
      </c>
    </row>
    <row r="1189">
      <c r="A1189" s="20">
        <f>IF(A1188="","",IF(A1188+1&gt;Ввод!$B$4,"",A1188+1))</f>
        <v/>
      </c>
      <c r="B1189">
        <f>IF(A1189="","",IFERROR(INDEX(Ввод!$B$12:$B$71,MATCH(A1189,Ввод!$D$12:$D$71,1)),""))</f>
        <v/>
      </c>
      <c r="C1189">
        <f>IF(A1189="","",DATE(YEAR(A1189),12,31)-DATE(YEAR(A1189),1,1)+1)</f>
        <v/>
      </c>
      <c r="D1189">
        <f>IF(A1189="","",SUMIFS(Акты!$D$5:$D$16,Акты!$E$5:$E$16,"&lt;="&amp;A1189)-SUMIFS(Оплаты!$B$6:$B$505,Оплаты!$A$6:$A$505,"&lt;"&amp;A1189,Оплаты!$D$6:$D$505,"&lt;&gt;"))</f>
        <v/>
      </c>
      <c r="E1189">
        <f>IF(A1189="","",IF(SUMPRODUCT((Ввод!$F$12:$F$31&lt;&gt;"")*(Ввод!$F$12:$F$31&lt;=A1189)*(Ввод!$G$12:$G$31&gt;=A1189))&gt;0,1,0))</f>
        <v/>
      </c>
      <c r="G1189">
        <f>IF(A1189="","",IF(OR(B1189&lt;&gt;B1188,C1189&lt;&gt;C1188,E1189&lt;&gt;E1188),G1188+1,G1188))</f>
        <v/>
      </c>
    </row>
    <row r="1190">
      <c r="A1190" s="20">
        <f>IF(A1189="","",IF(A1189+1&gt;Ввод!$B$4,"",A1189+1))</f>
        <v/>
      </c>
      <c r="B1190">
        <f>IF(A1190="","",IFERROR(INDEX(Ввод!$B$12:$B$71,MATCH(A1190,Ввод!$D$12:$D$71,1)),""))</f>
        <v/>
      </c>
      <c r="C1190">
        <f>IF(A1190="","",DATE(YEAR(A1190),12,31)-DATE(YEAR(A1190),1,1)+1)</f>
        <v/>
      </c>
      <c r="D1190">
        <f>IF(A1190="","",SUMIFS(Акты!$D$5:$D$16,Акты!$E$5:$E$16,"&lt;="&amp;A1190)-SUMIFS(Оплаты!$B$6:$B$505,Оплаты!$A$6:$A$505,"&lt;"&amp;A1190,Оплаты!$D$6:$D$505,"&lt;&gt;"))</f>
        <v/>
      </c>
      <c r="E1190">
        <f>IF(A1190="","",IF(SUMPRODUCT((Ввод!$F$12:$F$31&lt;&gt;"")*(Ввод!$F$12:$F$31&lt;=A1190)*(Ввод!$G$12:$G$31&gt;=A1190))&gt;0,1,0))</f>
        <v/>
      </c>
      <c r="G1190">
        <f>IF(A1190="","",IF(OR(B1190&lt;&gt;B1189,C1190&lt;&gt;C1189,E1190&lt;&gt;E1189),G1189+1,G1189))</f>
        <v/>
      </c>
    </row>
    <row r="1191">
      <c r="A1191" s="20">
        <f>IF(A1190="","",IF(A1190+1&gt;Ввод!$B$4,"",A1190+1))</f>
        <v/>
      </c>
      <c r="B1191">
        <f>IF(A1191="","",IFERROR(INDEX(Ввод!$B$12:$B$71,MATCH(A1191,Ввод!$D$12:$D$71,1)),""))</f>
        <v/>
      </c>
      <c r="C1191">
        <f>IF(A1191="","",DATE(YEAR(A1191),12,31)-DATE(YEAR(A1191),1,1)+1)</f>
        <v/>
      </c>
      <c r="D1191">
        <f>IF(A1191="","",SUMIFS(Акты!$D$5:$D$16,Акты!$E$5:$E$16,"&lt;="&amp;A1191)-SUMIFS(Оплаты!$B$6:$B$505,Оплаты!$A$6:$A$505,"&lt;"&amp;A1191,Оплаты!$D$6:$D$505,"&lt;&gt;"))</f>
        <v/>
      </c>
      <c r="E1191">
        <f>IF(A1191="","",IF(SUMPRODUCT((Ввод!$F$12:$F$31&lt;&gt;"")*(Ввод!$F$12:$F$31&lt;=A1191)*(Ввод!$G$12:$G$31&gt;=A1191))&gt;0,1,0))</f>
        <v/>
      </c>
      <c r="G1191">
        <f>IF(A1191="","",IF(OR(B1191&lt;&gt;B1190,C1191&lt;&gt;C1190,E1191&lt;&gt;E1190),G1190+1,G1190))</f>
        <v/>
      </c>
    </row>
    <row r="1192">
      <c r="A1192" s="20">
        <f>IF(A1191="","",IF(A1191+1&gt;Ввод!$B$4,"",A1191+1))</f>
        <v/>
      </c>
      <c r="B1192">
        <f>IF(A1192="","",IFERROR(INDEX(Ввод!$B$12:$B$71,MATCH(A1192,Ввод!$D$12:$D$71,1)),""))</f>
        <v/>
      </c>
      <c r="C1192">
        <f>IF(A1192="","",DATE(YEAR(A1192),12,31)-DATE(YEAR(A1192),1,1)+1)</f>
        <v/>
      </c>
      <c r="D1192">
        <f>IF(A1192="","",SUMIFS(Акты!$D$5:$D$16,Акты!$E$5:$E$16,"&lt;="&amp;A1192)-SUMIFS(Оплаты!$B$6:$B$505,Оплаты!$A$6:$A$505,"&lt;"&amp;A1192,Оплаты!$D$6:$D$505,"&lt;&gt;"))</f>
        <v/>
      </c>
      <c r="E1192">
        <f>IF(A1192="","",IF(SUMPRODUCT((Ввод!$F$12:$F$31&lt;&gt;"")*(Ввод!$F$12:$F$31&lt;=A1192)*(Ввод!$G$12:$G$31&gt;=A1192))&gt;0,1,0))</f>
        <v/>
      </c>
      <c r="G1192">
        <f>IF(A1192="","",IF(OR(B1192&lt;&gt;B1191,C1192&lt;&gt;C1191,E1192&lt;&gt;E1191),G1191+1,G1191))</f>
        <v/>
      </c>
    </row>
    <row r="1193">
      <c r="A1193" s="20">
        <f>IF(A1192="","",IF(A1192+1&gt;Ввод!$B$4,"",A1192+1))</f>
        <v/>
      </c>
      <c r="B1193">
        <f>IF(A1193="","",IFERROR(INDEX(Ввод!$B$12:$B$71,MATCH(A1193,Ввод!$D$12:$D$71,1)),""))</f>
        <v/>
      </c>
      <c r="C1193">
        <f>IF(A1193="","",DATE(YEAR(A1193),12,31)-DATE(YEAR(A1193),1,1)+1)</f>
        <v/>
      </c>
      <c r="D1193">
        <f>IF(A1193="","",SUMIFS(Акты!$D$5:$D$16,Акты!$E$5:$E$16,"&lt;="&amp;A1193)-SUMIFS(Оплаты!$B$6:$B$505,Оплаты!$A$6:$A$505,"&lt;"&amp;A1193,Оплаты!$D$6:$D$505,"&lt;&gt;"))</f>
        <v/>
      </c>
      <c r="E1193">
        <f>IF(A1193="","",IF(SUMPRODUCT((Ввод!$F$12:$F$31&lt;&gt;"")*(Ввод!$F$12:$F$31&lt;=A1193)*(Ввод!$G$12:$G$31&gt;=A1193))&gt;0,1,0))</f>
        <v/>
      </c>
      <c r="G1193">
        <f>IF(A1193="","",IF(OR(B1193&lt;&gt;B1192,C1193&lt;&gt;C1192,E1193&lt;&gt;E1192),G1192+1,G1192))</f>
        <v/>
      </c>
    </row>
    <row r="1194">
      <c r="A1194" s="20">
        <f>IF(A1193="","",IF(A1193+1&gt;Ввод!$B$4,"",A1193+1))</f>
        <v/>
      </c>
      <c r="B1194">
        <f>IF(A1194="","",IFERROR(INDEX(Ввод!$B$12:$B$71,MATCH(A1194,Ввод!$D$12:$D$71,1)),""))</f>
        <v/>
      </c>
      <c r="C1194">
        <f>IF(A1194="","",DATE(YEAR(A1194),12,31)-DATE(YEAR(A1194),1,1)+1)</f>
        <v/>
      </c>
      <c r="D1194">
        <f>IF(A1194="","",SUMIFS(Акты!$D$5:$D$16,Акты!$E$5:$E$16,"&lt;="&amp;A1194)-SUMIFS(Оплаты!$B$6:$B$505,Оплаты!$A$6:$A$505,"&lt;"&amp;A1194,Оплаты!$D$6:$D$505,"&lt;&gt;"))</f>
        <v/>
      </c>
      <c r="E1194">
        <f>IF(A1194="","",IF(SUMPRODUCT((Ввод!$F$12:$F$31&lt;&gt;"")*(Ввод!$F$12:$F$31&lt;=A1194)*(Ввод!$G$12:$G$31&gt;=A1194))&gt;0,1,0))</f>
        <v/>
      </c>
      <c r="G1194">
        <f>IF(A1194="","",IF(OR(B1194&lt;&gt;B1193,C1194&lt;&gt;C1193,E1194&lt;&gt;E1193),G1193+1,G1193))</f>
        <v/>
      </c>
    </row>
    <row r="1195">
      <c r="A1195" s="20">
        <f>IF(A1194="","",IF(A1194+1&gt;Ввод!$B$4,"",A1194+1))</f>
        <v/>
      </c>
      <c r="B1195">
        <f>IF(A1195="","",IFERROR(INDEX(Ввод!$B$12:$B$71,MATCH(A1195,Ввод!$D$12:$D$71,1)),""))</f>
        <v/>
      </c>
      <c r="C1195">
        <f>IF(A1195="","",DATE(YEAR(A1195),12,31)-DATE(YEAR(A1195),1,1)+1)</f>
        <v/>
      </c>
      <c r="D1195">
        <f>IF(A1195="","",SUMIFS(Акты!$D$5:$D$16,Акты!$E$5:$E$16,"&lt;="&amp;A1195)-SUMIFS(Оплаты!$B$6:$B$505,Оплаты!$A$6:$A$505,"&lt;"&amp;A1195,Оплаты!$D$6:$D$505,"&lt;&gt;"))</f>
        <v/>
      </c>
      <c r="E1195">
        <f>IF(A1195="","",IF(SUMPRODUCT((Ввод!$F$12:$F$31&lt;&gt;"")*(Ввод!$F$12:$F$31&lt;=A1195)*(Ввод!$G$12:$G$31&gt;=A1195))&gt;0,1,0))</f>
        <v/>
      </c>
      <c r="G1195">
        <f>IF(A1195="","",IF(OR(B1195&lt;&gt;B1194,C1195&lt;&gt;C1194,E1195&lt;&gt;E1194),G1194+1,G1194))</f>
        <v/>
      </c>
    </row>
    <row r="1196">
      <c r="A1196" s="20">
        <f>IF(A1195="","",IF(A1195+1&gt;Ввод!$B$4,"",A1195+1))</f>
        <v/>
      </c>
      <c r="B1196">
        <f>IF(A1196="","",IFERROR(INDEX(Ввод!$B$12:$B$71,MATCH(A1196,Ввод!$D$12:$D$71,1)),""))</f>
        <v/>
      </c>
      <c r="C1196">
        <f>IF(A1196="","",DATE(YEAR(A1196),12,31)-DATE(YEAR(A1196),1,1)+1)</f>
        <v/>
      </c>
      <c r="D1196">
        <f>IF(A1196="","",SUMIFS(Акты!$D$5:$D$16,Акты!$E$5:$E$16,"&lt;="&amp;A1196)-SUMIFS(Оплаты!$B$6:$B$505,Оплаты!$A$6:$A$505,"&lt;"&amp;A1196,Оплаты!$D$6:$D$505,"&lt;&gt;"))</f>
        <v/>
      </c>
      <c r="E1196">
        <f>IF(A1196="","",IF(SUMPRODUCT((Ввод!$F$12:$F$31&lt;&gt;"")*(Ввод!$F$12:$F$31&lt;=A1196)*(Ввод!$G$12:$G$31&gt;=A1196))&gt;0,1,0))</f>
        <v/>
      </c>
      <c r="G1196">
        <f>IF(A1196="","",IF(OR(B1196&lt;&gt;B1195,C1196&lt;&gt;C1195,E1196&lt;&gt;E1195),G1195+1,G1195))</f>
        <v/>
      </c>
    </row>
    <row r="1197">
      <c r="A1197" s="20">
        <f>IF(A1196="","",IF(A1196+1&gt;Ввод!$B$4,"",A1196+1))</f>
        <v/>
      </c>
      <c r="B1197">
        <f>IF(A1197="","",IFERROR(INDEX(Ввод!$B$12:$B$71,MATCH(A1197,Ввод!$D$12:$D$71,1)),""))</f>
        <v/>
      </c>
      <c r="C1197">
        <f>IF(A1197="","",DATE(YEAR(A1197),12,31)-DATE(YEAR(A1197),1,1)+1)</f>
        <v/>
      </c>
      <c r="D1197">
        <f>IF(A1197="","",SUMIFS(Акты!$D$5:$D$16,Акты!$E$5:$E$16,"&lt;="&amp;A1197)-SUMIFS(Оплаты!$B$6:$B$505,Оплаты!$A$6:$A$505,"&lt;"&amp;A1197,Оплаты!$D$6:$D$505,"&lt;&gt;"))</f>
        <v/>
      </c>
      <c r="E1197">
        <f>IF(A1197="","",IF(SUMPRODUCT((Ввод!$F$12:$F$31&lt;&gt;"")*(Ввод!$F$12:$F$31&lt;=A1197)*(Ввод!$G$12:$G$31&gt;=A1197))&gt;0,1,0))</f>
        <v/>
      </c>
      <c r="G1197">
        <f>IF(A1197="","",IF(OR(B1197&lt;&gt;B1196,C1197&lt;&gt;C1196,E1197&lt;&gt;E1196),G1196+1,G1196))</f>
        <v/>
      </c>
    </row>
    <row r="1198">
      <c r="A1198" s="20">
        <f>IF(A1197="","",IF(A1197+1&gt;Ввод!$B$4,"",A1197+1))</f>
        <v/>
      </c>
      <c r="B1198">
        <f>IF(A1198="","",IFERROR(INDEX(Ввод!$B$12:$B$71,MATCH(A1198,Ввод!$D$12:$D$71,1)),""))</f>
        <v/>
      </c>
      <c r="C1198">
        <f>IF(A1198="","",DATE(YEAR(A1198),12,31)-DATE(YEAR(A1198),1,1)+1)</f>
        <v/>
      </c>
      <c r="D1198">
        <f>IF(A1198="","",SUMIFS(Акты!$D$5:$D$16,Акты!$E$5:$E$16,"&lt;="&amp;A1198)-SUMIFS(Оплаты!$B$6:$B$505,Оплаты!$A$6:$A$505,"&lt;"&amp;A1198,Оплаты!$D$6:$D$505,"&lt;&gt;"))</f>
        <v/>
      </c>
      <c r="E1198">
        <f>IF(A1198="","",IF(SUMPRODUCT((Ввод!$F$12:$F$31&lt;&gt;"")*(Ввод!$F$12:$F$31&lt;=A1198)*(Ввод!$G$12:$G$31&gt;=A1198))&gt;0,1,0))</f>
        <v/>
      </c>
      <c r="G1198">
        <f>IF(A1198="","",IF(OR(B1198&lt;&gt;B1197,C1198&lt;&gt;C1197,E1198&lt;&gt;E1197),G1197+1,G1197))</f>
        <v/>
      </c>
    </row>
    <row r="1199">
      <c r="A1199" s="20">
        <f>IF(A1198="","",IF(A1198+1&gt;Ввод!$B$4,"",A1198+1))</f>
        <v/>
      </c>
      <c r="B1199">
        <f>IF(A1199="","",IFERROR(INDEX(Ввод!$B$12:$B$71,MATCH(A1199,Ввод!$D$12:$D$71,1)),""))</f>
        <v/>
      </c>
      <c r="C1199">
        <f>IF(A1199="","",DATE(YEAR(A1199),12,31)-DATE(YEAR(A1199),1,1)+1)</f>
        <v/>
      </c>
      <c r="D1199">
        <f>IF(A1199="","",SUMIFS(Акты!$D$5:$D$16,Акты!$E$5:$E$16,"&lt;="&amp;A1199)-SUMIFS(Оплаты!$B$6:$B$505,Оплаты!$A$6:$A$505,"&lt;"&amp;A1199,Оплаты!$D$6:$D$505,"&lt;&gt;"))</f>
        <v/>
      </c>
      <c r="E1199">
        <f>IF(A1199="","",IF(SUMPRODUCT((Ввод!$F$12:$F$31&lt;&gt;"")*(Ввод!$F$12:$F$31&lt;=A1199)*(Ввод!$G$12:$G$31&gt;=A1199))&gt;0,1,0))</f>
        <v/>
      </c>
      <c r="G1199">
        <f>IF(A1199="","",IF(OR(B1199&lt;&gt;B1198,C1199&lt;&gt;C1198,E1199&lt;&gt;E1198),G1198+1,G1198))</f>
        <v/>
      </c>
    </row>
    <row r="1200">
      <c r="A1200" s="20">
        <f>IF(A1199="","",IF(A1199+1&gt;Ввод!$B$4,"",A1199+1))</f>
        <v/>
      </c>
      <c r="B1200">
        <f>IF(A1200="","",IFERROR(INDEX(Ввод!$B$12:$B$71,MATCH(A1200,Ввод!$D$12:$D$71,1)),""))</f>
        <v/>
      </c>
      <c r="C1200">
        <f>IF(A1200="","",DATE(YEAR(A1200),12,31)-DATE(YEAR(A1200),1,1)+1)</f>
        <v/>
      </c>
      <c r="D1200">
        <f>IF(A1200="","",SUMIFS(Акты!$D$5:$D$16,Акты!$E$5:$E$16,"&lt;="&amp;A1200)-SUMIFS(Оплаты!$B$6:$B$505,Оплаты!$A$6:$A$505,"&lt;"&amp;A1200,Оплаты!$D$6:$D$505,"&lt;&gt;"))</f>
        <v/>
      </c>
      <c r="E1200">
        <f>IF(A1200="","",IF(SUMPRODUCT((Ввод!$F$12:$F$31&lt;&gt;"")*(Ввод!$F$12:$F$31&lt;=A1200)*(Ввод!$G$12:$G$31&gt;=A1200))&gt;0,1,0))</f>
        <v/>
      </c>
      <c r="G1200">
        <f>IF(A1200="","",IF(OR(B1200&lt;&gt;B1199,C1200&lt;&gt;C1199,E1200&lt;&gt;E1199),G1199+1,G1199))</f>
        <v/>
      </c>
    </row>
    <row r="1201">
      <c r="A1201" s="20">
        <f>IF(A1200="","",IF(A1200+1&gt;Ввод!$B$4,"",A1200+1))</f>
        <v/>
      </c>
      <c r="B1201">
        <f>IF(A1201="","",IFERROR(INDEX(Ввод!$B$12:$B$71,MATCH(A1201,Ввод!$D$12:$D$71,1)),""))</f>
        <v/>
      </c>
      <c r="C1201">
        <f>IF(A1201="","",DATE(YEAR(A1201),12,31)-DATE(YEAR(A1201),1,1)+1)</f>
        <v/>
      </c>
      <c r="D1201">
        <f>IF(A1201="","",SUMIFS(Акты!$D$5:$D$16,Акты!$E$5:$E$16,"&lt;="&amp;A1201)-SUMIFS(Оплаты!$B$6:$B$505,Оплаты!$A$6:$A$505,"&lt;"&amp;A1201,Оплаты!$D$6:$D$505,"&lt;&gt;"))</f>
        <v/>
      </c>
      <c r="E1201">
        <f>IF(A1201="","",IF(SUMPRODUCT((Ввод!$F$12:$F$31&lt;&gt;"")*(Ввод!$F$12:$F$31&lt;=A1201)*(Ввод!$G$12:$G$31&gt;=A1201))&gt;0,1,0))</f>
        <v/>
      </c>
      <c r="G1201">
        <f>IF(A1201="","",IF(OR(B1201&lt;&gt;B1200,C1201&lt;&gt;C1200,E1201&lt;&gt;E1200),G1200+1,G1200))</f>
        <v/>
      </c>
    </row>
    <row r="1202">
      <c r="A1202" s="20">
        <f>IF(A1201="","",IF(A1201+1&gt;Ввод!$B$4,"",A1201+1))</f>
        <v/>
      </c>
      <c r="B1202">
        <f>IF(A1202="","",IFERROR(INDEX(Ввод!$B$12:$B$71,MATCH(A1202,Ввод!$D$12:$D$71,1)),""))</f>
        <v/>
      </c>
      <c r="C1202">
        <f>IF(A1202="","",DATE(YEAR(A1202),12,31)-DATE(YEAR(A1202),1,1)+1)</f>
        <v/>
      </c>
      <c r="D1202">
        <f>IF(A1202="","",SUMIFS(Акты!$D$5:$D$16,Акты!$E$5:$E$16,"&lt;="&amp;A1202)-SUMIFS(Оплаты!$B$6:$B$505,Оплаты!$A$6:$A$505,"&lt;"&amp;A1202,Оплаты!$D$6:$D$505,"&lt;&gt;"))</f>
        <v/>
      </c>
      <c r="E1202">
        <f>IF(A1202="","",IF(SUMPRODUCT((Ввод!$F$12:$F$31&lt;&gt;"")*(Ввод!$F$12:$F$31&lt;=A1202)*(Ввод!$G$12:$G$31&gt;=A1202))&gt;0,1,0))</f>
        <v/>
      </c>
      <c r="G1202">
        <f>IF(A1202="","",IF(OR(B1202&lt;&gt;B1201,C1202&lt;&gt;C1201,E1202&lt;&gt;E1201),G1201+1,G1201))</f>
        <v/>
      </c>
    </row>
    <row r="1203">
      <c r="A1203" s="20">
        <f>IF(A1202="","",IF(A1202+1&gt;Ввод!$B$4,"",A1202+1))</f>
        <v/>
      </c>
      <c r="B1203">
        <f>IF(A1203="","",IFERROR(INDEX(Ввод!$B$12:$B$71,MATCH(A1203,Ввод!$D$12:$D$71,1)),""))</f>
        <v/>
      </c>
      <c r="C1203">
        <f>IF(A1203="","",DATE(YEAR(A1203),12,31)-DATE(YEAR(A1203),1,1)+1)</f>
        <v/>
      </c>
      <c r="D1203">
        <f>IF(A1203="","",SUMIFS(Акты!$D$5:$D$16,Акты!$E$5:$E$16,"&lt;="&amp;A1203)-SUMIFS(Оплаты!$B$6:$B$505,Оплаты!$A$6:$A$505,"&lt;"&amp;A1203,Оплаты!$D$6:$D$505,"&lt;&gt;"))</f>
        <v/>
      </c>
      <c r="E1203">
        <f>IF(A1203="","",IF(SUMPRODUCT((Ввод!$F$12:$F$31&lt;&gt;"")*(Ввод!$F$12:$F$31&lt;=A1203)*(Ввод!$G$12:$G$31&gt;=A1203))&gt;0,1,0))</f>
        <v/>
      </c>
      <c r="G1203">
        <f>IF(A1203="","",IF(OR(B1203&lt;&gt;B1202,C1203&lt;&gt;C1202,E1203&lt;&gt;E1202),G1202+1,G1202))</f>
        <v/>
      </c>
    </row>
    <row r="1204">
      <c r="A1204" s="20">
        <f>IF(A1203="","",IF(A1203+1&gt;Ввод!$B$4,"",A1203+1))</f>
        <v/>
      </c>
      <c r="B1204">
        <f>IF(A1204="","",IFERROR(INDEX(Ввод!$B$12:$B$71,MATCH(A1204,Ввод!$D$12:$D$71,1)),""))</f>
        <v/>
      </c>
      <c r="C1204">
        <f>IF(A1204="","",DATE(YEAR(A1204),12,31)-DATE(YEAR(A1204),1,1)+1)</f>
        <v/>
      </c>
      <c r="D1204">
        <f>IF(A1204="","",SUMIFS(Акты!$D$5:$D$16,Акты!$E$5:$E$16,"&lt;="&amp;A1204)-SUMIFS(Оплаты!$B$6:$B$505,Оплаты!$A$6:$A$505,"&lt;"&amp;A1204,Оплаты!$D$6:$D$505,"&lt;&gt;"))</f>
        <v/>
      </c>
      <c r="E1204">
        <f>IF(A1204="","",IF(SUMPRODUCT((Ввод!$F$12:$F$31&lt;&gt;"")*(Ввод!$F$12:$F$31&lt;=A1204)*(Ввод!$G$12:$G$31&gt;=A1204))&gt;0,1,0))</f>
        <v/>
      </c>
      <c r="G1204">
        <f>IF(A1204="","",IF(OR(B1204&lt;&gt;B1203,C1204&lt;&gt;C1203,E1204&lt;&gt;E1203),G1203+1,G1203))</f>
        <v/>
      </c>
    </row>
    <row r="1205">
      <c r="A1205" s="20">
        <f>IF(A1204="","",IF(A1204+1&gt;Ввод!$B$4,"",A1204+1))</f>
        <v/>
      </c>
      <c r="B1205">
        <f>IF(A1205="","",IFERROR(INDEX(Ввод!$B$12:$B$71,MATCH(A1205,Ввод!$D$12:$D$71,1)),""))</f>
        <v/>
      </c>
      <c r="C1205">
        <f>IF(A1205="","",DATE(YEAR(A1205),12,31)-DATE(YEAR(A1205),1,1)+1)</f>
        <v/>
      </c>
      <c r="D1205">
        <f>IF(A1205="","",SUMIFS(Акты!$D$5:$D$16,Акты!$E$5:$E$16,"&lt;="&amp;A1205)-SUMIFS(Оплаты!$B$6:$B$505,Оплаты!$A$6:$A$505,"&lt;"&amp;A1205,Оплаты!$D$6:$D$505,"&lt;&gt;"))</f>
        <v/>
      </c>
      <c r="E1205">
        <f>IF(A1205="","",IF(SUMPRODUCT((Ввод!$F$12:$F$31&lt;&gt;"")*(Ввод!$F$12:$F$31&lt;=A1205)*(Ввод!$G$12:$G$31&gt;=A1205))&gt;0,1,0))</f>
        <v/>
      </c>
      <c r="G1205">
        <f>IF(A1205="","",IF(OR(B1205&lt;&gt;B1204,C1205&lt;&gt;C1204,E1205&lt;&gt;E1204),G1204+1,G1204))</f>
        <v/>
      </c>
    </row>
    <row r="1206">
      <c r="A1206" s="20">
        <f>IF(A1205="","",IF(A1205+1&gt;Ввод!$B$4,"",A1205+1))</f>
        <v/>
      </c>
      <c r="B1206">
        <f>IF(A1206="","",IFERROR(INDEX(Ввод!$B$12:$B$71,MATCH(A1206,Ввод!$D$12:$D$71,1)),""))</f>
        <v/>
      </c>
      <c r="C1206">
        <f>IF(A1206="","",DATE(YEAR(A1206),12,31)-DATE(YEAR(A1206),1,1)+1)</f>
        <v/>
      </c>
      <c r="D1206">
        <f>IF(A1206="","",SUMIFS(Акты!$D$5:$D$16,Акты!$E$5:$E$16,"&lt;="&amp;A1206)-SUMIFS(Оплаты!$B$6:$B$505,Оплаты!$A$6:$A$505,"&lt;"&amp;A1206,Оплаты!$D$6:$D$505,"&lt;&gt;"))</f>
        <v/>
      </c>
      <c r="E1206">
        <f>IF(A1206="","",IF(SUMPRODUCT((Ввод!$F$12:$F$31&lt;&gt;"")*(Ввод!$F$12:$F$31&lt;=A1206)*(Ввод!$G$12:$G$31&gt;=A1206))&gt;0,1,0))</f>
        <v/>
      </c>
      <c r="G1206">
        <f>IF(A1206="","",IF(OR(B1206&lt;&gt;B1205,C1206&lt;&gt;C1205,E1206&lt;&gt;E1205),G1205+1,G1205))</f>
        <v/>
      </c>
    </row>
    <row r="1207">
      <c r="A1207" s="20">
        <f>IF(A1206="","",IF(A1206+1&gt;Ввод!$B$4,"",A1206+1))</f>
        <v/>
      </c>
      <c r="B1207">
        <f>IF(A1207="","",IFERROR(INDEX(Ввод!$B$12:$B$71,MATCH(A1207,Ввод!$D$12:$D$71,1)),""))</f>
        <v/>
      </c>
      <c r="C1207">
        <f>IF(A1207="","",DATE(YEAR(A1207),12,31)-DATE(YEAR(A1207),1,1)+1)</f>
        <v/>
      </c>
      <c r="D1207">
        <f>IF(A1207="","",SUMIFS(Акты!$D$5:$D$16,Акты!$E$5:$E$16,"&lt;="&amp;A1207)-SUMIFS(Оплаты!$B$6:$B$505,Оплаты!$A$6:$A$505,"&lt;"&amp;A1207,Оплаты!$D$6:$D$505,"&lt;&gt;"))</f>
        <v/>
      </c>
      <c r="E1207">
        <f>IF(A1207="","",IF(SUMPRODUCT((Ввод!$F$12:$F$31&lt;&gt;"")*(Ввод!$F$12:$F$31&lt;=A1207)*(Ввод!$G$12:$G$31&gt;=A1207))&gt;0,1,0))</f>
        <v/>
      </c>
      <c r="G1207">
        <f>IF(A1207="","",IF(OR(B1207&lt;&gt;B1206,C1207&lt;&gt;C1206,E1207&lt;&gt;E1206),G1206+1,G1206))</f>
        <v/>
      </c>
    </row>
    <row r="1208">
      <c r="A1208" s="20">
        <f>IF(A1207="","",IF(A1207+1&gt;Ввод!$B$4,"",A1207+1))</f>
        <v/>
      </c>
      <c r="B1208">
        <f>IF(A1208="","",IFERROR(INDEX(Ввод!$B$12:$B$71,MATCH(A1208,Ввод!$D$12:$D$71,1)),""))</f>
        <v/>
      </c>
      <c r="C1208">
        <f>IF(A1208="","",DATE(YEAR(A1208),12,31)-DATE(YEAR(A1208),1,1)+1)</f>
        <v/>
      </c>
      <c r="D1208">
        <f>IF(A1208="","",SUMIFS(Акты!$D$5:$D$16,Акты!$E$5:$E$16,"&lt;="&amp;A1208)-SUMIFS(Оплаты!$B$6:$B$505,Оплаты!$A$6:$A$505,"&lt;"&amp;A1208,Оплаты!$D$6:$D$505,"&lt;&gt;"))</f>
        <v/>
      </c>
      <c r="E1208">
        <f>IF(A1208="","",IF(SUMPRODUCT((Ввод!$F$12:$F$31&lt;&gt;"")*(Ввод!$F$12:$F$31&lt;=A1208)*(Ввод!$G$12:$G$31&gt;=A1208))&gt;0,1,0))</f>
        <v/>
      </c>
      <c r="G1208">
        <f>IF(A1208="","",IF(OR(B1208&lt;&gt;B1207,C1208&lt;&gt;C1207,E1208&lt;&gt;E1207),G1207+1,G1207))</f>
        <v/>
      </c>
    </row>
    <row r="1209">
      <c r="A1209" s="20">
        <f>IF(A1208="","",IF(A1208+1&gt;Ввод!$B$4,"",A1208+1))</f>
        <v/>
      </c>
      <c r="B1209">
        <f>IF(A1209="","",IFERROR(INDEX(Ввод!$B$12:$B$71,MATCH(A1209,Ввод!$D$12:$D$71,1)),""))</f>
        <v/>
      </c>
      <c r="C1209">
        <f>IF(A1209="","",DATE(YEAR(A1209),12,31)-DATE(YEAR(A1209),1,1)+1)</f>
        <v/>
      </c>
      <c r="D1209">
        <f>IF(A1209="","",SUMIFS(Акты!$D$5:$D$16,Акты!$E$5:$E$16,"&lt;="&amp;A1209)-SUMIFS(Оплаты!$B$6:$B$505,Оплаты!$A$6:$A$505,"&lt;"&amp;A1209,Оплаты!$D$6:$D$505,"&lt;&gt;"))</f>
        <v/>
      </c>
      <c r="E1209">
        <f>IF(A1209="","",IF(SUMPRODUCT((Ввод!$F$12:$F$31&lt;&gt;"")*(Ввод!$F$12:$F$31&lt;=A1209)*(Ввод!$G$12:$G$31&gt;=A1209))&gt;0,1,0))</f>
        <v/>
      </c>
      <c r="G1209">
        <f>IF(A1209="","",IF(OR(B1209&lt;&gt;B1208,C1209&lt;&gt;C1208,E1209&lt;&gt;E1208),G1208+1,G1208))</f>
        <v/>
      </c>
    </row>
    <row r="1210">
      <c r="A1210" s="20">
        <f>IF(A1209="","",IF(A1209+1&gt;Ввод!$B$4,"",A1209+1))</f>
        <v/>
      </c>
      <c r="B1210">
        <f>IF(A1210="","",IFERROR(INDEX(Ввод!$B$12:$B$71,MATCH(A1210,Ввод!$D$12:$D$71,1)),""))</f>
        <v/>
      </c>
      <c r="C1210">
        <f>IF(A1210="","",DATE(YEAR(A1210),12,31)-DATE(YEAR(A1210),1,1)+1)</f>
        <v/>
      </c>
      <c r="D1210">
        <f>IF(A1210="","",SUMIFS(Акты!$D$5:$D$16,Акты!$E$5:$E$16,"&lt;="&amp;A1210)-SUMIFS(Оплаты!$B$6:$B$505,Оплаты!$A$6:$A$505,"&lt;"&amp;A1210,Оплаты!$D$6:$D$505,"&lt;&gt;"))</f>
        <v/>
      </c>
      <c r="E1210">
        <f>IF(A1210="","",IF(SUMPRODUCT((Ввод!$F$12:$F$31&lt;&gt;"")*(Ввод!$F$12:$F$31&lt;=A1210)*(Ввод!$G$12:$G$31&gt;=A1210))&gt;0,1,0))</f>
        <v/>
      </c>
      <c r="G1210">
        <f>IF(A1210="","",IF(OR(B1210&lt;&gt;B1209,C1210&lt;&gt;C1209,E1210&lt;&gt;E1209),G1209+1,G1209))</f>
        <v/>
      </c>
    </row>
    <row r="1211">
      <c r="A1211" s="20">
        <f>IF(A1210="","",IF(A1210+1&gt;Ввод!$B$4,"",A1210+1))</f>
        <v/>
      </c>
      <c r="B1211">
        <f>IF(A1211="","",IFERROR(INDEX(Ввод!$B$12:$B$71,MATCH(A1211,Ввод!$D$12:$D$71,1)),""))</f>
        <v/>
      </c>
      <c r="C1211">
        <f>IF(A1211="","",DATE(YEAR(A1211),12,31)-DATE(YEAR(A1211),1,1)+1)</f>
        <v/>
      </c>
      <c r="D1211">
        <f>IF(A1211="","",SUMIFS(Акты!$D$5:$D$16,Акты!$E$5:$E$16,"&lt;="&amp;A1211)-SUMIFS(Оплаты!$B$6:$B$505,Оплаты!$A$6:$A$505,"&lt;"&amp;A1211,Оплаты!$D$6:$D$505,"&lt;&gt;"))</f>
        <v/>
      </c>
      <c r="E1211">
        <f>IF(A1211="","",IF(SUMPRODUCT((Ввод!$F$12:$F$31&lt;&gt;"")*(Ввод!$F$12:$F$31&lt;=A1211)*(Ввод!$G$12:$G$31&gt;=A1211))&gt;0,1,0))</f>
        <v/>
      </c>
      <c r="G1211">
        <f>IF(A1211="","",IF(OR(B1211&lt;&gt;B1210,C1211&lt;&gt;C1210,E1211&lt;&gt;E1210),G1210+1,G1210))</f>
        <v/>
      </c>
    </row>
    <row r="1212">
      <c r="A1212" s="20">
        <f>IF(A1211="","",IF(A1211+1&gt;Ввод!$B$4,"",A1211+1))</f>
        <v/>
      </c>
      <c r="B1212">
        <f>IF(A1212="","",IFERROR(INDEX(Ввод!$B$12:$B$71,MATCH(A1212,Ввод!$D$12:$D$71,1)),""))</f>
        <v/>
      </c>
      <c r="C1212">
        <f>IF(A1212="","",DATE(YEAR(A1212),12,31)-DATE(YEAR(A1212),1,1)+1)</f>
        <v/>
      </c>
      <c r="D1212">
        <f>IF(A1212="","",SUMIFS(Акты!$D$5:$D$16,Акты!$E$5:$E$16,"&lt;="&amp;A1212)-SUMIFS(Оплаты!$B$6:$B$505,Оплаты!$A$6:$A$505,"&lt;"&amp;A1212,Оплаты!$D$6:$D$505,"&lt;&gt;"))</f>
        <v/>
      </c>
      <c r="E1212">
        <f>IF(A1212="","",IF(SUMPRODUCT((Ввод!$F$12:$F$31&lt;&gt;"")*(Ввод!$F$12:$F$31&lt;=A1212)*(Ввод!$G$12:$G$31&gt;=A1212))&gt;0,1,0))</f>
        <v/>
      </c>
      <c r="G1212">
        <f>IF(A1212="","",IF(OR(B1212&lt;&gt;B1211,C1212&lt;&gt;C1211,E1212&lt;&gt;E1211),G1211+1,G1211))</f>
        <v/>
      </c>
    </row>
    <row r="1213">
      <c r="A1213" s="20">
        <f>IF(A1212="","",IF(A1212+1&gt;Ввод!$B$4,"",A1212+1))</f>
        <v/>
      </c>
      <c r="B1213">
        <f>IF(A1213="","",IFERROR(INDEX(Ввод!$B$12:$B$71,MATCH(A1213,Ввод!$D$12:$D$71,1)),""))</f>
        <v/>
      </c>
      <c r="C1213">
        <f>IF(A1213="","",DATE(YEAR(A1213),12,31)-DATE(YEAR(A1213),1,1)+1)</f>
        <v/>
      </c>
      <c r="D1213">
        <f>IF(A1213="","",SUMIFS(Акты!$D$5:$D$16,Акты!$E$5:$E$16,"&lt;="&amp;A1213)-SUMIFS(Оплаты!$B$6:$B$505,Оплаты!$A$6:$A$505,"&lt;"&amp;A1213,Оплаты!$D$6:$D$505,"&lt;&gt;"))</f>
        <v/>
      </c>
      <c r="E1213">
        <f>IF(A1213="","",IF(SUMPRODUCT((Ввод!$F$12:$F$31&lt;&gt;"")*(Ввод!$F$12:$F$31&lt;=A1213)*(Ввод!$G$12:$G$31&gt;=A1213))&gt;0,1,0))</f>
        <v/>
      </c>
      <c r="G1213">
        <f>IF(A1213="","",IF(OR(B1213&lt;&gt;B1212,C1213&lt;&gt;C1212,E1213&lt;&gt;E1212),G1212+1,G1212))</f>
        <v/>
      </c>
    </row>
    <row r="1214">
      <c r="A1214" s="20">
        <f>IF(A1213="","",IF(A1213+1&gt;Ввод!$B$4,"",A1213+1))</f>
        <v/>
      </c>
      <c r="B1214">
        <f>IF(A1214="","",IFERROR(INDEX(Ввод!$B$12:$B$71,MATCH(A1214,Ввод!$D$12:$D$71,1)),""))</f>
        <v/>
      </c>
      <c r="C1214">
        <f>IF(A1214="","",DATE(YEAR(A1214),12,31)-DATE(YEAR(A1214),1,1)+1)</f>
        <v/>
      </c>
      <c r="D1214">
        <f>IF(A1214="","",SUMIFS(Акты!$D$5:$D$16,Акты!$E$5:$E$16,"&lt;="&amp;A1214)-SUMIFS(Оплаты!$B$6:$B$505,Оплаты!$A$6:$A$505,"&lt;"&amp;A1214,Оплаты!$D$6:$D$505,"&lt;&gt;"))</f>
        <v/>
      </c>
      <c r="E1214">
        <f>IF(A1214="","",IF(SUMPRODUCT((Ввод!$F$12:$F$31&lt;&gt;"")*(Ввод!$F$12:$F$31&lt;=A1214)*(Ввод!$G$12:$G$31&gt;=A1214))&gt;0,1,0))</f>
        <v/>
      </c>
      <c r="G1214">
        <f>IF(A1214="","",IF(OR(B1214&lt;&gt;B1213,C1214&lt;&gt;C1213,E1214&lt;&gt;E1213),G1213+1,G1213))</f>
        <v/>
      </c>
    </row>
    <row r="1215">
      <c r="A1215" s="20">
        <f>IF(A1214="","",IF(A1214+1&gt;Ввод!$B$4,"",A1214+1))</f>
        <v/>
      </c>
      <c r="B1215">
        <f>IF(A1215="","",IFERROR(INDEX(Ввод!$B$12:$B$71,MATCH(A1215,Ввод!$D$12:$D$71,1)),""))</f>
        <v/>
      </c>
      <c r="C1215">
        <f>IF(A1215="","",DATE(YEAR(A1215),12,31)-DATE(YEAR(A1215),1,1)+1)</f>
        <v/>
      </c>
      <c r="D1215">
        <f>IF(A1215="","",SUMIFS(Акты!$D$5:$D$16,Акты!$E$5:$E$16,"&lt;="&amp;A1215)-SUMIFS(Оплаты!$B$6:$B$505,Оплаты!$A$6:$A$505,"&lt;"&amp;A1215,Оплаты!$D$6:$D$505,"&lt;&gt;"))</f>
        <v/>
      </c>
      <c r="E1215">
        <f>IF(A1215="","",IF(SUMPRODUCT((Ввод!$F$12:$F$31&lt;&gt;"")*(Ввод!$F$12:$F$31&lt;=A1215)*(Ввод!$G$12:$G$31&gt;=A1215))&gt;0,1,0))</f>
        <v/>
      </c>
      <c r="G1215">
        <f>IF(A1215="","",IF(OR(B1215&lt;&gt;B1214,C1215&lt;&gt;C1214,E1215&lt;&gt;E1214),G1214+1,G1214))</f>
        <v/>
      </c>
    </row>
    <row r="1216">
      <c r="A1216" s="20">
        <f>IF(A1215="","",IF(A1215+1&gt;Ввод!$B$4,"",A1215+1))</f>
        <v/>
      </c>
      <c r="B1216">
        <f>IF(A1216="","",IFERROR(INDEX(Ввод!$B$12:$B$71,MATCH(A1216,Ввод!$D$12:$D$71,1)),""))</f>
        <v/>
      </c>
      <c r="C1216">
        <f>IF(A1216="","",DATE(YEAR(A1216),12,31)-DATE(YEAR(A1216),1,1)+1)</f>
        <v/>
      </c>
      <c r="D1216">
        <f>IF(A1216="","",SUMIFS(Акты!$D$5:$D$16,Акты!$E$5:$E$16,"&lt;="&amp;A1216)-SUMIFS(Оплаты!$B$6:$B$505,Оплаты!$A$6:$A$505,"&lt;"&amp;A1216,Оплаты!$D$6:$D$505,"&lt;&gt;"))</f>
        <v/>
      </c>
      <c r="E1216">
        <f>IF(A1216="","",IF(SUMPRODUCT((Ввод!$F$12:$F$31&lt;&gt;"")*(Ввод!$F$12:$F$31&lt;=A1216)*(Ввод!$G$12:$G$31&gt;=A1216))&gt;0,1,0))</f>
        <v/>
      </c>
      <c r="G1216">
        <f>IF(A1216="","",IF(OR(B1216&lt;&gt;B1215,C1216&lt;&gt;C1215,E1216&lt;&gt;E1215),G1215+1,G1215))</f>
        <v/>
      </c>
    </row>
    <row r="1217">
      <c r="A1217" s="20">
        <f>IF(A1216="","",IF(A1216+1&gt;Ввод!$B$4,"",A1216+1))</f>
        <v/>
      </c>
      <c r="B1217">
        <f>IF(A1217="","",IFERROR(INDEX(Ввод!$B$12:$B$71,MATCH(A1217,Ввод!$D$12:$D$71,1)),""))</f>
        <v/>
      </c>
      <c r="C1217">
        <f>IF(A1217="","",DATE(YEAR(A1217),12,31)-DATE(YEAR(A1217),1,1)+1)</f>
        <v/>
      </c>
      <c r="D1217">
        <f>IF(A1217="","",SUMIFS(Акты!$D$5:$D$16,Акты!$E$5:$E$16,"&lt;="&amp;A1217)-SUMIFS(Оплаты!$B$6:$B$505,Оплаты!$A$6:$A$505,"&lt;"&amp;A1217,Оплаты!$D$6:$D$505,"&lt;&gt;"))</f>
        <v/>
      </c>
      <c r="E1217">
        <f>IF(A1217="","",IF(SUMPRODUCT((Ввод!$F$12:$F$31&lt;&gt;"")*(Ввод!$F$12:$F$31&lt;=A1217)*(Ввод!$G$12:$G$31&gt;=A1217))&gt;0,1,0))</f>
        <v/>
      </c>
      <c r="G1217">
        <f>IF(A1217="","",IF(OR(B1217&lt;&gt;B1216,C1217&lt;&gt;C1216,E1217&lt;&gt;E1216),G1216+1,G1216))</f>
        <v/>
      </c>
    </row>
    <row r="1218">
      <c r="A1218" s="20">
        <f>IF(A1217="","",IF(A1217+1&gt;Ввод!$B$4,"",A1217+1))</f>
        <v/>
      </c>
      <c r="B1218">
        <f>IF(A1218="","",IFERROR(INDEX(Ввод!$B$12:$B$71,MATCH(A1218,Ввод!$D$12:$D$71,1)),""))</f>
        <v/>
      </c>
      <c r="C1218">
        <f>IF(A1218="","",DATE(YEAR(A1218),12,31)-DATE(YEAR(A1218),1,1)+1)</f>
        <v/>
      </c>
      <c r="D1218">
        <f>IF(A1218="","",SUMIFS(Акты!$D$5:$D$16,Акты!$E$5:$E$16,"&lt;="&amp;A1218)-SUMIFS(Оплаты!$B$6:$B$505,Оплаты!$A$6:$A$505,"&lt;"&amp;A1218,Оплаты!$D$6:$D$505,"&lt;&gt;"))</f>
        <v/>
      </c>
      <c r="E1218">
        <f>IF(A1218="","",IF(SUMPRODUCT((Ввод!$F$12:$F$31&lt;&gt;"")*(Ввод!$F$12:$F$31&lt;=A1218)*(Ввод!$G$12:$G$31&gt;=A1218))&gt;0,1,0))</f>
        <v/>
      </c>
      <c r="G1218">
        <f>IF(A1218="","",IF(OR(B1218&lt;&gt;B1217,C1218&lt;&gt;C1217,E1218&lt;&gt;E1217),G1217+1,G1217))</f>
        <v/>
      </c>
    </row>
    <row r="1219">
      <c r="A1219" s="20">
        <f>IF(A1218="","",IF(A1218+1&gt;Ввод!$B$4,"",A1218+1))</f>
        <v/>
      </c>
      <c r="B1219">
        <f>IF(A1219="","",IFERROR(INDEX(Ввод!$B$12:$B$71,MATCH(A1219,Ввод!$D$12:$D$71,1)),""))</f>
        <v/>
      </c>
      <c r="C1219">
        <f>IF(A1219="","",DATE(YEAR(A1219),12,31)-DATE(YEAR(A1219),1,1)+1)</f>
        <v/>
      </c>
      <c r="D1219">
        <f>IF(A1219="","",SUMIFS(Акты!$D$5:$D$16,Акты!$E$5:$E$16,"&lt;="&amp;A1219)-SUMIFS(Оплаты!$B$6:$B$505,Оплаты!$A$6:$A$505,"&lt;"&amp;A1219,Оплаты!$D$6:$D$505,"&lt;&gt;"))</f>
        <v/>
      </c>
      <c r="E1219">
        <f>IF(A1219="","",IF(SUMPRODUCT((Ввод!$F$12:$F$31&lt;&gt;"")*(Ввод!$F$12:$F$31&lt;=A1219)*(Ввод!$G$12:$G$31&gt;=A1219))&gt;0,1,0))</f>
        <v/>
      </c>
      <c r="G1219">
        <f>IF(A1219="","",IF(OR(B1219&lt;&gt;B1218,C1219&lt;&gt;C1218,E1219&lt;&gt;E1218),G1218+1,G1218))</f>
        <v/>
      </c>
    </row>
    <row r="1220">
      <c r="A1220" s="20">
        <f>IF(A1219="","",IF(A1219+1&gt;Ввод!$B$4,"",A1219+1))</f>
        <v/>
      </c>
      <c r="B1220">
        <f>IF(A1220="","",IFERROR(INDEX(Ввод!$B$12:$B$71,MATCH(A1220,Ввод!$D$12:$D$71,1)),""))</f>
        <v/>
      </c>
      <c r="C1220">
        <f>IF(A1220="","",DATE(YEAR(A1220),12,31)-DATE(YEAR(A1220),1,1)+1)</f>
        <v/>
      </c>
      <c r="D1220">
        <f>IF(A1220="","",SUMIFS(Акты!$D$5:$D$16,Акты!$E$5:$E$16,"&lt;="&amp;A1220)-SUMIFS(Оплаты!$B$6:$B$505,Оплаты!$A$6:$A$505,"&lt;"&amp;A1220,Оплаты!$D$6:$D$505,"&lt;&gt;"))</f>
        <v/>
      </c>
      <c r="E1220">
        <f>IF(A1220="","",IF(SUMPRODUCT((Ввод!$F$12:$F$31&lt;&gt;"")*(Ввод!$F$12:$F$31&lt;=A1220)*(Ввод!$G$12:$G$31&gt;=A1220))&gt;0,1,0))</f>
        <v/>
      </c>
      <c r="G1220">
        <f>IF(A1220="","",IF(OR(B1220&lt;&gt;B1219,C1220&lt;&gt;C1219,E1220&lt;&gt;E1219),G1219+1,G1219))</f>
        <v/>
      </c>
    </row>
    <row r="1221">
      <c r="A1221" s="20">
        <f>IF(A1220="","",IF(A1220+1&gt;Ввод!$B$4,"",A1220+1))</f>
        <v/>
      </c>
      <c r="B1221">
        <f>IF(A1221="","",IFERROR(INDEX(Ввод!$B$12:$B$71,MATCH(A1221,Ввод!$D$12:$D$71,1)),""))</f>
        <v/>
      </c>
      <c r="C1221">
        <f>IF(A1221="","",DATE(YEAR(A1221),12,31)-DATE(YEAR(A1221),1,1)+1)</f>
        <v/>
      </c>
      <c r="D1221">
        <f>IF(A1221="","",SUMIFS(Акты!$D$5:$D$16,Акты!$E$5:$E$16,"&lt;="&amp;A1221)-SUMIFS(Оплаты!$B$6:$B$505,Оплаты!$A$6:$A$505,"&lt;"&amp;A1221,Оплаты!$D$6:$D$505,"&lt;&gt;"))</f>
        <v/>
      </c>
      <c r="E1221">
        <f>IF(A1221="","",IF(SUMPRODUCT((Ввод!$F$12:$F$31&lt;&gt;"")*(Ввод!$F$12:$F$31&lt;=A1221)*(Ввод!$G$12:$G$31&gt;=A1221))&gt;0,1,0))</f>
        <v/>
      </c>
      <c r="G1221">
        <f>IF(A1221="","",IF(OR(B1221&lt;&gt;B1220,C1221&lt;&gt;C1220,E1221&lt;&gt;E1220),G1220+1,G1220))</f>
        <v/>
      </c>
    </row>
    <row r="1222">
      <c r="A1222" s="20">
        <f>IF(A1221="","",IF(A1221+1&gt;Ввод!$B$4,"",A1221+1))</f>
        <v/>
      </c>
      <c r="B1222">
        <f>IF(A1222="","",IFERROR(INDEX(Ввод!$B$12:$B$71,MATCH(A1222,Ввод!$D$12:$D$71,1)),""))</f>
        <v/>
      </c>
      <c r="C1222">
        <f>IF(A1222="","",DATE(YEAR(A1222),12,31)-DATE(YEAR(A1222),1,1)+1)</f>
        <v/>
      </c>
      <c r="D1222">
        <f>IF(A1222="","",SUMIFS(Акты!$D$5:$D$16,Акты!$E$5:$E$16,"&lt;="&amp;A1222)-SUMIFS(Оплаты!$B$6:$B$505,Оплаты!$A$6:$A$505,"&lt;"&amp;A1222,Оплаты!$D$6:$D$505,"&lt;&gt;"))</f>
        <v/>
      </c>
      <c r="E1222">
        <f>IF(A1222="","",IF(SUMPRODUCT((Ввод!$F$12:$F$31&lt;&gt;"")*(Ввод!$F$12:$F$31&lt;=A1222)*(Ввод!$G$12:$G$31&gt;=A1222))&gt;0,1,0))</f>
        <v/>
      </c>
      <c r="G1222">
        <f>IF(A1222="","",IF(OR(B1222&lt;&gt;B1221,C1222&lt;&gt;C1221,E1222&lt;&gt;E1221),G1221+1,G1221))</f>
        <v/>
      </c>
    </row>
    <row r="1223">
      <c r="A1223" s="20">
        <f>IF(A1222="","",IF(A1222+1&gt;Ввод!$B$4,"",A1222+1))</f>
        <v/>
      </c>
      <c r="B1223">
        <f>IF(A1223="","",IFERROR(INDEX(Ввод!$B$12:$B$71,MATCH(A1223,Ввод!$D$12:$D$71,1)),""))</f>
        <v/>
      </c>
      <c r="C1223">
        <f>IF(A1223="","",DATE(YEAR(A1223),12,31)-DATE(YEAR(A1223),1,1)+1)</f>
        <v/>
      </c>
      <c r="D1223">
        <f>IF(A1223="","",SUMIFS(Акты!$D$5:$D$16,Акты!$E$5:$E$16,"&lt;="&amp;A1223)-SUMIFS(Оплаты!$B$6:$B$505,Оплаты!$A$6:$A$505,"&lt;"&amp;A1223,Оплаты!$D$6:$D$505,"&lt;&gt;"))</f>
        <v/>
      </c>
      <c r="E1223">
        <f>IF(A1223="","",IF(SUMPRODUCT((Ввод!$F$12:$F$31&lt;&gt;"")*(Ввод!$F$12:$F$31&lt;=A1223)*(Ввод!$G$12:$G$31&gt;=A1223))&gt;0,1,0))</f>
        <v/>
      </c>
      <c r="G1223">
        <f>IF(A1223="","",IF(OR(B1223&lt;&gt;B1222,C1223&lt;&gt;C1222,E1223&lt;&gt;E1222),G1222+1,G1222))</f>
        <v/>
      </c>
    </row>
    <row r="1224">
      <c r="A1224" s="20">
        <f>IF(A1223="","",IF(A1223+1&gt;Ввод!$B$4,"",A1223+1))</f>
        <v/>
      </c>
      <c r="B1224">
        <f>IF(A1224="","",IFERROR(INDEX(Ввод!$B$12:$B$71,MATCH(A1224,Ввод!$D$12:$D$71,1)),""))</f>
        <v/>
      </c>
      <c r="C1224">
        <f>IF(A1224="","",DATE(YEAR(A1224),12,31)-DATE(YEAR(A1224),1,1)+1)</f>
        <v/>
      </c>
      <c r="D1224">
        <f>IF(A1224="","",SUMIFS(Акты!$D$5:$D$16,Акты!$E$5:$E$16,"&lt;="&amp;A1224)-SUMIFS(Оплаты!$B$6:$B$505,Оплаты!$A$6:$A$505,"&lt;"&amp;A1224,Оплаты!$D$6:$D$505,"&lt;&gt;"))</f>
        <v/>
      </c>
      <c r="E1224">
        <f>IF(A1224="","",IF(SUMPRODUCT((Ввод!$F$12:$F$31&lt;&gt;"")*(Ввод!$F$12:$F$31&lt;=A1224)*(Ввод!$G$12:$G$31&gt;=A1224))&gt;0,1,0))</f>
        <v/>
      </c>
      <c r="G1224">
        <f>IF(A1224="","",IF(OR(B1224&lt;&gt;B1223,C1224&lt;&gt;C1223,E1224&lt;&gt;E1223),G1223+1,G1223))</f>
        <v/>
      </c>
    </row>
    <row r="1225">
      <c r="A1225" s="20">
        <f>IF(A1224="","",IF(A1224+1&gt;Ввод!$B$4,"",A1224+1))</f>
        <v/>
      </c>
      <c r="B1225">
        <f>IF(A1225="","",IFERROR(INDEX(Ввод!$B$12:$B$71,MATCH(A1225,Ввод!$D$12:$D$71,1)),""))</f>
        <v/>
      </c>
      <c r="C1225">
        <f>IF(A1225="","",DATE(YEAR(A1225),12,31)-DATE(YEAR(A1225),1,1)+1)</f>
        <v/>
      </c>
      <c r="D1225">
        <f>IF(A1225="","",SUMIFS(Акты!$D$5:$D$16,Акты!$E$5:$E$16,"&lt;="&amp;A1225)-SUMIFS(Оплаты!$B$6:$B$505,Оплаты!$A$6:$A$505,"&lt;"&amp;A1225,Оплаты!$D$6:$D$505,"&lt;&gt;"))</f>
        <v/>
      </c>
      <c r="E1225">
        <f>IF(A1225="","",IF(SUMPRODUCT((Ввод!$F$12:$F$31&lt;&gt;"")*(Ввод!$F$12:$F$31&lt;=A1225)*(Ввод!$G$12:$G$31&gt;=A1225))&gt;0,1,0))</f>
        <v/>
      </c>
      <c r="G1225">
        <f>IF(A1225="","",IF(OR(B1225&lt;&gt;B1224,C1225&lt;&gt;C1224,E1225&lt;&gt;E1224),G1224+1,G1224))</f>
        <v/>
      </c>
    </row>
    <row r="1226">
      <c r="A1226" s="20">
        <f>IF(A1225="","",IF(A1225+1&gt;Ввод!$B$4,"",A1225+1))</f>
        <v/>
      </c>
      <c r="B1226">
        <f>IF(A1226="","",IFERROR(INDEX(Ввод!$B$12:$B$71,MATCH(A1226,Ввод!$D$12:$D$71,1)),""))</f>
        <v/>
      </c>
      <c r="C1226">
        <f>IF(A1226="","",DATE(YEAR(A1226),12,31)-DATE(YEAR(A1226),1,1)+1)</f>
        <v/>
      </c>
      <c r="D1226">
        <f>IF(A1226="","",SUMIFS(Акты!$D$5:$D$16,Акты!$E$5:$E$16,"&lt;="&amp;A1226)-SUMIFS(Оплаты!$B$6:$B$505,Оплаты!$A$6:$A$505,"&lt;"&amp;A1226,Оплаты!$D$6:$D$505,"&lt;&gt;"))</f>
        <v/>
      </c>
      <c r="E1226">
        <f>IF(A1226="","",IF(SUMPRODUCT((Ввод!$F$12:$F$31&lt;&gt;"")*(Ввод!$F$12:$F$31&lt;=A1226)*(Ввод!$G$12:$G$31&gt;=A1226))&gt;0,1,0))</f>
        <v/>
      </c>
      <c r="G1226">
        <f>IF(A1226="","",IF(OR(B1226&lt;&gt;B1225,C1226&lt;&gt;C1225,E1226&lt;&gt;E1225),G1225+1,G1225))</f>
        <v/>
      </c>
    </row>
    <row r="1227">
      <c r="A1227" s="20">
        <f>IF(A1226="","",IF(A1226+1&gt;Ввод!$B$4,"",A1226+1))</f>
        <v/>
      </c>
      <c r="B1227">
        <f>IF(A1227="","",IFERROR(INDEX(Ввод!$B$12:$B$71,MATCH(A1227,Ввод!$D$12:$D$71,1)),""))</f>
        <v/>
      </c>
      <c r="C1227">
        <f>IF(A1227="","",DATE(YEAR(A1227),12,31)-DATE(YEAR(A1227),1,1)+1)</f>
        <v/>
      </c>
      <c r="D1227">
        <f>IF(A1227="","",SUMIFS(Акты!$D$5:$D$16,Акты!$E$5:$E$16,"&lt;="&amp;A1227)-SUMIFS(Оплаты!$B$6:$B$505,Оплаты!$A$6:$A$505,"&lt;"&amp;A1227,Оплаты!$D$6:$D$505,"&lt;&gt;"))</f>
        <v/>
      </c>
      <c r="E1227">
        <f>IF(A1227="","",IF(SUMPRODUCT((Ввод!$F$12:$F$31&lt;&gt;"")*(Ввод!$F$12:$F$31&lt;=A1227)*(Ввод!$G$12:$G$31&gt;=A1227))&gt;0,1,0))</f>
        <v/>
      </c>
      <c r="G1227">
        <f>IF(A1227="","",IF(OR(B1227&lt;&gt;B1226,C1227&lt;&gt;C1226,E1227&lt;&gt;E1226),G1226+1,G1226))</f>
        <v/>
      </c>
    </row>
    <row r="1228">
      <c r="A1228" s="20">
        <f>IF(A1227="","",IF(A1227+1&gt;Ввод!$B$4,"",A1227+1))</f>
        <v/>
      </c>
      <c r="B1228">
        <f>IF(A1228="","",IFERROR(INDEX(Ввод!$B$12:$B$71,MATCH(A1228,Ввод!$D$12:$D$71,1)),""))</f>
        <v/>
      </c>
      <c r="C1228">
        <f>IF(A1228="","",DATE(YEAR(A1228),12,31)-DATE(YEAR(A1228),1,1)+1)</f>
        <v/>
      </c>
      <c r="D1228">
        <f>IF(A1228="","",SUMIFS(Акты!$D$5:$D$16,Акты!$E$5:$E$16,"&lt;="&amp;A1228)-SUMIFS(Оплаты!$B$6:$B$505,Оплаты!$A$6:$A$505,"&lt;"&amp;A1228,Оплаты!$D$6:$D$505,"&lt;&gt;"))</f>
        <v/>
      </c>
      <c r="E1228">
        <f>IF(A1228="","",IF(SUMPRODUCT((Ввод!$F$12:$F$31&lt;&gt;"")*(Ввод!$F$12:$F$31&lt;=A1228)*(Ввод!$G$12:$G$31&gt;=A1228))&gt;0,1,0))</f>
        <v/>
      </c>
      <c r="G1228">
        <f>IF(A1228="","",IF(OR(B1228&lt;&gt;B1227,C1228&lt;&gt;C1227,E1228&lt;&gt;E1227),G1227+1,G1227))</f>
        <v/>
      </c>
    </row>
    <row r="1229">
      <c r="A1229" s="20">
        <f>IF(A1228="","",IF(A1228+1&gt;Ввод!$B$4,"",A1228+1))</f>
        <v/>
      </c>
      <c r="B1229">
        <f>IF(A1229="","",IFERROR(INDEX(Ввод!$B$12:$B$71,MATCH(A1229,Ввод!$D$12:$D$71,1)),""))</f>
        <v/>
      </c>
      <c r="C1229">
        <f>IF(A1229="","",DATE(YEAR(A1229),12,31)-DATE(YEAR(A1229),1,1)+1)</f>
        <v/>
      </c>
      <c r="D1229">
        <f>IF(A1229="","",SUMIFS(Акты!$D$5:$D$16,Акты!$E$5:$E$16,"&lt;="&amp;A1229)-SUMIFS(Оплаты!$B$6:$B$505,Оплаты!$A$6:$A$505,"&lt;"&amp;A1229,Оплаты!$D$6:$D$505,"&lt;&gt;"))</f>
        <v/>
      </c>
      <c r="E1229">
        <f>IF(A1229="","",IF(SUMPRODUCT((Ввод!$F$12:$F$31&lt;&gt;"")*(Ввод!$F$12:$F$31&lt;=A1229)*(Ввод!$G$12:$G$31&gt;=A1229))&gt;0,1,0))</f>
        <v/>
      </c>
      <c r="G1229">
        <f>IF(A1229="","",IF(OR(B1229&lt;&gt;B1228,C1229&lt;&gt;C1228,E1229&lt;&gt;E1228),G1228+1,G1228))</f>
        <v/>
      </c>
    </row>
    <row r="1230">
      <c r="A1230" s="20">
        <f>IF(A1229="","",IF(A1229+1&gt;Ввод!$B$4,"",A1229+1))</f>
        <v/>
      </c>
      <c r="B1230">
        <f>IF(A1230="","",IFERROR(INDEX(Ввод!$B$12:$B$71,MATCH(A1230,Ввод!$D$12:$D$71,1)),""))</f>
        <v/>
      </c>
      <c r="C1230">
        <f>IF(A1230="","",DATE(YEAR(A1230),12,31)-DATE(YEAR(A1230),1,1)+1)</f>
        <v/>
      </c>
      <c r="D1230">
        <f>IF(A1230="","",SUMIFS(Акты!$D$5:$D$16,Акты!$E$5:$E$16,"&lt;="&amp;A1230)-SUMIFS(Оплаты!$B$6:$B$505,Оплаты!$A$6:$A$505,"&lt;"&amp;A1230,Оплаты!$D$6:$D$505,"&lt;&gt;"))</f>
        <v/>
      </c>
      <c r="E1230">
        <f>IF(A1230="","",IF(SUMPRODUCT((Ввод!$F$12:$F$31&lt;&gt;"")*(Ввод!$F$12:$F$31&lt;=A1230)*(Ввод!$G$12:$G$31&gt;=A1230))&gt;0,1,0))</f>
        <v/>
      </c>
      <c r="G1230">
        <f>IF(A1230="","",IF(OR(B1230&lt;&gt;B1229,C1230&lt;&gt;C1229,E1230&lt;&gt;E1229),G1229+1,G1229))</f>
        <v/>
      </c>
    </row>
    <row r="1231">
      <c r="A1231" s="20">
        <f>IF(A1230="","",IF(A1230+1&gt;Ввод!$B$4,"",A1230+1))</f>
        <v/>
      </c>
      <c r="B1231">
        <f>IF(A1231="","",IFERROR(INDEX(Ввод!$B$12:$B$71,MATCH(A1231,Ввод!$D$12:$D$71,1)),""))</f>
        <v/>
      </c>
      <c r="C1231">
        <f>IF(A1231="","",DATE(YEAR(A1231),12,31)-DATE(YEAR(A1231),1,1)+1)</f>
        <v/>
      </c>
      <c r="D1231">
        <f>IF(A1231="","",SUMIFS(Акты!$D$5:$D$16,Акты!$E$5:$E$16,"&lt;="&amp;A1231)-SUMIFS(Оплаты!$B$6:$B$505,Оплаты!$A$6:$A$505,"&lt;"&amp;A1231,Оплаты!$D$6:$D$505,"&lt;&gt;"))</f>
        <v/>
      </c>
      <c r="E1231">
        <f>IF(A1231="","",IF(SUMPRODUCT((Ввод!$F$12:$F$31&lt;&gt;"")*(Ввод!$F$12:$F$31&lt;=A1231)*(Ввод!$G$12:$G$31&gt;=A1231))&gt;0,1,0))</f>
        <v/>
      </c>
      <c r="G1231">
        <f>IF(A1231="","",IF(OR(B1231&lt;&gt;B1230,C1231&lt;&gt;C1230,E1231&lt;&gt;E1230),G1230+1,G1230))</f>
        <v/>
      </c>
    </row>
    <row r="1232">
      <c r="A1232" s="20">
        <f>IF(A1231="","",IF(A1231+1&gt;Ввод!$B$4,"",A1231+1))</f>
        <v/>
      </c>
      <c r="B1232">
        <f>IF(A1232="","",IFERROR(INDEX(Ввод!$B$12:$B$71,MATCH(A1232,Ввод!$D$12:$D$71,1)),""))</f>
        <v/>
      </c>
      <c r="C1232">
        <f>IF(A1232="","",DATE(YEAR(A1232),12,31)-DATE(YEAR(A1232),1,1)+1)</f>
        <v/>
      </c>
      <c r="D1232">
        <f>IF(A1232="","",SUMIFS(Акты!$D$5:$D$16,Акты!$E$5:$E$16,"&lt;="&amp;A1232)-SUMIFS(Оплаты!$B$6:$B$505,Оплаты!$A$6:$A$505,"&lt;"&amp;A1232,Оплаты!$D$6:$D$505,"&lt;&gt;"))</f>
        <v/>
      </c>
      <c r="E1232">
        <f>IF(A1232="","",IF(SUMPRODUCT((Ввод!$F$12:$F$31&lt;&gt;"")*(Ввод!$F$12:$F$31&lt;=A1232)*(Ввод!$G$12:$G$31&gt;=A1232))&gt;0,1,0))</f>
        <v/>
      </c>
      <c r="G1232">
        <f>IF(A1232="","",IF(OR(B1232&lt;&gt;B1231,C1232&lt;&gt;C1231,E1232&lt;&gt;E1231),G1231+1,G1231))</f>
        <v/>
      </c>
    </row>
    <row r="1233">
      <c r="A1233" s="20">
        <f>IF(A1232="","",IF(A1232+1&gt;Ввод!$B$4,"",A1232+1))</f>
        <v/>
      </c>
      <c r="B1233">
        <f>IF(A1233="","",IFERROR(INDEX(Ввод!$B$12:$B$71,MATCH(A1233,Ввод!$D$12:$D$71,1)),""))</f>
        <v/>
      </c>
      <c r="C1233">
        <f>IF(A1233="","",DATE(YEAR(A1233),12,31)-DATE(YEAR(A1233),1,1)+1)</f>
        <v/>
      </c>
      <c r="D1233">
        <f>IF(A1233="","",SUMIFS(Акты!$D$5:$D$16,Акты!$E$5:$E$16,"&lt;="&amp;A1233)-SUMIFS(Оплаты!$B$6:$B$505,Оплаты!$A$6:$A$505,"&lt;"&amp;A1233,Оплаты!$D$6:$D$505,"&lt;&gt;"))</f>
        <v/>
      </c>
      <c r="E1233">
        <f>IF(A1233="","",IF(SUMPRODUCT((Ввод!$F$12:$F$31&lt;&gt;"")*(Ввод!$F$12:$F$31&lt;=A1233)*(Ввод!$G$12:$G$31&gt;=A1233))&gt;0,1,0))</f>
        <v/>
      </c>
      <c r="G1233">
        <f>IF(A1233="","",IF(OR(B1233&lt;&gt;B1232,C1233&lt;&gt;C1232,E1233&lt;&gt;E1232),G1232+1,G1232))</f>
        <v/>
      </c>
    </row>
    <row r="1234">
      <c r="A1234" s="20">
        <f>IF(A1233="","",IF(A1233+1&gt;Ввод!$B$4,"",A1233+1))</f>
        <v/>
      </c>
      <c r="B1234">
        <f>IF(A1234="","",IFERROR(INDEX(Ввод!$B$12:$B$71,MATCH(A1234,Ввод!$D$12:$D$71,1)),""))</f>
        <v/>
      </c>
      <c r="C1234">
        <f>IF(A1234="","",DATE(YEAR(A1234),12,31)-DATE(YEAR(A1234),1,1)+1)</f>
        <v/>
      </c>
      <c r="D1234">
        <f>IF(A1234="","",SUMIFS(Акты!$D$5:$D$16,Акты!$E$5:$E$16,"&lt;="&amp;A1234)-SUMIFS(Оплаты!$B$6:$B$505,Оплаты!$A$6:$A$505,"&lt;"&amp;A1234,Оплаты!$D$6:$D$505,"&lt;&gt;"))</f>
        <v/>
      </c>
      <c r="E1234">
        <f>IF(A1234="","",IF(SUMPRODUCT((Ввод!$F$12:$F$31&lt;&gt;"")*(Ввод!$F$12:$F$31&lt;=A1234)*(Ввод!$G$12:$G$31&gt;=A1234))&gt;0,1,0))</f>
        <v/>
      </c>
      <c r="G1234">
        <f>IF(A1234="","",IF(OR(B1234&lt;&gt;B1233,C1234&lt;&gt;C1233,E1234&lt;&gt;E1233),G1233+1,G1233))</f>
        <v/>
      </c>
    </row>
    <row r="1235">
      <c r="A1235" s="20">
        <f>IF(A1234="","",IF(A1234+1&gt;Ввод!$B$4,"",A1234+1))</f>
        <v/>
      </c>
      <c r="B1235">
        <f>IF(A1235="","",IFERROR(INDEX(Ввод!$B$12:$B$71,MATCH(A1235,Ввод!$D$12:$D$71,1)),""))</f>
        <v/>
      </c>
      <c r="C1235">
        <f>IF(A1235="","",DATE(YEAR(A1235),12,31)-DATE(YEAR(A1235),1,1)+1)</f>
        <v/>
      </c>
      <c r="D1235">
        <f>IF(A1235="","",SUMIFS(Акты!$D$5:$D$16,Акты!$E$5:$E$16,"&lt;="&amp;A1235)-SUMIFS(Оплаты!$B$6:$B$505,Оплаты!$A$6:$A$505,"&lt;"&amp;A1235,Оплаты!$D$6:$D$505,"&lt;&gt;"))</f>
        <v/>
      </c>
      <c r="E1235">
        <f>IF(A1235="","",IF(SUMPRODUCT((Ввод!$F$12:$F$31&lt;&gt;"")*(Ввод!$F$12:$F$31&lt;=A1235)*(Ввод!$G$12:$G$31&gt;=A1235))&gt;0,1,0))</f>
        <v/>
      </c>
      <c r="G1235">
        <f>IF(A1235="","",IF(OR(B1235&lt;&gt;B1234,C1235&lt;&gt;C1234,E1235&lt;&gt;E1234),G1234+1,G1234))</f>
        <v/>
      </c>
    </row>
    <row r="1236">
      <c r="A1236" s="20">
        <f>IF(A1235="","",IF(A1235+1&gt;Ввод!$B$4,"",A1235+1))</f>
        <v/>
      </c>
      <c r="B1236">
        <f>IF(A1236="","",IFERROR(INDEX(Ввод!$B$12:$B$71,MATCH(A1236,Ввод!$D$12:$D$71,1)),""))</f>
        <v/>
      </c>
      <c r="C1236">
        <f>IF(A1236="","",DATE(YEAR(A1236),12,31)-DATE(YEAR(A1236),1,1)+1)</f>
        <v/>
      </c>
      <c r="D1236">
        <f>IF(A1236="","",SUMIFS(Акты!$D$5:$D$16,Акты!$E$5:$E$16,"&lt;="&amp;A1236)-SUMIFS(Оплаты!$B$6:$B$505,Оплаты!$A$6:$A$505,"&lt;"&amp;A1236,Оплаты!$D$6:$D$505,"&lt;&gt;"))</f>
        <v/>
      </c>
      <c r="E1236">
        <f>IF(A1236="","",IF(SUMPRODUCT((Ввод!$F$12:$F$31&lt;&gt;"")*(Ввод!$F$12:$F$31&lt;=A1236)*(Ввод!$G$12:$G$31&gt;=A1236))&gt;0,1,0))</f>
        <v/>
      </c>
      <c r="G1236">
        <f>IF(A1236="","",IF(OR(B1236&lt;&gt;B1235,C1236&lt;&gt;C1235,E1236&lt;&gt;E1235),G1235+1,G1235))</f>
        <v/>
      </c>
    </row>
    <row r="1237">
      <c r="A1237" s="20">
        <f>IF(A1236="","",IF(A1236+1&gt;Ввод!$B$4,"",A1236+1))</f>
        <v/>
      </c>
      <c r="B1237">
        <f>IF(A1237="","",IFERROR(INDEX(Ввод!$B$12:$B$71,MATCH(A1237,Ввод!$D$12:$D$71,1)),""))</f>
        <v/>
      </c>
      <c r="C1237">
        <f>IF(A1237="","",DATE(YEAR(A1237),12,31)-DATE(YEAR(A1237),1,1)+1)</f>
        <v/>
      </c>
      <c r="D1237">
        <f>IF(A1237="","",SUMIFS(Акты!$D$5:$D$16,Акты!$E$5:$E$16,"&lt;="&amp;A1237)-SUMIFS(Оплаты!$B$6:$B$505,Оплаты!$A$6:$A$505,"&lt;"&amp;A1237,Оплаты!$D$6:$D$505,"&lt;&gt;"))</f>
        <v/>
      </c>
      <c r="E1237">
        <f>IF(A1237="","",IF(SUMPRODUCT((Ввод!$F$12:$F$31&lt;&gt;"")*(Ввод!$F$12:$F$31&lt;=A1237)*(Ввод!$G$12:$G$31&gt;=A1237))&gt;0,1,0))</f>
        <v/>
      </c>
      <c r="G1237">
        <f>IF(A1237="","",IF(OR(B1237&lt;&gt;B1236,C1237&lt;&gt;C1236,E1237&lt;&gt;E1236),G1236+1,G1236))</f>
        <v/>
      </c>
    </row>
    <row r="1238">
      <c r="A1238" s="20">
        <f>IF(A1237="","",IF(A1237+1&gt;Ввод!$B$4,"",A1237+1))</f>
        <v/>
      </c>
      <c r="B1238">
        <f>IF(A1238="","",IFERROR(INDEX(Ввод!$B$12:$B$71,MATCH(A1238,Ввод!$D$12:$D$71,1)),""))</f>
        <v/>
      </c>
      <c r="C1238">
        <f>IF(A1238="","",DATE(YEAR(A1238),12,31)-DATE(YEAR(A1238),1,1)+1)</f>
        <v/>
      </c>
      <c r="D1238">
        <f>IF(A1238="","",SUMIFS(Акты!$D$5:$D$16,Акты!$E$5:$E$16,"&lt;="&amp;A1238)-SUMIFS(Оплаты!$B$6:$B$505,Оплаты!$A$6:$A$505,"&lt;"&amp;A1238,Оплаты!$D$6:$D$505,"&lt;&gt;"))</f>
        <v/>
      </c>
      <c r="E1238">
        <f>IF(A1238="","",IF(SUMPRODUCT((Ввод!$F$12:$F$31&lt;&gt;"")*(Ввод!$F$12:$F$31&lt;=A1238)*(Ввод!$G$12:$G$31&gt;=A1238))&gt;0,1,0))</f>
        <v/>
      </c>
      <c r="G1238">
        <f>IF(A1238="","",IF(OR(B1238&lt;&gt;B1237,C1238&lt;&gt;C1237,E1238&lt;&gt;E1237),G1237+1,G1237))</f>
        <v/>
      </c>
    </row>
    <row r="1239">
      <c r="A1239" s="20">
        <f>IF(A1238="","",IF(A1238+1&gt;Ввод!$B$4,"",A1238+1))</f>
        <v/>
      </c>
      <c r="B1239">
        <f>IF(A1239="","",IFERROR(INDEX(Ввод!$B$12:$B$71,MATCH(A1239,Ввод!$D$12:$D$71,1)),""))</f>
        <v/>
      </c>
      <c r="C1239">
        <f>IF(A1239="","",DATE(YEAR(A1239),12,31)-DATE(YEAR(A1239),1,1)+1)</f>
        <v/>
      </c>
      <c r="D1239">
        <f>IF(A1239="","",SUMIFS(Акты!$D$5:$D$16,Акты!$E$5:$E$16,"&lt;="&amp;A1239)-SUMIFS(Оплаты!$B$6:$B$505,Оплаты!$A$6:$A$505,"&lt;"&amp;A1239,Оплаты!$D$6:$D$505,"&lt;&gt;"))</f>
        <v/>
      </c>
      <c r="E1239">
        <f>IF(A1239="","",IF(SUMPRODUCT((Ввод!$F$12:$F$31&lt;&gt;"")*(Ввод!$F$12:$F$31&lt;=A1239)*(Ввод!$G$12:$G$31&gt;=A1239))&gt;0,1,0))</f>
        <v/>
      </c>
      <c r="G1239">
        <f>IF(A1239="","",IF(OR(B1239&lt;&gt;B1238,C1239&lt;&gt;C1238,E1239&lt;&gt;E1238),G1238+1,G1238))</f>
        <v/>
      </c>
    </row>
    <row r="1240">
      <c r="A1240" s="20">
        <f>IF(A1239="","",IF(A1239+1&gt;Ввод!$B$4,"",A1239+1))</f>
        <v/>
      </c>
      <c r="B1240">
        <f>IF(A1240="","",IFERROR(INDEX(Ввод!$B$12:$B$71,MATCH(A1240,Ввод!$D$12:$D$71,1)),""))</f>
        <v/>
      </c>
      <c r="C1240">
        <f>IF(A1240="","",DATE(YEAR(A1240),12,31)-DATE(YEAR(A1240),1,1)+1)</f>
        <v/>
      </c>
      <c r="D1240">
        <f>IF(A1240="","",SUMIFS(Акты!$D$5:$D$16,Акты!$E$5:$E$16,"&lt;="&amp;A1240)-SUMIFS(Оплаты!$B$6:$B$505,Оплаты!$A$6:$A$505,"&lt;"&amp;A1240,Оплаты!$D$6:$D$505,"&lt;&gt;"))</f>
        <v/>
      </c>
      <c r="E1240">
        <f>IF(A1240="","",IF(SUMPRODUCT((Ввод!$F$12:$F$31&lt;&gt;"")*(Ввод!$F$12:$F$31&lt;=A1240)*(Ввод!$G$12:$G$31&gt;=A1240))&gt;0,1,0))</f>
        <v/>
      </c>
      <c r="G1240">
        <f>IF(A1240="","",IF(OR(B1240&lt;&gt;B1239,C1240&lt;&gt;C1239,E1240&lt;&gt;E1239),G1239+1,G1239))</f>
        <v/>
      </c>
    </row>
    <row r="1241">
      <c r="A1241" s="20">
        <f>IF(A1240="","",IF(A1240+1&gt;Ввод!$B$4,"",A1240+1))</f>
        <v/>
      </c>
      <c r="B1241">
        <f>IF(A1241="","",IFERROR(INDEX(Ввод!$B$12:$B$71,MATCH(A1241,Ввод!$D$12:$D$71,1)),""))</f>
        <v/>
      </c>
      <c r="C1241">
        <f>IF(A1241="","",DATE(YEAR(A1241),12,31)-DATE(YEAR(A1241),1,1)+1)</f>
        <v/>
      </c>
      <c r="D1241">
        <f>IF(A1241="","",SUMIFS(Акты!$D$5:$D$16,Акты!$E$5:$E$16,"&lt;="&amp;A1241)-SUMIFS(Оплаты!$B$6:$B$505,Оплаты!$A$6:$A$505,"&lt;"&amp;A1241,Оплаты!$D$6:$D$505,"&lt;&gt;"))</f>
        <v/>
      </c>
      <c r="E1241">
        <f>IF(A1241="","",IF(SUMPRODUCT((Ввод!$F$12:$F$31&lt;&gt;"")*(Ввод!$F$12:$F$31&lt;=A1241)*(Ввод!$G$12:$G$31&gt;=A1241))&gt;0,1,0))</f>
        <v/>
      </c>
      <c r="G1241">
        <f>IF(A1241="","",IF(OR(B1241&lt;&gt;B1240,C1241&lt;&gt;C1240,E1241&lt;&gt;E1240),G1240+1,G1240))</f>
        <v/>
      </c>
    </row>
    <row r="1242">
      <c r="A1242" s="20">
        <f>IF(A1241="","",IF(A1241+1&gt;Ввод!$B$4,"",A1241+1))</f>
        <v/>
      </c>
      <c r="B1242">
        <f>IF(A1242="","",IFERROR(INDEX(Ввод!$B$12:$B$71,MATCH(A1242,Ввод!$D$12:$D$71,1)),""))</f>
        <v/>
      </c>
      <c r="C1242">
        <f>IF(A1242="","",DATE(YEAR(A1242),12,31)-DATE(YEAR(A1242),1,1)+1)</f>
        <v/>
      </c>
      <c r="D1242">
        <f>IF(A1242="","",SUMIFS(Акты!$D$5:$D$16,Акты!$E$5:$E$16,"&lt;="&amp;A1242)-SUMIFS(Оплаты!$B$6:$B$505,Оплаты!$A$6:$A$505,"&lt;"&amp;A1242,Оплаты!$D$6:$D$505,"&lt;&gt;"))</f>
        <v/>
      </c>
      <c r="E1242">
        <f>IF(A1242="","",IF(SUMPRODUCT((Ввод!$F$12:$F$31&lt;&gt;"")*(Ввод!$F$12:$F$31&lt;=A1242)*(Ввод!$G$12:$G$31&gt;=A1242))&gt;0,1,0))</f>
        <v/>
      </c>
      <c r="G1242">
        <f>IF(A1242="","",IF(OR(B1242&lt;&gt;B1241,C1242&lt;&gt;C1241,E1242&lt;&gt;E1241),G1241+1,G1241))</f>
        <v/>
      </c>
    </row>
    <row r="1243">
      <c r="A1243" s="20">
        <f>IF(A1242="","",IF(A1242+1&gt;Ввод!$B$4,"",A1242+1))</f>
        <v/>
      </c>
      <c r="B1243">
        <f>IF(A1243="","",IFERROR(INDEX(Ввод!$B$12:$B$71,MATCH(A1243,Ввод!$D$12:$D$71,1)),""))</f>
        <v/>
      </c>
      <c r="C1243">
        <f>IF(A1243="","",DATE(YEAR(A1243),12,31)-DATE(YEAR(A1243),1,1)+1)</f>
        <v/>
      </c>
      <c r="D1243">
        <f>IF(A1243="","",SUMIFS(Акты!$D$5:$D$16,Акты!$E$5:$E$16,"&lt;="&amp;A1243)-SUMIFS(Оплаты!$B$6:$B$505,Оплаты!$A$6:$A$505,"&lt;"&amp;A1243,Оплаты!$D$6:$D$505,"&lt;&gt;"))</f>
        <v/>
      </c>
      <c r="E1243">
        <f>IF(A1243="","",IF(SUMPRODUCT((Ввод!$F$12:$F$31&lt;&gt;"")*(Ввод!$F$12:$F$31&lt;=A1243)*(Ввод!$G$12:$G$31&gt;=A1243))&gt;0,1,0))</f>
        <v/>
      </c>
      <c r="G1243">
        <f>IF(A1243="","",IF(OR(B1243&lt;&gt;B1242,C1243&lt;&gt;C1242,E1243&lt;&gt;E1242),G1242+1,G1242))</f>
        <v/>
      </c>
    </row>
    <row r="1244">
      <c r="A1244" s="20">
        <f>IF(A1243="","",IF(A1243+1&gt;Ввод!$B$4,"",A1243+1))</f>
        <v/>
      </c>
      <c r="B1244">
        <f>IF(A1244="","",IFERROR(INDEX(Ввод!$B$12:$B$71,MATCH(A1244,Ввод!$D$12:$D$71,1)),""))</f>
        <v/>
      </c>
      <c r="C1244">
        <f>IF(A1244="","",DATE(YEAR(A1244),12,31)-DATE(YEAR(A1244),1,1)+1)</f>
        <v/>
      </c>
      <c r="D1244">
        <f>IF(A1244="","",SUMIFS(Акты!$D$5:$D$16,Акты!$E$5:$E$16,"&lt;="&amp;A1244)-SUMIFS(Оплаты!$B$6:$B$505,Оплаты!$A$6:$A$505,"&lt;"&amp;A1244,Оплаты!$D$6:$D$505,"&lt;&gt;"))</f>
        <v/>
      </c>
      <c r="E1244">
        <f>IF(A1244="","",IF(SUMPRODUCT((Ввод!$F$12:$F$31&lt;&gt;"")*(Ввод!$F$12:$F$31&lt;=A1244)*(Ввод!$G$12:$G$31&gt;=A1244))&gt;0,1,0))</f>
        <v/>
      </c>
      <c r="G1244">
        <f>IF(A1244="","",IF(OR(B1244&lt;&gt;B1243,C1244&lt;&gt;C1243,E1244&lt;&gt;E1243),G1243+1,G1243))</f>
        <v/>
      </c>
    </row>
    <row r="1245">
      <c r="A1245" s="20">
        <f>IF(A1244="","",IF(A1244+1&gt;Ввод!$B$4,"",A1244+1))</f>
        <v/>
      </c>
      <c r="B1245">
        <f>IF(A1245="","",IFERROR(INDEX(Ввод!$B$12:$B$71,MATCH(A1245,Ввод!$D$12:$D$71,1)),""))</f>
        <v/>
      </c>
      <c r="C1245">
        <f>IF(A1245="","",DATE(YEAR(A1245),12,31)-DATE(YEAR(A1245),1,1)+1)</f>
        <v/>
      </c>
      <c r="D1245">
        <f>IF(A1245="","",SUMIFS(Акты!$D$5:$D$16,Акты!$E$5:$E$16,"&lt;="&amp;A1245)-SUMIFS(Оплаты!$B$6:$B$505,Оплаты!$A$6:$A$505,"&lt;"&amp;A1245,Оплаты!$D$6:$D$505,"&lt;&gt;"))</f>
        <v/>
      </c>
      <c r="E1245">
        <f>IF(A1245="","",IF(SUMPRODUCT((Ввод!$F$12:$F$31&lt;&gt;"")*(Ввод!$F$12:$F$31&lt;=A1245)*(Ввод!$G$12:$G$31&gt;=A1245))&gt;0,1,0))</f>
        <v/>
      </c>
      <c r="G1245">
        <f>IF(A1245="","",IF(OR(B1245&lt;&gt;B1244,C1245&lt;&gt;C1244,E1245&lt;&gt;E1244),G1244+1,G1244))</f>
        <v/>
      </c>
    </row>
    <row r="1246">
      <c r="A1246" s="20">
        <f>IF(A1245="","",IF(A1245+1&gt;Ввод!$B$4,"",A1245+1))</f>
        <v/>
      </c>
      <c r="B1246">
        <f>IF(A1246="","",IFERROR(INDEX(Ввод!$B$12:$B$71,MATCH(A1246,Ввод!$D$12:$D$71,1)),""))</f>
        <v/>
      </c>
      <c r="C1246">
        <f>IF(A1246="","",DATE(YEAR(A1246),12,31)-DATE(YEAR(A1246),1,1)+1)</f>
        <v/>
      </c>
      <c r="D1246">
        <f>IF(A1246="","",SUMIFS(Акты!$D$5:$D$16,Акты!$E$5:$E$16,"&lt;="&amp;A1246)-SUMIFS(Оплаты!$B$6:$B$505,Оплаты!$A$6:$A$505,"&lt;"&amp;A1246,Оплаты!$D$6:$D$505,"&lt;&gt;"))</f>
        <v/>
      </c>
      <c r="E1246">
        <f>IF(A1246="","",IF(SUMPRODUCT((Ввод!$F$12:$F$31&lt;&gt;"")*(Ввод!$F$12:$F$31&lt;=A1246)*(Ввод!$G$12:$G$31&gt;=A1246))&gt;0,1,0))</f>
        <v/>
      </c>
      <c r="G1246">
        <f>IF(A1246="","",IF(OR(B1246&lt;&gt;B1245,C1246&lt;&gt;C1245,E1246&lt;&gt;E1245),G1245+1,G1245))</f>
        <v/>
      </c>
    </row>
    <row r="1247">
      <c r="A1247" s="20">
        <f>IF(A1246="","",IF(A1246+1&gt;Ввод!$B$4,"",A1246+1))</f>
        <v/>
      </c>
      <c r="B1247">
        <f>IF(A1247="","",IFERROR(INDEX(Ввод!$B$12:$B$71,MATCH(A1247,Ввод!$D$12:$D$71,1)),""))</f>
        <v/>
      </c>
      <c r="C1247">
        <f>IF(A1247="","",DATE(YEAR(A1247),12,31)-DATE(YEAR(A1247),1,1)+1)</f>
        <v/>
      </c>
      <c r="D1247">
        <f>IF(A1247="","",SUMIFS(Акты!$D$5:$D$16,Акты!$E$5:$E$16,"&lt;="&amp;A1247)-SUMIFS(Оплаты!$B$6:$B$505,Оплаты!$A$6:$A$505,"&lt;"&amp;A1247,Оплаты!$D$6:$D$505,"&lt;&gt;"))</f>
        <v/>
      </c>
      <c r="E1247">
        <f>IF(A1247="","",IF(SUMPRODUCT((Ввод!$F$12:$F$31&lt;&gt;"")*(Ввод!$F$12:$F$31&lt;=A1247)*(Ввод!$G$12:$G$31&gt;=A1247))&gt;0,1,0))</f>
        <v/>
      </c>
      <c r="G1247">
        <f>IF(A1247="","",IF(OR(B1247&lt;&gt;B1246,C1247&lt;&gt;C1246,E1247&lt;&gt;E1246),G1246+1,G1246))</f>
        <v/>
      </c>
    </row>
    <row r="1248">
      <c r="A1248" s="20">
        <f>IF(A1247="","",IF(A1247+1&gt;Ввод!$B$4,"",A1247+1))</f>
        <v/>
      </c>
      <c r="B1248">
        <f>IF(A1248="","",IFERROR(INDEX(Ввод!$B$12:$B$71,MATCH(A1248,Ввод!$D$12:$D$71,1)),""))</f>
        <v/>
      </c>
      <c r="C1248">
        <f>IF(A1248="","",DATE(YEAR(A1248),12,31)-DATE(YEAR(A1248),1,1)+1)</f>
        <v/>
      </c>
      <c r="D1248">
        <f>IF(A1248="","",SUMIFS(Акты!$D$5:$D$16,Акты!$E$5:$E$16,"&lt;="&amp;A1248)-SUMIFS(Оплаты!$B$6:$B$505,Оплаты!$A$6:$A$505,"&lt;"&amp;A1248,Оплаты!$D$6:$D$505,"&lt;&gt;"))</f>
        <v/>
      </c>
      <c r="E1248">
        <f>IF(A1248="","",IF(SUMPRODUCT((Ввод!$F$12:$F$31&lt;&gt;"")*(Ввод!$F$12:$F$31&lt;=A1248)*(Ввод!$G$12:$G$31&gt;=A1248))&gt;0,1,0))</f>
        <v/>
      </c>
      <c r="G1248">
        <f>IF(A1248="","",IF(OR(B1248&lt;&gt;B1247,C1248&lt;&gt;C1247,E1248&lt;&gt;E1247),G1247+1,G1247))</f>
        <v/>
      </c>
    </row>
    <row r="1249">
      <c r="A1249" s="20">
        <f>IF(A1248="","",IF(A1248+1&gt;Ввод!$B$4,"",A1248+1))</f>
        <v/>
      </c>
      <c r="B1249">
        <f>IF(A1249="","",IFERROR(INDEX(Ввод!$B$12:$B$71,MATCH(A1249,Ввод!$D$12:$D$71,1)),""))</f>
        <v/>
      </c>
      <c r="C1249">
        <f>IF(A1249="","",DATE(YEAR(A1249),12,31)-DATE(YEAR(A1249),1,1)+1)</f>
        <v/>
      </c>
      <c r="D1249">
        <f>IF(A1249="","",SUMIFS(Акты!$D$5:$D$16,Акты!$E$5:$E$16,"&lt;="&amp;A1249)-SUMIFS(Оплаты!$B$6:$B$505,Оплаты!$A$6:$A$505,"&lt;"&amp;A1249,Оплаты!$D$6:$D$505,"&lt;&gt;"))</f>
        <v/>
      </c>
      <c r="E1249">
        <f>IF(A1249="","",IF(SUMPRODUCT((Ввод!$F$12:$F$31&lt;&gt;"")*(Ввод!$F$12:$F$31&lt;=A1249)*(Ввод!$G$12:$G$31&gt;=A1249))&gt;0,1,0))</f>
        <v/>
      </c>
      <c r="G1249">
        <f>IF(A1249="","",IF(OR(B1249&lt;&gt;B1248,C1249&lt;&gt;C1248,E1249&lt;&gt;E1248),G1248+1,G1248))</f>
        <v/>
      </c>
    </row>
    <row r="1250">
      <c r="A1250" s="20">
        <f>IF(A1249="","",IF(A1249+1&gt;Ввод!$B$4,"",A1249+1))</f>
        <v/>
      </c>
      <c r="B1250">
        <f>IF(A1250="","",IFERROR(INDEX(Ввод!$B$12:$B$71,MATCH(A1250,Ввод!$D$12:$D$71,1)),""))</f>
        <v/>
      </c>
      <c r="C1250">
        <f>IF(A1250="","",DATE(YEAR(A1250),12,31)-DATE(YEAR(A1250),1,1)+1)</f>
        <v/>
      </c>
      <c r="D1250">
        <f>IF(A1250="","",SUMIFS(Акты!$D$5:$D$16,Акты!$E$5:$E$16,"&lt;="&amp;A1250)-SUMIFS(Оплаты!$B$6:$B$505,Оплаты!$A$6:$A$505,"&lt;"&amp;A1250,Оплаты!$D$6:$D$505,"&lt;&gt;"))</f>
        <v/>
      </c>
      <c r="E1250">
        <f>IF(A1250="","",IF(SUMPRODUCT((Ввод!$F$12:$F$31&lt;&gt;"")*(Ввод!$F$12:$F$31&lt;=A1250)*(Ввод!$G$12:$G$31&gt;=A1250))&gt;0,1,0))</f>
        <v/>
      </c>
      <c r="G1250">
        <f>IF(A1250="","",IF(OR(B1250&lt;&gt;B1249,C1250&lt;&gt;C1249,E1250&lt;&gt;E1249),G1249+1,G1249))</f>
        <v/>
      </c>
    </row>
    <row r="1251">
      <c r="A1251" s="20">
        <f>IF(A1250="","",IF(A1250+1&gt;Ввод!$B$4,"",A1250+1))</f>
        <v/>
      </c>
      <c r="B1251">
        <f>IF(A1251="","",IFERROR(INDEX(Ввод!$B$12:$B$71,MATCH(A1251,Ввод!$D$12:$D$71,1)),""))</f>
        <v/>
      </c>
      <c r="C1251">
        <f>IF(A1251="","",DATE(YEAR(A1251),12,31)-DATE(YEAR(A1251),1,1)+1)</f>
        <v/>
      </c>
      <c r="D1251">
        <f>IF(A1251="","",SUMIFS(Акты!$D$5:$D$16,Акты!$E$5:$E$16,"&lt;="&amp;A1251)-SUMIFS(Оплаты!$B$6:$B$505,Оплаты!$A$6:$A$505,"&lt;"&amp;A1251,Оплаты!$D$6:$D$505,"&lt;&gt;"))</f>
        <v/>
      </c>
      <c r="E1251">
        <f>IF(A1251="","",IF(SUMPRODUCT((Ввод!$F$12:$F$31&lt;&gt;"")*(Ввод!$F$12:$F$31&lt;=A1251)*(Ввод!$G$12:$G$31&gt;=A1251))&gt;0,1,0))</f>
        <v/>
      </c>
      <c r="G1251">
        <f>IF(A1251="","",IF(OR(B1251&lt;&gt;B1250,C1251&lt;&gt;C1250,E1251&lt;&gt;E1250),G1250+1,G1250))</f>
        <v/>
      </c>
    </row>
    <row r="1252">
      <c r="A1252" s="20">
        <f>IF(A1251="","",IF(A1251+1&gt;Ввод!$B$4,"",A1251+1))</f>
        <v/>
      </c>
      <c r="B1252">
        <f>IF(A1252="","",IFERROR(INDEX(Ввод!$B$12:$B$71,MATCH(A1252,Ввод!$D$12:$D$71,1)),""))</f>
        <v/>
      </c>
      <c r="C1252">
        <f>IF(A1252="","",DATE(YEAR(A1252),12,31)-DATE(YEAR(A1252),1,1)+1)</f>
        <v/>
      </c>
      <c r="D1252">
        <f>IF(A1252="","",SUMIFS(Акты!$D$5:$D$16,Акты!$E$5:$E$16,"&lt;="&amp;A1252)-SUMIFS(Оплаты!$B$6:$B$505,Оплаты!$A$6:$A$505,"&lt;"&amp;A1252,Оплаты!$D$6:$D$505,"&lt;&gt;"))</f>
        <v/>
      </c>
      <c r="E1252">
        <f>IF(A1252="","",IF(SUMPRODUCT((Ввод!$F$12:$F$31&lt;&gt;"")*(Ввод!$F$12:$F$31&lt;=A1252)*(Ввод!$G$12:$G$31&gt;=A1252))&gt;0,1,0))</f>
        <v/>
      </c>
      <c r="G1252">
        <f>IF(A1252="","",IF(OR(B1252&lt;&gt;B1251,C1252&lt;&gt;C1251,E1252&lt;&gt;E1251),G1251+1,G1251))</f>
        <v/>
      </c>
    </row>
    <row r="1253">
      <c r="A1253" s="20">
        <f>IF(A1252="","",IF(A1252+1&gt;Ввод!$B$4,"",A1252+1))</f>
        <v/>
      </c>
      <c r="B1253">
        <f>IF(A1253="","",IFERROR(INDEX(Ввод!$B$12:$B$71,MATCH(A1253,Ввод!$D$12:$D$71,1)),""))</f>
        <v/>
      </c>
      <c r="C1253">
        <f>IF(A1253="","",DATE(YEAR(A1253),12,31)-DATE(YEAR(A1253),1,1)+1)</f>
        <v/>
      </c>
      <c r="D1253">
        <f>IF(A1253="","",SUMIFS(Акты!$D$5:$D$16,Акты!$E$5:$E$16,"&lt;="&amp;A1253)-SUMIFS(Оплаты!$B$6:$B$505,Оплаты!$A$6:$A$505,"&lt;"&amp;A1253,Оплаты!$D$6:$D$505,"&lt;&gt;"))</f>
        <v/>
      </c>
      <c r="E1253">
        <f>IF(A1253="","",IF(SUMPRODUCT((Ввод!$F$12:$F$31&lt;&gt;"")*(Ввод!$F$12:$F$31&lt;=A1253)*(Ввод!$G$12:$G$31&gt;=A1253))&gt;0,1,0))</f>
        <v/>
      </c>
      <c r="G1253">
        <f>IF(A1253="","",IF(OR(B1253&lt;&gt;B1252,C1253&lt;&gt;C1252,E1253&lt;&gt;E1252),G1252+1,G1252))</f>
        <v/>
      </c>
    </row>
    <row r="1254">
      <c r="A1254" s="20">
        <f>IF(A1253="","",IF(A1253+1&gt;Ввод!$B$4,"",A1253+1))</f>
        <v/>
      </c>
      <c r="B1254">
        <f>IF(A1254="","",IFERROR(INDEX(Ввод!$B$12:$B$71,MATCH(A1254,Ввод!$D$12:$D$71,1)),""))</f>
        <v/>
      </c>
      <c r="C1254">
        <f>IF(A1254="","",DATE(YEAR(A1254),12,31)-DATE(YEAR(A1254),1,1)+1)</f>
        <v/>
      </c>
      <c r="D1254">
        <f>IF(A1254="","",SUMIFS(Акты!$D$5:$D$16,Акты!$E$5:$E$16,"&lt;="&amp;A1254)-SUMIFS(Оплаты!$B$6:$B$505,Оплаты!$A$6:$A$505,"&lt;"&amp;A1254,Оплаты!$D$6:$D$505,"&lt;&gt;"))</f>
        <v/>
      </c>
      <c r="E1254">
        <f>IF(A1254="","",IF(SUMPRODUCT((Ввод!$F$12:$F$31&lt;&gt;"")*(Ввод!$F$12:$F$31&lt;=A1254)*(Ввод!$G$12:$G$31&gt;=A1254))&gt;0,1,0))</f>
        <v/>
      </c>
      <c r="G1254">
        <f>IF(A1254="","",IF(OR(B1254&lt;&gt;B1253,C1254&lt;&gt;C1253,E1254&lt;&gt;E1253),G1253+1,G1253))</f>
        <v/>
      </c>
    </row>
    <row r="1255">
      <c r="A1255" s="20">
        <f>IF(A1254="","",IF(A1254+1&gt;Ввод!$B$4,"",A1254+1))</f>
        <v/>
      </c>
      <c r="B1255">
        <f>IF(A1255="","",IFERROR(INDEX(Ввод!$B$12:$B$71,MATCH(A1255,Ввод!$D$12:$D$71,1)),""))</f>
        <v/>
      </c>
      <c r="C1255">
        <f>IF(A1255="","",DATE(YEAR(A1255),12,31)-DATE(YEAR(A1255),1,1)+1)</f>
        <v/>
      </c>
      <c r="D1255">
        <f>IF(A1255="","",SUMIFS(Акты!$D$5:$D$16,Акты!$E$5:$E$16,"&lt;="&amp;A1255)-SUMIFS(Оплаты!$B$6:$B$505,Оплаты!$A$6:$A$505,"&lt;"&amp;A1255,Оплаты!$D$6:$D$505,"&lt;&gt;"))</f>
        <v/>
      </c>
      <c r="E1255">
        <f>IF(A1255="","",IF(SUMPRODUCT((Ввод!$F$12:$F$31&lt;&gt;"")*(Ввод!$F$12:$F$31&lt;=A1255)*(Ввод!$G$12:$G$31&gt;=A1255))&gt;0,1,0))</f>
        <v/>
      </c>
      <c r="G1255">
        <f>IF(A1255="","",IF(OR(B1255&lt;&gt;B1254,C1255&lt;&gt;C1254,E1255&lt;&gt;E1254),G1254+1,G1254))</f>
        <v/>
      </c>
    </row>
    <row r="1256">
      <c r="A1256" s="20">
        <f>IF(A1255="","",IF(A1255+1&gt;Ввод!$B$4,"",A1255+1))</f>
        <v/>
      </c>
      <c r="B1256">
        <f>IF(A1256="","",IFERROR(INDEX(Ввод!$B$12:$B$71,MATCH(A1256,Ввод!$D$12:$D$71,1)),""))</f>
        <v/>
      </c>
      <c r="C1256">
        <f>IF(A1256="","",DATE(YEAR(A1256),12,31)-DATE(YEAR(A1256),1,1)+1)</f>
        <v/>
      </c>
      <c r="D1256">
        <f>IF(A1256="","",SUMIFS(Акты!$D$5:$D$16,Акты!$E$5:$E$16,"&lt;="&amp;A1256)-SUMIFS(Оплаты!$B$6:$B$505,Оплаты!$A$6:$A$505,"&lt;"&amp;A1256,Оплаты!$D$6:$D$505,"&lt;&gt;"))</f>
        <v/>
      </c>
      <c r="E1256">
        <f>IF(A1256="","",IF(SUMPRODUCT((Ввод!$F$12:$F$31&lt;&gt;"")*(Ввод!$F$12:$F$31&lt;=A1256)*(Ввод!$G$12:$G$31&gt;=A1256))&gt;0,1,0))</f>
        <v/>
      </c>
      <c r="G1256">
        <f>IF(A1256="","",IF(OR(B1256&lt;&gt;B1255,C1256&lt;&gt;C1255,E1256&lt;&gt;E1255),G1255+1,G1255))</f>
        <v/>
      </c>
    </row>
    <row r="1257">
      <c r="A1257" s="20">
        <f>IF(A1256="","",IF(A1256+1&gt;Ввод!$B$4,"",A1256+1))</f>
        <v/>
      </c>
      <c r="B1257">
        <f>IF(A1257="","",IFERROR(INDEX(Ввод!$B$12:$B$71,MATCH(A1257,Ввод!$D$12:$D$71,1)),""))</f>
        <v/>
      </c>
      <c r="C1257">
        <f>IF(A1257="","",DATE(YEAR(A1257),12,31)-DATE(YEAR(A1257),1,1)+1)</f>
        <v/>
      </c>
      <c r="D1257">
        <f>IF(A1257="","",SUMIFS(Акты!$D$5:$D$16,Акты!$E$5:$E$16,"&lt;="&amp;A1257)-SUMIFS(Оплаты!$B$6:$B$505,Оплаты!$A$6:$A$505,"&lt;"&amp;A1257,Оплаты!$D$6:$D$505,"&lt;&gt;"))</f>
        <v/>
      </c>
      <c r="E1257">
        <f>IF(A1257="","",IF(SUMPRODUCT((Ввод!$F$12:$F$31&lt;&gt;"")*(Ввод!$F$12:$F$31&lt;=A1257)*(Ввод!$G$12:$G$31&gt;=A1257))&gt;0,1,0))</f>
        <v/>
      </c>
      <c r="G1257">
        <f>IF(A1257="","",IF(OR(B1257&lt;&gt;B1256,C1257&lt;&gt;C1256,E1257&lt;&gt;E1256),G1256+1,G1256))</f>
        <v/>
      </c>
    </row>
    <row r="1258">
      <c r="A1258" s="20">
        <f>IF(A1257="","",IF(A1257+1&gt;Ввод!$B$4,"",A1257+1))</f>
        <v/>
      </c>
      <c r="B1258">
        <f>IF(A1258="","",IFERROR(INDEX(Ввод!$B$12:$B$71,MATCH(A1258,Ввод!$D$12:$D$71,1)),""))</f>
        <v/>
      </c>
      <c r="C1258">
        <f>IF(A1258="","",DATE(YEAR(A1258),12,31)-DATE(YEAR(A1258),1,1)+1)</f>
        <v/>
      </c>
      <c r="D1258">
        <f>IF(A1258="","",SUMIFS(Акты!$D$5:$D$16,Акты!$E$5:$E$16,"&lt;="&amp;A1258)-SUMIFS(Оплаты!$B$6:$B$505,Оплаты!$A$6:$A$505,"&lt;"&amp;A1258,Оплаты!$D$6:$D$505,"&lt;&gt;"))</f>
        <v/>
      </c>
      <c r="E1258">
        <f>IF(A1258="","",IF(SUMPRODUCT((Ввод!$F$12:$F$31&lt;&gt;"")*(Ввод!$F$12:$F$31&lt;=A1258)*(Ввод!$G$12:$G$31&gt;=A1258))&gt;0,1,0))</f>
        <v/>
      </c>
      <c r="G1258">
        <f>IF(A1258="","",IF(OR(B1258&lt;&gt;B1257,C1258&lt;&gt;C1257,E1258&lt;&gt;E1257),G1257+1,G1257))</f>
        <v/>
      </c>
    </row>
    <row r="1259">
      <c r="A1259" s="20">
        <f>IF(A1258="","",IF(A1258+1&gt;Ввод!$B$4,"",A1258+1))</f>
        <v/>
      </c>
      <c r="B1259">
        <f>IF(A1259="","",IFERROR(INDEX(Ввод!$B$12:$B$71,MATCH(A1259,Ввод!$D$12:$D$71,1)),""))</f>
        <v/>
      </c>
      <c r="C1259">
        <f>IF(A1259="","",DATE(YEAR(A1259),12,31)-DATE(YEAR(A1259),1,1)+1)</f>
        <v/>
      </c>
      <c r="D1259">
        <f>IF(A1259="","",SUMIFS(Акты!$D$5:$D$16,Акты!$E$5:$E$16,"&lt;="&amp;A1259)-SUMIFS(Оплаты!$B$6:$B$505,Оплаты!$A$6:$A$505,"&lt;"&amp;A1259,Оплаты!$D$6:$D$505,"&lt;&gt;"))</f>
        <v/>
      </c>
      <c r="E1259">
        <f>IF(A1259="","",IF(SUMPRODUCT((Ввод!$F$12:$F$31&lt;&gt;"")*(Ввод!$F$12:$F$31&lt;=A1259)*(Ввод!$G$12:$G$31&gt;=A1259))&gt;0,1,0))</f>
        <v/>
      </c>
      <c r="G1259">
        <f>IF(A1259="","",IF(OR(B1259&lt;&gt;B1258,C1259&lt;&gt;C1258,E1259&lt;&gt;E1258),G1258+1,G1258))</f>
        <v/>
      </c>
    </row>
    <row r="1260">
      <c r="A1260" s="20">
        <f>IF(A1259="","",IF(A1259+1&gt;Ввод!$B$4,"",A1259+1))</f>
        <v/>
      </c>
      <c r="B1260">
        <f>IF(A1260="","",IFERROR(INDEX(Ввод!$B$12:$B$71,MATCH(A1260,Ввод!$D$12:$D$71,1)),""))</f>
        <v/>
      </c>
      <c r="C1260">
        <f>IF(A1260="","",DATE(YEAR(A1260),12,31)-DATE(YEAR(A1260),1,1)+1)</f>
        <v/>
      </c>
      <c r="D1260">
        <f>IF(A1260="","",SUMIFS(Акты!$D$5:$D$16,Акты!$E$5:$E$16,"&lt;="&amp;A1260)-SUMIFS(Оплаты!$B$6:$B$505,Оплаты!$A$6:$A$505,"&lt;"&amp;A1260,Оплаты!$D$6:$D$505,"&lt;&gt;"))</f>
        <v/>
      </c>
      <c r="E1260">
        <f>IF(A1260="","",IF(SUMPRODUCT((Ввод!$F$12:$F$31&lt;&gt;"")*(Ввод!$F$12:$F$31&lt;=A1260)*(Ввод!$G$12:$G$31&gt;=A1260))&gt;0,1,0))</f>
        <v/>
      </c>
      <c r="G1260">
        <f>IF(A1260="","",IF(OR(B1260&lt;&gt;B1259,C1260&lt;&gt;C1259,E1260&lt;&gt;E1259),G1259+1,G1259))</f>
        <v/>
      </c>
    </row>
    <row r="1261">
      <c r="A1261" s="20">
        <f>IF(A1260="","",IF(A1260+1&gt;Ввод!$B$4,"",A1260+1))</f>
        <v/>
      </c>
      <c r="B1261">
        <f>IF(A1261="","",IFERROR(INDEX(Ввод!$B$12:$B$71,MATCH(A1261,Ввод!$D$12:$D$71,1)),""))</f>
        <v/>
      </c>
      <c r="C1261">
        <f>IF(A1261="","",DATE(YEAR(A1261),12,31)-DATE(YEAR(A1261),1,1)+1)</f>
        <v/>
      </c>
      <c r="D1261">
        <f>IF(A1261="","",SUMIFS(Акты!$D$5:$D$16,Акты!$E$5:$E$16,"&lt;="&amp;A1261)-SUMIFS(Оплаты!$B$6:$B$505,Оплаты!$A$6:$A$505,"&lt;"&amp;A1261,Оплаты!$D$6:$D$505,"&lt;&gt;"))</f>
        <v/>
      </c>
      <c r="E1261">
        <f>IF(A1261="","",IF(SUMPRODUCT((Ввод!$F$12:$F$31&lt;&gt;"")*(Ввод!$F$12:$F$31&lt;=A1261)*(Ввод!$G$12:$G$31&gt;=A1261))&gt;0,1,0))</f>
        <v/>
      </c>
      <c r="G1261">
        <f>IF(A1261="","",IF(OR(B1261&lt;&gt;B1260,C1261&lt;&gt;C1260,E1261&lt;&gt;E1260),G1260+1,G1260))</f>
        <v/>
      </c>
    </row>
    <row r="1262">
      <c r="A1262" s="20">
        <f>IF(A1261="","",IF(A1261+1&gt;Ввод!$B$4,"",A1261+1))</f>
        <v/>
      </c>
      <c r="B1262">
        <f>IF(A1262="","",IFERROR(INDEX(Ввод!$B$12:$B$71,MATCH(A1262,Ввод!$D$12:$D$71,1)),""))</f>
        <v/>
      </c>
      <c r="C1262">
        <f>IF(A1262="","",DATE(YEAR(A1262),12,31)-DATE(YEAR(A1262),1,1)+1)</f>
        <v/>
      </c>
      <c r="D1262">
        <f>IF(A1262="","",SUMIFS(Акты!$D$5:$D$16,Акты!$E$5:$E$16,"&lt;="&amp;A1262)-SUMIFS(Оплаты!$B$6:$B$505,Оплаты!$A$6:$A$505,"&lt;"&amp;A1262,Оплаты!$D$6:$D$505,"&lt;&gt;"))</f>
        <v/>
      </c>
      <c r="E1262">
        <f>IF(A1262="","",IF(SUMPRODUCT((Ввод!$F$12:$F$31&lt;&gt;"")*(Ввод!$F$12:$F$31&lt;=A1262)*(Ввод!$G$12:$G$31&gt;=A1262))&gt;0,1,0))</f>
        <v/>
      </c>
      <c r="G1262">
        <f>IF(A1262="","",IF(OR(B1262&lt;&gt;B1261,C1262&lt;&gt;C1261,E1262&lt;&gt;E1261),G1261+1,G1261))</f>
        <v/>
      </c>
    </row>
    <row r="1263">
      <c r="A1263" s="20">
        <f>IF(A1262="","",IF(A1262+1&gt;Ввод!$B$4,"",A1262+1))</f>
        <v/>
      </c>
      <c r="B1263">
        <f>IF(A1263="","",IFERROR(INDEX(Ввод!$B$12:$B$71,MATCH(A1263,Ввод!$D$12:$D$71,1)),""))</f>
        <v/>
      </c>
      <c r="C1263">
        <f>IF(A1263="","",DATE(YEAR(A1263),12,31)-DATE(YEAR(A1263),1,1)+1)</f>
        <v/>
      </c>
      <c r="D1263">
        <f>IF(A1263="","",SUMIFS(Акты!$D$5:$D$16,Акты!$E$5:$E$16,"&lt;="&amp;A1263)-SUMIFS(Оплаты!$B$6:$B$505,Оплаты!$A$6:$A$505,"&lt;"&amp;A1263,Оплаты!$D$6:$D$505,"&lt;&gt;"))</f>
        <v/>
      </c>
      <c r="E1263">
        <f>IF(A1263="","",IF(SUMPRODUCT((Ввод!$F$12:$F$31&lt;&gt;"")*(Ввод!$F$12:$F$31&lt;=A1263)*(Ввод!$G$12:$G$31&gt;=A1263))&gt;0,1,0))</f>
        <v/>
      </c>
      <c r="G1263">
        <f>IF(A1263="","",IF(OR(B1263&lt;&gt;B1262,C1263&lt;&gt;C1262,E1263&lt;&gt;E1262),G1262+1,G1262))</f>
        <v/>
      </c>
    </row>
    <row r="1264">
      <c r="A1264" s="20">
        <f>IF(A1263="","",IF(A1263+1&gt;Ввод!$B$4,"",A1263+1))</f>
        <v/>
      </c>
      <c r="B1264">
        <f>IF(A1264="","",IFERROR(INDEX(Ввод!$B$12:$B$71,MATCH(A1264,Ввод!$D$12:$D$71,1)),""))</f>
        <v/>
      </c>
      <c r="C1264">
        <f>IF(A1264="","",DATE(YEAR(A1264),12,31)-DATE(YEAR(A1264),1,1)+1)</f>
        <v/>
      </c>
      <c r="D1264">
        <f>IF(A1264="","",SUMIFS(Акты!$D$5:$D$16,Акты!$E$5:$E$16,"&lt;="&amp;A1264)-SUMIFS(Оплаты!$B$6:$B$505,Оплаты!$A$6:$A$505,"&lt;"&amp;A1264,Оплаты!$D$6:$D$505,"&lt;&gt;"))</f>
        <v/>
      </c>
      <c r="E1264">
        <f>IF(A1264="","",IF(SUMPRODUCT((Ввод!$F$12:$F$31&lt;&gt;"")*(Ввод!$F$12:$F$31&lt;=A1264)*(Ввод!$G$12:$G$31&gt;=A1264))&gt;0,1,0))</f>
        <v/>
      </c>
      <c r="G1264">
        <f>IF(A1264="","",IF(OR(B1264&lt;&gt;B1263,C1264&lt;&gt;C1263,E1264&lt;&gt;E1263),G1263+1,G1263))</f>
        <v/>
      </c>
    </row>
    <row r="1265">
      <c r="A1265" s="20">
        <f>IF(A1264="","",IF(A1264+1&gt;Ввод!$B$4,"",A1264+1))</f>
        <v/>
      </c>
      <c r="B1265">
        <f>IF(A1265="","",IFERROR(INDEX(Ввод!$B$12:$B$71,MATCH(A1265,Ввод!$D$12:$D$71,1)),""))</f>
        <v/>
      </c>
      <c r="C1265">
        <f>IF(A1265="","",DATE(YEAR(A1265),12,31)-DATE(YEAR(A1265),1,1)+1)</f>
        <v/>
      </c>
      <c r="D1265">
        <f>IF(A1265="","",SUMIFS(Акты!$D$5:$D$16,Акты!$E$5:$E$16,"&lt;="&amp;A1265)-SUMIFS(Оплаты!$B$6:$B$505,Оплаты!$A$6:$A$505,"&lt;"&amp;A1265,Оплаты!$D$6:$D$505,"&lt;&gt;"))</f>
        <v/>
      </c>
      <c r="E1265">
        <f>IF(A1265="","",IF(SUMPRODUCT((Ввод!$F$12:$F$31&lt;&gt;"")*(Ввод!$F$12:$F$31&lt;=A1265)*(Ввод!$G$12:$G$31&gt;=A1265))&gt;0,1,0))</f>
        <v/>
      </c>
      <c r="G1265">
        <f>IF(A1265="","",IF(OR(B1265&lt;&gt;B1264,C1265&lt;&gt;C1264,E1265&lt;&gt;E1264),G1264+1,G1264))</f>
        <v/>
      </c>
    </row>
    <row r="1266">
      <c r="A1266" s="20">
        <f>IF(A1265="","",IF(A1265+1&gt;Ввод!$B$4,"",A1265+1))</f>
        <v/>
      </c>
      <c r="B1266">
        <f>IF(A1266="","",IFERROR(INDEX(Ввод!$B$12:$B$71,MATCH(A1266,Ввод!$D$12:$D$71,1)),""))</f>
        <v/>
      </c>
      <c r="C1266">
        <f>IF(A1266="","",DATE(YEAR(A1266),12,31)-DATE(YEAR(A1266),1,1)+1)</f>
        <v/>
      </c>
      <c r="D1266">
        <f>IF(A1266="","",SUMIFS(Акты!$D$5:$D$16,Акты!$E$5:$E$16,"&lt;="&amp;A1266)-SUMIFS(Оплаты!$B$6:$B$505,Оплаты!$A$6:$A$505,"&lt;"&amp;A1266,Оплаты!$D$6:$D$505,"&lt;&gt;"))</f>
        <v/>
      </c>
      <c r="E1266">
        <f>IF(A1266="","",IF(SUMPRODUCT((Ввод!$F$12:$F$31&lt;&gt;"")*(Ввод!$F$12:$F$31&lt;=A1266)*(Ввод!$G$12:$G$31&gt;=A1266))&gt;0,1,0))</f>
        <v/>
      </c>
      <c r="G1266">
        <f>IF(A1266="","",IF(OR(B1266&lt;&gt;B1265,C1266&lt;&gt;C1265,E1266&lt;&gt;E1265),G1265+1,G1265))</f>
        <v/>
      </c>
    </row>
    <row r="1267">
      <c r="A1267" s="20">
        <f>IF(A1266="","",IF(A1266+1&gt;Ввод!$B$4,"",A1266+1))</f>
        <v/>
      </c>
      <c r="B1267">
        <f>IF(A1267="","",IFERROR(INDEX(Ввод!$B$12:$B$71,MATCH(A1267,Ввод!$D$12:$D$71,1)),""))</f>
        <v/>
      </c>
      <c r="C1267">
        <f>IF(A1267="","",DATE(YEAR(A1267),12,31)-DATE(YEAR(A1267),1,1)+1)</f>
        <v/>
      </c>
      <c r="D1267">
        <f>IF(A1267="","",SUMIFS(Акты!$D$5:$D$16,Акты!$E$5:$E$16,"&lt;="&amp;A1267)-SUMIFS(Оплаты!$B$6:$B$505,Оплаты!$A$6:$A$505,"&lt;"&amp;A1267,Оплаты!$D$6:$D$505,"&lt;&gt;"))</f>
        <v/>
      </c>
      <c r="E1267">
        <f>IF(A1267="","",IF(SUMPRODUCT((Ввод!$F$12:$F$31&lt;&gt;"")*(Ввод!$F$12:$F$31&lt;=A1267)*(Ввод!$G$12:$G$31&gt;=A1267))&gt;0,1,0))</f>
        <v/>
      </c>
      <c r="G1267">
        <f>IF(A1267="","",IF(OR(B1267&lt;&gt;B1266,C1267&lt;&gt;C1266,E1267&lt;&gt;E1266),G1266+1,G1266))</f>
        <v/>
      </c>
    </row>
    <row r="1268">
      <c r="A1268" s="20">
        <f>IF(A1267="","",IF(A1267+1&gt;Ввод!$B$4,"",A1267+1))</f>
        <v/>
      </c>
      <c r="B1268">
        <f>IF(A1268="","",IFERROR(INDEX(Ввод!$B$12:$B$71,MATCH(A1268,Ввод!$D$12:$D$71,1)),""))</f>
        <v/>
      </c>
      <c r="C1268">
        <f>IF(A1268="","",DATE(YEAR(A1268),12,31)-DATE(YEAR(A1268),1,1)+1)</f>
        <v/>
      </c>
      <c r="D1268">
        <f>IF(A1268="","",SUMIFS(Акты!$D$5:$D$16,Акты!$E$5:$E$16,"&lt;="&amp;A1268)-SUMIFS(Оплаты!$B$6:$B$505,Оплаты!$A$6:$A$505,"&lt;"&amp;A1268,Оплаты!$D$6:$D$505,"&lt;&gt;"))</f>
        <v/>
      </c>
      <c r="E1268">
        <f>IF(A1268="","",IF(SUMPRODUCT((Ввод!$F$12:$F$31&lt;&gt;"")*(Ввод!$F$12:$F$31&lt;=A1268)*(Ввод!$G$12:$G$31&gt;=A1268))&gt;0,1,0))</f>
        <v/>
      </c>
      <c r="G1268">
        <f>IF(A1268="","",IF(OR(B1268&lt;&gt;B1267,C1268&lt;&gt;C1267,E1268&lt;&gt;E1267),G1267+1,G1267))</f>
        <v/>
      </c>
    </row>
    <row r="1269">
      <c r="A1269" s="20">
        <f>IF(A1268="","",IF(A1268+1&gt;Ввод!$B$4,"",A1268+1))</f>
        <v/>
      </c>
      <c r="B1269">
        <f>IF(A1269="","",IFERROR(INDEX(Ввод!$B$12:$B$71,MATCH(A1269,Ввод!$D$12:$D$71,1)),""))</f>
        <v/>
      </c>
      <c r="C1269">
        <f>IF(A1269="","",DATE(YEAR(A1269),12,31)-DATE(YEAR(A1269),1,1)+1)</f>
        <v/>
      </c>
      <c r="D1269">
        <f>IF(A1269="","",SUMIFS(Акты!$D$5:$D$16,Акты!$E$5:$E$16,"&lt;="&amp;A1269)-SUMIFS(Оплаты!$B$6:$B$505,Оплаты!$A$6:$A$505,"&lt;"&amp;A1269,Оплаты!$D$6:$D$505,"&lt;&gt;"))</f>
        <v/>
      </c>
      <c r="E1269">
        <f>IF(A1269="","",IF(SUMPRODUCT((Ввод!$F$12:$F$31&lt;&gt;"")*(Ввод!$F$12:$F$31&lt;=A1269)*(Ввод!$G$12:$G$31&gt;=A1269))&gt;0,1,0))</f>
        <v/>
      </c>
      <c r="G1269">
        <f>IF(A1269="","",IF(OR(B1269&lt;&gt;B1268,C1269&lt;&gt;C1268,E1269&lt;&gt;E1268),G1268+1,G1268))</f>
        <v/>
      </c>
    </row>
    <row r="1270">
      <c r="A1270" s="20">
        <f>IF(A1269="","",IF(A1269+1&gt;Ввод!$B$4,"",A1269+1))</f>
        <v/>
      </c>
      <c r="B1270">
        <f>IF(A1270="","",IFERROR(INDEX(Ввод!$B$12:$B$71,MATCH(A1270,Ввод!$D$12:$D$71,1)),""))</f>
        <v/>
      </c>
      <c r="C1270">
        <f>IF(A1270="","",DATE(YEAR(A1270),12,31)-DATE(YEAR(A1270),1,1)+1)</f>
        <v/>
      </c>
      <c r="D1270">
        <f>IF(A1270="","",SUMIFS(Акты!$D$5:$D$16,Акты!$E$5:$E$16,"&lt;="&amp;A1270)-SUMIFS(Оплаты!$B$6:$B$505,Оплаты!$A$6:$A$505,"&lt;"&amp;A1270,Оплаты!$D$6:$D$505,"&lt;&gt;"))</f>
        <v/>
      </c>
      <c r="E1270">
        <f>IF(A1270="","",IF(SUMPRODUCT((Ввод!$F$12:$F$31&lt;&gt;"")*(Ввод!$F$12:$F$31&lt;=A1270)*(Ввод!$G$12:$G$31&gt;=A1270))&gt;0,1,0))</f>
        <v/>
      </c>
      <c r="G1270">
        <f>IF(A1270="","",IF(OR(B1270&lt;&gt;B1269,C1270&lt;&gt;C1269,E1270&lt;&gt;E1269),G1269+1,G1269))</f>
        <v/>
      </c>
    </row>
    <row r="1271">
      <c r="A1271" s="20">
        <f>IF(A1270="","",IF(A1270+1&gt;Ввод!$B$4,"",A1270+1))</f>
        <v/>
      </c>
      <c r="B1271">
        <f>IF(A1271="","",IFERROR(INDEX(Ввод!$B$12:$B$71,MATCH(A1271,Ввод!$D$12:$D$71,1)),""))</f>
        <v/>
      </c>
      <c r="C1271">
        <f>IF(A1271="","",DATE(YEAR(A1271),12,31)-DATE(YEAR(A1271),1,1)+1)</f>
        <v/>
      </c>
      <c r="D1271">
        <f>IF(A1271="","",SUMIFS(Акты!$D$5:$D$16,Акты!$E$5:$E$16,"&lt;="&amp;A1271)-SUMIFS(Оплаты!$B$6:$B$505,Оплаты!$A$6:$A$505,"&lt;"&amp;A1271,Оплаты!$D$6:$D$505,"&lt;&gt;"))</f>
        <v/>
      </c>
      <c r="E1271">
        <f>IF(A1271="","",IF(SUMPRODUCT((Ввод!$F$12:$F$31&lt;&gt;"")*(Ввод!$F$12:$F$31&lt;=A1271)*(Ввод!$G$12:$G$31&gt;=A1271))&gt;0,1,0))</f>
        <v/>
      </c>
      <c r="G1271">
        <f>IF(A1271="","",IF(OR(B1271&lt;&gt;B1270,C1271&lt;&gt;C1270,E1271&lt;&gt;E1270),G1270+1,G1270))</f>
        <v/>
      </c>
    </row>
    <row r="1272">
      <c r="A1272" s="20">
        <f>IF(A1271="","",IF(A1271+1&gt;Ввод!$B$4,"",A1271+1))</f>
        <v/>
      </c>
      <c r="B1272">
        <f>IF(A1272="","",IFERROR(INDEX(Ввод!$B$12:$B$71,MATCH(A1272,Ввод!$D$12:$D$71,1)),""))</f>
        <v/>
      </c>
      <c r="C1272">
        <f>IF(A1272="","",DATE(YEAR(A1272),12,31)-DATE(YEAR(A1272),1,1)+1)</f>
        <v/>
      </c>
      <c r="D1272">
        <f>IF(A1272="","",SUMIFS(Акты!$D$5:$D$16,Акты!$E$5:$E$16,"&lt;="&amp;A1272)-SUMIFS(Оплаты!$B$6:$B$505,Оплаты!$A$6:$A$505,"&lt;"&amp;A1272,Оплаты!$D$6:$D$505,"&lt;&gt;"))</f>
        <v/>
      </c>
      <c r="E1272">
        <f>IF(A1272="","",IF(SUMPRODUCT((Ввод!$F$12:$F$31&lt;&gt;"")*(Ввод!$F$12:$F$31&lt;=A1272)*(Ввод!$G$12:$G$31&gt;=A1272))&gt;0,1,0))</f>
        <v/>
      </c>
      <c r="G1272">
        <f>IF(A1272="","",IF(OR(B1272&lt;&gt;B1271,C1272&lt;&gt;C1271,E1272&lt;&gt;E1271),G1271+1,G1271))</f>
        <v/>
      </c>
    </row>
    <row r="1273">
      <c r="A1273" s="20">
        <f>IF(A1272="","",IF(A1272+1&gt;Ввод!$B$4,"",A1272+1))</f>
        <v/>
      </c>
      <c r="B1273">
        <f>IF(A1273="","",IFERROR(INDEX(Ввод!$B$12:$B$71,MATCH(A1273,Ввод!$D$12:$D$71,1)),""))</f>
        <v/>
      </c>
      <c r="C1273">
        <f>IF(A1273="","",DATE(YEAR(A1273),12,31)-DATE(YEAR(A1273),1,1)+1)</f>
        <v/>
      </c>
      <c r="D1273">
        <f>IF(A1273="","",SUMIFS(Акты!$D$5:$D$16,Акты!$E$5:$E$16,"&lt;="&amp;A1273)-SUMIFS(Оплаты!$B$6:$B$505,Оплаты!$A$6:$A$505,"&lt;"&amp;A1273,Оплаты!$D$6:$D$505,"&lt;&gt;"))</f>
        <v/>
      </c>
      <c r="E1273">
        <f>IF(A1273="","",IF(SUMPRODUCT((Ввод!$F$12:$F$31&lt;&gt;"")*(Ввод!$F$12:$F$31&lt;=A1273)*(Ввод!$G$12:$G$31&gt;=A1273))&gt;0,1,0))</f>
        <v/>
      </c>
      <c r="G1273">
        <f>IF(A1273="","",IF(OR(B1273&lt;&gt;B1272,C1273&lt;&gt;C1272,E1273&lt;&gt;E1272),G1272+1,G1272))</f>
        <v/>
      </c>
    </row>
    <row r="1274">
      <c r="A1274" s="20">
        <f>IF(A1273="","",IF(A1273+1&gt;Ввод!$B$4,"",A1273+1))</f>
        <v/>
      </c>
      <c r="B1274">
        <f>IF(A1274="","",IFERROR(INDEX(Ввод!$B$12:$B$71,MATCH(A1274,Ввод!$D$12:$D$71,1)),""))</f>
        <v/>
      </c>
      <c r="C1274">
        <f>IF(A1274="","",DATE(YEAR(A1274),12,31)-DATE(YEAR(A1274),1,1)+1)</f>
        <v/>
      </c>
      <c r="D1274">
        <f>IF(A1274="","",SUMIFS(Акты!$D$5:$D$16,Акты!$E$5:$E$16,"&lt;="&amp;A1274)-SUMIFS(Оплаты!$B$6:$B$505,Оплаты!$A$6:$A$505,"&lt;"&amp;A1274,Оплаты!$D$6:$D$505,"&lt;&gt;"))</f>
        <v/>
      </c>
      <c r="E1274">
        <f>IF(A1274="","",IF(SUMPRODUCT((Ввод!$F$12:$F$31&lt;&gt;"")*(Ввод!$F$12:$F$31&lt;=A1274)*(Ввод!$G$12:$G$31&gt;=A1274))&gt;0,1,0))</f>
        <v/>
      </c>
      <c r="G1274">
        <f>IF(A1274="","",IF(OR(B1274&lt;&gt;B1273,C1274&lt;&gt;C1273,E1274&lt;&gt;E1273),G1273+1,G1273))</f>
        <v/>
      </c>
    </row>
    <row r="1275">
      <c r="A1275" s="20">
        <f>IF(A1274="","",IF(A1274+1&gt;Ввод!$B$4,"",A1274+1))</f>
        <v/>
      </c>
      <c r="B1275">
        <f>IF(A1275="","",IFERROR(INDEX(Ввод!$B$12:$B$71,MATCH(A1275,Ввод!$D$12:$D$71,1)),""))</f>
        <v/>
      </c>
      <c r="C1275">
        <f>IF(A1275="","",DATE(YEAR(A1275),12,31)-DATE(YEAR(A1275),1,1)+1)</f>
        <v/>
      </c>
      <c r="D1275">
        <f>IF(A1275="","",SUMIFS(Акты!$D$5:$D$16,Акты!$E$5:$E$16,"&lt;="&amp;A1275)-SUMIFS(Оплаты!$B$6:$B$505,Оплаты!$A$6:$A$505,"&lt;"&amp;A1275,Оплаты!$D$6:$D$505,"&lt;&gt;"))</f>
        <v/>
      </c>
      <c r="E1275">
        <f>IF(A1275="","",IF(SUMPRODUCT((Ввод!$F$12:$F$31&lt;&gt;"")*(Ввод!$F$12:$F$31&lt;=A1275)*(Ввод!$G$12:$G$31&gt;=A1275))&gt;0,1,0))</f>
        <v/>
      </c>
      <c r="G1275">
        <f>IF(A1275="","",IF(OR(B1275&lt;&gt;B1274,C1275&lt;&gt;C1274,E1275&lt;&gt;E1274),G1274+1,G1274))</f>
        <v/>
      </c>
    </row>
    <row r="1276">
      <c r="A1276" s="20">
        <f>IF(A1275="","",IF(A1275+1&gt;Ввод!$B$4,"",A1275+1))</f>
        <v/>
      </c>
      <c r="B1276">
        <f>IF(A1276="","",IFERROR(INDEX(Ввод!$B$12:$B$71,MATCH(A1276,Ввод!$D$12:$D$71,1)),""))</f>
        <v/>
      </c>
      <c r="C1276">
        <f>IF(A1276="","",DATE(YEAR(A1276),12,31)-DATE(YEAR(A1276),1,1)+1)</f>
        <v/>
      </c>
      <c r="D1276">
        <f>IF(A1276="","",SUMIFS(Акты!$D$5:$D$16,Акты!$E$5:$E$16,"&lt;="&amp;A1276)-SUMIFS(Оплаты!$B$6:$B$505,Оплаты!$A$6:$A$505,"&lt;"&amp;A1276,Оплаты!$D$6:$D$505,"&lt;&gt;"))</f>
        <v/>
      </c>
      <c r="E1276">
        <f>IF(A1276="","",IF(SUMPRODUCT((Ввод!$F$12:$F$31&lt;&gt;"")*(Ввод!$F$12:$F$31&lt;=A1276)*(Ввод!$G$12:$G$31&gt;=A1276))&gt;0,1,0))</f>
        <v/>
      </c>
      <c r="G1276">
        <f>IF(A1276="","",IF(OR(B1276&lt;&gt;B1275,C1276&lt;&gt;C1275,E1276&lt;&gt;E1275),G1275+1,G1275))</f>
        <v/>
      </c>
    </row>
    <row r="1277">
      <c r="A1277" s="20">
        <f>IF(A1276="","",IF(A1276+1&gt;Ввод!$B$4,"",A1276+1))</f>
        <v/>
      </c>
      <c r="B1277">
        <f>IF(A1277="","",IFERROR(INDEX(Ввод!$B$12:$B$71,MATCH(A1277,Ввод!$D$12:$D$71,1)),""))</f>
        <v/>
      </c>
      <c r="C1277">
        <f>IF(A1277="","",DATE(YEAR(A1277),12,31)-DATE(YEAR(A1277),1,1)+1)</f>
        <v/>
      </c>
      <c r="D1277">
        <f>IF(A1277="","",SUMIFS(Акты!$D$5:$D$16,Акты!$E$5:$E$16,"&lt;="&amp;A1277)-SUMIFS(Оплаты!$B$6:$B$505,Оплаты!$A$6:$A$505,"&lt;"&amp;A1277,Оплаты!$D$6:$D$505,"&lt;&gt;"))</f>
        <v/>
      </c>
      <c r="E1277">
        <f>IF(A1277="","",IF(SUMPRODUCT((Ввод!$F$12:$F$31&lt;&gt;"")*(Ввод!$F$12:$F$31&lt;=A1277)*(Ввод!$G$12:$G$31&gt;=A1277))&gt;0,1,0))</f>
        <v/>
      </c>
      <c r="G1277">
        <f>IF(A1277="","",IF(OR(B1277&lt;&gt;B1276,C1277&lt;&gt;C1276,E1277&lt;&gt;E1276),G1276+1,G1276))</f>
        <v/>
      </c>
    </row>
    <row r="1278">
      <c r="A1278" s="20">
        <f>IF(A1277="","",IF(A1277+1&gt;Ввод!$B$4,"",A1277+1))</f>
        <v/>
      </c>
      <c r="B1278">
        <f>IF(A1278="","",IFERROR(INDEX(Ввод!$B$12:$B$71,MATCH(A1278,Ввод!$D$12:$D$71,1)),""))</f>
        <v/>
      </c>
      <c r="C1278">
        <f>IF(A1278="","",DATE(YEAR(A1278),12,31)-DATE(YEAR(A1278),1,1)+1)</f>
        <v/>
      </c>
      <c r="D1278">
        <f>IF(A1278="","",SUMIFS(Акты!$D$5:$D$16,Акты!$E$5:$E$16,"&lt;="&amp;A1278)-SUMIFS(Оплаты!$B$6:$B$505,Оплаты!$A$6:$A$505,"&lt;"&amp;A1278,Оплаты!$D$6:$D$505,"&lt;&gt;"))</f>
        <v/>
      </c>
      <c r="E1278">
        <f>IF(A1278="","",IF(SUMPRODUCT((Ввод!$F$12:$F$31&lt;&gt;"")*(Ввод!$F$12:$F$31&lt;=A1278)*(Ввод!$G$12:$G$31&gt;=A1278))&gt;0,1,0))</f>
        <v/>
      </c>
      <c r="G1278">
        <f>IF(A1278="","",IF(OR(B1278&lt;&gt;B1277,C1278&lt;&gt;C1277,E1278&lt;&gt;E1277),G1277+1,G1277))</f>
        <v/>
      </c>
    </row>
    <row r="1279">
      <c r="A1279" s="20">
        <f>IF(A1278="","",IF(A1278+1&gt;Ввод!$B$4,"",A1278+1))</f>
        <v/>
      </c>
      <c r="B1279">
        <f>IF(A1279="","",IFERROR(INDEX(Ввод!$B$12:$B$71,MATCH(A1279,Ввод!$D$12:$D$71,1)),""))</f>
        <v/>
      </c>
      <c r="C1279">
        <f>IF(A1279="","",DATE(YEAR(A1279),12,31)-DATE(YEAR(A1279),1,1)+1)</f>
        <v/>
      </c>
      <c r="D1279">
        <f>IF(A1279="","",SUMIFS(Акты!$D$5:$D$16,Акты!$E$5:$E$16,"&lt;="&amp;A1279)-SUMIFS(Оплаты!$B$6:$B$505,Оплаты!$A$6:$A$505,"&lt;"&amp;A1279,Оплаты!$D$6:$D$505,"&lt;&gt;"))</f>
        <v/>
      </c>
      <c r="E1279">
        <f>IF(A1279="","",IF(SUMPRODUCT((Ввод!$F$12:$F$31&lt;&gt;"")*(Ввод!$F$12:$F$31&lt;=A1279)*(Ввод!$G$12:$G$31&gt;=A1279))&gt;0,1,0))</f>
        <v/>
      </c>
      <c r="G1279">
        <f>IF(A1279="","",IF(OR(B1279&lt;&gt;B1278,C1279&lt;&gt;C1278,E1279&lt;&gt;E1278),G1278+1,G1278))</f>
        <v/>
      </c>
    </row>
    <row r="1280">
      <c r="A1280" s="20">
        <f>IF(A1279="","",IF(A1279+1&gt;Ввод!$B$4,"",A1279+1))</f>
        <v/>
      </c>
      <c r="B1280">
        <f>IF(A1280="","",IFERROR(INDEX(Ввод!$B$12:$B$71,MATCH(A1280,Ввод!$D$12:$D$71,1)),""))</f>
        <v/>
      </c>
      <c r="C1280">
        <f>IF(A1280="","",DATE(YEAR(A1280),12,31)-DATE(YEAR(A1280),1,1)+1)</f>
        <v/>
      </c>
      <c r="D1280">
        <f>IF(A1280="","",SUMIFS(Акты!$D$5:$D$16,Акты!$E$5:$E$16,"&lt;="&amp;A1280)-SUMIFS(Оплаты!$B$6:$B$505,Оплаты!$A$6:$A$505,"&lt;"&amp;A1280,Оплаты!$D$6:$D$505,"&lt;&gt;"))</f>
        <v/>
      </c>
      <c r="E1280">
        <f>IF(A1280="","",IF(SUMPRODUCT((Ввод!$F$12:$F$31&lt;&gt;"")*(Ввод!$F$12:$F$31&lt;=A1280)*(Ввод!$G$12:$G$31&gt;=A1280))&gt;0,1,0))</f>
        <v/>
      </c>
      <c r="G1280">
        <f>IF(A1280="","",IF(OR(B1280&lt;&gt;B1279,C1280&lt;&gt;C1279,E1280&lt;&gt;E1279),G1279+1,G1279))</f>
        <v/>
      </c>
    </row>
    <row r="1281">
      <c r="A1281" s="20">
        <f>IF(A1280="","",IF(A1280+1&gt;Ввод!$B$4,"",A1280+1))</f>
        <v/>
      </c>
      <c r="B1281">
        <f>IF(A1281="","",IFERROR(INDEX(Ввод!$B$12:$B$71,MATCH(A1281,Ввод!$D$12:$D$71,1)),""))</f>
        <v/>
      </c>
      <c r="C1281">
        <f>IF(A1281="","",DATE(YEAR(A1281),12,31)-DATE(YEAR(A1281),1,1)+1)</f>
        <v/>
      </c>
      <c r="D1281">
        <f>IF(A1281="","",SUMIFS(Акты!$D$5:$D$16,Акты!$E$5:$E$16,"&lt;="&amp;A1281)-SUMIFS(Оплаты!$B$6:$B$505,Оплаты!$A$6:$A$505,"&lt;"&amp;A1281,Оплаты!$D$6:$D$505,"&lt;&gt;"))</f>
        <v/>
      </c>
      <c r="E1281">
        <f>IF(A1281="","",IF(SUMPRODUCT((Ввод!$F$12:$F$31&lt;&gt;"")*(Ввод!$F$12:$F$31&lt;=A1281)*(Ввод!$G$12:$G$31&gt;=A1281))&gt;0,1,0))</f>
        <v/>
      </c>
      <c r="G1281">
        <f>IF(A1281="","",IF(OR(B1281&lt;&gt;B1280,C1281&lt;&gt;C1280,E1281&lt;&gt;E1280),G1280+1,G1280))</f>
        <v/>
      </c>
    </row>
    <row r="1282">
      <c r="A1282" s="20">
        <f>IF(A1281="","",IF(A1281+1&gt;Ввод!$B$4,"",A1281+1))</f>
        <v/>
      </c>
      <c r="B1282">
        <f>IF(A1282="","",IFERROR(INDEX(Ввод!$B$12:$B$71,MATCH(A1282,Ввод!$D$12:$D$71,1)),""))</f>
        <v/>
      </c>
      <c r="C1282">
        <f>IF(A1282="","",DATE(YEAR(A1282),12,31)-DATE(YEAR(A1282),1,1)+1)</f>
        <v/>
      </c>
      <c r="D1282">
        <f>IF(A1282="","",SUMIFS(Акты!$D$5:$D$16,Акты!$E$5:$E$16,"&lt;="&amp;A1282)-SUMIFS(Оплаты!$B$6:$B$505,Оплаты!$A$6:$A$505,"&lt;"&amp;A1282,Оплаты!$D$6:$D$505,"&lt;&gt;"))</f>
        <v/>
      </c>
      <c r="E1282">
        <f>IF(A1282="","",IF(SUMPRODUCT((Ввод!$F$12:$F$31&lt;&gt;"")*(Ввод!$F$12:$F$31&lt;=A1282)*(Ввод!$G$12:$G$31&gt;=A1282))&gt;0,1,0))</f>
        <v/>
      </c>
      <c r="G1282">
        <f>IF(A1282="","",IF(OR(B1282&lt;&gt;B1281,C1282&lt;&gt;C1281,E1282&lt;&gt;E1281),G1281+1,G1281))</f>
        <v/>
      </c>
    </row>
    <row r="1283">
      <c r="A1283" s="20">
        <f>IF(A1282="","",IF(A1282+1&gt;Ввод!$B$4,"",A1282+1))</f>
        <v/>
      </c>
      <c r="B1283">
        <f>IF(A1283="","",IFERROR(INDEX(Ввод!$B$12:$B$71,MATCH(A1283,Ввод!$D$12:$D$71,1)),""))</f>
        <v/>
      </c>
      <c r="C1283">
        <f>IF(A1283="","",DATE(YEAR(A1283),12,31)-DATE(YEAR(A1283),1,1)+1)</f>
        <v/>
      </c>
      <c r="D1283">
        <f>IF(A1283="","",SUMIFS(Акты!$D$5:$D$16,Акты!$E$5:$E$16,"&lt;="&amp;A1283)-SUMIFS(Оплаты!$B$6:$B$505,Оплаты!$A$6:$A$505,"&lt;"&amp;A1283,Оплаты!$D$6:$D$505,"&lt;&gt;"))</f>
        <v/>
      </c>
      <c r="E1283">
        <f>IF(A1283="","",IF(SUMPRODUCT((Ввод!$F$12:$F$31&lt;&gt;"")*(Ввод!$F$12:$F$31&lt;=A1283)*(Ввод!$G$12:$G$31&gt;=A1283))&gt;0,1,0))</f>
        <v/>
      </c>
      <c r="G1283">
        <f>IF(A1283="","",IF(OR(B1283&lt;&gt;B1282,C1283&lt;&gt;C1282,E1283&lt;&gt;E1282),G1282+1,G1282))</f>
        <v/>
      </c>
    </row>
    <row r="1284">
      <c r="A1284" s="20">
        <f>IF(A1283="","",IF(A1283+1&gt;Ввод!$B$4,"",A1283+1))</f>
        <v/>
      </c>
      <c r="B1284">
        <f>IF(A1284="","",IFERROR(INDEX(Ввод!$B$12:$B$71,MATCH(A1284,Ввод!$D$12:$D$71,1)),""))</f>
        <v/>
      </c>
      <c r="C1284">
        <f>IF(A1284="","",DATE(YEAR(A1284),12,31)-DATE(YEAR(A1284),1,1)+1)</f>
        <v/>
      </c>
      <c r="D1284">
        <f>IF(A1284="","",SUMIFS(Акты!$D$5:$D$16,Акты!$E$5:$E$16,"&lt;="&amp;A1284)-SUMIFS(Оплаты!$B$6:$B$505,Оплаты!$A$6:$A$505,"&lt;"&amp;A1284,Оплаты!$D$6:$D$505,"&lt;&gt;"))</f>
        <v/>
      </c>
      <c r="E1284">
        <f>IF(A1284="","",IF(SUMPRODUCT((Ввод!$F$12:$F$31&lt;&gt;"")*(Ввод!$F$12:$F$31&lt;=A1284)*(Ввод!$G$12:$G$31&gt;=A1284))&gt;0,1,0))</f>
        <v/>
      </c>
      <c r="G1284">
        <f>IF(A1284="","",IF(OR(B1284&lt;&gt;B1283,C1284&lt;&gt;C1283,E1284&lt;&gt;E1283),G1283+1,G1283))</f>
        <v/>
      </c>
    </row>
    <row r="1285">
      <c r="A1285" s="20">
        <f>IF(A1284="","",IF(A1284+1&gt;Ввод!$B$4,"",A1284+1))</f>
        <v/>
      </c>
      <c r="B1285">
        <f>IF(A1285="","",IFERROR(INDEX(Ввод!$B$12:$B$71,MATCH(A1285,Ввод!$D$12:$D$71,1)),""))</f>
        <v/>
      </c>
      <c r="C1285">
        <f>IF(A1285="","",DATE(YEAR(A1285),12,31)-DATE(YEAR(A1285),1,1)+1)</f>
        <v/>
      </c>
      <c r="D1285">
        <f>IF(A1285="","",SUMIFS(Акты!$D$5:$D$16,Акты!$E$5:$E$16,"&lt;="&amp;A1285)-SUMIFS(Оплаты!$B$6:$B$505,Оплаты!$A$6:$A$505,"&lt;"&amp;A1285,Оплаты!$D$6:$D$505,"&lt;&gt;"))</f>
        <v/>
      </c>
      <c r="E1285">
        <f>IF(A1285="","",IF(SUMPRODUCT((Ввод!$F$12:$F$31&lt;&gt;"")*(Ввод!$F$12:$F$31&lt;=A1285)*(Ввод!$G$12:$G$31&gt;=A1285))&gt;0,1,0))</f>
        <v/>
      </c>
      <c r="G1285">
        <f>IF(A1285="","",IF(OR(B1285&lt;&gt;B1284,C1285&lt;&gt;C1284,E1285&lt;&gt;E1284),G1284+1,G1284))</f>
        <v/>
      </c>
    </row>
    <row r="1286">
      <c r="A1286" s="20">
        <f>IF(A1285="","",IF(A1285+1&gt;Ввод!$B$4,"",A1285+1))</f>
        <v/>
      </c>
      <c r="B1286">
        <f>IF(A1286="","",IFERROR(INDEX(Ввод!$B$12:$B$71,MATCH(A1286,Ввод!$D$12:$D$71,1)),""))</f>
        <v/>
      </c>
      <c r="C1286">
        <f>IF(A1286="","",DATE(YEAR(A1286),12,31)-DATE(YEAR(A1286),1,1)+1)</f>
        <v/>
      </c>
      <c r="D1286">
        <f>IF(A1286="","",SUMIFS(Акты!$D$5:$D$16,Акты!$E$5:$E$16,"&lt;="&amp;A1286)-SUMIFS(Оплаты!$B$6:$B$505,Оплаты!$A$6:$A$505,"&lt;"&amp;A1286,Оплаты!$D$6:$D$505,"&lt;&gt;"))</f>
        <v/>
      </c>
      <c r="E1286">
        <f>IF(A1286="","",IF(SUMPRODUCT((Ввод!$F$12:$F$31&lt;&gt;"")*(Ввод!$F$12:$F$31&lt;=A1286)*(Ввод!$G$12:$G$31&gt;=A1286))&gt;0,1,0))</f>
        <v/>
      </c>
      <c r="G1286">
        <f>IF(A1286="","",IF(OR(B1286&lt;&gt;B1285,C1286&lt;&gt;C1285,E1286&lt;&gt;E1285),G1285+1,G1285))</f>
        <v/>
      </c>
    </row>
    <row r="1287">
      <c r="A1287" s="20">
        <f>IF(A1286="","",IF(A1286+1&gt;Ввод!$B$4,"",A1286+1))</f>
        <v/>
      </c>
      <c r="B1287">
        <f>IF(A1287="","",IFERROR(INDEX(Ввод!$B$12:$B$71,MATCH(A1287,Ввод!$D$12:$D$71,1)),""))</f>
        <v/>
      </c>
      <c r="C1287">
        <f>IF(A1287="","",DATE(YEAR(A1287),12,31)-DATE(YEAR(A1287),1,1)+1)</f>
        <v/>
      </c>
      <c r="D1287">
        <f>IF(A1287="","",SUMIFS(Акты!$D$5:$D$16,Акты!$E$5:$E$16,"&lt;="&amp;A1287)-SUMIFS(Оплаты!$B$6:$B$505,Оплаты!$A$6:$A$505,"&lt;"&amp;A1287,Оплаты!$D$6:$D$505,"&lt;&gt;"))</f>
        <v/>
      </c>
      <c r="E1287">
        <f>IF(A1287="","",IF(SUMPRODUCT((Ввод!$F$12:$F$31&lt;&gt;"")*(Ввод!$F$12:$F$31&lt;=A1287)*(Ввод!$G$12:$G$31&gt;=A1287))&gt;0,1,0))</f>
        <v/>
      </c>
      <c r="G1287">
        <f>IF(A1287="","",IF(OR(B1287&lt;&gt;B1286,C1287&lt;&gt;C1286,E1287&lt;&gt;E1286),G1286+1,G1286))</f>
        <v/>
      </c>
    </row>
    <row r="1288">
      <c r="A1288" s="20">
        <f>IF(A1287="","",IF(A1287+1&gt;Ввод!$B$4,"",A1287+1))</f>
        <v/>
      </c>
      <c r="B1288">
        <f>IF(A1288="","",IFERROR(INDEX(Ввод!$B$12:$B$71,MATCH(A1288,Ввод!$D$12:$D$71,1)),""))</f>
        <v/>
      </c>
      <c r="C1288">
        <f>IF(A1288="","",DATE(YEAR(A1288),12,31)-DATE(YEAR(A1288),1,1)+1)</f>
        <v/>
      </c>
      <c r="D1288">
        <f>IF(A1288="","",SUMIFS(Акты!$D$5:$D$16,Акты!$E$5:$E$16,"&lt;="&amp;A1288)-SUMIFS(Оплаты!$B$6:$B$505,Оплаты!$A$6:$A$505,"&lt;"&amp;A1288,Оплаты!$D$6:$D$505,"&lt;&gt;"))</f>
        <v/>
      </c>
      <c r="E1288">
        <f>IF(A1288="","",IF(SUMPRODUCT((Ввод!$F$12:$F$31&lt;&gt;"")*(Ввод!$F$12:$F$31&lt;=A1288)*(Ввод!$G$12:$G$31&gt;=A1288))&gt;0,1,0))</f>
        <v/>
      </c>
      <c r="G1288">
        <f>IF(A1288="","",IF(OR(B1288&lt;&gt;B1287,C1288&lt;&gt;C1287,E1288&lt;&gt;E1287),G1287+1,G1287))</f>
        <v/>
      </c>
    </row>
    <row r="1289">
      <c r="A1289" s="20">
        <f>IF(A1288="","",IF(A1288+1&gt;Ввод!$B$4,"",A1288+1))</f>
        <v/>
      </c>
      <c r="B1289">
        <f>IF(A1289="","",IFERROR(INDEX(Ввод!$B$12:$B$71,MATCH(A1289,Ввод!$D$12:$D$71,1)),""))</f>
        <v/>
      </c>
      <c r="C1289">
        <f>IF(A1289="","",DATE(YEAR(A1289),12,31)-DATE(YEAR(A1289),1,1)+1)</f>
        <v/>
      </c>
      <c r="D1289">
        <f>IF(A1289="","",SUMIFS(Акты!$D$5:$D$16,Акты!$E$5:$E$16,"&lt;="&amp;A1289)-SUMIFS(Оплаты!$B$6:$B$505,Оплаты!$A$6:$A$505,"&lt;"&amp;A1289,Оплаты!$D$6:$D$505,"&lt;&gt;"))</f>
        <v/>
      </c>
      <c r="E1289">
        <f>IF(A1289="","",IF(SUMPRODUCT((Ввод!$F$12:$F$31&lt;&gt;"")*(Ввод!$F$12:$F$31&lt;=A1289)*(Ввод!$G$12:$G$31&gt;=A1289))&gt;0,1,0))</f>
        <v/>
      </c>
      <c r="G1289">
        <f>IF(A1289="","",IF(OR(B1289&lt;&gt;B1288,C1289&lt;&gt;C1288,E1289&lt;&gt;E1288),G1288+1,G1288))</f>
        <v/>
      </c>
    </row>
    <row r="1290">
      <c r="A1290" s="20">
        <f>IF(A1289="","",IF(A1289+1&gt;Ввод!$B$4,"",A1289+1))</f>
        <v/>
      </c>
      <c r="B1290">
        <f>IF(A1290="","",IFERROR(INDEX(Ввод!$B$12:$B$71,MATCH(A1290,Ввод!$D$12:$D$71,1)),""))</f>
        <v/>
      </c>
      <c r="C1290">
        <f>IF(A1290="","",DATE(YEAR(A1290),12,31)-DATE(YEAR(A1290),1,1)+1)</f>
        <v/>
      </c>
      <c r="D1290">
        <f>IF(A1290="","",SUMIFS(Акты!$D$5:$D$16,Акты!$E$5:$E$16,"&lt;="&amp;A1290)-SUMIFS(Оплаты!$B$6:$B$505,Оплаты!$A$6:$A$505,"&lt;"&amp;A1290,Оплаты!$D$6:$D$505,"&lt;&gt;"))</f>
        <v/>
      </c>
      <c r="E1290">
        <f>IF(A1290="","",IF(SUMPRODUCT((Ввод!$F$12:$F$31&lt;&gt;"")*(Ввод!$F$12:$F$31&lt;=A1290)*(Ввод!$G$12:$G$31&gt;=A1290))&gt;0,1,0))</f>
        <v/>
      </c>
      <c r="G1290">
        <f>IF(A1290="","",IF(OR(B1290&lt;&gt;B1289,C1290&lt;&gt;C1289,E1290&lt;&gt;E1289),G1289+1,G1289))</f>
        <v/>
      </c>
    </row>
    <row r="1291">
      <c r="A1291" s="20">
        <f>IF(A1290="","",IF(A1290+1&gt;Ввод!$B$4,"",A1290+1))</f>
        <v/>
      </c>
      <c r="B1291">
        <f>IF(A1291="","",IFERROR(INDEX(Ввод!$B$12:$B$71,MATCH(A1291,Ввод!$D$12:$D$71,1)),""))</f>
        <v/>
      </c>
      <c r="C1291">
        <f>IF(A1291="","",DATE(YEAR(A1291),12,31)-DATE(YEAR(A1291),1,1)+1)</f>
        <v/>
      </c>
      <c r="D1291">
        <f>IF(A1291="","",SUMIFS(Акты!$D$5:$D$16,Акты!$E$5:$E$16,"&lt;="&amp;A1291)-SUMIFS(Оплаты!$B$6:$B$505,Оплаты!$A$6:$A$505,"&lt;"&amp;A1291,Оплаты!$D$6:$D$505,"&lt;&gt;"))</f>
        <v/>
      </c>
      <c r="E1291">
        <f>IF(A1291="","",IF(SUMPRODUCT((Ввод!$F$12:$F$31&lt;&gt;"")*(Ввод!$F$12:$F$31&lt;=A1291)*(Ввод!$G$12:$G$31&gt;=A1291))&gt;0,1,0))</f>
        <v/>
      </c>
      <c r="G1291">
        <f>IF(A1291="","",IF(OR(B1291&lt;&gt;B1290,C1291&lt;&gt;C1290,E1291&lt;&gt;E1290),G1290+1,G1290))</f>
        <v/>
      </c>
    </row>
    <row r="1292">
      <c r="A1292" s="20">
        <f>IF(A1291="","",IF(A1291+1&gt;Ввод!$B$4,"",A1291+1))</f>
        <v/>
      </c>
      <c r="B1292">
        <f>IF(A1292="","",IFERROR(INDEX(Ввод!$B$12:$B$71,MATCH(A1292,Ввод!$D$12:$D$71,1)),""))</f>
        <v/>
      </c>
      <c r="C1292">
        <f>IF(A1292="","",DATE(YEAR(A1292),12,31)-DATE(YEAR(A1292),1,1)+1)</f>
        <v/>
      </c>
      <c r="D1292">
        <f>IF(A1292="","",SUMIFS(Акты!$D$5:$D$16,Акты!$E$5:$E$16,"&lt;="&amp;A1292)-SUMIFS(Оплаты!$B$6:$B$505,Оплаты!$A$6:$A$505,"&lt;"&amp;A1292,Оплаты!$D$6:$D$505,"&lt;&gt;"))</f>
        <v/>
      </c>
      <c r="E1292">
        <f>IF(A1292="","",IF(SUMPRODUCT((Ввод!$F$12:$F$31&lt;&gt;"")*(Ввод!$F$12:$F$31&lt;=A1292)*(Ввод!$G$12:$G$31&gt;=A1292))&gt;0,1,0))</f>
        <v/>
      </c>
      <c r="G1292">
        <f>IF(A1292="","",IF(OR(B1292&lt;&gt;B1291,C1292&lt;&gt;C1291,E1292&lt;&gt;E1291),G1291+1,G1291))</f>
        <v/>
      </c>
    </row>
    <row r="1293">
      <c r="A1293" s="20">
        <f>IF(A1292="","",IF(A1292+1&gt;Ввод!$B$4,"",A1292+1))</f>
        <v/>
      </c>
      <c r="B1293">
        <f>IF(A1293="","",IFERROR(INDEX(Ввод!$B$12:$B$71,MATCH(A1293,Ввод!$D$12:$D$71,1)),""))</f>
        <v/>
      </c>
      <c r="C1293">
        <f>IF(A1293="","",DATE(YEAR(A1293),12,31)-DATE(YEAR(A1293),1,1)+1)</f>
        <v/>
      </c>
      <c r="D1293">
        <f>IF(A1293="","",SUMIFS(Акты!$D$5:$D$16,Акты!$E$5:$E$16,"&lt;="&amp;A1293)-SUMIFS(Оплаты!$B$6:$B$505,Оплаты!$A$6:$A$505,"&lt;"&amp;A1293,Оплаты!$D$6:$D$505,"&lt;&gt;"))</f>
        <v/>
      </c>
      <c r="E1293">
        <f>IF(A1293="","",IF(SUMPRODUCT((Ввод!$F$12:$F$31&lt;&gt;"")*(Ввод!$F$12:$F$31&lt;=A1293)*(Ввод!$G$12:$G$31&gt;=A1293))&gt;0,1,0))</f>
        <v/>
      </c>
      <c r="G1293">
        <f>IF(A1293="","",IF(OR(B1293&lt;&gt;B1292,C1293&lt;&gt;C1292,E1293&lt;&gt;E1292),G1292+1,G1292))</f>
        <v/>
      </c>
    </row>
    <row r="1294">
      <c r="A1294" s="20">
        <f>IF(A1293="","",IF(A1293+1&gt;Ввод!$B$4,"",A1293+1))</f>
        <v/>
      </c>
      <c r="B1294">
        <f>IF(A1294="","",IFERROR(INDEX(Ввод!$B$12:$B$71,MATCH(A1294,Ввод!$D$12:$D$71,1)),""))</f>
        <v/>
      </c>
      <c r="C1294">
        <f>IF(A1294="","",DATE(YEAR(A1294),12,31)-DATE(YEAR(A1294),1,1)+1)</f>
        <v/>
      </c>
      <c r="D1294">
        <f>IF(A1294="","",SUMIFS(Акты!$D$5:$D$16,Акты!$E$5:$E$16,"&lt;="&amp;A1294)-SUMIFS(Оплаты!$B$6:$B$505,Оплаты!$A$6:$A$505,"&lt;"&amp;A1294,Оплаты!$D$6:$D$505,"&lt;&gt;"))</f>
        <v/>
      </c>
      <c r="E1294">
        <f>IF(A1294="","",IF(SUMPRODUCT((Ввод!$F$12:$F$31&lt;&gt;"")*(Ввод!$F$12:$F$31&lt;=A1294)*(Ввод!$G$12:$G$31&gt;=A1294))&gt;0,1,0))</f>
        <v/>
      </c>
      <c r="G1294">
        <f>IF(A1294="","",IF(OR(B1294&lt;&gt;B1293,C1294&lt;&gt;C1293,E1294&lt;&gt;E1293),G1293+1,G1293))</f>
        <v/>
      </c>
    </row>
    <row r="1295">
      <c r="A1295" s="20">
        <f>IF(A1294="","",IF(A1294+1&gt;Ввод!$B$4,"",A1294+1))</f>
        <v/>
      </c>
      <c r="B1295">
        <f>IF(A1295="","",IFERROR(INDEX(Ввод!$B$12:$B$71,MATCH(A1295,Ввод!$D$12:$D$71,1)),""))</f>
        <v/>
      </c>
      <c r="C1295">
        <f>IF(A1295="","",DATE(YEAR(A1295),12,31)-DATE(YEAR(A1295),1,1)+1)</f>
        <v/>
      </c>
      <c r="D1295">
        <f>IF(A1295="","",SUMIFS(Акты!$D$5:$D$16,Акты!$E$5:$E$16,"&lt;="&amp;A1295)-SUMIFS(Оплаты!$B$6:$B$505,Оплаты!$A$6:$A$505,"&lt;"&amp;A1295,Оплаты!$D$6:$D$505,"&lt;&gt;"))</f>
        <v/>
      </c>
      <c r="E1295">
        <f>IF(A1295="","",IF(SUMPRODUCT((Ввод!$F$12:$F$31&lt;&gt;"")*(Ввод!$F$12:$F$31&lt;=A1295)*(Ввод!$G$12:$G$31&gt;=A1295))&gt;0,1,0))</f>
        <v/>
      </c>
      <c r="G1295">
        <f>IF(A1295="","",IF(OR(B1295&lt;&gt;B1294,C1295&lt;&gt;C1294,E1295&lt;&gt;E1294),G1294+1,G1294))</f>
        <v/>
      </c>
    </row>
    <row r="1296">
      <c r="A1296" s="20">
        <f>IF(A1295="","",IF(A1295+1&gt;Ввод!$B$4,"",A1295+1))</f>
        <v/>
      </c>
      <c r="B1296">
        <f>IF(A1296="","",IFERROR(INDEX(Ввод!$B$12:$B$71,MATCH(A1296,Ввод!$D$12:$D$71,1)),""))</f>
        <v/>
      </c>
      <c r="C1296">
        <f>IF(A1296="","",DATE(YEAR(A1296),12,31)-DATE(YEAR(A1296),1,1)+1)</f>
        <v/>
      </c>
      <c r="D1296">
        <f>IF(A1296="","",SUMIFS(Акты!$D$5:$D$16,Акты!$E$5:$E$16,"&lt;="&amp;A1296)-SUMIFS(Оплаты!$B$6:$B$505,Оплаты!$A$6:$A$505,"&lt;"&amp;A1296,Оплаты!$D$6:$D$505,"&lt;&gt;"))</f>
        <v/>
      </c>
      <c r="E1296">
        <f>IF(A1296="","",IF(SUMPRODUCT((Ввод!$F$12:$F$31&lt;&gt;"")*(Ввод!$F$12:$F$31&lt;=A1296)*(Ввод!$G$12:$G$31&gt;=A1296))&gt;0,1,0))</f>
        <v/>
      </c>
      <c r="G1296">
        <f>IF(A1296="","",IF(OR(B1296&lt;&gt;B1295,C1296&lt;&gt;C1295,E1296&lt;&gt;E1295),G1295+1,G1295))</f>
        <v/>
      </c>
    </row>
    <row r="1297">
      <c r="A1297" s="20">
        <f>IF(A1296="","",IF(A1296+1&gt;Ввод!$B$4,"",A1296+1))</f>
        <v/>
      </c>
      <c r="B1297">
        <f>IF(A1297="","",IFERROR(INDEX(Ввод!$B$12:$B$71,MATCH(A1297,Ввод!$D$12:$D$71,1)),""))</f>
        <v/>
      </c>
      <c r="C1297">
        <f>IF(A1297="","",DATE(YEAR(A1297),12,31)-DATE(YEAR(A1297),1,1)+1)</f>
        <v/>
      </c>
      <c r="D1297">
        <f>IF(A1297="","",SUMIFS(Акты!$D$5:$D$16,Акты!$E$5:$E$16,"&lt;="&amp;A1297)-SUMIFS(Оплаты!$B$6:$B$505,Оплаты!$A$6:$A$505,"&lt;"&amp;A1297,Оплаты!$D$6:$D$505,"&lt;&gt;"))</f>
        <v/>
      </c>
      <c r="E1297">
        <f>IF(A1297="","",IF(SUMPRODUCT((Ввод!$F$12:$F$31&lt;&gt;"")*(Ввод!$F$12:$F$31&lt;=A1297)*(Ввод!$G$12:$G$31&gt;=A1297))&gt;0,1,0))</f>
        <v/>
      </c>
      <c r="G1297">
        <f>IF(A1297="","",IF(OR(B1297&lt;&gt;B1296,C1297&lt;&gt;C1296,E1297&lt;&gt;E1296),G1296+1,G1296))</f>
        <v/>
      </c>
    </row>
    <row r="1298">
      <c r="A1298" s="20">
        <f>IF(A1297="","",IF(A1297+1&gt;Ввод!$B$4,"",A1297+1))</f>
        <v/>
      </c>
      <c r="B1298">
        <f>IF(A1298="","",IFERROR(INDEX(Ввод!$B$12:$B$71,MATCH(A1298,Ввод!$D$12:$D$71,1)),""))</f>
        <v/>
      </c>
      <c r="C1298">
        <f>IF(A1298="","",DATE(YEAR(A1298),12,31)-DATE(YEAR(A1298),1,1)+1)</f>
        <v/>
      </c>
      <c r="D1298">
        <f>IF(A1298="","",SUMIFS(Акты!$D$5:$D$16,Акты!$E$5:$E$16,"&lt;="&amp;A1298)-SUMIFS(Оплаты!$B$6:$B$505,Оплаты!$A$6:$A$505,"&lt;"&amp;A1298,Оплаты!$D$6:$D$505,"&lt;&gt;"))</f>
        <v/>
      </c>
      <c r="E1298">
        <f>IF(A1298="","",IF(SUMPRODUCT((Ввод!$F$12:$F$31&lt;&gt;"")*(Ввод!$F$12:$F$31&lt;=A1298)*(Ввод!$G$12:$G$31&gt;=A1298))&gt;0,1,0))</f>
        <v/>
      </c>
      <c r="G1298">
        <f>IF(A1298="","",IF(OR(B1298&lt;&gt;B1297,C1298&lt;&gt;C1297,E1298&lt;&gt;E1297),G1297+1,G1297))</f>
        <v/>
      </c>
    </row>
    <row r="1299">
      <c r="A1299" s="20">
        <f>IF(A1298="","",IF(A1298+1&gt;Ввод!$B$4,"",A1298+1))</f>
        <v/>
      </c>
      <c r="B1299">
        <f>IF(A1299="","",IFERROR(INDEX(Ввод!$B$12:$B$71,MATCH(A1299,Ввод!$D$12:$D$71,1)),""))</f>
        <v/>
      </c>
      <c r="C1299">
        <f>IF(A1299="","",DATE(YEAR(A1299),12,31)-DATE(YEAR(A1299),1,1)+1)</f>
        <v/>
      </c>
      <c r="D1299">
        <f>IF(A1299="","",SUMIFS(Акты!$D$5:$D$16,Акты!$E$5:$E$16,"&lt;="&amp;A1299)-SUMIFS(Оплаты!$B$6:$B$505,Оплаты!$A$6:$A$505,"&lt;"&amp;A1299,Оплаты!$D$6:$D$505,"&lt;&gt;"))</f>
        <v/>
      </c>
      <c r="E1299">
        <f>IF(A1299="","",IF(SUMPRODUCT((Ввод!$F$12:$F$31&lt;&gt;"")*(Ввод!$F$12:$F$31&lt;=A1299)*(Ввод!$G$12:$G$31&gt;=A1299))&gt;0,1,0))</f>
        <v/>
      </c>
      <c r="G1299">
        <f>IF(A1299="","",IF(OR(B1299&lt;&gt;B1298,C1299&lt;&gt;C1298,E1299&lt;&gt;E1298),G1298+1,G1298))</f>
        <v/>
      </c>
    </row>
    <row r="1300">
      <c r="A1300" s="20">
        <f>IF(A1299="","",IF(A1299+1&gt;Ввод!$B$4,"",A1299+1))</f>
        <v/>
      </c>
      <c r="B1300">
        <f>IF(A1300="","",IFERROR(INDEX(Ввод!$B$12:$B$71,MATCH(A1300,Ввод!$D$12:$D$71,1)),""))</f>
        <v/>
      </c>
      <c r="C1300">
        <f>IF(A1300="","",DATE(YEAR(A1300),12,31)-DATE(YEAR(A1300),1,1)+1)</f>
        <v/>
      </c>
      <c r="D1300">
        <f>IF(A1300="","",SUMIFS(Акты!$D$5:$D$16,Акты!$E$5:$E$16,"&lt;="&amp;A1300)-SUMIFS(Оплаты!$B$6:$B$505,Оплаты!$A$6:$A$505,"&lt;"&amp;A1300,Оплаты!$D$6:$D$505,"&lt;&gt;"))</f>
        <v/>
      </c>
      <c r="E1300">
        <f>IF(A1300="","",IF(SUMPRODUCT((Ввод!$F$12:$F$31&lt;&gt;"")*(Ввод!$F$12:$F$31&lt;=A1300)*(Ввод!$G$12:$G$31&gt;=A1300))&gt;0,1,0))</f>
        <v/>
      </c>
      <c r="G1300">
        <f>IF(A1300="","",IF(OR(B1300&lt;&gt;B1299,C1300&lt;&gt;C1299,E1300&lt;&gt;E1299),G1299+1,G1299))</f>
        <v/>
      </c>
    </row>
    <row r="1301">
      <c r="A1301" s="20">
        <f>IF(A1300="","",IF(A1300+1&gt;Ввод!$B$4,"",A1300+1))</f>
        <v/>
      </c>
      <c r="B1301">
        <f>IF(A1301="","",IFERROR(INDEX(Ввод!$B$12:$B$71,MATCH(A1301,Ввод!$D$12:$D$71,1)),""))</f>
        <v/>
      </c>
      <c r="C1301">
        <f>IF(A1301="","",DATE(YEAR(A1301),12,31)-DATE(YEAR(A1301),1,1)+1)</f>
        <v/>
      </c>
      <c r="D1301">
        <f>IF(A1301="","",SUMIFS(Акты!$D$5:$D$16,Акты!$E$5:$E$16,"&lt;="&amp;A1301)-SUMIFS(Оплаты!$B$6:$B$505,Оплаты!$A$6:$A$505,"&lt;"&amp;A1301,Оплаты!$D$6:$D$505,"&lt;&gt;"))</f>
        <v/>
      </c>
      <c r="E1301">
        <f>IF(A1301="","",IF(SUMPRODUCT((Ввод!$F$12:$F$31&lt;&gt;"")*(Ввод!$F$12:$F$31&lt;=A1301)*(Ввод!$G$12:$G$31&gt;=A1301))&gt;0,1,0))</f>
        <v/>
      </c>
      <c r="G1301">
        <f>IF(A1301="","",IF(OR(B1301&lt;&gt;B1300,C1301&lt;&gt;C1300,E1301&lt;&gt;E1300),G1300+1,G1300))</f>
        <v/>
      </c>
    </row>
    <row r="1302">
      <c r="A1302" s="20">
        <f>IF(A1301="","",IF(A1301+1&gt;Ввод!$B$4,"",A1301+1))</f>
        <v/>
      </c>
      <c r="B1302">
        <f>IF(A1302="","",IFERROR(INDEX(Ввод!$B$12:$B$71,MATCH(A1302,Ввод!$D$12:$D$71,1)),""))</f>
        <v/>
      </c>
      <c r="C1302">
        <f>IF(A1302="","",DATE(YEAR(A1302),12,31)-DATE(YEAR(A1302),1,1)+1)</f>
        <v/>
      </c>
      <c r="D1302">
        <f>IF(A1302="","",SUMIFS(Акты!$D$5:$D$16,Акты!$E$5:$E$16,"&lt;="&amp;A1302)-SUMIFS(Оплаты!$B$6:$B$505,Оплаты!$A$6:$A$505,"&lt;"&amp;A1302,Оплаты!$D$6:$D$505,"&lt;&gt;"))</f>
        <v/>
      </c>
      <c r="E1302">
        <f>IF(A1302="","",IF(SUMPRODUCT((Ввод!$F$12:$F$31&lt;&gt;"")*(Ввод!$F$12:$F$31&lt;=A1302)*(Ввод!$G$12:$G$31&gt;=A1302))&gt;0,1,0))</f>
        <v/>
      </c>
      <c r="G1302">
        <f>IF(A1302="","",IF(OR(B1302&lt;&gt;B1301,C1302&lt;&gt;C1301,E1302&lt;&gt;E1301),G1301+1,G1301))</f>
        <v/>
      </c>
    </row>
    <row r="1303">
      <c r="A1303" s="20">
        <f>IF(A1302="","",IF(A1302+1&gt;Ввод!$B$4,"",A1302+1))</f>
        <v/>
      </c>
      <c r="B1303">
        <f>IF(A1303="","",IFERROR(INDEX(Ввод!$B$12:$B$71,MATCH(A1303,Ввод!$D$12:$D$71,1)),""))</f>
        <v/>
      </c>
      <c r="C1303">
        <f>IF(A1303="","",DATE(YEAR(A1303),12,31)-DATE(YEAR(A1303),1,1)+1)</f>
        <v/>
      </c>
      <c r="D1303">
        <f>IF(A1303="","",SUMIFS(Акты!$D$5:$D$16,Акты!$E$5:$E$16,"&lt;="&amp;A1303)-SUMIFS(Оплаты!$B$6:$B$505,Оплаты!$A$6:$A$505,"&lt;"&amp;A1303,Оплаты!$D$6:$D$505,"&lt;&gt;"))</f>
        <v/>
      </c>
      <c r="E1303">
        <f>IF(A1303="","",IF(SUMPRODUCT((Ввод!$F$12:$F$31&lt;&gt;"")*(Ввод!$F$12:$F$31&lt;=A1303)*(Ввод!$G$12:$G$31&gt;=A1303))&gt;0,1,0))</f>
        <v/>
      </c>
      <c r="G1303">
        <f>IF(A1303="","",IF(OR(B1303&lt;&gt;B1302,C1303&lt;&gt;C1302,E1303&lt;&gt;E1302),G1302+1,G1302))</f>
        <v/>
      </c>
    </row>
    <row r="1304">
      <c r="A1304" s="20">
        <f>IF(A1303="","",IF(A1303+1&gt;Ввод!$B$4,"",A1303+1))</f>
        <v/>
      </c>
      <c r="B1304">
        <f>IF(A1304="","",IFERROR(INDEX(Ввод!$B$12:$B$71,MATCH(A1304,Ввод!$D$12:$D$71,1)),""))</f>
        <v/>
      </c>
      <c r="C1304">
        <f>IF(A1304="","",DATE(YEAR(A1304),12,31)-DATE(YEAR(A1304),1,1)+1)</f>
        <v/>
      </c>
      <c r="D1304">
        <f>IF(A1304="","",SUMIFS(Акты!$D$5:$D$16,Акты!$E$5:$E$16,"&lt;="&amp;A1304)-SUMIFS(Оплаты!$B$6:$B$505,Оплаты!$A$6:$A$505,"&lt;"&amp;A1304,Оплаты!$D$6:$D$505,"&lt;&gt;"))</f>
        <v/>
      </c>
      <c r="E1304">
        <f>IF(A1304="","",IF(SUMPRODUCT((Ввод!$F$12:$F$31&lt;&gt;"")*(Ввод!$F$12:$F$31&lt;=A1304)*(Ввод!$G$12:$G$31&gt;=A1304))&gt;0,1,0))</f>
        <v/>
      </c>
      <c r="G1304">
        <f>IF(A1304="","",IF(OR(B1304&lt;&gt;B1303,C1304&lt;&gt;C1303,E1304&lt;&gt;E1303),G1303+1,G1303))</f>
        <v/>
      </c>
    </row>
    <row r="1305">
      <c r="A1305" s="20">
        <f>IF(A1304="","",IF(A1304+1&gt;Ввод!$B$4,"",A1304+1))</f>
        <v/>
      </c>
      <c r="B1305">
        <f>IF(A1305="","",IFERROR(INDEX(Ввод!$B$12:$B$71,MATCH(A1305,Ввод!$D$12:$D$71,1)),""))</f>
        <v/>
      </c>
      <c r="C1305">
        <f>IF(A1305="","",DATE(YEAR(A1305),12,31)-DATE(YEAR(A1305),1,1)+1)</f>
        <v/>
      </c>
      <c r="D1305">
        <f>IF(A1305="","",SUMIFS(Акты!$D$5:$D$16,Акты!$E$5:$E$16,"&lt;="&amp;A1305)-SUMIFS(Оплаты!$B$6:$B$505,Оплаты!$A$6:$A$505,"&lt;"&amp;A1305,Оплаты!$D$6:$D$505,"&lt;&gt;"))</f>
        <v/>
      </c>
      <c r="E1305">
        <f>IF(A1305="","",IF(SUMPRODUCT((Ввод!$F$12:$F$31&lt;&gt;"")*(Ввод!$F$12:$F$31&lt;=A1305)*(Ввод!$G$12:$G$31&gt;=A1305))&gt;0,1,0))</f>
        <v/>
      </c>
      <c r="G1305">
        <f>IF(A1305="","",IF(OR(B1305&lt;&gt;B1304,C1305&lt;&gt;C1304,E1305&lt;&gt;E1304),G1304+1,G1304))</f>
        <v/>
      </c>
    </row>
    <row r="1306">
      <c r="A1306" s="20">
        <f>IF(A1305="","",IF(A1305+1&gt;Ввод!$B$4,"",A1305+1))</f>
        <v/>
      </c>
      <c r="B1306">
        <f>IF(A1306="","",IFERROR(INDEX(Ввод!$B$12:$B$71,MATCH(A1306,Ввод!$D$12:$D$71,1)),""))</f>
        <v/>
      </c>
      <c r="C1306">
        <f>IF(A1306="","",DATE(YEAR(A1306),12,31)-DATE(YEAR(A1306),1,1)+1)</f>
        <v/>
      </c>
      <c r="D1306">
        <f>IF(A1306="","",SUMIFS(Акты!$D$5:$D$16,Акты!$E$5:$E$16,"&lt;="&amp;A1306)-SUMIFS(Оплаты!$B$6:$B$505,Оплаты!$A$6:$A$505,"&lt;"&amp;A1306,Оплаты!$D$6:$D$505,"&lt;&gt;"))</f>
        <v/>
      </c>
      <c r="E1306">
        <f>IF(A1306="","",IF(SUMPRODUCT((Ввод!$F$12:$F$31&lt;&gt;"")*(Ввод!$F$12:$F$31&lt;=A1306)*(Ввод!$G$12:$G$31&gt;=A1306))&gt;0,1,0))</f>
        <v/>
      </c>
      <c r="G1306">
        <f>IF(A1306="","",IF(OR(B1306&lt;&gt;B1305,C1306&lt;&gt;C1305,E1306&lt;&gt;E1305),G1305+1,G1305))</f>
        <v/>
      </c>
    </row>
    <row r="1307">
      <c r="A1307" s="20">
        <f>IF(A1306="","",IF(A1306+1&gt;Ввод!$B$4,"",A1306+1))</f>
        <v/>
      </c>
      <c r="B1307">
        <f>IF(A1307="","",IFERROR(INDEX(Ввод!$B$12:$B$71,MATCH(A1307,Ввод!$D$12:$D$71,1)),""))</f>
        <v/>
      </c>
      <c r="C1307">
        <f>IF(A1307="","",DATE(YEAR(A1307),12,31)-DATE(YEAR(A1307),1,1)+1)</f>
        <v/>
      </c>
      <c r="D1307">
        <f>IF(A1307="","",SUMIFS(Акты!$D$5:$D$16,Акты!$E$5:$E$16,"&lt;="&amp;A1307)-SUMIFS(Оплаты!$B$6:$B$505,Оплаты!$A$6:$A$505,"&lt;"&amp;A1307,Оплаты!$D$6:$D$505,"&lt;&gt;"))</f>
        <v/>
      </c>
      <c r="E1307">
        <f>IF(A1307="","",IF(SUMPRODUCT((Ввод!$F$12:$F$31&lt;&gt;"")*(Ввод!$F$12:$F$31&lt;=A1307)*(Ввод!$G$12:$G$31&gt;=A1307))&gt;0,1,0))</f>
        <v/>
      </c>
      <c r="G1307">
        <f>IF(A1307="","",IF(OR(B1307&lt;&gt;B1306,C1307&lt;&gt;C1306,E1307&lt;&gt;E1306),G1306+1,G1306))</f>
        <v/>
      </c>
    </row>
    <row r="1308">
      <c r="A1308" s="20">
        <f>IF(A1307="","",IF(A1307+1&gt;Ввод!$B$4,"",A1307+1))</f>
        <v/>
      </c>
      <c r="B1308">
        <f>IF(A1308="","",IFERROR(INDEX(Ввод!$B$12:$B$71,MATCH(A1308,Ввод!$D$12:$D$71,1)),""))</f>
        <v/>
      </c>
      <c r="C1308">
        <f>IF(A1308="","",DATE(YEAR(A1308),12,31)-DATE(YEAR(A1308),1,1)+1)</f>
        <v/>
      </c>
      <c r="D1308">
        <f>IF(A1308="","",SUMIFS(Акты!$D$5:$D$16,Акты!$E$5:$E$16,"&lt;="&amp;A1308)-SUMIFS(Оплаты!$B$6:$B$505,Оплаты!$A$6:$A$505,"&lt;"&amp;A1308,Оплаты!$D$6:$D$505,"&lt;&gt;"))</f>
        <v/>
      </c>
      <c r="E1308">
        <f>IF(A1308="","",IF(SUMPRODUCT((Ввод!$F$12:$F$31&lt;&gt;"")*(Ввод!$F$12:$F$31&lt;=A1308)*(Ввод!$G$12:$G$31&gt;=A1308))&gt;0,1,0))</f>
        <v/>
      </c>
      <c r="G1308">
        <f>IF(A1308="","",IF(OR(B1308&lt;&gt;B1307,C1308&lt;&gt;C1307,E1308&lt;&gt;E1307),G1307+1,G1307))</f>
        <v/>
      </c>
    </row>
    <row r="1309">
      <c r="A1309" s="20">
        <f>IF(A1308="","",IF(A1308+1&gt;Ввод!$B$4,"",A1308+1))</f>
        <v/>
      </c>
      <c r="B1309">
        <f>IF(A1309="","",IFERROR(INDEX(Ввод!$B$12:$B$71,MATCH(A1309,Ввод!$D$12:$D$71,1)),""))</f>
        <v/>
      </c>
      <c r="C1309">
        <f>IF(A1309="","",DATE(YEAR(A1309),12,31)-DATE(YEAR(A1309),1,1)+1)</f>
        <v/>
      </c>
      <c r="D1309">
        <f>IF(A1309="","",SUMIFS(Акты!$D$5:$D$16,Акты!$E$5:$E$16,"&lt;="&amp;A1309)-SUMIFS(Оплаты!$B$6:$B$505,Оплаты!$A$6:$A$505,"&lt;"&amp;A1309,Оплаты!$D$6:$D$505,"&lt;&gt;"))</f>
        <v/>
      </c>
      <c r="E1309">
        <f>IF(A1309="","",IF(SUMPRODUCT((Ввод!$F$12:$F$31&lt;&gt;"")*(Ввод!$F$12:$F$31&lt;=A1309)*(Ввод!$G$12:$G$31&gt;=A1309))&gt;0,1,0))</f>
        <v/>
      </c>
      <c r="G1309">
        <f>IF(A1309="","",IF(OR(B1309&lt;&gt;B1308,C1309&lt;&gt;C1308,E1309&lt;&gt;E1308),G1308+1,G1308))</f>
        <v/>
      </c>
    </row>
    <row r="1310">
      <c r="A1310" s="20">
        <f>IF(A1309="","",IF(A1309+1&gt;Ввод!$B$4,"",A1309+1))</f>
        <v/>
      </c>
      <c r="B1310">
        <f>IF(A1310="","",IFERROR(INDEX(Ввод!$B$12:$B$71,MATCH(A1310,Ввод!$D$12:$D$71,1)),""))</f>
        <v/>
      </c>
      <c r="C1310">
        <f>IF(A1310="","",DATE(YEAR(A1310),12,31)-DATE(YEAR(A1310),1,1)+1)</f>
        <v/>
      </c>
      <c r="D1310">
        <f>IF(A1310="","",SUMIFS(Акты!$D$5:$D$16,Акты!$E$5:$E$16,"&lt;="&amp;A1310)-SUMIFS(Оплаты!$B$6:$B$505,Оплаты!$A$6:$A$505,"&lt;"&amp;A1310,Оплаты!$D$6:$D$505,"&lt;&gt;"))</f>
        <v/>
      </c>
      <c r="E1310">
        <f>IF(A1310="","",IF(SUMPRODUCT((Ввод!$F$12:$F$31&lt;&gt;"")*(Ввод!$F$12:$F$31&lt;=A1310)*(Ввод!$G$12:$G$31&gt;=A1310))&gt;0,1,0))</f>
        <v/>
      </c>
      <c r="G1310">
        <f>IF(A1310="","",IF(OR(B1310&lt;&gt;B1309,C1310&lt;&gt;C1309,E1310&lt;&gt;E1309),G1309+1,G1309))</f>
        <v/>
      </c>
    </row>
    <row r="1311">
      <c r="A1311" s="20">
        <f>IF(A1310="","",IF(A1310+1&gt;Ввод!$B$4,"",A1310+1))</f>
        <v/>
      </c>
      <c r="B1311">
        <f>IF(A1311="","",IFERROR(INDEX(Ввод!$B$12:$B$71,MATCH(A1311,Ввод!$D$12:$D$71,1)),""))</f>
        <v/>
      </c>
      <c r="C1311">
        <f>IF(A1311="","",DATE(YEAR(A1311),12,31)-DATE(YEAR(A1311),1,1)+1)</f>
        <v/>
      </c>
      <c r="D1311">
        <f>IF(A1311="","",SUMIFS(Акты!$D$5:$D$16,Акты!$E$5:$E$16,"&lt;="&amp;A1311)-SUMIFS(Оплаты!$B$6:$B$505,Оплаты!$A$6:$A$505,"&lt;"&amp;A1311,Оплаты!$D$6:$D$505,"&lt;&gt;"))</f>
        <v/>
      </c>
      <c r="E1311">
        <f>IF(A1311="","",IF(SUMPRODUCT((Ввод!$F$12:$F$31&lt;&gt;"")*(Ввод!$F$12:$F$31&lt;=A1311)*(Ввод!$G$12:$G$31&gt;=A1311))&gt;0,1,0))</f>
        <v/>
      </c>
      <c r="G1311">
        <f>IF(A1311="","",IF(OR(B1311&lt;&gt;B1310,C1311&lt;&gt;C1310,E1311&lt;&gt;E1310),G1310+1,G1310))</f>
        <v/>
      </c>
    </row>
    <row r="1312">
      <c r="A1312" s="20">
        <f>IF(A1311="","",IF(A1311+1&gt;Ввод!$B$4,"",A1311+1))</f>
        <v/>
      </c>
      <c r="B1312">
        <f>IF(A1312="","",IFERROR(INDEX(Ввод!$B$12:$B$71,MATCH(A1312,Ввод!$D$12:$D$71,1)),""))</f>
        <v/>
      </c>
      <c r="C1312">
        <f>IF(A1312="","",DATE(YEAR(A1312),12,31)-DATE(YEAR(A1312),1,1)+1)</f>
        <v/>
      </c>
      <c r="D1312">
        <f>IF(A1312="","",SUMIFS(Акты!$D$5:$D$16,Акты!$E$5:$E$16,"&lt;="&amp;A1312)-SUMIFS(Оплаты!$B$6:$B$505,Оплаты!$A$6:$A$505,"&lt;"&amp;A1312,Оплаты!$D$6:$D$505,"&lt;&gt;"))</f>
        <v/>
      </c>
      <c r="E1312">
        <f>IF(A1312="","",IF(SUMPRODUCT((Ввод!$F$12:$F$31&lt;&gt;"")*(Ввод!$F$12:$F$31&lt;=A1312)*(Ввод!$G$12:$G$31&gt;=A1312))&gt;0,1,0))</f>
        <v/>
      </c>
      <c r="G1312">
        <f>IF(A1312="","",IF(OR(B1312&lt;&gt;B1311,C1312&lt;&gt;C1311,E1312&lt;&gt;E1311),G1311+1,G1311))</f>
        <v/>
      </c>
    </row>
    <row r="1313">
      <c r="A1313" s="20">
        <f>IF(A1312="","",IF(A1312+1&gt;Ввод!$B$4,"",A1312+1))</f>
        <v/>
      </c>
      <c r="B1313">
        <f>IF(A1313="","",IFERROR(INDEX(Ввод!$B$12:$B$71,MATCH(A1313,Ввод!$D$12:$D$71,1)),""))</f>
        <v/>
      </c>
      <c r="C1313">
        <f>IF(A1313="","",DATE(YEAR(A1313),12,31)-DATE(YEAR(A1313),1,1)+1)</f>
        <v/>
      </c>
      <c r="D1313">
        <f>IF(A1313="","",SUMIFS(Акты!$D$5:$D$16,Акты!$E$5:$E$16,"&lt;="&amp;A1313)-SUMIFS(Оплаты!$B$6:$B$505,Оплаты!$A$6:$A$505,"&lt;"&amp;A1313,Оплаты!$D$6:$D$505,"&lt;&gt;"))</f>
        <v/>
      </c>
      <c r="E1313">
        <f>IF(A1313="","",IF(SUMPRODUCT((Ввод!$F$12:$F$31&lt;&gt;"")*(Ввод!$F$12:$F$31&lt;=A1313)*(Ввод!$G$12:$G$31&gt;=A1313))&gt;0,1,0))</f>
        <v/>
      </c>
      <c r="G1313">
        <f>IF(A1313="","",IF(OR(B1313&lt;&gt;B1312,C1313&lt;&gt;C1312,E1313&lt;&gt;E1312),G1312+1,G1312))</f>
        <v/>
      </c>
    </row>
    <row r="1314">
      <c r="A1314" s="20">
        <f>IF(A1313="","",IF(A1313+1&gt;Ввод!$B$4,"",A1313+1))</f>
        <v/>
      </c>
      <c r="B1314">
        <f>IF(A1314="","",IFERROR(INDEX(Ввод!$B$12:$B$71,MATCH(A1314,Ввод!$D$12:$D$71,1)),""))</f>
        <v/>
      </c>
      <c r="C1314">
        <f>IF(A1314="","",DATE(YEAR(A1314),12,31)-DATE(YEAR(A1314),1,1)+1)</f>
        <v/>
      </c>
      <c r="D1314">
        <f>IF(A1314="","",SUMIFS(Акты!$D$5:$D$16,Акты!$E$5:$E$16,"&lt;="&amp;A1314)-SUMIFS(Оплаты!$B$6:$B$505,Оплаты!$A$6:$A$505,"&lt;"&amp;A1314,Оплаты!$D$6:$D$505,"&lt;&gt;"))</f>
        <v/>
      </c>
      <c r="E1314">
        <f>IF(A1314="","",IF(SUMPRODUCT((Ввод!$F$12:$F$31&lt;&gt;"")*(Ввод!$F$12:$F$31&lt;=A1314)*(Ввод!$G$12:$G$31&gt;=A1314))&gt;0,1,0))</f>
        <v/>
      </c>
      <c r="G1314">
        <f>IF(A1314="","",IF(OR(B1314&lt;&gt;B1313,C1314&lt;&gt;C1313,E1314&lt;&gt;E1313),G1313+1,G1313))</f>
        <v/>
      </c>
    </row>
    <row r="1315">
      <c r="A1315" s="20">
        <f>IF(A1314="","",IF(A1314+1&gt;Ввод!$B$4,"",A1314+1))</f>
        <v/>
      </c>
      <c r="B1315">
        <f>IF(A1315="","",IFERROR(INDEX(Ввод!$B$12:$B$71,MATCH(A1315,Ввод!$D$12:$D$71,1)),""))</f>
        <v/>
      </c>
      <c r="C1315">
        <f>IF(A1315="","",DATE(YEAR(A1315),12,31)-DATE(YEAR(A1315),1,1)+1)</f>
        <v/>
      </c>
      <c r="D1315">
        <f>IF(A1315="","",SUMIFS(Акты!$D$5:$D$16,Акты!$E$5:$E$16,"&lt;="&amp;A1315)-SUMIFS(Оплаты!$B$6:$B$505,Оплаты!$A$6:$A$505,"&lt;"&amp;A1315,Оплаты!$D$6:$D$505,"&lt;&gt;"))</f>
        <v/>
      </c>
      <c r="E1315">
        <f>IF(A1315="","",IF(SUMPRODUCT((Ввод!$F$12:$F$31&lt;&gt;"")*(Ввод!$F$12:$F$31&lt;=A1315)*(Ввод!$G$12:$G$31&gt;=A1315))&gt;0,1,0))</f>
        <v/>
      </c>
      <c r="G1315">
        <f>IF(A1315="","",IF(OR(B1315&lt;&gt;B1314,C1315&lt;&gt;C1314,E1315&lt;&gt;E1314),G1314+1,G1314))</f>
        <v/>
      </c>
    </row>
    <row r="1316">
      <c r="A1316" s="20">
        <f>IF(A1315="","",IF(A1315+1&gt;Ввод!$B$4,"",A1315+1))</f>
        <v/>
      </c>
      <c r="B1316">
        <f>IF(A1316="","",IFERROR(INDEX(Ввод!$B$12:$B$71,MATCH(A1316,Ввод!$D$12:$D$71,1)),""))</f>
        <v/>
      </c>
      <c r="C1316">
        <f>IF(A1316="","",DATE(YEAR(A1316),12,31)-DATE(YEAR(A1316),1,1)+1)</f>
        <v/>
      </c>
      <c r="D1316">
        <f>IF(A1316="","",SUMIFS(Акты!$D$5:$D$16,Акты!$E$5:$E$16,"&lt;="&amp;A1316)-SUMIFS(Оплаты!$B$6:$B$505,Оплаты!$A$6:$A$505,"&lt;"&amp;A1316,Оплаты!$D$6:$D$505,"&lt;&gt;"))</f>
        <v/>
      </c>
      <c r="E1316">
        <f>IF(A1316="","",IF(SUMPRODUCT((Ввод!$F$12:$F$31&lt;&gt;"")*(Ввод!$F$12:$F$31&lt;=A1316)*(Ввод!$G$12:$G$31&gt;=A1316))&gt;0,1,0))</f>
        <v/>
      </c>
      <c r="G1316">
        <f>IF(A1316="","",IF(OR(B1316&lt;&gt;B1315,C1316&lt;&gt;C1315,E1316&lt;&gt;E1315),G1315+1,G1315))</f>
        <v/>
      </c>
    </row>
    <row r="1317">
      <c r="A1317" s="20">
        <f>IF(A1316="","",IF(A1316+1&gt;Ввод!$B$4,"",A1316+1))</f>
        <v/>
      </c>
      <c r="B1317">
        <f>IF(A1317="","",IFERROR(INDEX(Ввод!$B$12:$B$71,MATCH(A1317,Ввод!$D$12:$D$71,1)),""))</f>
        <v/>
      </c>
      <c r="C1317">
        <f>IF(A1317="","",DATE(YEAR(A1317),12,31)-DATE(YEAR(A1317),1,1)+1)</f>
        <v/>
      </c>
      <c r="D1317">
        <f>IF(A1317="","",SUMIFS(Акты!$D$5:$D$16,Акты!$E$5:$E$16,"&lt;="&amp;A1317)-SUMIFS(Оплаты!$B$6:$B$505,Оплаты!$A$6:$A$505,"&lt;"&amp;A1317,Оплаты!$D$6:$D$505,"&lt;&gt;"))</f>
        <v/>
      </c>
      <c r="E1317">
        <f>IF(A1317="","",IF(SUMPRODUCT((Ввод!$F$12:$F$31&lt;&gt;"")*(Ввод!$F$12:$F$31&lt;=A1317)*(Ввод!$G$12:$G$31&gt;=A1317))&gt;0,1,0))</f>
        <v/>
      </c>
      <c r="G1317">
        <f>IF(A1317="","",IF(OR(B1317&lt;&gt;B1316,C1317&lt;&gt;C1316,E1317&lt;&gt;E1316),G1316+1,G1316))</f>
        <v/>
      </c>
    </row>
    <row r="1318">
      <c r="A1318" s="20">
        <f>IF(A1317="","",IF(A1317+1&gt;Ввод!$B$4,"",A1317+1))</f>
        <v/>
      </c>
      <c r="B1318">
        <f>IF(A1318="","",IFERROR(INDEX(Ввод!$B$12:$B$71,MATCH(A1318,Ввод!$D$12:$D$71,1)),""))</f>
        <v/>
      </c>
      <c r="C1318">
        <f>IF(A1318="","",DATE(YEAR(A1318),12,31)-DATE(YEAR(A1318),1,1)+1)</f>
        <v/>
      </c>
      <c r="D1318">
        <f>IF(A1318="","",SUMIFS(Акты!$D$5:$D$16,Акты!$E$5:$E$16,"&lt;="&amp;A1318)-SUMIFS(Оплаты!$B$6:$B$505,Оплаты!$A$6:$A$505,"&lt;"&amp;A1318,Оплаты!$D$6:$D$505,"&lt;&gt;"))</f>
        <v/>
      </c>
      <c r="E1318">
        <f>IF(A1318="","",IF(SUMPRODUCT((Ввод!$F$12:$F$31&lt;&gt;"")*(Ввод!$F$12:$F$31&lt;=A1318)*(Ввод!$G$12:$G$31&gt;=A1318))&gt;0,1,0))</f>
        <v/>
      </c>
      <c r="G1318">
        <f>IF(A1318="","",IF(OR(B1318&lt;&gt;B1317,C1318&lt;&gt;C1317,E1318&lt;&gt;E1317),G1317+1,G1317))</f>
        <v/>
      </c>
    </row>
    <row r="1319">
      <c r="A1319" s="20">
        <f>IF(A1318="","",IF(A1318+1&gt;Ввод!$B$4,"",A1318+1))</f>
        <v/>
      </c>
      <c r="B1319">
        <f>IF(A1319="","",IFERROR(INDEX(Ввод!$B$12:$B$71,MATCH(A1319,Ввод!$D$12:$D$71,1)),""))</f>
        <v/>
      </c>
      <c r="C1319">
        <f>IF(A1319="","",DATE(YEAR(A1319),12,31)-DATE(YEAR(A1319),1,1)+1)</f>
        <v/>
      </c>
      <c r="D1319">
        <f>IF(A1319="","",SUMIFS(Акты!$D$5:$D$16,Акты!$E$5:$E$16,"&lt;="&amp;A1319)-SUMIFS(Оплаты!$B$6:$B$505,Оплаты!$A$6:$A$505,"&lt;"&amp;A1319,Оплаты!$D$6:$D$505,"&lt;&gt;"))</f>
        <v/>
      </c>
      <c r="E1319">
        <f>IF(A1319="","",IF(SUMPRODUCT((Ввод!$F$12:$F$31&lt;&gt;"")*(Ввод!$F$12:$F$31&lt;=A1319)*(Ввод!$G$12:$G$31&gt;=A1319))&gt;0,1,0))</f>
        <v/>
      </c>
      <c r="G1319">
        <f>IF(A1319="","",IF(OR(B1319&lt;&gt;B1318,C1319&lt;&gt;C1318,E1319&lt;&gt;E1318),G1318+1,G1318))</f>
        <v/>
      </c>
    </row>
    <row r="1320">
      <c r="A1320" s="20">
        <f>IF(A1319="","",IF(A1319+1&gt;Ввод!$B$4,"",A1319+1))</f>
        <v/>
      </c>
      <c r="B1320">
        <f>IF(A1320="","",IFERROR(INDEX(Ввод!$B$12:$B$71,MATCH(A1320,Ввод!$D$12:$D$71,1)),""))</f>
        <v/>
      </c>
      <c r="C1320">
        <f>IF(A1320="","",DATE(YEAR(A1320),12,31)-DATE(YEAR(A1320),1,1)+1)</f>
        <v/>
      </c>
      <c r="D1320">
        <f>IF(A1320="","",SUMIFS(Акты!$D$5:$D$16,Акты!$E$5:$E$16,"&lt;="&amp;A1320)-SUMIFS(Оплаты!$B$6:$B$505,Оплаты!$A$6:$A$505,"&lt;"&amp;A1320,Оплаты!$D$6:$D$505,"&lt;&gt;"))</f>
        <v/>
      </c>
      <c r="E1320">
        <f>IF(A1320="","",IF(SUMPRODUCT((Ввод!$F$12:$F$31&lt;&gt;"")*(Ввод!$F$12:$F$31&lt;=A1320)*(Ввод!$G$12:$G$31&gt;=A1320))&gt;0,1,0))</f>
        <v/>
      </c>
      <c r="G1320">
        <f>IF(A1320="","",IF(OR(B1320&lt;&gt;B1319,C1320&lt;&gt;C1319,E1320&lt;&gt;E1319),G1319+1,G1319))</f>
        <v/>
      </c>
    </row>
    <row r="1321">
      <c r="A1321" s="20">
        <f>IF(A1320="","",IF(A1320+1&gt;Ввод!$B$4,"",A1320+1))</f>
        <v/>
      </c>
      <c r="B1321">
        <f>IF(A1321="","",IFERROR(INDEX(Ввод!$B$12:$B$71,MATCH(A1321,Ввод!$D$12:$D$71,1)),""))</f>
        <v/>
      </c>
      <c r="C1321">
        <f>IF(A1321="","",DATE(YEAR(A1321),12,31)-DATE(YEAR(A1321),1,1)+1)</f>
        <v/>
      </c>
      <c r="D1321">
        <f>IF(A1321="","",SUMIFS(Акты!$D$5:$D$16,Акты!$E$5:$E$16,"&lt;="&amp;A1321)-SUMIFS(Оплаты!$B$6:$B$505,Оплаты!$A$6:$A$505,"&lt;"&amp;A1321,Оплаты!$D$6:$D$505,"&lt;&gt;"))</f>
        <v/>
      </c>
      <c r="E1321">
        <f>IF(A1321="","",IF(SUMPRODUCT((Ввод!$F$12:$F$31&lt;&gt;"")*(Ввод!$F$12:$F$31&lt;=A1321)*(Ввод!$G$12:$G$31&gt;=A1321))&gt;0,1,0))</f>
        <v/>
      </c>
      <c r="G1321">
        <f>IF(A1321="","",IF(OR(B1321&lt;&gt;B1320,C1321&lt;&gt;C1320,E1321&lt;&gt;E1320),G1320+1,G1320))</f>
        <v/>
      </c>
    </row>
    <row r="1322">
      <c r="A1322" s="20">
        <f>IF(A1321="","",IF(A1321+1&gt;Ввод!$B$4,"",A1321+1))</f>
        <v/>
      </c>
      <c r="B1322">
        <f>IF(A1322="","",IFERROR(INDEX(Ввод!$B$12:$B$71,MATCH(A1322,Ввод!$D$12:$D$71,1)),""))</f>
        <v/>
      </c>
      <c r="C1322">
        <f>IF(A1322="","",DATE(YEAR(A1322),12,31)-DATE(YEAR(A1322),1,1)+1)</f>
        <v/>
      </c>
      <c r="D1322">
        <f>IF(A1322="","",SUMIFS(Акты!$D$5:$D$16,Акты!$E$5:$E$16,"&lt;="&amp;A1322)-SUMIFS(Оплаты!$B$6:$B$505,Оплаты!$A$6:$A$505,"&lt;"&amp;A1322,Оплаты!$D$6:$D$505,"&lt;&gt;"))</f>
        <v/>
      </c>
      <c r="E1322">
        <f>IF(A1322="","",IF(SUMPRODUCT((Ввод!$F$12:$F$31&lt;&gt;"")*(Ввод!$F$12:$F$31&lt;=A1322)*(Ввод!$G$12:$G$31&gt;=A1322))&gt;0,1,0))</f>
        <v/>
      </c>
      <c r="G1322">
        <f>IF(A1322="","",IF(OR(B1322&lt;&gt;B1321,C1322&lt;&gt;C1321,E1322&lt;&gt;E1321),G1321+1,G1321))</f>
        <v/>
      </c>
    </row>
    <row r="1323">
      <c r="A1323" s="20">
        <f>IF(A1322="","",IF(A1322+1&gt;Ввод!$B$4,"",A1322+1))</f>
        <v/>
      </c>
      <c r="B1323">
        <f>IF(A1323="","",IFERROR(INDEX(Ввод!$B$12:$B$71,MATCH(A1323,Ввод!$D$12:$D$71,1)),""))</f>
        <v/>
      </c>
      <c r="C1323">
        <f>IF(A1323="","",DATE(YEAR(A1323),12,31)-DATE(YEAR(A1323),1,1)+1)</f>
        <v/>
      </c>
      <c r="D1323">
        <f>IF(A1323="","",SUMIFS(Акты!$D$5:$D$16,Акты!$E$5:$E$16,"&lt;="&amp;A1323)-SUMIFS(Оплаты!$B$6:$B$505,Оплаты!$A$6:$A$505,"&lt;"&amp;A1323,Оплаты!$D$6:$D$505,"&lt;&gt;"))</f>
        <v/>
      </c>
      <c r="E1323">
        <f>IF(A1323="","",IF(SUMPRODUCT((Ввод!$F$12:$F$31&lt;&gt;"")*(Ввод!$F$12:$F$31&lt;=A1323)*(Ввод!$G$12:$G$31&gt;=A1323))&gt;0,1,0))</f>
        <v/>
      </c>
      <c r="G1323">
        <f>IF(A1323="","",IF(OR(B1323&lt;&gt;B1322,C1323&lt;&gt;C1322,E1323&lt;&gt;E1322),G1322+1,G1322))</f>
        <v/>
      </c>
    </row>
    <row r="1324">
      <c r="A1324" s="20">
        <f>IF(A1323="","",IF(A1323+1&gt;Ввод!$B$4,"",A1323+1))</f>
        <v/>
      </c>
      <c r="B1324">
        <f>IF(A1324="","",IFERROR(INDEX(Ввод!$B$12:$B$71,MATCH(A1324,Ввод!$D$12:$D$71,1)),""))</f>
        <v/>
      </c>
      <c r="C1324">
        <f>IF(A1324="","",DATE(YEAR(A1324),12,31)-DATE(YEAR(A1324),1,1)+1)</f>
        <v/>
      </c>
      <c r="D1324">
        <f>IF(A1324="","",SUMIFS(Акты!$D$5:$D$16,Акты!$E$5:$E$16,"&lt;="&amp;A1324)-SUMIFS(Оплаты!$B$6:$B$505,Оплаты!$A$6:$A$505,"&lt;"&amp;A1324,Оплаты!$D$6:$D$505,"&lt;&gt;"))</f>
        <v/>
      </c>
      <c r="E1324">
        <f>IF(A1324="","",IF(SUMPRODUCT((Ввод!$F$12:$F$31&lt;&gt;"")*(Ввод!$F$12:$F$31&lt;=A1324)*(Ввод!$G$12:$G$31&gt;=A1324))&gt;0,1,0))</f>
        <v/>
      </c>
      <c r="G1324">
        <f>IF(A1324="","",IF(OR(B1324&lt;&gt;B1323,C1324&lt;&gt;C1323,E1324&lt;&gt;E1323),G1323+1,G1323))</f>
        <v/>
      </c>
    </row>
    <row r="1325">
      <c r="A1325" s="20">
        <f>IF(A1324="","",IF(A1324+1&gt;Ввод!$B$4,"",A1324+1))</f>
        <v/>
      </c>
      <c r="B1325">
        <f>IF(A1325="","",IFERROR(INDEX(Ввод!$B$12:$B$71,MATCH(A1325,Ввод!$D$12:$D$71,1)),""))</f>
        <v/>
      </c>
      <c r="C1325">
        <f>IF(A1325="","",DATE(YEAR(A1325),12,31)-DATE(YEAR(A1325),1,1)+1)</f>
        <v/>
      </c>
      <c r="D1325">
        <f>IF(A1325="","",SUMIFS(Акты!$D$5:$D$16,Акты!$E$5:$E$16,"&lt;="&amp;A1325)-SUMIFS(Оплаты!$B$6:$B$505,Оплаты!$A$6:$A$505,"&lt;"&amp;A1325,Оплаты!$D$6:$D$505,"&lt;&gt;"))</f>
        <v/>
      </c>
      <c r="E1325">
        <f>IF(A1325="","",IF(SUMPRODUCT((Ввод!$F$12:$F$31&lt;&gt;"")*(Ввод!$F$12:$F$31&lt;=A1325)*(Ввод!$G$12:$G$31&gt;=A1325))&gt;0,1,0))</f>
        <v/>
      </c>
      <c r="G1325">
        <f>IF(A1325="","",IF(OR(B1325&lt;&gt;B1324,C1325&lt;&gt;C1324,E1325&lt;&gt;E1324),G1324+1,G1324))</f>
        <v/>
      </c>
    </row>
    <row r="1326">
      <c r="A1326" s="20">
        <f>IF(A1325="","",IF(A1325+1&gt;Ввод!$B$4,"",A1325+1))</f>
        <v/>
      </c>
      <c r="B1326">
        <f>IF(A1326="","",IFERROR(INDEX(Ввод!$B$12:$B$71,MATCH(A1326,Ввод!$D$12:$D$71,1)),""))</f>
        <v/>
      </c>
      <c r="C1326">
        <f>IF(A1326="","",DATE(YEAR(A1326),12,31)-DATE(YEAR(A1326),1,1)+1)</f>
        <v/>
      </c>
      <c r="D1326">
        <f>IF(A1326="","",SUMIFS(Акты!$D$5:$D$16,Акты!$E$5:$E$16,"&lt;="&amp;A1326)-SUMIFS(Оплаты!$B$6:$B$505,Оплаты!$A$6:$A$505,"&lt;"&amp;A1326,Оплаты!$D$6:$D$505,"&lt;&gt;"))</f>
        <v/>
      </c>
      <c r="E1326">
        <f>IF(A1326="","",IF(SUMPRODUCT((Ввод!$F$12:$F$31&lt;&gt;"")*(Ввод!$F$12:$F$31&lt;=A1326)*(Ввод!$G$12:$G$31&gt;=A1326))&gt;0,1,0))</f>
        <v/>
      </c>
      <c r="G1326">
        <f>IF(A1326="","",IF(OR(B1326&lt;&gt;B1325,C1326&lt;&gt;C1325,E1326&lt;&gt;E1325),G1325+1,G1325))</f>
        <v/>
      </c>
    </row>
    <row r="1327">
      <c r="A1327" s="20">
        <f>IF(A1326="","",IF(A1326+1&gt;Ввод!$B$4,"",A1326+1))</f>
        <v/>
      </c>
      <c r="B1327">
        <f>IF(A1327="","",IFERROR(INDEX(Ввод!$B$12:$B$71,MATCH(A1327,Ввод!$D$12:$D$71,1)),""))</f>
        <v/>
      </c>
      <c r="C1327">
        <f>IF(A1327="","",DATE(YEAR(A1327),12,31)-DATE(YEAR(A1327),1,1)+1)</f>
        <v/>
      </c>
      <c r="D1327">
        <f>IF(A1327="","",SUMIFS(Акты!$D$5:$D$16,Акты!$E$5:$E$16,"&lt;="&amp;A1327)-SUMIFS(Оплаты!$B$6:$B$505,Оплаты!$A$6:$A$505,"&lt;"&amp;A1327,Оплаты!$D$6:$D$505,"&lt;&gt;"))</f>
        <v/>
      </c>
      <c r="E1327">
        <f>IF(A1327="","",IF(SUMPRODUCT((Ввод!$F$12:$F$31&lt;&gt;"")*(Ввод!$F$12:$F$31&lt;=A1327)*(Ввод!$G$12:$G$31&gt;=A1327))&gt;0,1,0))</f>
        <v/>
      </c>
      <c r="G1327">
        <f>IF(A1327="","",IF(OR(B1327&lt;&gt;B1326,C1327&lt;&gt;C1326,E1327&lt;&gt;E1326),G1326+1,G1326))</f>
        <v/>
      </c>
    </row>
    <row r="1328">
      <c r="A1328" s="20">
        <f>IF(A1327="","",IF(A1327+1&gt;Ввод!$B$4,"",A1327+1))</f>
        <v/>
      </c>
      <c r="B1328">
        <f>IF(A1328="","",IFERROR(INDEX(Ввод!$B$12:$B$71,MATCH(A1328,Ввод!$D$12:$D$71,1)),""))</f>
        <v/>
      </c>
      <c r="C1328">
        <f>IF(A1328="","",DATE(YEAR(A1328),12,31)-DATE(YEAR(A1328),1,1)+1)</f>
        <v/>
      </c>
      <c r="D1328">
        <f>IF(A1328="","",SUMIFS(Акты!$D$5:$D$16,Акты!$E$5:$E$16,"&lt;="&amp;A1328)-SUMIFS(Оплаты!$B$6:$B$505,Оплаты!$A$6:$A$505,"&lt;"&amp;A1328,Оплаты!$D$6:$D$505,"&lt;&gt;"))</f>
        <v/>
      </c>
      <c r="E1328">
        <f>IF(A1328="","",IF(SUMPRODUCT((Ввод!$F$12:$F$31&lt;&gt;"")*(Ввод!$F$12:$F$31&lt;=A1328)*(Ввод!$G$12:$G$31&gt;=A1328))&gt;0,1,0))</f>
        <v/>
      </c>
      <c r="G1328">
        <f>IF(A1328="","",IF(OR(B1328&lt;&gt;B1327,C1328&lt;&gt;C1327,E1328&lt;&gt;E1327),G1327+1,G1327))</f>
        <v/>
      </c>
    </row>
    <row r="1329">
      <c r="A1329" s="20">
        <f>IF(A1328="","",IF(A1328+1&gt;Ввод!$B$4,"",A1328+1))</f>
        <v/>
      </c>
      <c r="B1329">
        <f>IF(A1329="","",IFERROR(INDEX(Ввод!$B$12:$B$71,MATCH(A1329,Ввод!$D$12:$D$71,1)),""))</f>
        <v/>
      </c>
      <c r="C1329">
        <f>IF(A1329="","",DATE(YEAR(A1329),12,31)-DATE(YEAR(A1329),1,1)+1)</f>
        <v/>
      </c>
      <c r="D1329">
        <f>IF(A1329="","",SUMIFS(Акты!$D$5:$D$16,Акты!$E$5:$E$16,"&lt;="&amp;A1329)-SUMIFS(Оплаты!$B$6:$B$505,Оплаты!$A$6:$A$505,"&lt;"&amp;A1329,Оплаты!$D$6:$D$505,"&lt;&gt;"))</f>
        <v/>
      </c>
      <c r="E1329">
        <f>IF(A1329="","",IF(SUMPRODUCT((Ввод!$F$12:$F$31&lt;&gt;"")*(Ввод!$F$12:$F$31&lt;=A1329)*(Ввод!$G$12:$G$31&gt;=A1329))&gt;0,1,0))</f>
        <v/>
      </c>
      <c r="G1329">
        <f>IF(A1329="","",IF(OR(B1329&lt;&gt;B1328,C1329&lt;&gt;C1328,E1329&lt;&gt;E1328),G1328+1,G1328))</f>
        <v/>
      </c>
    </row>
    <row r="1330">
      <c r="A1330" s="20">
        <f>IF(A1329="","",IF(A1329+1&gt;Ввод!$B$4,"",A1329+1))</f>
        <v/>
      </c>
      <c r="B1330">
        <f>IF(A1330="","",IFERROR(INDEX(Ввод!$B$12:$B$71,MATCH(A1330,Ввод!$D$12:$D$71,1)),""))</f>
        <v/>
      </c>
      <c r="C1330">
        <f>IF(A1330="","",DATE(YEAR(A1330),12,31)-DATE(YEAR(A1330),1,1)+1)</f>
        <v/>
      </c>
      <c r="D1330">
        <f>IF(A1330="","",SUMIFS(Акты!$D$5:$D$16,Акты!$E$5:$E$16,"&lt;="&amp;A1330)-SUMIFS(Оплаты!$B$6:$B$505,Оплаты!$A$6:$A$505,"&lt;"&amp;A1330,Оплаты!$D$6:$D$505,"&lt;&gt;"))</f>
        <v/>
      </c>
      <c r="E1330">
        <f>IF(A1330="","",IF(SUMPRODUCT((Ввод!$F$12:$F$31&lt;&gt;"")*(Ввод!$F$12:$F$31&lt;=A1330)*(Ввод!$G$12:$G$31&gt;=A1330))&gt;0,1,0))</f>
        <v/>
      </c>
      <c r="G1330">
        <f>IF(A1330="","",IF(OR(B1330&lt;&gt;B1329,C1330&lt;&gt;C1329,E1330&lt;&gt;E1329),G1329+1,G1329))</f>
        <v/>
      </c>
    </row>
    <row r="1331">
      <c r="A1331" s="20">
        <f>IF(A1330="","",IF(A1330+1&gt;Ввод!$B$4,"",A1330+1))</f>
        <v/>
      </c>
      <c r="B1331">
        <f>IF(A1331="","",IFERROR(INDEX(Ввод!$B$12:$B$71,MATCH(A1331,Ввод!$D$12:$D$71,1)),""))</f>
        <v/>
      </c>
      <c r="C1331">
        <f>IF(A1331="","",DATE(YEAR(A1331),12,31)-DATE(YEAR(A1331),1,1)+1)</f>
        <v/>
      </c>
      <c r="D1331">
        <f>IF(A1331="","",SUMIFS(Акты!$D$5:$D$16,Акты!$E$5:$E$16,"&lt;="&amp;A1331)-SUMIFS(Оплаты!$B$6:$B$505,Оплаты!$A$6:$A$505,"&lt;"&amp;A1331,Оплаты!$D$6:$D$505,"&lt;&gt;"))</f>
        <v/>
      </c>
      <c r="E1331">
        <f>IF(A1331="","",IF(SUMPRODUCT((Ввод!$F$12:$F$31&lt;&gt;"")*(Ввод!$F$12:$F$31&lt;=A1331)*(Ввод!$G$12:$G$31&gt;=A1331))&gt;0,1,0))</f>
        <v/>
      </c>
      <c r="G1331">
        <f>IF(A1331="","",IF(OR(B1331&lt;&gt;B1330,C1331&lt;&gt;C1330,E1331&lt;&gt;E1330),G1330+1,G1330))</f>
        <v/>
      </c>
    </row>
    <row r="1332">
      <c r="A1332" s="20">
        <f>IF(A1331="","",IF(A1331+1&gt;Ввод!$B$4,"",A1331+1))</f>
        <v/>
      </c>
      <c r="B1332">
        <f>IF(A1332="","",IFERROR(INDEX(Ввод!$B$12:$B$71,MATCH(A1332,Ввод!$D$12:$D$71,1)),""))</f>
        <v/>
      </c>
      <c r="C1332">
        <f>IF(A1332="","",DATE(YEAR(A1332),12,31)-DATE(YEAR(A1332),1,1)+1)</f>
        <v/>
      </c>
      <c r="D1332">
        <f>IF(A1332="","",SUMIFS(Акты!$D$5:$D$16,Акты!$E$5:$E$16,"&lt;="&amp;A1332)-SUMIFS(Оплаты!$B$6:$B$505,Оплаты!$A$6:$A$505,"&lt;"&amp;A1332,Оплаты!$D$6:$D$505,"&lt;&gt;"))</f>
        <v/>
      </c>
      <c r="E1332">
        <f>IF(A1332="","",IF(SUMPRODUCT((Ввод!$F$12:$F$31&lt;&gt;"")*(Ввод!$F$12:$F$31&lt;=A1332)*(Ввод!$G$12:$G$31&gt;=A1332))&gt;0,1,0))</f>
        <v/>
      </c>
      <c r="G1332">
        <f>IF(A1332="","",IF(OR(B1332&lt;&gt;B1331,C1332&lt;&gt;C1331,E1332&lt;&gt;E1331),G1331+1,G1331))</f>
        <v/>
      </c>
    </row>
    <row r="1333">
      <c r="A1333" s="20">
        <f>IF(A1332="","",IF(A1332+1&gt;Ввод!$B$4,"",A1332+1))</f>
        <v/>
      </c>
      <c r="B1333">
        <f>IF(A1333="","",IFERROR(INDEX(Ввод!$B$12:$B$71,MATCH(A1333,Ввод!$D$12:$D$71,1)),""))</f>
        <v/>
      </c>
      <c r="C1333">
        <f>IF(A1333="","",DATE(YEAR(A1333),12,31)-DATE(YEAR(A1333),1,1)+1)</f>
        <v/>
      </c>
      <c r="D1333">
        <f>IF(A1333="","",SUMIFS(Акты!$D$5:$D$16,Акты!$E$5:$E$16,"&lt;="&amp;A1333)-SUMIFS(Оплаты!$B$6:$B$505,Оплаты!$A$6:$A$505,"&lt;"&amp;A1333,Оплаты!$D$6:$D$505,"&lt;&gt;"))</f>
        <v/>
      </c>
      <c r="E1333">
        <f>IF(A1333="","",IF(SUMPRODUCT((Ввод!$F$12:$F$31&lt;&gt;"")*(Ввод!$F$12:$F$31&lt;=A1333)*(Ввод!$G$12:$G$31&gt;=A1333))&gt;0,1,0))</f>
        <v/>
      </c>
      <c r="G1333">
        <f>IF(A1333="","",IF(OR(B1333&lt;&gt;B1332,C1333&lt;&gt;C1332,E1333&lt;&gt;E1332),G1332+1,G1332))</f>
        <v/>
      </c>
    </row>
    <row r="1334">
      <c r="A1334" s="20">
        <f>IF(A1333="","",IF(A1333+1&gt;Ввод!$B$4,"",A1333+1))</f>
        <v/>
      </c>
      <c r="B1334">
        <f>IF(A1334="","",IFERROR(INDEX(Ввод!$B$12:$B$71,MATCH(A1334,Ввод!$D$12:$D$71,1)),""))</f>
        <v/>
      </c>
      <c r="C1334">
        <f>IF(A1334="","",DATE(YEAR(A1334),12,31)-DATE(YEAR(A1334),1,1)+1)</f>
        <v/>
      </c>
      <c r="D1334">
        <f>IF(A1334="","",SUMIFS(Акты!$D$5:$D$16,Акты!$E$5:$E$16,"&lt;="&amp;A1334)-SUMIFS(Оплаты!$B$6:$B$505,Оплаты!$A$6:$A$505,"&lt;"&amp;A1334,Оплаты!$D$6:$D$505,"&lt;&gt;"))</f>
        <v/>
      </c>
      <c r="E1334">
        <f>IF(A1334="","",IF(SUMPRODUCT((Ввод!$F$12:$F$31&lt;&gt;"")*(Ввод!$F$12:$F$31&lt;=A1334)*(Ввод!$G$12:$G$31&gt;=A1334))&gt;0,1,0))</f>
        <v/>
      </c>
      <c r="G1334">
        <f>IF(A1334="","",IF(OR(B1334&lt;&gt;B1333,C1334&lt;&gt;C1333,E1334&lt;&gt;E1333),G1333+1,G1333))</f>
        <v/>
      </c>
    </row>
    <row r="1335">
      <c r="A1335" s="20">
        <f>IF(A1334="","",IF(A1334+1&gt;Ввод!$B$4,"",A1334+1))</f>
        <v/>
      </c>
      <c r="B1335">
        <f>IF(A1335="","",IFERROR(INDEX(Ввод!$B$12:$B$71,MATCH(A1335,Ввод!$D$12:$D$71,1)),""))</f>
        <v/>
      </c>
      <c r="C1335">
        <f>IF(A1335="","",DATE(YEAR(A1335),12,31)-DATE(YEAR(A1335),1,1)+1)</f>
        <v/>
      </c>
      <c r="D1335">
        <f>IF(A1335="","",SUMIFS(Акты!$D$5:$D$16,Акты!$E$5:$E$16,"&lt;="&amp;A1335)-SUMIFS(Оплаты!$B$6:$B$505,Оплаты!$A$6:$A$505,"&lt;"&amp;A1335,Оплаты!$D$6:$D$505,"&lt;&gt;"))</f>
        <v/>
      </c>
      <c r="E1335">
        <f>IF(A1335="","",IF(SUMPRODUCT((Ввод!$F$12:$F$31&lt;&gt;"")*(Ввод!$F$12:$F$31&lt;=A1335)*(Ввод!$G$12:$G$31&gt;=A1335))&gt;0,1,0))</f>
        <v/>
      </c>
      <c r="G1335">
        <f>IF(A1335="","",IF(OR(B1335&lt;&gt;B1334,C1335&lt;&gt;C1334,E1335&lt;&gt;E1334),G1334+1,G1334))</f>
        <v/>
      </c>
    </row>
    <row r="1336">
      <c r="A1336" s="20">
        <f>IF(A1335="","",IF(A1335+1&gt;Ввод!$B$4,"",A1335+1))</f>
        <v/>
      </c>
      <c r="B1336">
        <f>IF(A1336="","",IFERROR(INDEX(Ввод!$B$12:$B$71,MATCH(A1336,Ввод!$D$12:$D$71,1)),""))</f>
        <v/>
      </c>
      <c r="C1336">
        <f>IF(A1336="","",DATE(YEAR(A1336),12,31)-DATE(YEAR(A1336),1,1)+1)</f>
        <v/>
      </c>
      <c r="D1336">
        <f>IF(A1336="","",SUMIFS(Акты!$D$5:$D$16,Акты!$E$5:$E$16,"&lt;="&amp;A1336)-SUMIFS(Оплаты!$B$6:$B$505,Оплаты!$A$6:$A$505,"&lt;"&amp;A1336,Оплаты!$D$6:$D$505,"&lt;&gt;"))</f>
        <v/>
      </c>
      <c r="E1336">
        <f>IF(A1336="","",IF(SUMPRODUCT((Ввод!$F$12:$F$31&lt;&gt;"")*(Ввод!$F$12:$F$31&lt;=A1336)*(Ввод!$G$12:$G$31&gt;=A1336))&gt;0,1,0))</f>
        <v/>
      </c>
      <c r="G1336">
        <f>IF(A1336="","",IF(OR(B1336&lt;&gt;B1335,C1336&lt;&gt;C1335,E1336&lt;&gt;E1335),G1335+1,G1335))</f>
        <v/>
      </c>
    </row>
    <row r="1337">
      <c r="A1337" s="20">
        <f>IF(A1336="","",IF(A1336+1&gt;Ввод!$B$4,"",A1336+1))</f>
        <v/>
      </c>
      <c r="B1337">
        <f>IF(A1337="","",IFERROR(INDEX(Ввод!$B$12:$B$71,MATCH(A1337,Ввод!$D$12:$D$71,1)),""))</f>
        <v/>
      </c>
      <c r="C1337">
        <f>IF(A1337="","",DATE(YEAR(A1337),12,31)-DATE(YEAR(A1337),1,1)+1)</f>
        <v/>
      </c>
      <c r="D1337">
        <f>IF(A1337="","",SUMIFS(Акты!$D$5:$D$16,Акты!$E$5:$E$16,"&lt;="&amp;A1337)-SUMIFS(Оплаты!$B$6:$B$505,Оплаты!$A$6:$A$505,"&lt;"&amp;A1337,Оплаты!$D$6:$D$505,"&lt;&gt;"))</f>
        <v/>
      </c>
      <c r="E1337">
        <f>IF(A1337="","",IF(SUMPRODUCT((Ввод!$F$12:$F$31&lt;&gt;"")*(Ввод!$F$12:$F$31&lt;=A1337)*(Ввод!$G$12:$G$31&gt;=A1337))&gt;0,1,0))</f>
        <v/>
      </c>
      <c r="G1337">
        <f>IF(A1337="","",IF(OR(B1337&lt;&gt;B1336,C1337&lt;&gt;C1336,E1337&lt;&gt;E1336),G1336+1,G1336))</f>
        <v/>
      </c>
    </row>
    <row r="1338">
      <c r="A1338" s="20">
        <f>IF(A1337="","",IF(A1337+1&gt;Ввод!$B$4,"",A1337+1))</f>
        <v/>
      </c>
      <c r="B1338">
        <f>IF(A1338="","",IFERROR(INDEX(Ввод!$B$12:$B$71,MATCH(A1338,Ввод!$D$12:$D$71,1)),""))</f>
        <v/>
      </c>
      <c r="C1338">
        <f>IF(A1338="","",DATE(YEAR(A1338),12,31)-DATE(YEAR(A1338),1,1)+1)</f>
        <v/>
      </c>
      <c r="D1338">
        <f>IF(A1338="","",SUMIFS(Акты!$D$5:$D$16,Акты!$E$5:$E$16,"&lt;="&amp;A1338)-SUMIFS(Оплаты!$B$6:$B$505,Оплаты!$A$6:$A$505,"&lt;"&amp;A1338,Оплаты!$D$6:$D$505,"&lt;&gt;"))</f>
        <v/>
      </c>
      <c r="E1338">
        <f>IF(A1338="","",IF(SUMPRODUCT((Ввод!$F$12:$F$31&lt;&gt;"")*(Ввод!$F$12:$F$31&lt;=A1338)*(Ввод!$G$12:$G$31&gt;=A1338))&gt;0,1,0))</f>
        <v/>
      </c>
      <c r="G1338">
        <f>IF(A1338="","",IF(OR(B1338&lt;&gt;B1337,C1338&lt;&gt;C1337,E1338&lt;&gt;E1337),G1337+1,G1337))</f>
        <v/>
      </c>
    </row>
    <row r="1339">
      <c r="A1339" s="20">
        <f>IF(A1338="","",IF(A1338+1&gt;Ввод!$B$4,"",A1338+1))</f>
        <v/>
      </c>
      <c r="B1339">
        <f>IF(A1339="","",IFERROR(INDEX(Ввод!$B$12:$B$71,MATCH(A1339,Ввод!$D$12:$D$71,1)),""))</f>
        <v/>
      </c>
      <c r="C1339">
        <f>IF(A1339="","",DATE(YEAR(A1339),12,31)-DATE(YEAR(A1339),1,1)+1)</f>
        <v/>
      </c>
      <c r="D1339">
        <f>IF(A1339="","",SUMIFS(Акты!$D$5:$D$16,Акты!$E$5:$E$16,"&lt;="&amp;A1339)-SUMIFS(Оплаты!$B$6:$B$505,Оплаты!$A$6:$A$505,"&lt;"&amp;A1339,Оплаты!$D$6:$D$505,"&lt;&gt;"))</f>
        <v/>
      </c>
      <c r="E1339">
        <f>IF(A1339="","",IF(SUMPRODUCT((Ввод!$F$12:$F$31&lt;&gt;"")*(Ввод!$F$12:$F$31&lt;=A1339)*(Ввод!$G$12:$G$31&gt;=A1339))&gt;0,1,0))</f>
        <v/>
      </c>
      <c r="G1339">
        <f>IF(A1339="","",IF(OR(B1339&lt;&gt;B1338,C1339&lt;&gt;C1338,E1339&lt;&gt;E1338),G1338+1,G1338))</f>
        <v/>
      </c>
    </row>
    <row r="1340">
      <c r="A1340" s="20">
        <f>IF(A1339="","",IF(A1339+1&gt;Ввод!$B$4,"",A1339+1))</f>
        <v/>
      </c>
      <c r="B1340">
        <f>IF(A1340="","",IFERROR(INDEX(Ввод!$B$12:$B$71,MATCH(A1340,Ввод!$D$12:$D$71,1)),""))</f>
        <v/>
      </c>
      <c r="C1340">
        <f>IF(A1340="","",DATE(YEAR(A1340),12,31)-DATE(YEAR(A1340),1,1)+1)</f>
        <v/>
      </c>
      <c r="D1340">
        <f>IF(A1340="","",SUMIFS(Акты!$D$5:$D$16,Акты!$E$5:$E$16,"&lt;="&amp;A1340)-SUMIFS(Оплаты!$B$6:$B$505,Оплаты!$A$6:$A$505,"&lt;"&amp;A1340,Оплаты!$D$6:$D$505,"&lt;&gt;"))</f>
        <v/>
      </c>
      <c r="E1340">
        <f>IF(A1340="","",IF(SUMPRODUCT((Ввод!$F$12:$F$31&lt;&gt;"")*(Ввод!$F$12:$F$31&lt;=A1340)*(Ввод!$G$12:$G$31&gt;=A1340))&gt;0,1,0))</f>
        <v/>
      </c>
      <c r="G1340">
        <f>IF(A1340="","",IF(OR(B1340&lt;&gt;B1339,C1340&lt;&gt;C1339,E1340&lt;&gt;E1339),G1339+1,G1339))</f>
        <v/>
      </c>
    </row>
    <row r="1341">
      <c r="A1341" s="20">
        <f>IF(A1340="","",IF(A1340+1&gt;Ввод!$B$4,"",A1340+1))</f>
        <v/>
      </c>
      <c r="B1341">
        <f>IF(A1341="","",IFERROR(INDEX(Ввод!$B$12:$B$71,MATCH(A1341,Ввод!$D$12:$D$71,1)),""))</f>
        <v/>
      </c>
      <c r="C1341">
        <f>IF(A1341="","",DATE(YEAR(A1341),12,31)-DATE(YEAR(A1341),1,1)+1)</f>
        <v/>
      </c>
      <c r="D1341">
        <f>IF(A1341="","",SUMIFS(Акты!$D$5:$D$16,Акты!$E$5:$E$16,"&lt;="&amp;A1341)-SUMIFS(Оплаты!$B$6:$B$505,Оплаты!$A$6:$A$505,"&lt;"&amp;A1341,Оплаты!$D$6:$D$505,"&lt;&gt;"))</f>
        <v/>
      </c>
      <c r="E1341">
        <f>IF(A1341="","",IF(SUMPRODUCT((Ввод!$F$12:$F$31&lt;&gt;"")*(Ввод!$F$12:$F$31&lt;=A1341)*(Ввод!$G$12:$G$31&gt;=A1341))&gt;0,1,0))</f>
        <v/>
      </c>
      <c r="G1341">
        <f>IF(A1341="","",IF(OR(B1341&lt;&gt;B1340,C1341&lt;&gt;C1340,E1341&lt;&gt;E1340),G1340+1,G1340))</f>
        <v/>
      </c>
    </row>
    <row r="1342">
      <c r="A1342" s="20">
        <f>IF(A1341="","",IF(A1341+1&gt;Ввод!$B$4,"",A1341+1))</f>
        <v/>
      </c>
      <c r="B1342">
        <f>IF(A1342="","",IFERROR(INDEX(Ввод!$B$12:$B$71,MATCH(A1342,Ввод!$D$12:$D$71,1)),""))</f>
        <v/>
      </c>
      <c r="C1342">
        <f>IF(A1342="","",DATE(YEAR(A1342),12,31)-DATE(YEAR(A1342),1,1)+1)</f>
        <v/>
      </c>
      <c r="D1342">
        <f>IF(A1342="","",SUMIFS(Акты!$D$5:$D$16,Акты!$E$5:$E$16,"&lt;="&amp;A1342)-SUMIFS(Оплаты!$B$6:$B$505,Оплаты!$A$6:$A$505,"&lt;"&amp;A1342,Оплаты!$D$6:$D$505,"&lt;&gt;"))</f>
        <v/>
      </c>
      <c r="E1342">
        <f>IF(A1342="","",IF(SUMPRODUCT((Ввод!$F$12:$F$31&lt;&gt;"")*(Ввод!$F$12:$F$31&lt;=A1342)*(Ввод!$G$12:$G$31&gt;=A1342))&gt;0,1,0))</f>
        <v/>
      </c>
      <c r="G1342">
        <f>IF(A1342="","",IF(OR(B1342&lt;&gt;B1341,C1342&lt;&gt;C1341,E1342&lt;&gt;E1341),G1341+1,G1341))</f>
        <v/>
      </c>
    </row>
    <row r="1343">
      <c r="A1343" s="20">
        <f>IF(A1342="","",IF(A1342+1&gt;Ввод!$B$4,"",A1342+1))</f>
        <v/>
      </c>
      <c r="B1343">
        <f>IF(A1343="","",IFERROR(INDEX(Ввод!$B$12:$B$71,MATCH(A1343,Ввод!$D$12:$D$71,1)),""))</f>
        <v/>
      </c>
      <c r="C1343">
        <f>IF(A1343="","",DATE(YEAR(A1343),12,31)-DATE(YEAR(A1343),1,1)+1)</f>
        <v/>
      </c>
      <c r="D1343">
        <f>IF(A1343="","",SUMIFS(Акты!$D$5:$D$16,Акты!$E$5:$E$16,"&lt;="&amp;A1343)-SUMIFS(Оплаты!$B$6:$B$505,Оплаты!$A$6:$A$505,"&lt;"&amp;A1343,Оплаты!$D$6:$D$505,"&lt;&gt;"))</f>
        <v/>
      </c>
      <c r="E1343">
        <f>IF(A1343="","",IF(SUMPRODUCT((Ввод!$F$12:$F$31&lt;&gt;"")*(Ввод!$F$12:$F$31&lt;=A1343)*(Ввод!$G$12:$G$31&gt;=A1343))&gt;0,1,0))</f>
        <v/>
      </c>
      <c r="G1343">
        <f>IF(A1343="","",IF(OR(B1343&lt;&gt;B1342,C1343&lt;&gt;C1342,E1343&lt;&gt;E1342),G1342+1,G1342))</f>
        <v/>
      </c>
    </row>
    <row r="1344">
      <c r="A1344" s="20">
        <f>IF(A1343="","",IF(A1343+1&gt;Ввод!$B$4,"",A1343+1))</f>
        <v/>
      </c>
      <c r="B1344">
        <f>IF(A1344="","",IFERROR(INDEX(Ввод!$B$12:$B$71,MATCH(A1344,Ввод!$D$12:$D$71,1)),""))</f>
        <v/>
      </c>
      <c r="C1344">
        <f>IF(A1344="","",DATE(YEAR(A1344),12,31)-DATE(YEAR(A1344),1,1)+1)</f>
        <v/>
      </c>
      <c r="D1344">
        <f>IF(A1344="","",SUMIFS(Акты!$D$5:$D$16,Акты!$E$5:$E$16,"&lt;="&amp;A1344)-SUMIFS(Оплаты!$B$6:$B$505,Оплаты!$A$6:$A$505,"&lt;"&amp;A1344,Оплаты!$D$6:$D$505,"&lt;&gt;"))</f>
        <v/>
      </c>
      <c r="E1344">
        <f>IF(A1344="","",IF(SUMPRODUCT((Ввод!$F$12:$F$31&lt;&gt;"")*(Ввод!$F$12:$F$31&lt;=A1344)*(Ввод!$G$12:$G$31&gt;=A1344))&gt;0,1,0))</f>
        <v/>
      </c>
      <c r="G1344">
        <f>IF(A1344="","",IF(OR(B1344&lt;&gt;B1343,C1344&lt;&gt;C1343,E1344&lt;&gt;E1343),G1343+1,G1343))</f>
        <v/>
      </c>
    </row>
    <row r="1345">
      <c r="A1345" s="20">
        <f>IF(A1344="","",IF(A1344+1&gt;Ввод!$B$4,"",A1344+1))</f>
        <v/>
      </c>
      <c r="B1345">
        <f>IF(A1345="","",IFERROR(INDEX(Ввод!$B$12:$B$71,MATCH(A1345,Ввод!$D$12:$D$71,1)),""))</f>
        <v/>
      </c>
      <c r="C1345">
        <f>IF(A1345="","",DATE(YEAR(A1345),12,31)-DATE(YEAR(A1345),1,1)+1)</f>
        <v/>
      </c>
      <c r="D1345">
        <f>IF(A1345="","",SUMIFS(Акты!$D$5:$D$16,Акты!$E$5:$E$16,"&lt;="&amp;A1345)-SUMIFS(Оплаты!$B$6:$B$505,Оплаты!$A$6:$A$505,"&lt;"&amp;A1345,Оплаты!$D$6:$D$505,"&lt;&gt;"))</f>
        <v/>
      </c>
      <c r="E1345">
        <f>IF(A1345="","",IF(SUMPRODUCT((Ввод!$F$12:$F$31&lt;&gt;"")*(Ввод!$F$12:$F$31&lt;=A1345)*(Ввод!$G$12:$G$31&gt;=A1345))&gt;0,1,0))</f>
        <v/>
      </c>
      <c r="G1345">
        <f>IF(A1345="","",IF(OR(B1345&lt;&gt;B1344,C1345&lt;&gt;C1344,E1345&lt;&gt;E1344),G1344+1,G1344))</f>
        <v/>
      </c>
    </row>
    <row r="1346">
      <c r="A1346" s="20">
        <f>IF(A1345="","",IF(A1345+1&gt;Ввод!$B$4,"",A1345+1))</f>
        <v/>
      </c>
      <c r="B1346">
        <f>IF(A1346="","",IFERROR(INDEX(Ввод!$B$12:$B$71,MATCH(A1346,Ввод!$D$12:$D$71,1)),""))</f>
        <v/>
      </c>
      <c r="C1346">
        <f>IF(A1346="","",DATE(YEAR(A1346),12,31)-DATE(YEAR(A1346),1,1)+1)</f>
        <v/>
      </c>
      <c r="D1346">
        <f>IF(A1346="","",SUMIFS(Акты!$D$5:$D$16,Акты!$E$5:$E$16,"&lt;="&amp;A1346)-SUMIFS(Оплаты!$B$6:$B$505,Оплаты!$A$6:$A$505,"&lt;"&amp;A1346,Оплаты!$D$6:$D$505,"&lt;&gt;"))</f>
        <v/>
      </c>
      <c r="E1346">
        <f>IF(A1346="","",IF(SUMPRODUCT((Ввод!$F$12:$F$31&lt;&gt;"")*(Ввод!$F$12:$F$31&lt;=A1346)*(Ввод!$G$12:$G$31&gt;=A1346))&gt;0,1,0))</f>
        <v/>
      </c>
      <c r="G1346">
        <f>IF(A1346="","",IF(OR(B1346&lt;&gt;B1345,C1346&lt;&gt;C1345,E1346&lt;&gt;E1345),G1345+1,G1345))</f>
        <v/>
      </c>
    </row>
    <row r="1347">
      <c r="A1347" s="20">
        <f>IF(A1346="","",IF(A1346+1&gt;Ввод!$B$4,"",A1346+1))</f>
        <v/>
      </c>
      <c r="B1347">
        <f>IF(A1347="","",IFERROR(INDEX(Ввод!$B$12:$B$71,MATCH(A1347,Ввод!$D$12:$D$71,1)),""))</f>
        <v/>
      </c>
      <c r="C1347">
        <f>IF(A1347="","",DATE(YEAR(A1347),12,31)-DATE(YEAR(A1347),1,1)+1)</f>
        <v/>
      </c>
      <c r="D1347">
        <f>IF(A1347="","",SUMIFS(Акты!$D$5:$D$16,Акты!$E$5:$E$16,"&lt;="&amp;A1347)-SUMIFS(Оплаты!$B$6:$B$505,Оплаты!$A$6:$A$505,"&lt;"&amp;A1347,Оплаты!$D$6:$D$505,"&lt;&gt;"))</f>
        <v/>
      </c>
      <c r="E1347">
        <f>IF(A1347="","",IF(SUMPRODUCT((Ввод!$F$12:$F$31&lt;&gt;"")*(Ввод!$F$12:$F$31&lt;=A1347)*(Ввод!$G$12:$G$31&gt;=A1347))&gt;0,1,0))</f>
        <v/>
      </c>
      <c r="G1347">
        <f>IF(A1347="","",IF(OR(B1347&lt;&gt;B1346,C1347&lt;&gt;C1346,E1347&lt;&gt;E1346),G1346+1,G1346))</f>
        <v/>
      </c>
    </row>
    <row r="1348">
      <c r="A1348" s="20">
        <f>IF(A1347="","",IF(A1347+1&gt;Ввод!$B$4,"",A1347+1))</f>
        <v/>
      </c>
      <c r="B1348">
        <f>IF(A1348="","",IFERROR(INDEX(Ввод!$B$12:$B$71,MATCH(A1348,Ввод!$D$12:$D$71,1)),""))</f>
        <v/>
      </c>
      <c r="C1348">
        <f>IF(A1348="","",DATE(YEAR(A1348),12,31)-DATE(YEAR(A1348),1,1)+1)</f>
        <v/>
      </c>
      <c r="D1348">
        <f>IF(A1348="","",SUMIFS(Акты!$D$5:$D$16,Акты!$E$5:$E$16,"&lt;="&amp;A1348)-SUMIFS(Оплаты!$B$6:$B$505,Оплаты!$A$6:$A$505,"&lt;"&amp;A1348,Оплаты!$D$6:$D$505,"&lt;&gt;"))</f>
        <v/>
      </c>
      <c r="E1348">
        <f>IF(A1348="","",IF(SUMPRODUCT((Ввод!$F$12:$F$31&lt;&gt;"")*(Ввод!$F$12:$F$31&lt;=A1348)*(Ввод!$G$12:$G$31&gt;=A1348))&gt;0,1,0))</f>
        <v/>
      </c>
      <c r="G1348">
        <f>IF(A1348="","",IF(OR(B1348&lt;&gt;B1347,C1348&lt;&gt;C1347,E1348&lt;&gt;E1347),G1347+1,G1347))</f>
        <v/>
      </c>
    </row>
    <row r="1349">
      <c r="A1349" s="20">
        <f>IF(A1348="","",IF(A1348+1&gt;Ввод!$B$4,"",A1348+1))</f>
        <v/>
      </c>
      <c r="B1349">
        <f>IF(A1349="","",IFERROR(INDEX(Ввод!$B$12:$B$71,MATCH(A1349,Ввод!$D$12:$D$71,1)),""))</f>
        <v/>
      </c>
      <c r="C1349">
        <f>IF(A1349="","",DATE(YEAR(A1349),12,31)-DATE(YEAR(A1349),1,1)+1)</f>
        <v/>
      </c>
      <c r="D1349">
        <f>IF(A1349="","",SUMIFS(Акты!$D$5:$D$16,Акты!$E$5:$E$16,"&lt;="&amp;A1349)-SUMIFS(Оплаты!$B$6:$B$505,Оплаты!$A$6:$A$505,"&lt;"&amp;A1349,Оплаты!$D$6:$D$505,"&lt;&gt;"))</f>
        <v/>
      </c>
      <c r="E1349">
        <f>IF(A1349="","",IF(SUMPRODUCT((Ввод!$F$12:$F$31&lt;&gt;"")*(Ввод!$F$12:$F$31&lt;=A1349)*(Ввод!$G$12:$G$31&gt;=A1349))&gt;0,1,0))</f>
        <v/>
      </c>
      <c r="G1349">
        <f>IF(A1349="","",IF(OR(B1349&lt;&gt;B1348,C1349&lt;&gt;C1348,E1349&lt;&gt;E1348),G1348+1,G1348))</f>
        <v/>
      </c>
    </row>
    <row r="1350">
      <c r="A1350" s="20">
        <f>IF(A1349="","",IF(A1349+1&gt;Ввод!$B$4,"",A1349+1))</f>
        <v/>
      </c>
      <c r="B1350">
        <f>IF(A1350="","",IFERROR(INDEX(Ввод!$B$12:$B$71,MATCH(A1350,Ввод!$D$12:$D$71,1)),""))</f>
        <v/>
      </c>
      <c r="C1350">
        <f>IF(A1350="","",DATE(YEAR(A1350),12,31)-DATE(YEAR(A1350),1,1)+1)</f>
        <v/>
      </c>
      <c r="D1350">
        <f>IF(A1350="","",SUMIFS(Акты!$D$5:$D$16,Акты!$E$5:$E$16,"&lt;="&amp;A1350)-SUMIFS(Оплаты!$B$6:$B$505,Оплаты!$A$6:$A$505,"&lt;"&amp;A1350,Оплаты!$D$6:$D$505,"&lt;&gt;"))</f>
        <v/>
      </c>
      <c r="E1350">
        <f>IF(A1350="","",IF(SUMPRODUCT((Ввод!$F$12:$F$31&lt;&gt;"")*(Ввод!$F$12:$F$31&lt;=A1350)*(Ввод!$G$12:$G$31&gt;=A1350))&gt;0,1,0))</f>
        <v/>
      </c>
      <c r="G1350">
        <f>IF(A1350="","",IF(OR(B1350&lt;&gt;B1349,C1350&lt;&gt;C1349,E1350&lt;&gt;E1349),G1349+1,G1349))</f>
        <v/>
      </c>
    </row>
    <row r="1351">
      <c r="A1351" s="20">
        <f>IF(A1350="","",IF(A1350+1&gt;Ввод!$B$4,"",A1350+1))</f>
        <v/>
      </c>
      <c r="B1351">
        <f>IF(A1351="","",IFERROR(INDEX(Ввод!$B$12:$B$71,MATCH(A1351,Ввод!$D$12:$D$71,1)),""))</f>
        <v/>
      </c>
      <c r="C1351">
        <f>IF(A1351="","",DATE(YEAR(A1351),12,31)-DATE(YEAR(A1351),1,1)+1)</f>
        <v/>
      </c>
      <c r="D1351">
        <f>IF(A1351="","",SUMIFS(Акты!$D$5:$D$16,Акты!$E$5:$E$16,"&lt;="&amp;A1351)-SUMIFS(Оплаты!$B$6:$B$505,Оплаты!$A$6:$A$505,"&lt;"&amp;A1351,Оплаты!$D$6:$D$505,"&lt;&gt;"))</f>
        <v/>
      </c>
      <c r="E1351">
        <f>IF(A1351="","",IF(SUMPRODUCT((Ввод!$F$12:$F$31&lt;&gt;"")*(Ввод!$F$12:$F$31&lt;=A1351)*(Ввод!$G$12:$G$31&gt;=A1351))&gt;0,1,0))</f>
        <v/>
      </c>
      <c r="G1351">
        <f>IF(A1351="","",IF(OR(B1351&lt;&gt;B1350,C1351&lt;&gt;C1350,E1351&lt;&gt;E1350),G1350+1,G1350))</f>
        <v/>
      </c>
    </row>
    <row r="1352">
      <c r="A1352" s="20">
        <f>IF(A1351="","",IF(A1351+1&gt;Ввод!$B$4,"",A1351+1))</f>
        <v/>
      </c>
      <c r="B1352">
        <f>IF(A1352="","",IFERROR(INDEX(Ввод!$B$12:$B$71,MATCH(A1352,Ввод!$D$12:$D$71,1)),""))</f>
        <v/>
      </c>
      <c r="C1352">
        <f>IF(A1352="","",DATE(YEAR(A1352),12,31)-DATE(YEAR(A1352),1,1)+1)</f>
        <v/>
      </c>
      <c r="D1352">
        <f>IF(A1352="","",SUMIFS(Акты!$D$5:$D$16,Акты!$E$5:$E$16,"&lt;="&amp;A1352)-SUMIFS(Оплаты!$B$6:$B$505,Оплаты!$A$6:$A$505,"&lt;"&amp;A1352,Оплаты!$D$6:$D$505,"&lt;&gt;"))</f>
        <v/>
      </c>
      <c r="E1352">
        <f>IF(A1352="","",IF(SUMPRODUCT((Ввод!$F$12:$F$31&lt;&gt;"")*(Ввод!$F$12:$F$31&lt;=A1352)*(Ввод!$G$12:$G$31&gt;=A1352))&gt;0,1,0))</f>
        <v/>
      </c>
      <c r="G1352">
        <f>IF(A1352="","",IF(OR(B1352&lt;&gt;B1351,C1352&lt;&gt;C1351,E1352&lt;&gt;E1351),G1351+1,G1351))</f>
        <v/>
      </c>
    </row>
    <row r="1353">
      <c r="A1353" s="20">
        <f>IF(A1352="","",IF(A1352+1&gt;Ввод!$B$4,"",A1352+1))</f>
        <v/>
      </c>
      <c r="B1353">
        <f>IF(A1353="","",IFERROR(INDEX(Ввод!$B$12:$B$71,MATCH(A1353,Ввод!$D$12:$D$71,1)),""))</f>
        <v/>
      </c>
      <c r="C1353">
        <f>IF(A1353="","",DATE(YEAR(A1353),12,31)-DATE(YEAR(A1353),1,1)+1)</f>
        <v/>
      </c>
      <c r="D1353">
        <f>IF(A1353="","",SUMIFS(Акты!$D$5:$D$16,Акты!$E$5:$E$16,"&lt;="&amp;A1353)-SUMIFS(Оплаты!$B$6:$B$505,Оплаты!$A$6:$A$505,"&lt;"&amp;A1353,Оплаты!$D$6:$D$505,"&lt;&gt;"))</f>
        <v/>
      </c>
      <c r="E1353">
        <f>IF(A1353="","",IF(SUMPRODUCT((Ввод!$F$12:$F$31&lt;&gt;"")*(Ввод!$F$12:$F$31&lt;=A1353)*(Ввод!$G$12:$G$31&gt;=A1353))&gt;0,1,0))</f>
        <v/>
      </c>
      <c r="G1353">
        <f>IF(A1353="","",IF(OR(B1353&lt;&gt;B1352,C1353&lt;&gt;C1352,E1353&lt;&gt;E1352),G1352+1,G1352))</f>
        <v/>
      </c>
    </row>
    <row r="1354">
      <c r="A1354" s="20">
        <f>IF(A1353="","",IF(A1353+1&gt;Ввод!$B$4,"",A1353+1))</f>
        <v/>
      </c>
      <c r="B1354">
        <f>IF(A1354="","",IFERROR(INDEX(Ввод!$B$12:$B$71,MATCH(A1354,Ввод!$D$12:$D$71,1)),""))</f>
        <v/>
      </c>
      <c r="C1354">
        <f>IF(A1354="","",DATE(YEAR(A1354),12,31)-DATE(YEAR(A1354),1,1)+1)</f>
        <v/>
      </c>
      <c r="D1354">
        <f>IF(A1354="","",SUMIFS(Акты!$D$5:$D$16,Акты!$E$5:$E$16,"&lt;="&amp;A1354)-SUMIFS(Оплаты!$B$6:$B$505,Оплаты!$A$6:$A$505,"&lt;"&amp;A1354,Оплаты!$D$6:$D$505,"&lt;&gt;"))</f>
        <v/>
      </c>
      <c r="E1354">
        <f>IF(A1354="","",IF(SUMPRODUCT((Ввод!$F$12:$F$31&lt;&gt;"")*(Ввод!$F$12:$F$31&lt;=A1354)*(Ввод!$G$12:$G$31&gt;=A1354))&gt;0,1,0))</f>
        <v/>
      </c>
      <c r="G1354">
        <f>IF(A1354="","",IF(OR(B1354&lt;&gt;B1353,C1354&lt;&gt;C1353,E1354&lt;&gt;E1353),G1353+1,G1353))</f>
        <v/>
      </c>
    </row>
    <row r="1355">
      <c r="A1355" s="20">
        <f>IF(A1354="","",IF(A1354+1&gt;Ввод!$B$4,"",A1354+1))</f>
        <v/>
      </c>
      <c r="B1355">
        <f>IF(A1355="","",IFERROR(INDEX(Ввод!$B$12:$B$71,MATCH(A1355,Ввод!$D$12:$D$71,1)),""))</f>
        <v/>
      </c>
      <c r="C1355">
        <f>IF(A1355="","",DATE(YEAR(A1355),12,31)-DATE(YEAR(A1355),1,1)+1)</f>
        <v/>
      </c>
      <c r="D1355">
        <f>IF(A1355="","",SUMIFS(Акты!$D$5:$D$16,Акты!$E$5:$E$16,"&lt;="&amp;A1355)-SUMIFS(Оплаты!$B$6:$B$505,Оплаты!$A$6:$A$505,"&lt;"&amp;A1355,Оплаты!$D$6:$D$505,"&lt;&gt;"))</f>
        <v/>
      </c>
      <c r="E1355">
        <f>IF(A1355="","",IF(SUMPRODUCT((Ввод!$F$12:$F$31&lt;&gt;"")*(Ввод!$F$12:$F$31&lt;=A1355)*(Ввод!$G$12:$G$31&gt;=A1355))&gt;0,1,0))</f>
        <v/>
      </c>
      <c r="G1355">
        <f>IF(A1355="","",IF(OR(B1355&lt;&gt;B1354,C1355&lt;&gt;C1354,E1355&lt;&gt;E1354),G1354+1,G1354))</f>
        <v/>
      </c>
    </row>
    <row r="1356">
      <c r="A1356" s="20">
        <f>IF(A1355="","",IF(A1355+1&gt;Ввод!$B$4,"",A1355+1))</f>
        <v/>
      </c>
      <c r="B1356">
        <f>IF(A1356="","",IFERROR(INDEX(Ввод!$B$12:$B$71,MATCH(A1356,Ввод!$D$12:$D$71,1)),""))</f>
        <v/>
      </c>
      <c r="C1356">
        <f>IF(A1356="","",DATE(YEAR(A1356),12,31)-DATE(YEAR(A1356),1,1)+1)</f>
        <v/>
      </c>
      <c r="D1356">
        <f>IF(A1356="","",SUMIFS(Акты!$D$5:$D$16,Акты!$E$5:$E$16,"&lt;="&amp;A1356)-SUMIFS(Оплаты!$B$6:$B$505,Оплаты!$A$6:$A$505,"&lt;"&amp;A1356,Оплаты!$D$6:$D$505,"&lt;&gt;"))</f>
        <v/>
      </c>
      <c r="E1356">
        <f>IF(A1356="","",IF(SUMPRODUCT((Ввод!$F$12:$F$31&lt;&gt;"")*(Ввод!$F$12:$F$31&lt;=A1356)*(Ввод!$G$12:$G$31&gt;=A1356))&gt;0,1,0))</f>
        <v/>
      </c>
      <c r="G1356">
        <f>IF(A1356="","",IF(OR(B1356&lt;&gt;B1355,C1356&lt;&gt;C1355,E1356&lt;&gt;E1355),G1355+1,G1355))</f>
        <v/>
      </c>
    </row>
    <row r="1357">
      <c r="A1357" s="20">
        <f>IF(A1356="","",IF(A1356+1&gt;Ввод!$B$4,"",A1356+1))</f>
        <v/>
      </c>
      <c r="B1357">
        <f>IF(A1357="","",IFERROR(INDEX(Ввод!$B$12:$B$71,MATCH(A1357,Ввод!$D$12:$D$71,1)),""))</f>
        <v/>
      </c>
      <c r="C1357">
        <f>IF(A1357="","",DATE(YEAR(A1357),12,31)-DATE(YEAR(A1357),1,1)+1)</f>
        <v/>
      </c>
      <c r="D1357">
        <f>IF(A1357="","",SUMIFS(Акты!$D$5:$D$16,Акты!$E$5:$E$16,"&lt;="&amp;A1357)-SUMIFS(Оплаты!$B$6:$B$505,Оплаты!$A$6:$A$505,"&lt;"&amp;A1357,Оплаты!$D$6:$D$505,"&lt;&gt;"))</f>
        <v/>
      </c>
      <c r="E1357">
        <f>IF(A1357="","",IF(SUMPRODUCT((Ввод!$F$12:$F$31&lt;&gt;"")*(Ввод!$F$12:$F$31&lt;=A1357)*(Ввод!$G$12:$G$31&gt;=A1357))&gt;0,1,0))</f>
        <v/>
      </c>
      <c r="G1357">
        <f>IF(A1357="","",IF(OR(B1357&lt;&gt;B1356,C1357&lt;&gt;C1356,E1357&lt;&gt;E1356),G1356+1,G1356))</f>
        <v/>
      </c>
    </row>
    <row r="1358">
      <c r="A1358" s="20">
        <f>IF(A1357="","",IF(A1357+1&gt;Ввод!$B$4,"",A1357+1))</f>
        <v/>
      </c>
      <c r="B1358">
        <f>IF(A1358="","",IFERROR(INDEX(Ввод!$B$12:$B$71,MATCH(A1358,Ввод!$D$12:$D$71,1)),""))</f>
        <v/>
      </c>
      <c r="C1358">
        <f>IF(A1358="","",DATE(YEAR(A1358),12,31)-DATE(YEAR(A1358),1,1)+1)</f>
        <v/>
      </c>
      <c r="D1358">
        <f>IF(A1358="","",SUMIFS(Акты!$D$5:$D$16,Акты!$E$5:$E$16,"&lt;="&amp;A1358)-SUMIFS(Оплаты!$B$6:$B$505,Оплаты!$A$6:$A$505,"&lt;"&amp;A1358,Оплаты!$D$6:$D$505,"&lt;&gt;"))</f>
        <v/>
      </c>
      <c r="E1358">
        <f>IF(A1358="","",IF(SUMPRODUCT((Ввод!$F$12:$F$31&lt;&gt;"")*(Ввод!$F$12:$F$31&lt;=A1358)*(Ввод!$G$12:$G$31&gt;=A1358))&gt;0,1,0))</f>
        <v/>
      </c>
      <c r="G1358">
        <f>IF(A1358="","",IF(OR(B1358&lt;&gt;B1357,C1358&lt;&gt;C1357,E1358&lt;&gt;E1357),G1357+1,G1357))</f>
        <v/>
      </c>
    </row>
    <row r="1359">
      <c r="A1359" s="20">
        <f>IF(A1358="","",IF(A1358+1&gt;Ввод!$B$4,"",A1358+1))</f>
        <v/>
      </c>
      <c r="B1359">
        <f>IF(A1359="","",IFERROR(INDEX(Ввод!$B$12:$B$71,MATCH(A1359,Ввод!$D$12:$D$71,1)),""))</f>
        <v/>
      </c>
      <c r="C1359">
        <f>IF(A1359="","",DATE(YEAR(A1359),12,31)-DATE(YEAR(A1359),1,1)+1)</f>
        <v/>
      </c>
      <c r="D1359">
        <f>IF(A1359="","",SUMIFS(Акты!$D$5:$D$16,Акты!$E$5:$E$16,"&lt;="&amp;A1359)-SUMIFS(Оплаты!$B$6:$B$505,Оплаты!$A$6:$A$505,"&lt;"&amp;A1359,Оплаты!$D$6:$D$505,"&lt;&gt;"))</f>
        <v/>
      </c>
      <c r="E1359">
        <f>IF(A1359="","",IF(SUMPRODUCT((Ввод!$F$12:$F$31&lt;&gt;"")*(Ввод!$F$12:$F$31&lt;=A1359)*(Ввод!$G$12:$G$31&gt;=A1359))&gt;0,1,0))</f>
        <v/>
      </c>
      <c r="G1359">
        <f>IF(A1359="","",IF(OR(B1359&lt;&gt;B1358,C1359&lt;&gt;C1358,E1359&lt;&gt;E1358),G1358+1,G1358))</f>
        <v/>
      </c>
    </row>
    <row r="1360">
      <c r="A1360" s="20">
        <f>IF(A1359="","",IF(A1359+1&gt;Ввод!$B$4,"",A1359+1))</f>
        <v/>
      </c>
      <c r="B1360">
        <f>IF(A1360="","",IFERROR(INDEX(Ввод!$B$12:$B$71,MATCH(A1360,Ввод!$D$12:$D$71,1)),""))</f>
        <v/>
      </c>
      <c r="C1360">
        <f>IF(A1360="","",DATE(YEAR(A1360),12,31)-DATE(YEAR(A1360),1,1)+1)</f>
        <v/>
      </c>
      <c r="D1360">
        <f>IF(A1360="","",SUMIFS(Акты!$D$5:$D$16,Акты!$E$5:$E$16,"&lt;="&amp;A1360)-SUMIFS(Оплаты!$B$6:$B$505,Оплаты!$A$6:$A$505,"&lt;"&amp;A1360,Оплаты!$D$6:$D$505,"&lt;&gt;"))</f>
        <v/>
      </c>
      <c r="E1360">
        <f>IF(A1360="","",IF(SUMPRODUCT((Ввод!$F$12:$F$31&lt;&gt;"")*(Ввод!$F$12:$F$31&lt;=A1360)*(Ввод!$G$12:$G$31&gt;=A1360))&gt;0,1,0))</f>
        <v/>
      </c>
      <c r="G1360">
        <f>IF(A1360="","",IF(OR(B1360&lt;&gt;B1359,C1360&lt;&gt;C1359,E1360&lt;&gt;E1359),G1359+1,G1359))</f>
        <v/>
      </c>
    </row>
    <row r="1361">
      <c r="A1361" s="20">
        <f>IF(A1360="","",IF(A1360+1&gt;Ввод!$B$4,"",A1360+1))</f>
        <v/>
      </c>
      <c r="B1361">
        <f>IF(A1361="","",IFERROR(INDEX(Ввод!$B$12:$B$71,MATCH(A1361,Ввод!$D$12:$D$71,1)),""))</f>
        <v/>
      </c>
      <c r="C1361">
        <f>IF(A1361="","",DATE(YEAR(A1361),12,31)-DATE(YEAR(A1361),1,1)+1)</f>
        <v/>
      </c>
      <c r="D1361">
        <f>IF(A1361="","",SUMIFS(Акты!$D$5:$D$16,Акты!$E$5:$E$16,"&lt;="&amp;A1361)-SUMIFS(Оплаты!$B$6:$B$505,Оплаты!$A$6:$A$505,"&lt;"&amp;A1361,Оплаты!$D$6:$D$505,"&lt;&gt;"))</f>
        <v/>
      </c>
      <c r="E1361">
        <f>IF(A1361="","",IF(SUMPRODUCT((Ввод!$F$12:$F$31&lt;&gt;"")*(Ввод!$F$12:$F$31&lt;=A1361)*(Ввод!$G$12:$G$31&gt;=A1361))&gt;0,1,0))</f>
        <v/>
      </c>
      <c r="G1361">
        <f>IF(A1361="","",IF(OR(B1361&lt;&gt;B1360,C1361&lt;&gt;C1360,E1361&lt;&gt;E1360),G1360+1,G1360))</f>
        <v/>
      </c>
    </row>
    <row r="1362">
      <c r="A1362" s="20">
        <f>IF(A1361="","",IF(A1361+1&gt;Ввод!$B$4,"",A1361+1))</f>
        <v/>
      </c>
      <c r="B1362">
        <f>IF(A1362="","",IFERROR(INDEX(Ввод!$B$12:$B$71,MATCH(A1362,Ввод!$D$12:$D$71,1)),""))</f>
        <v/>
      </c>
      <c r="C1362">
        <f>IF(A1362="","",DATE(YEAR(A1362),12,31)-DATE(YEAR(A1362),1,1)+1)</f>
        <v/>
      </c>
      <c r="D1362">
        <f>IF(A1362="","",SUMIFS(Акты!$D$5:$D$16,Акты!$E$5:$E$16,"&lt;="&amp;A1362)-SUMIFS(Оплаты!$B$6:$B$505,Оплаты!$A$6:$A$505,"&lt;"&amp;A1362,Оплаты!$D$6:$D$505,"&lt;&gt;"))</f>
        <v/>
      </c>
      <c r="E1362">
        <f>IF(A1362="","",IF(SUMPRODUCT((Ввод!$F$12:$F$31&lt;&gt;"")*(Ввод!$F$12:$F$31&lt;=A1362)*(Ввод!$G$12:$G$31&gt;=A1362))&gt;0,1,0))</f>
        <v/>
      </c>
      <c r="G1362">
        <f>IF(A1362="","",IF(OR(B1362&lt;&gt;B1361,C1362&lt;&gt;C1361,E1362&lt;&gt;E1361),G1361+1,G1361))</f>
        <v/>
      </c>
    </row>
    <row r="1363">
      <c r="A1363" s="20">
        <f>IF(A1362="","",IF(A1362+1&gt;Ввод!$B$4,"",A1362+1))</f>
        <v/>
      </c>
      <c r="B1363">
        <f>IF(A1363="","",IFERROR(INDEX(Ввод!$B$12:$B$71,MATCH(A1363,Ввод!$D$12:$D$71,1)),""))</f>
        <v/>
      </c>
      <c r="C1363">
        <f>IF(A1363="","",DATE(YEAR(A1363),12,31)-DATE(YEAR(A1363),1,1)+1)</f>
        <v/>
      </c>
      <c r="D1363">
        <f>IF(A1363="","",SUMIFS(Акты!$D$5:$D$16,Акты!$E$5:$E$16,"&lt;="&amp;A1363)-SUMIFS(Оплаты!$B$6:$B$505,Оплаты!$A$6:$A$505,"&lt;"&amp;A1363,Оплаты!$D$6:$D$505,"&lt;&gt;"))</f>
        <v/>
      </c>
      <c r="E1363">
        <f>IF(A1363="","",IF(SUMPRODUCT((Ввод!$F$12:$F$31&lt;&gt;"")*(Ввод!$F$12:$F$31&lt;=A1363)*(Ввод!$G$12:$G$31&gt;=A1363))&gt;0,1,0))</f>
        <v/>
      </c>
      <c r="G1363">
        <f>IF(A1363="","",IF(OR(B1363&lt;&gt;B1362,C1363&lt;&gt;C1362,E1363&lt;&gt;E1362),G1362+1,G1362))</f>
        <v/>
      </c>
    </row>
    <row r="1364">
      <c r="A1364" s="20">
        <f>IF(A1363="","",IF(A1363+1&gt;Ввод!$B$4,"",A1363+1))</f>
        <v/>
      </c>
      <c r="B1364">
        <f>IF(A1364="","",IFERROR(INDEX(Ввод!$B$12:$B$71,MATCH(A1364,Ввод!$D$12:$D$71,1)),""))</f>
        <v/>
      </c>
      <c r="C1364">
        <f>IF(A1364="","",DATE(YEAR(A1364),12,31)-DATE(YEAR(A1364),1,1)+1)</f>
        <v/>
      </c>
      <c r="D1364">
        <f>IF(A1364="","",SUMIFS(Акты!$D$5:$D$16,Акты!$E$5:$E$16,"&lt;="&amp;A1364)-SUMIFS(Оплаты!$B$6:$B$505,Оплаты!$A$6:$A$505,"&lt;"&amp;A1364,Оплаты!$D$6:$D$505,"&lt;&gt;"))</f>
        <v/>
      </c>
      <c r="E1364">
        <f>IF(A1364="","",IF(SUMPRODUCT((Ввод!$F$12:$F$31&lt;&gt;"")*(Ввод!$F$12:$F$31&lt;=A1364)*(Ввод!$G$12:$G$31&gt;=A1364))&gt;0,1,0))</f>
        <v/>
      </c>
      <c r="G1364">
        <f>IF(A1364="","",IF(OR(B1364&lt;&gt;B1363,C1364&lt;&gt;C1363,E1364&lt;&gt;E1363),G1363+1,G1363))</f>
        <v/>
      </c>
    </row>
    <row r="1365">
      <c r="A1365" s="20">
        <f>IF(A1364="","",IF(A1364+1&gt;Ввод!$B$4,"",A1364+1))</f>
        <v/>
      </c>
      <c r="B1365">
        <f>IF(A1365="","",IFERROR(INDEX(Ввод!$B$12:$B$71,MATCH(A1365,Ввод!$D$12:$D$71,1)),""))</f>
        <v/>
      </c>
      <c r="C1365">
        <f>IF(A1365="","",DATE(YEAR(A1365),12,31)-DATE(YEAR(A1365),1,1)+1)</f>
        <v/>
      </c>
      <c r="D1365">
        <f>IF(A1365="","",SUMIFS(Акты!$D$5:$D$16,Акты!$E$5:$E$16,"&lt;="&amp;A1365)-SUMIFS(Оплаты!$B$6:$B$505,Оплаты!$A$6:$A$505,"&lt;"&amp;A1365,Оплаты!$D$6:$D$505,"&lt;&gt;"))</f>
        <v/>
      </c>
      <c r="E1365">
        <f>IF(A1365="","",IF(SUMPRODUCT((Ввод!$F$12:$F$31&lt;&gt;"")*(Ввод!$F$12:$F$31&lt;=A1365)*(Ввод!$G$12:$G$31&gt;=A1365))&gt;0,1,0))</f>
        <v/>
      </c>
      <c r="G1365">
        <f>IF(A1365="","",IF(OR(B1365&lt;&gt;B1364,C1365&lt;&gt;C1364,E1365&lt;&gt;E1364),G1364+1,G1364))</f>
        <v/>
      </c>
    </row>
    <row r="1366">
      <c r="A1366" s="20">
        <f>IF(A1365="","",IF(A1365+1&gt;Ввод!$B$4,"",A1365+1))</f>
        <v/>
      </c>
      <c r="B1366">
        <f>IF(A1366="","",IFERROR(INDEX(Ввод!$B$12:$B$71,MATCH(A1366,Ввод!$D$12:$D$71,1)),""))</f>
        <v/>
      </c>
      <c r="C1366">
        <f>IF(A1366="","",DATE(YEAR(A1366),12,31)-DATE(YEAR(A1366),1,1)+1)</f>
        <v/>
      </c>
      <c r="D1366">
        <f>IF(A1366="","",SUMIFS(Акты!$D$5:$D$16,Акты!$E$5:$E$16,"&lt;="&amp;A1366)-SUMIFS(Оплаты!$B$6:$B$505,Оплаты!$A$6:$A$505,"&lt;"&amp;A1366,Оплаты!$D$6:$D$505,"&lt;&gt;"))</f>
        <v/>
      </c>
      <c r="E1366">
        <f>IF(A1366="","",IF(SUMPRODUCT((Ввод!$F$12:$F$31&lt;&gt;"")*(Ввод!$F$12:$F$31&lt;=A1366)*(Ввод!$G$12:$G$31&gt;=A1366))&gt;0,1,0))</f>
        <v/>
      </c>
      <c r="G1366">
        <f>IF(A1366="","",IF(OR(B1366&lt;&gt;B1365,C1366&lt;&gt;C1365,E1366&lt;&gt;E1365),G1365+1,G1365))</f>
        <v/>
      </c>
    </row>
    <row r="1367">
      <c r="A1367" s="20">
        <f>IF(A1366="","",IF(A1366+1&gt;Ввод!$B$4,"",A1366+1))</f>
        <v/>
      </c>
      <c r="B1367">
        <f>IF(A1367="","",IFERROR(INDEX(Ввод!$B$12:$B$71,MATCH(A1367,Ввод!$D$12:$D$71,1)),""))</f>
        <v/>
      </c>
      <c r="C1367">
        <f>IF(A1367="","",DATE(YEAR(A1367),12,31)-DATE(YEAR(A1367),1,1)+1)</f>
        <v/>
      </c>
      <c r="D1367">
        <f>IF(A1367="","",SUMIFS(Акты!$D$5:$D$16,Акты!$E$5:$E$16,"&lt;="&amp;A1367)-SUMIFS(Оплаты!$B$6:$B$505,Оплаты!$A$6:$A$505,"&lt;"&amp;A1367,Оплаты!$D$6:$D$505,"&lt;&gt;"))</f>
        <v/>
      </c>
      <c r="E1367">
        <f>IF(A1367="","",IF(SUMPRODUCT((Ввод!$F$12:$F$31&lt;&gt;"")*(Ввод!$F$12:$F$31&lt;=A1367)*(Ввод!$G$12:$G$31&gt;=A1367))&gt;0,1,0))</f>
        <v/>
      </c>
      <c r="G1367">
        <f>IF(A1367="","",IF(OR(B1367&lt;&gt;B1366,C1367&lt;&gt;C1366,E1367&lt;&gt;E1366),G1366+1,G1366))</f>
        <v/>
      </c>
    </row>
    <row r="1368">
      <c r="A1368" s="20">
        <f>IF(A1367="","",IF(A1367+1&gt;Ввод!$B$4,"",A1367+1))</f>
        <v/>
      </c>
      <c r="B1368">
        <f>IF(A1368="","",IFERROR(INDEX(Ввод!$B$12:$B$71,MATCH(A1368,Ввод!$D$12:$D$71,1)),""))</f>
        <v/>
      </c>
      <c r="C1368">
        <f>IF(A1368="","",DATE(YEAR(A1368),12,31)-DATE(YEAR(A1368),1,1)+1)</f>
        <v/>
      </c>
      <c r="D1368">
        <f>IF(A1368="","",SUMIFS(Акты!$D$5:$D$16,Акты!$E$5:$E$16,"&lt;="&amp;A1368)-SUMIFS(Оплаты!$B$6:$B$505,Оплаты!$A$6:$A$505,"&lt;"&amp;A1368,Оплаты!$D$6:$D$505,"&lt;&gt;"))</f>
        <v/>
      </c>
      <c r="E1368">
        <f>IF(A1368="","",IF(SUMPRODUCT((Ввод!$F$12:$F$31&lt;&gt;"")*(Ввод!$F$12:$F$31&lt;=A1368)*(Ввод!$G$12:$G$31&gt;=A1368))&gt;0,1,0))</f>
        <v/>
      </c>
      <c r="G1368">
        <f>IF(A1368="","",IF(OR(B1368&lt;&gt;B1367,C1368&lt;&gt;C1367,E1368&lt;&gt;E1367),G1367+1,G1367))</f>
        <v/>
      </c>
    </row>
    <row r="1369">
      <c r="A1369" s="20">
        <f>IF(A1368="","",IF(A1368+1&gt;Ввод!$B$4,"",A1368+1))</f>
        <v/>
      </c>
      <c r="B1369">
        <f>IF(A1369="","",IFERROR(INDEX(Ввод!$B$12:$B$71,MATCH(A1369,Ввод!$D$12:$D$71,1)),""))</f>
        <v/>
      </c>
      <c r="C1369">
        <f>IF(A1369="","",DATE(YEAR(A1369),12,31)-DATE(YEAR(A1369),1,1)+1)</f>
        <v/>
      </c>
      <c r="D1369">
        <f>IF(A1369="","",SUMIFS(Акты!$D$5:$D$16,Акты!$E$5:$E$16,"&lt;="&amp;A1369)-SUMIFS(Оплаты!$B$6:$B$505,Оплаты!$A$6:$A$505,"&lt;"&amp;A1369,Оплаты!$D$6:$D$505,"&lt;&gt;"))</f>
        <v/>
      </c>
      <c r="E1369">
        <f>IF(A1369="","",IF(SUMPRODUCT((Ввод!$F$12:$F$31&lt;&gt;"")*(Ввод!$F$12:$F$31&lt;=A1369)*(Ввод!$G$12:$G$31&gt;=A1369))&gt;0,1,0))</f>
        <v/>
      </c>
      <c r="G1369">
        <f>IF(A1369="","",IF(OR(B1369&lt;&gt;B1368,C1369&lt;&gt;C1368,E1369&lt;&gt;E1368),G1368+1,G1368))</f>
        <v/>
      </c>
    </row>
    <row r="1370">
      <c r="A1370" s="20">
        <f>IF(A1369="","",IF(A1369+1&gt;Ввод!$B$4,"",A1369+1))</f>
        <v/>
      </c>
      <c r="B1370">
        <f>IF(A1370="","",IFERROR(INDEX(Ввод!$B$12:$B$71,MATCH(A1370,Ввод!$D$12:$D$71,1)),""))</f>
        <v/>
      </c>
      <c r="C1370">
        <f>IF(A1370="","",DATE(YEAR(A1370),12,31)-DATE(YEAR(A1370),1,1)+1)</f>
        <v/>
      </c>
      <c r="D1370">
        <f>IF(A1370="","",SUMIFS(Акты!$D$5:$D$16,Акты!$E$5:$E$16,"&lt;="&amp;A1370)-SUMIFS(Оплаты!$B$6:$B$505,Оплаты!$A$6:$A$505,"&lt;"&amp;A1370,Оплаты!$D$6:$D$505,"&lt;&gt;"))</f>
        <v/>
      </c>
      <c r="E1370">
        <f>IF(A1370="","",IF(SUMPRODUCT((Ввод!$F$12:$F$31&lt;&gt;"")*(Ввод!$F$12:$F$31&lt;=A1370)*(Ввод!$G$12:$G$31&gt;=A1370))&gt;0,1,0))</f>
        <v/>
      </c>
      <c r="G1370">
        <f>IF(A1370="","",IF(OR(B1370&lt;&gt;B1369,C1370&lt;&gt;C1369,E1370&lt;&gt;E1369),G1369+1,G1369))</f>
        <v/>
      </c>
    </row>
    <row r="1371">
      <c r="A1371" s="20">
        <f>IF(A1370="","",IF(A1370+1&gt;Ввод!$B$4,"",A1370+1))</f>
        <v/>
      </c>
      <c r="B1371">
        <f>IF(A1371="","",IFERROR(INDEX(Ввод!$B$12:$B$71,MATCH(A1371,Ввод!$D$12:$D$71,1)),""))</f>
        <v/>
      </c>
      <c r="C1371">
        <f>IF(A1371="","",DATE(YEAR(A1371),12,31)-DATE(YEAR(A1371),1,1)+1)</f>
        <v/>
      </c>
      <c r="D1371">
        <f>IF(A1371="","",SUMIFS(Акты!$D$5:$D$16,Акты!$E$5:$E$16,"&lt;="&amp;A1371)-SUMIFS(Оплаты!$B$6:$B$505,Оплаты!$A$6:$A$505,"&lt;"&amp;A1371,Оплаты!$D$6:$D$505,"&lt;&gt;"))</f>
        <v/>
      </c>
      <c r="E1371">
        <f>IF(A1371="","",IF(SUMPRODUCT((Ввод!$F$12:$F$31&lt;&gt;"")*(Ввод!$F$12:$F$31&lt;=A1371)*(Ввод!$G$12:$G$31&gt;=A1371))&gt;0,1,0))</f>
        <v/>
      </c>
      <c r="G1371">
        <f>IF(A1371="","",IF(OR(B1371&lt;&gt;B1370,C1371&lt;&gt;C1370,E1371&lt;&gt;E1370),G1370+1,G1370))</f>
        <v/>
      </c>
    </row>
    <row r="1372">
      <c r="A1372" s="20">
        <f>IF(A1371="","",IF(A1371+1&gt;Ввод!$B$4,"",A1371+1))</f>
        <v/>
      </c>
      <c r="B1372">
        <f>IF(A1372="","",IFERROR(INDEX(Ввод!$B$12:$B$71,MATCH(A1372,Ввод!$D$12:$D$71,1)),""))</f>
        <v/>
      </c>
      <c r="C1372">
        <f>IF(A1372="","",DATE(YEAR(A1372),12,31)-DATE(YEAR(A1372),1,1)+1)</f>
        <v/>
      </c>
      <c r="D1372">
        <f>IF(A1372="","",SUMIFS(Акты!$D$5:$D$16,Акты!$E$5:$E$16,"&lt;="&amp;A1372)-SUMIFS(Оплаты!$B$6:$B$505,Оплаты!$A$6:$A$505,"&lt;"&amp;A1372,Оплаты!$D$6:$D$505,"&lt;&gt;"))</f>
        <v/>
      </c>
      <c r="E1372">
        <f>IF(A1372="","",IF(SUMPRODUCT((Ввод!$F$12:$F$31&lt;&gt;"")*(Ввод!$F$12:$F$31&lt;=A1372)*(Ввод!$G$12:$G$31&gt;=A1372))&gt;0,1,0))</f>
        <v/>
      </c>
      <c r="G1372">
        <f>IF(A1372="","",IF(OR(B1372&lt;&gt;B1371,C1372&lt;&gt;C1371,E1372&lt;&gt;E1371),G1371+1,G1371))</f>
        <v/>
      </c>
    </row>
    <row r="1373">
      <c r="A1373" s="20">
        <f>IF(A1372="","",IF(A1372+1&gt;Ввод!$B$4,"",A1372+1))</f>
        <v/>
      </c>
      <c r="B1373">
        <f>IF(A1373="","",IFERROR(INDEX(Ввод!$B$12:$B$71,MATCH(A1373,Ввод!$D$12:$D$71,1)),""))</f>
        <v/>
      </c>
      <c r="C1373">
        <f>IF(A1373="","",DATE(YEAR(A1373),12,31)-DATE(YEAR(A1373),1,1)+1)</f>
        <v/>
      </c>
      <c r="D1373">
        <f>IF(A1373="","",SUMIFS(Акты!$D$5:$D$16,Акты!$E$5:$E$16,"&lt;="&amp;A1373)-SUMIFS(Оплаты!$B$6:$B$505,Оплаты!$A$6:$A$505,"&lt;"&amp;A1373,Оплаты!$D$6:$D$505,"&lt;&gt;"))</f>
        <v/>
      </c>
      <c r="E1373">
        <f>IF(A1373="","",IF(SUMPRODUCT((Ввод!$F$12:$F$31&lt;&gt;"")*(Ввод!$F$12:$F$31&lt;=A1373)*(Ввод!$G$12:$G$31&gt;=A1373))&gt;0,1,0))</f>
        <v/>
      </c>
      <c r="G1373">
        <f>IF(A1373="","",IF(OR(B1373&lt;&gt;B1372,C1373&lt;&gt;C1372,E1373&lt;&gt;E1372),G1372+1,G1372))</f>
        <v/>
      </c>
    </row>
    <row r="1374">
      <c r="A1374" s="20">
        <f>IF(A1373="","",IF(A1373+1&gt;Ввод!$B$4,"",A1373+1))</f>
        <v/>
      </c>
      <c r="B1374">
        <f>IF(A1374="","",IFERROR(INDEX(Ввод!$B$12:$B$71,MATCH(A1374,Ввод!$D$12:$D$71,1)),""))</f>
        <v/>
      </c>
      <c r="C1374">
        <f>IF(A1374="","",DATE(YEAR(A1374),12,31)-DATE(YEAR(A1374),1,1)+1)</f>
        <v/>
      </c>
      <c r="D1374">
        <f>IF(A1374="","",SUMIFS(Акты!$D$5:$D$16,Акты!$E$5:$E$16,"&lt;="&amp;A1374)-SUMIFS(Оплаты!$B$6:$B$505,Оплаты!$A$6:$A$505,"&lt;"&amp;A1374,Оплаты!$D$6:$D$505,"&lt;&gt;"))</f>
        <v/>
      </c>
      <c r="E1374">
        <f>IF(A1374="","",IF(SUMPRODUCT((Ввод!$F$12:$F$31&lt;&gt;"")*(Ввод!$F$12:$F$31&lt;=A1374)*(Ввод!$G$12:$G$31&gt;=A1374))&gt;0,1,0))</f>
        <v/>
      </c>
      <c r="G1374">
        <f>IF(A1374="","",IF(OR(B1374&lt;&gt;B1373,C1374&lt;&gt;C1373,E1374&lt;&gt;E1373),G1373+1,G1373))</f>
        <v/>
      </c>
    </row>
    <row r="1375">
      <c r="A1375" s="20">
        <f>IF(A1374="","",IF(A1374+1&gt;Ввод!$B$4,"",A1374+1))</f>
        <v/>
      </c>
      <c r="B1375">
        <f>IF(A1375="","",IFERROR(INDEX(Ввод!$B$12:$B$71,MATCH(A1375,Ввод!$D$12:$D$71,1)),""))</f>
        <v/>
      </c>
      <c r="C1375">
        <f>IF(A1375="","",DATE(YEAR(A1375),12,31)-DATE(YEAR(A1375),1,1)+1)</f>
        <v/>
      </c>
      <c r="D1375">
        <f>IF(A1375="","",SUMIFS(Акты!$D$5:$D$16,Акты!$E$5:$E$16,"&lt;="&amp;A1375)-SUMIFS(Оплаты!$B$6:$B$505,Оплаты!$A$6:$A$505,"&lt;"&amp;A1375,Оплаты!$D$6:$D$505,"&lt;&gt;"))</f>
        <v/>
      </c>
      <c r="E1375">
        <f>IF(A1375="","",IF(SUMPRODUCT((Ввод!$F$12:$F$31&lt;&gt;"")*(Ввод!$F$12:$F$31&lt;=A1375)*(Ввод!$G$12:$G$31&gt;=A1375))&gt;0,1,0))</f>
        <v/>
      </c>
      <c r="G1375">
        <f>IF(A1375="","",IF(OR(B1375&lt;&gt;B1374,C1375&lt;&gt;C1374,E1375&lt;&gt;E1374),G1374+1,G1374))</f>
        <v/>
      </c>
    </row>
    <row r="1376">
      <c r="A1376" s="20">
        <f>IF(A1375="","",IF(A1375+1&gt;Ввод!$B$4,"",A1375+1))</f>
        <v/>
      </c>
      <c r="B1376">
        <f>IF(A1376="","",IFERROR(INDEX(Ввод!$B$12:$B$71,MATCH(A1376,Ввод!$D$12:$D$71,1)),""))</f>
        <v/>
      </c>
      <c r="C1376">
        <f>IF(A1376="","",DATE(YEAR(A1376),12,31)-DATE(YEAR(A1376),1,1)+1)</f>
        <v/>
      </c>
      <c r="D1376">
        <f>IF(A1376="","",SUMIFS(Акты!$D$5:$D$16,Акты!$E$5:$E$16,"&lt;="&amp;A1376)-SUMIFS(Оплаты!$B$6:$B$505,Оплаты!$A$6:$A$505,"&lt;"&amp;A1376,Оплаты!$D$6:$D$505,"&lt;&gt;"))</f>
        <v/>
      </c>
      <c r="E1376">
        <f>IF(A1376="","",IF(SUMPRODUCT((Ввод!$F$12:$F$31&lt;&gt;"")*(Ввод!$F$12:$F$31&lt;=A1376)*(Ввод!$G$12:$G$31&gt;=A1376))&gt;0,1,0))</f>
        <v/>
      </c>
      <c r="G1376">
        <f>IF(A1376="","",IF(OR(B1376&lt;&gt;B1375,C1376&lt;&gt;C1375,E1376&lt;&gt;E1375),G1375+1,G1375))</f>
        <v/>
      </c>
    </row>
    <row r="1377">
      <c r="A1377" s="20">
        <f>IF(A1376="","",IF(A1376+1&gt;Ввод!$B$4,"",A1376+1))</f>
        <v/>
      </c>
      <c r="B1377">
        <f>IF(A1377="","",IFERROR(INDEX(Ввод!$B$12:$B$71,MATCH(A1377,Ввод!$D$12:$D$71,1)),""))</f>
        <v/>
      </c>
      <c r="C1377">
        <f>IF(A1377="","",DATE(YEAR(A1377),12,31)-DATE(YEAR(A1377),1,1)+1)</f>
        <v/>
      </c>
      <c r="D1377">
        <f>IF(A1377="","",SUMIFS(Акты!$D$5:$D$16,Акты!$E$5:$E$16,"&lt;="&amp;A1377)-SUMIFS(Оплаты!$B$6:$B$505,Оплаты!$A$6:$A$505,"&lt;"&amp;A1377,Оплаты!$D$6:$D$505,"&lt;&gt;"))</f>
        <v/>
      </c>
      <c r="E1377">
        <f>IF(A1377="","",IF(SUMPRODUCT((Ввод!$F$12:$F$31&lt;&gt;"")*(Ввод!$F$12:$F$31&lt;=A1377)*(Ввод!$G$12:$G$31&gt;=A1377))&gt;0,1,0))</f>
        <v/>
      </c>
      <c r="G1377">
        <f>IF(A1377="","",IF(OR(B1377&lt;&gt;B1376,C1377&lt;&gt;C1376,E1377&lt;&gt;E1376),G1376+1,G1376))</f>
        <v/>
      </c>
    </row>
    <row r="1378">
      <c r="A1378" s="20">
        <f>IF(A1377="","",IF(A1377+1&gt;Ввод!$B$4,"",A1377+1))</f>
        <v/>
      </c>
      <c r="B1378">
        <f>IF(A1378="","",IFERROR(INDEX(Ввод!$B$12:$B$71,MATCH(A1378,Ввод!$D$12:$D$71,1)),""))</f>
        <v/>
      </c>
      <c r="C1378">
        <f>IF(A1378="","",DATE(YEAR(A1378),12,31)-DATE(YEAR(A1378),1,1)+1)</f>
        <v/>
      </c>
      <c r="D1378">
        <f>IF(A1378="","",SUMIFS(Акты!$D$5:$D$16,Акты!$E$5:$E$16,"&lt;="&amp;A1378)-SUMIFS(Оплаты!$B$6:$B$505,Оплаты!$A$6:$A$505,"&lt;"&amp;A1378,Оплаты!$D$6:$D$505,"&lt;&gt;"))</f>
        <v/>
      </c>
      <c r="E1378">
        <f>IF(A1378="","",IF(SUMPRODUCT((Ввод!$F$12:$F$31&lt;&gt;"")*(Ввод!$F$12:$F$31&lt;=A1378)*(Ввод!$G$12:$G$31&gt;=A1378))&gt;0,1,0))</f>
        <v/>
      </c>
      <c r="G1378">
        <f>IF(A1378="","",IF(OR(B1378&lt;&gt;B1377,C1378&lt;&gt;C1377,E1378&lt;&gt;E1377),G1377+1,G1377))</f>
        <v/>
      </c>
    </row>
    <row r="1379">
      <c r="A1379" s="20">
        <f>IF(A1378="","",IF(A1378+1&gt;Ввод!$B$4,"",A1378+1))</f>
        <v/>
      </c>
      <c r="B1379">
        <f>IF(A1379="","",IFERROR(INDEX(Ввод!$B$12:$B$71,MATCH(A1379,Ввод!$D$12:$D$71,1)),""))</f>
        <v/>
      </c>
      <c r="C1379">
        <f>IF(A1379="","",DATE(YEAR(A1379),12,31)-DATE(YEAR(A1379),1,1)+1)</f>
        <v/>
      </c>
      <c r="D1379">
        <f>IF(A1379="","",SUMIFS(Акты!$D$5:$D$16,Акты!$E$5:$E$16,"&lt;="&amp;A1379)-SUMIFS(Оплаты!$B$6:$B$505,Оплаты!$A$6:$A$505,"&lt;"&amp;A1379,Оплаты!$D$6:$D$505,"&lt;&gt;"))</f>
        <v/>
      </c>
      <c r="E1379">
        <f>IF(A1379="","",IF(SUMPRODUCT((Ввод!$F$12:$F$31&lt;&gt;"")*(Ввод!$F$12:$F$31&lt;=A1379)*(Ввод!$G$12:$G$31&gt;=A1379))&gt;0,1,0))</f>
        <v/>
      </c>
      <c r="G1379">
        <f>IF(A1379="","",IF(OR(B1379&lt;&gt;B1378,C1379&lt;&gt;C1378,E1379&lt;&gt;E1378),G1378+1,G1378))</f>
        <v/>
      </c>
    </row>
    <row r="1380">
      <c r="A1380" s="20">
        <f>IF(A1379="","",IF(A1379+1&gt;Ввод!$B$4,"",A1379+1))</f>
        <v/>
      </c>
      <c r="B1380">
        <f>IF(A1380="","",IFERROR(INDEX(Ввод!$B$12:$B$71,MATCH(A1380,Ввод!$D$12:$D$71,1)),""))</f>
        <v/>
      </c>
      <c r="C1380">
        <f>IF(A1380="","",DATE(YEAR(A1380),12,31)-DATE(YEAR(A1380),1,1)+1)</f>
        <v/>
      </c>
      <c r="D1380">
        <f>IF(A1380="","",SUMIFS(Акты!$D$5:$D$16,Акты!$E$5:$E$16,"&lt;="&amp;A1380)-SUMIFS(Оплаты!$B$6:$B$505,Оплаты!$A$6:$A$505,"&lt;"&amp;A1380,Оплаты!$D$6:$D$505,"&lt;&gt;"))</f>
        <v/>
      </c>
      <c r="E1380">
        <f>IF(A1380="","",IF(SUMPRODUCT((Ввод!$F$12:$F$31&lt;&gt;"")*(Ввод!$F$12:$F$31&lt;=A1380)*(Ввод!$G$12:$G$31&gt;=A1380))&gt;0,1,0))</f>
        <v/>
      </c>
      <c r="G1380">
        <f>IF(A1380="","",IF(OR(B1380&lt;&gt;B1379,C1380&lt;&gt;C1379,E1380&lt;&gt;E1379),G1379+1,G1379))</f>
        <v/>
      </c>
    </row>
    <row r="1381">
      <c r="A1381" s="20">
        <f>IF(A1380="","",IF(A1380+1&gt;Ввод!$B$4,"",A1380+1))</f>
        <v/>
      </c>
      <c r="B1381">
        <f>IF(A1381="","",IFERROR(INDEX(Ввод!$B$12:$B$71,MATCH(A1381,Ввод!$D$12:$D$71,1)),""))</f>
        <v/>
      </c>
      <c r="C1381">
        <f>IF(A1381="","",DATE(YEAR(A1381),12,31)-DATE(YEAR(A1381),1,1)+1)</f>
        <v/>
      </c>
      <c r="D1381">
        <f>IF(A1381="","",SUMIFS(Акты!$D$5:$D$16,Акты!$E$5:$E$16,"&lt;="&amp;A1381)-SUMIFS(Оплаты!$B$6:$B$505,Оплаты!$A$6:$A$505,"&lt;"&amp;A1381,Оплаты!$D$6:$D$505,"&lt;&gt;"))</f>
        <v/>
      </c>
      <c r="E1381">
        <f>IF(A1381="","",IF(SUMPRODUCT((Ввод!$F$12:$F$31&lt;&gt;"")*(Ввод!$F$12:$F$31&lt;=A1381)*(Ввод!$G$12:$G$31&gt;=A1381))&gt;0,1,0))</f>
        <v/>
      </c>
      <c r="G1381">
        <f>IF(A1381="","",IF(OR(B1381&lt;&gt;B1380,C1381&lt;&gt;C1380,E1381&lt;&gt;E1380),G1380+1,G1380))</f>
        <v/>
      </c>
    </row>
    <row r="1382">
      <c r="A1382" s="20">
        <f>IF(A1381="","",IF(A1381+1&gt;Ввод!$B$4,"",A1381+1))</f>
        <v/>
      </c>
      <c r="B1382">
        <f>IF(A1382="","",IFERROR(INDEX(Ввод!$B$12:$B$71,MATCH(A1382,Ввод!$D$12:$D$71,1)),""))</f>
        <v/>
      </c>
      <c r="C1382">
        <f>IF(A1382="","",DATE(YEAR(A1382),12,31)-DATE(YEAR(A1382),1,1)+1)</f>
        <v/>
      </c>
      <c r="D1382">
        <f>IF(A1382="","",SUMIFS(Акты!$D$5:$D$16,Акты!$E$5:$E$16,"&lt;="&amp;A1382)-SUMIFS(Оплаты!$B$6:$B$505,Оплаты!$A$6:$A$505,"&lt;"&amp;A1382,Оплаты!$D$6:$D$505,"&lt;&gt;"))</f>
        <v/>
      </c>
      <c r="E1382">
        <f>IF(A1382="","",IF(SUMPRODUCT((Ввод!$F$12:$F$31&lt;&gt;"")*(Ввод!$F$12:$F$31&lt;=A1382)*(Ввод!$G$12:$G$31&gt;=A1382))&gt;0,1,0))</f>
        <v/>
      </c>
      <c r="G1382">
        <f>IF(A1382="","",IF(OR(B1382&lt;&gt;B1381,C1382&lt;&gt;C1381,E1382&lt;&gt;E1381),G1381+1,G1381))</f>
        <v/>
      </c>
    </row>
    <row r="1383">
      <c r="A1383" s="20">
        <f>IF(A1382="","",IF(A1382+1&gt;Ввод!$B$4,"",A1382+1))</f>
        <v/>
      </c>
      <c r="B1383">
        <f>IF(A1383="","",IFERROR(INDEX(Ввод!$B$12:$B$71,MATCH(A1383,Ввод!$D$12:$D$71,1)),""))</f>
        <v/>
      </c>
      <c r="C1383">
        <f>IF(A1383="","",DATE(YEAR(A1383),12,31)-DATE(YEAR(A1383),1,1)+1)</f>
        <v/>
      </c>
      <c r="D1383">
        <f>IF(A1383="","",SUMIFS(Акты!$D$5:$D$16,Акты!$E$5:$E$16,"&lt;="&amp;A1383)-SUMIFS(Оплаты!$B$6:$B$505,Оплаты!$A$6:$A$505,"&lt;"&amp;A1383,Оплаты!$D$6:$D$505,"&lt;&gt;"))</f>
        <v/>
      </c>
      <c r="E1383">
        <f>IF(A1383="","",IF(SUMPRODUCT((Ввод!$F$12:$F$31&lt;&gt;"")*(Ввод!$F$12:$F$31&lt;=A1383)*(Ввод!$G$12:$G$31&gt;=A1383))&gt;0,1,0))</f>
        <v/>
      </c>
      <c r="G1383">
        <f>IF(A1383="","",IF(OR(B1383&lt;&gt;B1382,C1383&lt;&gt;C1382,E1383&lt;&gt;E1382),G1382+1,G1382))</f>
        <v/>
      </c>
    </row>
    <row r="1384">
      <c r="A1384" s="20">
        <f>IF(A1383="","",IF(A1383+1&gt;Ввод!$B$4,"",A1383+1))</f>
        <v/>
      </c>
      <c r="B1384">
        <f>IF(A1384="","",IFERROR(INDEX(Ввод!$B$12:$B$71,MATCH(A1384,Ввод!$D$12:$D$71,1)),""))</f>
        <v/>
      </c>
      <c r="C1384">
        <f>IF(A1384="","",DATE(YEAR(A1384),12,31)-DATE(YEAR(A1384),1,1)+1)</f>
        <v/>
      </c>
      <c r="D1384">
        <f>IF(A1384="","",SUMIFS(Акты!$D$5:$D$16,Акты!$E$5:$E$16,"&lt;="&amp;A1384)-SUMIFS(Оплаты!$B$6:$B$505,Оплаты!$A$6:$A$505,"&lt;"&amp;A1384,Оплаты!$D$6:$D$505,"&lt;&gt;"))</f>
        <v/>
      </c>
      <c r="E1384">
        <f>IF(A1384="","",IF(SUMPRODUCT((Ввод!$F$12:$F$31&lt;&gt;"")*(Ввод!$F$12:$F$31&lt;=A1384)*(Ввод!$G$12:$G$31&gt;=A1384))&gt;0,1,0))</f>
        <v/>
      </c>
      <c r="G1384">
        <f>IF(A1384="","",IF(OR(B1384&lt;&gt;B1383,C1384&lt;&gt;C1383,E1384&lt;&gt;E1383),G1383+1,G1383))</f>
        <v/>
      </c>
    </row>
    <row r="1385">
      <c r="A1385" s="20">
        <f>IF(A1384="","",IF(A1384+1&gt;Ввод!$B$4,"",A1384+1))</f>
        <v/>
      </c>
      <c r="B1385">
        <f>IF(A1385="","",IFERROR(INDEX(Ввод!$B$12:$B$71,MATCH(A1385,Ввод!$D$12:$D$71,1)),""))</f>
        <v/>
      </c>
      <c r="C1385">
        <f>IF(A1385="","",DATE(YEAR(A1385),12,31)-DATE(YEAR(A1385),1,1)+1)</f>
        <v/>
      </c>
      <c r="D1385">
        <f>IF(A1385="","",SUMIFS(Акты!$D$5:$D$16,Акты!$E$5:$E$16,"&lt;="&amp;A1385)-SUMIFS(Оплаты!$B$6:$B$505,Оплаты!$A$6:$A$505,"&lt;"&amp;A1385,Оплаты!$D$6:$D$505,"&lt;&gt;"))</f>
        <v/>
      </c>
      <c r="E1385">
        <f>IF(A1385="","",IF(SUMPRODUCT((Ввод!$F$12:$F$31&lt;&gt;"")*(Ввод!$F$12:$F$31&lt;=A1385)*(Ввод!$G$12:$G$31&gt;=A1385))&gt;0,1,0))</f>
        <v/>
      </c>
      <c r="G1385">
        <f>IF(A1385="","",IF(OR(B1385&lt;&gt;B1384,C1385&lt;&gt;C1384,E1385&lt;&gt;E1384),G1384+1,G1384))</f>
        <v/>
      </c>
    </row>
    <row r="1386">
      <c r="A1386" s="20">
        <f>IF(A1385="","",IF(A1385+1&gt;Ввод!$B$4,"",A1385+1))</f>
        <v/>
      </c>
      <c r="B1386">
        <f>IF(A1386="","",IFERROR(INDEX(Ввод!$B$12:$B$71,MATCH(A1386,Ввод!$D$12:$D$71,1)),""))</f>
        <v/>
      </c>
      <c r="C1386">
        <f>IF(A1386="","",DATE(YEAR(A1386),12,31)-DATE(YEAR(A1386),1,1)+1)</f>
        <v/>
      </c>
      <c r="D1386">
        <f>IF(A1386="","",SUMIFS(Акты!$D$5:$D$16,Акты!$E$5:$E$16,"&lt;="&amp;A1386)-SUMIFS(Оплаты!$B$6:$B$505,Оплаты!$A$6:$A$505,"&lt;"&amp;A1386,Оплаты!$D$6:$D$505,"&lt;&gt;"))</f>
        <v/>
      </c>
      <c r="E1386">
        <f>IF(A1386="","",IF(SUMPRODUCT((Ввод!$F$12:$F$31&lt;&gt;"")*(Ввод!$F$12:$F$31&lt;=A1386)*(Ввод!$G$12:$G$31&gt;=A1386))&gt;0,1,0))</f>
        <v/>
      </c>
      <c r="G1386">
        <f>IF(A1386="","",IF(OR(B1386&lt;&gt;B1385,C1386&lt;&gt;C1385,E1386&lt;&gt;E1385),G1385+1,G1385))</f>
        <v/>
      </c>
    </row>
    <row r="1387">
      <c r="A1387" s="20">
        <f>IF(A1386="","",IF(A1386+1&gt;Ввод!$B$4,"",A1386+1))</f>
        <v/>
      </c>
      <c r="B1387">
        <f>IF(A1387="","",IFERROR(INDEX(Ввод!$B$12:$B$71,MATCH(A1387,Ввод!$D$12:$D$71,1)),""))</f>
        <v/>
      </c>
      <c r="C1387">
        <f>IF(A1387="","",DATE(YEAR(A1387),12,31)-DATE(YEAR(A1387),1,1)+1)</f>
        <v/>
      </c>
      <c r="D1387">
        <f>IF(A1387="","",SUMIFS(Акты!$D$5:$D$16,Акты!$E$5:$E$16,"&lt;="&amp;A1387)-SUMIFS(Оплаты!$B$6:$B$505,Оплаты!$A$6:$A$505,"&lt;"&amp;A1387,Оплаты!$D$6:$D$505,"&lt;&gt;"))</f>
        <v/>
      </c>
      <c r="E1387">
        <f>IF(A1387="","",IF(SUMPRODUCT((Ввод!$F$12:$F$31&lt;&gt;"")*(Ввод!$F$12:$F$31&lt;=A1387)*(Ввод!$G$12:$G$31&gt;=A1387))&gt;0,1,0))</f>
        <v/>
      </c>
      <c r="G1387">
        <f>IF(A1387="","",IF(OR(B1387&lt;&gt;B1386,C1387&lt;&gt;C1386,E1387&lt;&gt;E1386),G1386+1,G1386))</f>
        <v/>
      </c>
    </row>
    <row r="1388">
      <c r="A1388" s="20">
        <f>IF(A1387="","",IF(A1387+1&gt;Ввод!$B$4,"",A1387+1))</f>
        <v/>
      </c>
      <c r="B1388">
        <f>IF(A1388="","",IFERROR(INDEX(Ввод!$B$12:$B$71,MATCH(A1388,Ввод!$D$12:$D$71,1)),""))</f>
        <v/>
      </c>
      <c r="C1388">
        <f>IF(A1388="","",DATE(YEAR(A1388),12,31)-DATE(YEAR(A1388),1,1)+1)</f>
        <v/>
      </c>
      <c r="D1388">
        <f>IF(A1388="","",SUMIFS(Акты!$D$5:$D$16,Акты!$E$5:$E$16,"&lt;="&amp;A1388)-SUMIFS(Оплаты!$B$6:$B$505,Оплаты!$A$6:$A$505,"&lt;"&amp;A1388,Оплаты!$D$6:$D$505,"&lt;&gt;"))</f>
        <v/>
      </c>
      <c r="E1388">
        <f>IF(A1388="","",IF(SUMPRODUCT((Ввод!$F$12:$F$31&lt;&gt;"")*(Ввод!$F$12:$F$31&lt;=A1388)*(Ввод!$G$12:$G$31&gt;=A1388))&gt;0,1,0))</f>
        <v/>
      </c>
      <c r="G1388">
        <f>IF(A1388="","",IF(OR(B1388&lt;&gt;B1387,C1388&lt;&gt;C1387,E1388&lt;&gt;E1387),G1387+1,G1387))</f>
        <v/>
      </c>
    </row>
    <row r="1389">
      <c r="A1389" s="20">
        <f>IF(A1388="","",IF(A1388+1&gt;Ввод!$B$4,"",A1388+1))</f>
        <v/>
      </c>
      <c r="B1389">
        <f>IF(A1389="","",IFERROR(INDEX(Ввод!$B$12:$B$71,MATCH(A1389,Ввод!$D$12:$D$71,1)),""))</f>
        <v/>
      </c>
      <c r="C1389">
        <f>IF(A1389="","",DATE(YEAR(A1389),12,31)-DATE(YEAR(A1389),1,1)+1)</f>
        <v/>
      </c>
      <c r="D1389">
        <f>IF(A1389="","",SUMIFS(Акты!$D$5:$D$16,Акты!$E$5:$E$16,"&lt;="&amp;A1389)-SUMIFS(Оплаты!$B$6:$B$505,Оплаты!$A$6:$A$505,"&lt;"&amp;A1389,Оплаты!$D$6:$D$505,"&lt;&gt;"))</f>
        <v/>
      </c>
      <c r="E1389">
        <f>IF(A1389="","",IF(SUMPRODUCT((Ввод!$F$12:$F$31&lt;&gt;"")*(Ввод!$F$12:$F$31&lt;=A1389)*(Ввод!$G$12:$G$31&gt;=A1389))&gt;0,1,0))</f>
        <v/>
      </c>
      <c r="G1389">
        <f>IF(A1389="","",IF(OR(B1389&lt;&gt;B1388,C1389&lt;&gt;C1388,E1389&lt;&gt;E1388),G1388+1,G1388))</f>
        <v/>
      </c>
    </row>
    <row r="1390">
      <c r="A1390" s="20">
        <f>IF(A1389="","",IF(A1389+1&gt;Ввод!$B$4,"",A1389+1))</f>
        <v/>
      </c>
      <c r="B1390">
        <f>IF(A1390="","",IFERROR(INDEX(Ввод!$B$12:$B$71,MATCH(A1390,Ввод!$D$12:$D$71,1)),""))</f>
        <v/>
      </c>
      <c r="C1390">
        <f>IF(A1390="","",DATE(YEAR(A1390),12,31)-DATE(YEAR(A1390),1,1)+1)</f>
        <v/>
      </c>
      <c r="D1390">
        <f>IF(A1390="","",SUMIFS(Акты!$D$5:$D$16,Акты!$E$5:$E$16,"&lt;="&amp;A1390)-SUMIFS(Оплаты!$B$6:$B$505,Оплаты!$A$6:$A$505,"&lt;"&amp;A1390,Оплаты!$D$6:$D$505,"&lt;&gt;"))</f>
        <v/>
      </c>
      <c r="E1390">
        <f>IF(A1390="","",IF(SUMPRODUCT((Ввод!$F$12:$F$31&lt;&gt;"")*(Ввод!$F$12:$F$31&lt;=A1390)*(Ввод!$G$12:$G$31&gt;=A1390))&gt;0,1,0))</f>
        <v/>
      </c>
      <c r="G1390">
        <f>IF(A1390="","",IF(OR(B1390&lt;&gt;B1389,C1390&lt;&gt;C1389,E1390&lt;&gt;E1389),G1389+1,G1389))</f>
        <v/>
      </c>
    </row>
    <row r="1391">
      <c r="A1391" s="20">
        <f>IF(A1390="","",IF(A1390+1&gt;Ввод!$B$4,"",A1390+1))</f>
        <v/>
      </c>
      <c r="B1391">
        <f>IF(A1391="","",IFERROR(INDEX(Ввод!$B$12:$B$71,MATCH(A1391,Ввод!$D$12:$D$71,1)),""))</f>
        <v/>
      </c>
      <c r="C1391">
        <f>IF(A1391="","",DATE(YEAR(A1391),12,31)-DATE(YEAR(A1391),1,1)+1)</f>
        <v/>
      </c>
      <c r="D1391">
        <f>IF(A1391="","",SUMIFS(Акты!$D$5:$D$16,Акты!$E$5:$E$16,"&lt;="&amp;A1391)-SUMIFS(Оплаты!$B$6:$B$505,Оплаты!$A$6:$A$505,"&lt;"&amp;A1391,Оплаты!$D$6:$D$505,"&lt;&gt;"))</f>
        <v/>
      </c>
      <c r="E1391">
        <f>IF(A1391="","",IF(SUMPRODUCT((Ввод!$F$12:$F$31&lt;&gt;"")*(Ввод!$F$12:$F$31&lt;=A1391)*(Ввод!$G$12:$G$31&gt;=A1391))&gt;0,1,0))</f>
        <v/>
      </c>
      <c r="G1391">
        <f>IF(A1391="","",IF(OR(B1391&lt;&gt;B1390,C1391&lt;&gt;C1390,E1391&lt;&gt;E1390),G1390+1,G1390))</f>
        <v/>
      </c>
    </row>
    <row r="1392">
      <c r="A1392" s="20">
        <f>IF(A1391="","",IF(A1391+1&gt;Ввод!$B$4,"",A1391+1))</f>
        <v/>
      </c>
      <c r="B1392">
        <f>IF(A1392="","",IFERROR(INDEX(Ввод!$B$12:$B$71,MATCH(A1392,Ввод!$D$12:$D$71,1)),""))</f>
        <v/>
      </c>
      <c r="C1392">
        <f>IF(A1392="","",DATE(YEAR(A1392),12,31)-DATE(YEAR(A1392),1,1)+1)</f>
        <v/>
      </c>
      <c r="D1392">
        <f>IF(A1392="","",SUMIFS(Акты!$D$5:$D$16,Акты!$E$5:$E$16,"&lt;="&amp;A1392)-SUMIFS(Оплаты!$B$6:$B$505,Оплаты!$A$6:$A$505,"&lt;"&amp;A1392,Оплаты!$D$6:$D$505,"&lt;&gt;"))</f>
        <v/>
      </c>
      <c r="E1392">
        <f>IF(A1392="","",IF(SUMPRODUCT((Ввод!$F$12:$F$31&lt;&gt;"")*(Ввод!$F$12:$F$31&lt;=A1392)*(Ввод!$G$12:$G$31&gt;=A1392))&gt;0,1,0))</f>
        <v/>
      </c>
      <c r="G1392">
        <f>IF(A1392="","",IF(OR(B1392&lt;&gt;B1391,C1392&lt;&gt;C1391,E1392&lt;&gt;E1391),G1391+1,G1391))</f>
        <v/>
      </c>
    </row>
    <row r="1393">
      <c r="A1393" s="20">
        <f>IF(A1392="","",IF(A1392+1&gt;Ввод!$B$4,"",A1392+1))</f>
        <v/>
      </c>
      <c r="B1393">
        <f>IF(A1393="","",IFERROR(INDEX(Ввод!$B$12:$B$71,MATCH(A1393,Ввод!$D$12:$D$71,1)),""))</f>
        <v/>
      </c>
      <c r="C1393">
        <f>IF(A1393="","",DATE(YEAR(A1393),12,31)-DATE(YEAR(A1393),1,1)+1)</f>
        <v/>
      </c>
      <c r="D1393">
        <f>IF(A1393="","",SUMIFS(Акты!$D$5:$D$16,Акты!$E$5:$E$16,"&lt;="&amp;A1393)-SUMIFS(Оплаты!$B$6:$B$505,Оплаты!$A$6:$A$505,"&lt;"&amp;A1393,Оплаты!$D$6:$D$505,"&lt;&gt;"))</f>
        <v/>
      </c>
      <c r="E1393">
        <f>IF(A1393="","",IF(SUMPRODUCT((Ввод!$F$12:$F$31&lt;&gt;"")*(Ввод!$F$12:$F$31&lt;=A1393)*(Ввод!$G$12:$G$31&gt;=A1393))&gt;0,1,0))</f>
        <v/>
      </c>
      <c r="G1393">
        <f>IF(A1393="","",IF(OR(B1393&lt;&gt;B1392,C1393&lt;&gt;C1392,E1393&lt;&gt;E1392),G1392+1,G1392))</f>
        <v/>
      </c>
    </row>
    <row r="1394">
      <c r="A1394" s="20">
        <f>IF(A1393="","",IF(A1393+1&gt;Ввод!$B$4,"",A1393+1))</f>
        <v/>
      </c>
      <c r="B1394">
        <f>IF(A1394="","",IFERROR(INDEX(Ввод!$B$12:$B$71,MATCH(A1394,Ввод!$D$12:$D$71,1)),""))</f>
        <v/>
      </c>
      <c r="C1394">
        <f>IF(A1394="","",DATE(YEAR(A1394),12,31)-DATE(YEAR(A1394),1,1)+1)</f>
        <v/>
      </c>
      <c r="D1394">
        <f>IF(A1394="","",SUMIFS(Акты!$D$5:$D$16,Акты!$E$5:$E$16,"&lt;="&amp;A1394)-SUMIFS(Оплаты!$B$6:$B$505,Оплаты!$A$6:$A$505,"&lt;"&amp;A1394,Оплаты!$D$6:$D$505,"&lt;&gt;"))</f>
        <v/>
      </c>
      <c r="E1394">
        <f>IF(A1394="","",IF(SUMPRODUCT((Ввод!$F$12:$F$31&lt;&gt;"")*(Ввод!$F$12:$F$31&lt;=A1394)*(Ввод!$G$12:$G$31&gt;=A1394))&gt;0,1,0))</f>
        <v/>
      </c>
      <c r="G1394">
        <f>IF(A1394="","",IF(OR(B1394&lt;&gt;B1393,C1394&lt;&gt;C1393,E1394&lt;&gt;E1393),G1393+1,G1393))</f>
        <v/>
      </c>
    </row>
    <row r="1395">
      <c r="A1395" s="20">
        <f>IF(A1394="","",IF(A1394+1&gt;Ввод!$B$4,"",A1394+1))</f>
        <v/>
      </c>
      <c r="B1395">
        <f>IF(A1395="","",IFERROR(INDEX(Ввод!$B$12:$B$71,MATCH(A1395,Ввод!$D$12:$D$71,1)),""))</f>
        <v/>
      </c>
      <c r="C1395">
        <f>IF(A1395="","",DATE(YEAR(A1395),12,31)-DATE(YEAR(A1395),1,1)+1)</f>
        <v/>
      </c>
      <c r="D1395">
        <f>IF(A1395="","",SUMIFS(Акты!$D$5:$D$16,Акты!$E$5:$E$16,"&lt;="&amp;A1395)-SUMIFS(Оплаты!$B$6:$B$505,Оплаты!$A$6:$A$505,"&lt;"&amp;A1395,Оплаты!$D$6:$D$505,"&lt;&gt;"))</f>
        <v/>
      </c>
      <c r="E1395">
        <f>IF(A1395="","",IF(SUMPRODUCT((Ввод!$F$12:$F$31&lt;&gt;"")*(Ввод!$F$12:$F$31&lt;=A1395)*(Ввод!$G$12:$G$31&gt;=A1395))&gt;0,1,0))</f>
        <v/>
      </c>
      <c r="G1395">
        <f>IF(A1395="","",IF(OR(B1395&lt;&gt;B1394,C1395&lt;&gt;C1394,E1395&lt;&gt;E1394),G1394+1,G1394))</f>
        <v/>
      </c>
    </row>
    <row r="1396">
      <c r="A1396" s="20">
        <f>IF(A1395="","",IF(A1395+1&gt;Ввод!$B$4,"",A1395+1))</f>
        <v/>
      </c>
      <c r="B1396">
        <f>IF(A1396="","",IFERROR(INDEX(Ввод!$B$12:$B$71,MATCH(A1396,Ввод!$D$12:$D$71,1)),""))</f>
        <v/>
      </c>
      <c r="C1396">
        <f>IF(A1396="","",DATE(YEAR(A1396),12,31)-DATE(YEAR(A1396),1,1)+1)</f>
        <v/>
      </c>
      <c r="D1396">
        <f>IF(A1396="","",SUMIFS(Акты!$D$5:$D$16,Акты!$E$5:$E$16,"&lt;="&amp;A1396)-SUMIFS(Оплаты!$B$6:$B$505,Оплаты!$A$6:$A$505,"&lt;"&amp;A1396,Оплаты!$D$6:$D$505,"&lt;&gt;"))</f>
        <v/>
      </c>
      <c r="E1396">
        <f>IF(A1396="","",IF(SUMPRODUCT((Ввод!$F$12:$F$31&lt;&gt;"")*(Ввод!$F$12:$F$31&lt;=A1396)*(Ввод!$G$12:$G$31&gt;=A1396))&gt;0,1,0))</f>
        <v/>
      </c>
      <c r="G1396">
        <f>IF(A1396="","",IF(OR(B1396&lt;&gt;B1395,C1396&lt;&gt;C1395,E1396&lt;&gt;E1395),G1395+1,G1395))</f>
        <v/>
      </c>
    </row>
    <row r="1397">
      <c r="A1397" s="20">
        <f>IF(A1396="","",IF(A1396+1&gt;Ввод!$B$4,"",A1396+1))</f>
        <v/>
      </c>
      <c r="B1397">
        <f>IF(A1397="","",IFERROR(INDEX(Ввод!$B$12:$B$71,MATCH(A1397,Ввод!$D$12:$D$71,1)),""))</f>
        <v/>
      </c>
      <c r="C1397">
        <f>IF(A1397="","",DATE(YEAR(A1397),12,31)-DATE(YEAR(A1397),1,1)+1)</f>
        <v/>
      </c>
      <c r="D1397">
        <f>IF(A1397="","",SUMIFS(Акты!$D$5:$D$16,Акты!$E$5:$E$16,"&lt;="&amp;A1397)-SUMIFS(Оплаты!$B$6:$B$505,Оплаты!$A$6:$A$505,"&lt;"&amp;A1397,Оплаты!$D$6:$D$505,"&lt;&gt;"))</f>
        <v/>
      </c>
      <c r="E1397">
        <f>IF(A1397="","",IF(SUMPRODUCT((Ввод!$F$12:$F$31&lt;&gt;"")*(Ввод!$F$12:$F$31&lt;=A1397)*(Ввод!$G$12:$G$31&gt;=A1397))&gt;0,1,0))</f>
        <v/>
      </c>
      <c r="G1397">
        <f>IF(A1397="","",IF(OR(B1397&lt;&gt;B1396,C1397&lt;&gt;C1396,E1397&lt;&gt;E1396),G1396+1,G1396))</f>
        <v/>
      </c>
    </row>
    <row r="1398">
      <c r="A1398" s="20">
        <f>IF(A1397="","",IF(A1397+1&gt;Ввод!$B$4,"",A1397+1))</f>
        <v/>
      </c>
      <c r="B1398">
        <f>IF(A1398="","",IFERROR(INDEX(Ввод!$B$12:$B$71,MATCH(A1398,Ввод!$D$12:$D$71,1)),""))</f>
        <v/>
      </c>
      <c r="C1398">
        <f>IF(A1398="","",DATE(YEAR(A1398),12,31)-DATE(YEAR(A1398),1,1)+1)</f>
        <v/>
      </c>
      <c r="D1398">
        <f>IF(A1398="","",SUMIFS(Акты!$D$5:$D$16,Акты!$E$5:$E$16,"&lt;="&amp;A1398)-SUMIFS(Оплаты!$B$6:$B$505,Оплаты!$A$6:$A$505,"&lt;"&amp;A1398,Оплаты!$D$6:$D$505,"&lt;&gt;"))</f>
        <v/>
      </c>
      <c r="E1398">
        <f>IF(A1398="","",IF(SUMPRODUCT((Ввод!$F$12:$F$31&lt;&gt;"")*(Ввод!$F$12:$F$31&lt;=A1398)*(Ввод!$G$12:$G$31&gt;=A1398))&gt;0,1,0))</f>
        <v/>
      </c>
      <c r="G1398">
        <f>IF(A1398="","",IF(OR(B1398&lt;&gt;B1397,C1398&lt;&gt;C1397,E1398&lt;&gt;E1397),G1397+1,G1397))</f>
        <v/>
      </c>
    </row>
    <row r="1399">
      <c r="A1399" s="20">
        <f>IF(A1398="","",IF(A1398+1&gt;Ввод!$B$4,"",A1398+1))</f>
        <v/>
      </c>
      <c r="B1399">
        <f>IF(A1399="","",IFERROR(INDEX(Ввод!$B$12:$B$71,MATCH(A1399,Ввод!$D$12:$D$71,1)),""))</f>
        <v/>
      </c>
      <c r="C1399">
        <f>IF(A1399="","",DATE(YEAR(A1399),12,31)-DATE(YEAR(A1399),1,1)+1)</f>
        <v/>
      </c>
      <c r="D1399">
        <f>IF(A1399="","",SUMIFS(Акты!$D$5:$D$16,Акты!$E$5:$E$16,"&lt;="&amp;A1399)-SUMIFS(Оплаты!$B$6:$B$505,Оплаты!$A$6:$A$505,"&lt;"&amp;A1399,Оплаты!$D$6:$D$505,"&lt;&gt;"))</f>
        <v/>
      </c>
      <c r="E1399">
        <f>IF(A1399="","",IF(SUMPRODUCT((Ввод!$F$12:$F$31&lt;&gt;"")*(Ввод!$F$12:$F$31&lt;=A1399)*(Ввод!$G$12:$G$31&gt;=A1399))&gt;0,1,0))</f>
        <v/>
      </c>
      <c r="G1399">
        <f>IF(A1399="","",IF(OR(B1399&lt;&gt;B1398,C1399&lt;&gt;C1398,E1399&lt;&gt;E1398),G1398+1,G1398))</f>
        <v/>
      </c>
    </row>
    <row r="1400">
      <c r="A1400" s="20">
        <f>IF(A1399="","",IF(A1399+1&gt;Ввод!$B$4,"",A1399+1))</f>
        <v/>
      </c>
      <c r="B1400">
        <f>IF(A1400="","",IFERROR(INDEX(Ввод!$B$12:$B$71,MATCH(A1400,Ввод!$D$12:$D$71,1)),""))</f>
        <v/>
      </c>
      <c r="C1400">
        <f>IF(A1400="","",DATE(YEAR(A1400),12,31)-DATE(YEAR(A1400),1,1)+1)</f>
        <v/>
      </c>
      <c r="D1400">
        <f>IF(A1400="","",SUMIFS(Акты!$D$5:$D$16,Акты!$E$5:$E$16,"&lt;="&amp;A1400)-SUMIFS(Оплаты!$B$6:$B$505,Оплаты!$A$6:$A$505,"&lt;"&amp;A1400,Оплаты!$D$6:$D$505,"&lt;&gt;"))</f>
        <v/>
      </c>
      <c r="E1400">
        <f>IF(A1400="","",IF(SUMPRODUCT((Ввод!$F$12:$F$31&lt;&gt;"")*(Ввод!$F$12:$F$31&lt;=A1400)*(Ввод!$G$12:$G$31&gt;=A1400))&gt;0,1,0))</f>
        <v/>
      </c>
      <c r="G1400">
        <f>IF(A1400="","",IF(OR(B1400&lt;&gt;B1399,C1400&lt;&gt;C1399,E1400&lt;&gt;E1399),G1399+1,G1399))</f>
        <v/>
      </c>
    </row>
    <row r="1401">
      <c r="A1401" s="20">
        <f>IF(A1400="","",IF(A1400+1&gt;Ввод!$B$4,"",A1400+1))</f>
        <v/>
      </c>
      <c r="B1401">
        <f>IF(A1401="","",IFERROR(INDEX(Ввод!$B$12:$B$71,MATCH(A1401,Ввод!$D$12:$D$71,1)),""))</f>
        <v/>
      </c>
      <c r="C1401">
        <f>IF(A1401="","",DATE(YEAR(A1401),12,31)-DATE(YEAR(A1401),1,1)+1)</f>
        <v/>
      </c>
      <c r="D1401">
        <f>IF(A1401="","",SUMIFS(Акты!$D$5:$D$16,Акты!$E$5:$E$16,"&lt;="&amp;A1401)-SUMIFS(Оплаты!$B$6:$B$505,Оплаты!$A$6:$A$505,"&lt;"&amp;A1401,Оплаты!$D$6:$D$505,"&lt;&gt;"))</f>
        <v/>
      </c>
      <c r="E1401">
        <f>IF(A1401="","",IF(SUMPRODUCT((Ввод!$F$12:$F$31&lt;&gt;"")*(Ввод!$F$12:$F$31&lt;=A1401)*(Ввод!$G$12:$G$31&gt;=A1401))&gt;0,1,0))</f>
        <v/>
      </c>
      <c r="G1401">
        <f>IF(A1401="","",IF(OR(B1401&lt;&gt;B1400,C1401&lt;&gt;C1400,E1401&lt;&gt;E1400),G1400+1,G1400))</f>
        <v/>
      </c>
    </row>
    <row r="1402">
      <c r="A1402" s="20">
        <f>IF(A1401="","",IF(A1401+1&gt;Ввод!$B$4,"",A1401+1))</f>
        <v/>
      </c>
      <c r="B1402">
        <f>IF(A1402="","",IFERROR(INDEX(Ввод!$B$12:$B$71,MATCH(A1402,Ввод!$D$12:$D$71,1)),""))</f>
        <v/>
      </c>
      <c r="C1402">
        <f>IF(A1402="","",DATE(YEAR(A1402),12,31)-DATE(YEAR(A1402),1,1)+1)</f>
        <v/>
      </c>
      <c r="D1402">
        <f>IF(A1402="","",SUMIFS(Акты!$D$5:$D$16,Акты!$E$5:$E$16,"&lt;="&amp;A1402)-SUMIFS(Оплаты!$B$6:$B$505,Оплаты!$A$6:$A$505,"&lt;"&amp;A1402,Оплаты!$D$6:$D$505,"&lt;&gt;"))</f>
        <v/>
      </c>
      <c r="E1402">
        <f>IF(A1402="","",IF(SUMPRODUCT((Ввод!$F$12:$F$31&lt;&gt;"")*(Ввод!$F$12:$F$31&lt;=A1402)*(Ввод!$G$12:$G$31&gt;=A1402))&gt;0,1,0))</f>
        <v/>
      </c>
      <c r="G1402">
        <f>IF(A1402="","",IF(OR(B1402&lt;&gt;B1401,C1402&lt;&gt;C1401,E1402&lt;&gt;E1401),G1401+1,G1401))</f>
        <v/>
      </c>
    </row>
    <row r="1403">
      <c r="A1403" s="20">
        <f>IF(A1402="","",IF(A1402+1&gt;Ввод!$B$4,"",A1402+1))</f>
        <v/>
      </c>
      <c r="B1403">
        <f>IF(A1403="","",IFERROR(INDEX(Ввод!$B$12:$B$71,MATCH(A1403,Ввод!$D$12:$D$71,1)),""))</f>
        <v/>
      </c>
      <c r="C1403">
        <f>IF(A1403="","",DATE(YEAR(A1403),12,31)-DATE(YEAR(A1403),1,1)+1)</f>
        <v/>
      </c>
      <c r="D1403">
        <f>IF(A1403="","",SUMIFS(Акты!$D$5:$D$16,Акты!$E$5:$E$16,"&lt;="&amp;A1403)-SUMIFS(Оплаты!$B$6:$B$505,Оплаты!$A$6:$A$505,"&lt;"&amp;A1403,Оплаты!$D$6:$D$505,"&lt;&gt;"))</f>
        <v/>
      </c>
      <c r="E1403">
        <f>IF(A1403="","",IF(SUMPRODUCT((Ввод!$F$12:$F$31&lt;&gt;"")*(Ввод!$F$12:$F$31&lt;=A1403)*(Ввод!$G$12:$G$31&gt;=A1403))&gt;0,1,0))</f>
        <v/>
      </c>
      <c r="G1403">
        <f>IF(A1403="","",IF(OR(B1403&lt;&gt;B1402,C1403&lt;&gt;C1402,E1403&lt;&gt;E1402),G1402+1,G1402))</f>
        <v/>
      </c>
    </row>
    <row r="1404">
      <c r="A1404" s="20">
        <f>IF(A1403="","",IF(A1403+1&gt;Ввод!$B$4,"",A1403+1))</f>
        <v/>
      </c>
      <c r="B1404">
        <f>IF(A1404="","",IFERROR(INDEX(Ввод!$B$12:$B$71,MATCH(A1404,Ввод!$D$12:$D$71,1)),""))</f>
        <v/>
      </c>
      <c r="C1404">
        <f>IF(A1404="","",DATE(YEAR(A1404),12,31)-DATE(YEAR(A1404),1,1)+1)</f>
        <v/>
      </c>
      <c r="D1404">
        <f>IF(A1404="","",SUMIFS(Акты!$D$5:$D$16,Акты!$E$5:$E$16,"&lt;="&amp;A1404)-SUMIFS(Оплаты!$B$6:$B$505,Оплаты!$A$6:$A$505,"&lt;"&amp;A1404,Оплаты!$D$6:$D$505,"&lt;&gt;"))</f>
        <v/>
      </c>
      <c r="E1404">
        <f>IF(A1404="","",IF(SUMPRODUCT((Ввод!$F$12:$F$31&lt;&gt;"")*(Ввод!$F$12:$F$31&lt;=A1404)*(Ввод!$G$12:$G$31&gt;=A1404))&gt;0,1,0))</f>
        <v/>
      </c>
      <c r="G1404">
        <f>IF(A1404="","",IF(OR(B1404&lt;&gt;B1403,C1404&lt;&gt;C1403,E1404&lt;&gt;E1403),G1403+1,G1403))</f>
        <v/>
      </c>
    </row>
    <row r="1405">
      <c r="A1405" s="20">
        <f>IF(A1404="","",IF(A1404+1&gt;Ввод!$B$4,"",A1404+1))</f>
        <v/>
      </c>
      <c r="B1405">
        <f>IF(A1405="","",IFERROR(INDEX(Ввод!$B$12:$B$71,MATCH(A1405,Ввод!$D$12:$D$71,1)),""))</f>
        <v/>
      </c>
      <c r="C1405">
        <f>IF(A1405="","",DATE(YEAR(A1405),12,31)-DATE(YEAR(A1405),1,1)+1)</f>
        <v/>
      </c>
      <c r="D1405">
        <f>IF(A1405="","",SUMIFS(Акты!$D$5:$D$16,Акты!$E$5:$E$16,"&lt;="&amp;A1405)-SUMIFS(Оплаты!$B$6:$B$505,Оплаты!$A$6:$A$505,"&lt;"&amp;A1405,Оплаты!$D$6:$D$505,"&lt;&gt;"))</f>
        <v/>
      </c>
      <c r="E1405">
        <f>IF(A1405="","",IF(SUMPRODUCT((Ввод!$F$12:$F$31&lt;&gt;"")*(Ввод!$F$12:$F$31&lt;=A1405)*(Ввод!$G$12:$G$31&gt;=A1405))&gt;0,1,0))</f>
        <v/>
      </c>
      <c r="G1405">
        <f>IF(A1405="","",IF(OR(B1405&lt;&gt;B1404,C1405&lt;&gt;C1404,E1405&lt;&gt;E1404),G1404+1,G1404))</f>
        <v/>
      </c>
    </row>
    <row r="1406">
      <c r="A1406" s="20">
        <f>IF(A1405="","",IF(A1405+1&gt;Ввод!$B$4,"",A1405+1))</f>
        <v/>
      </c>
      <c r="B1406">
        <f>IF(A1406="","",IFERROR(INDEX(Ввод!$B$12:$B$71,MATCH(A1406,Ввод!$D$12:$D$71,1)),""))</f>
        <v/>
      </c>
      <c r="C1406">
        <f>IF(A1406="","",DATE(YEAR(A1406),12,31)-DATE(YEAR(A1406),1,1)+1)</f>
        <v/>
      </c>
      <c r="D1406">
        <f>IF(A1406="","",SUMIFS(Акты!$D$5:$D$16,Акты!$E$5:$E$16,"&lt;="&amp;A1406)-SUMIFS(Оплаты!$B$6:$B$505,Оплаты!$A$6:$A$505,"&lt;"&amp;A1406,Оплаты!$D$6:$D$505,"&lt;&gt;"))</f>
        <v/>
      </c>
      <c r="E1406">
        <f>IF(A1406="","",IF(SUMPRODUCT((Ввод!$F$12:$F$31&lt;&gt;"")*(Ввод!$F$12:$F$31&lt;=A1406)*(Ввод!$G$12:$G$31&gt;=A1406))&gt;0,1,0))</f>
        <v/>
      </c>
      <c r="G1406">
        <f>IF(A1406="","",IF(OR(B1406&lt;&gt;B1405,C1406&lt;&gt;C1405,E1406&lt;&gt;E1405),G1405+1,G1405))</f>
        <v/>
      </c>
    </row>
    <row r="1407">
      <c r="A1407" s="20">
        <f>IF(A1406="","",IF(A1406+1&gt;Ввод!$B$4,"",A1406+1))</f>
        <v/>
      </c>
      <c r="B1407">
        <f>IF(A1407="","",IFERROR(INDEX(Ввод!$B$12:$B$71,MATCH(A1407,Ввод!$D$12:$D$71,1)),""))</f>
        <v/>
      </c>
      <c r="C1407">
        <f>IF(A1407="","",DATE(YEAR(A1407),12,31)-DATE(YEAR(A1407),1,1)+1)</f>
        <v/>
      </c>
      <c r="D1407">
        <f>IF(A1407="","",SUMIFS(Акты!$D$5:$D$16,Акты!$E$5:$E$16,"&lt;="&amp;A1407)-SUMIFS(Оплаты!$B$6:$B$505,Оплаты!$A$6:$A$505,"&lt;"&amp;A1407,Оплаты!$D$6:$D$505,"&lt;&gt;"))</f>
        <v/>
      </c>
      <c r="E1407">
        <f>IF(A1407="","",IF(SUMPRODUCT((Ввод!$F$12:$F$31&lt;&gt;"")*(Ввод!$F$12:$F$31&lt;=A1407)*(Ввод!$G$12:$G$31&gt;=A1407))&gt;0,1,0))</f>
        <v/>
      </c>
      <c r="G1407">
        <f>IF(A1407="","",IF(OR(B1407&lt;&gt;B1406,C1407&lt;&gt;C1406,E1407&lt;&gt;E1406),G1406+1,G1406))</f>
        <v/>
      </c>
    </row>
    <row r="1408">
      <c r="A1408" s="20">
        <f>IF(A1407="","",IF(A1407+1&gt;Ввод!$B$4,"",A1407+1))</f>
        <v/>
      </c>
      <c r="B1408">
        <f>IF(A1408="","",IFERROR(INDEX(Ввод!$B$12:$B$71,MATCH(A1408,Ввод!$D$12:$D$71,1)),""))</f>
        <v/>
      </c>
      <c r="C1408">
        <f>IF(A1408="","",DATE(YEAR(A1408),12,31)-DATE(YEAR(A1408),1,1)+1)</f>
        <v/>
      </c>
      <c r="D1408">
        <f>IF(A1408="","",SUMIFS(Акты!$D$5:$D$16,Акты!$E$5:$E$16,"&lt;="&amp;A1408)-SUMIFS(Оплаты!$B$6:$B$505,Оплаты!$A$6:$A$505,"&lt;"&amp;A1408,Оплаты!$D$6:$D$505,"&lt;&gt;"))</f>
        <v/>
      </c>
      <c r="E1408">
        <f>IF(A1408="","",IF(SUMPRODUCT((Ввод!$F$12:$F$31&lt;&gt;"")*(Ввод!$F$12:$F$31&lt;=A1408)*(Ввод!$G$12:$G$31&gt;=A1408))&gt;0,1,0))</f>
        <v/>
      </c>
      <c r="G1408">
        <f>IF(A1408="","",IF(OR(B1408&lt;&gt;B1407,C1408&lt;&gt;C1407,E1408&lt;&gt;E1407),G1407+1,G1407))</f>
        <v/>
      </c>
    </row>
    <row r="1409">
      <c r="A1409" s="20">
        <f>IF(A1408="","",IF(A1408+1&gt;Ввод!$B$4,"",A1408+1))</f>
        <v/>
      </c>
      <c r="B1409">
        <f>IF(A1409="","",IFERROR(INDEX(Ввод!$B$12:$B$71,MATCH(A1409,Ввод!$D$12:$D$71,1)),""))</f>
        <v/>
      </c>
      <c r="C1409">
        <f>IF(A1409="","",DATE(YEAR(A1409),12,31)-DATE(YEAR(A1409),1,1)+1)</f>
        <v/>
      </c>
      <c r="D1409">
        <f>IF(A1409="","",SUMIFS(Акты!$D$5:$D$16,Акты!$E$5:$E$16,"&lt;="&amp;A1409)-SUMIFS(Оплаты!$B$6:$B$505,Оплаты!$A$6:$A$505,"&lt;"&amp;A1409,Оплаты!$D$6:$D$505,"&lt;&gt;"))</f>
        <v/>
      </c>
      <c r="E1409">
        <f>IF(A1409="","",IF(SUMPRODUCT((Ввод!$F$12:$F$31&lt;&gt;"")*(Ввод!$F$12:$F$31&lt;=A1409)*(Ввод!$G$12:$G$31&gt;=A1409))&gt;0,1,0))</f>
        <v/>
      </c>
      <c r="G1409">
        <f>IF(A1409="","",IF(OR(B1409&lt;&gt;B1408,C1409&lt;&gt;C1408,E1409&lt;&gt;E1408),G1408+1,G1408))</f>
        <v/>
      </c>
    </row>
    <row r="1410">
      <c r="A1410" s="20">
        <f>IF(A1409="","",IF(A1409+1&gt;Ввод!$B$4,"",A1409+1))</f>
        <v/>
      </c>
      <c r="B1410">
        <f>IF(A1410="","",IFERROR(INDEX(Ввод!$B$12:$B$71,MATCH(A1410,Ввод!$D$12:$D$71,1)),""))</f>
        <v/>
      </c>
      <c r="C1410">
        <f>IF(A1410="","",DATE(YEAR(A1410),12,31)-DATE(YEAR(A1410),1,1)+1)</f>
        <v/>
      </c>
      <c r="D1410">
        <f>IF(A1410="","",SUMIFS(Акты!$D$5:$D$16,Акты!$E$5:$E$16,"&lt;="&amp;A1410)-SUMIFS(Оплаты!$B$6:$B$505,Оплаты!$A$6:$A$505,"&lt;"&amp;A1410,Оплаты!$D$6:$D$505,"&lt;&gt;"))</f>
        <v/>
      </c>
      <c r="E1410">
        <f>IF(A1410="","",IF(SUMPRODUCT((Ввод!$F$12:$F$31&lt;&gt;"")*(Ввод!$F$12:$F$31&lt;=A1410)*(Ввод!$G$12:$G$31&gt;=A1410))&gt;0,1,0))</f>
        <v/>
      </c>
      <c r="G1410">
        <f>IF(A1410="","",IF(OR(B1410&lt;&gt;B1409,C1410&lt;&gt;C1409,E1410&lt;&gt;E1409),G1409+1,G1409))</f>
        <v/>
      </c>
    </row>
    <row r="1411">
      <c r="A1411" s="20">
        <f>IF(A1410="","",IF(A1410+1&gt;Ввод!$B$4,"",A1410+1))</f>
        <v/>
      </c>
      <c r="B1411">
        <f>IF(A1411="","",IFERROR(INDEX(Ввод!$B$12:$B$71,MATCH(A1411,Ввод!$D$12:$D$71,1)),""))</f>
        <v/>
      </c>
      <c r="C1411">
        <f>IF(A1411="","",DATE(YEAR(A1411),12,31)-DATE(YEAR(A1411),1,1)+1)</f>
        <v/>
      </c>
      <c r="D1411">
        <f>IF(A1411="","",SUMIFS(Акты!$D$5:$D$16,Акты!$E$5:$E$16,"&lt;="&amp;A1411)-SUMIFS(Оплаты!$B$6:$B$505,Оплаты!$A$6:$A$505,"&lt;"&amp;A1411,Оплаты!$D$6:$D$505,"&lt;&gt;"))</f>
        <v/>
      </c>
      <c r="E1411">
        <f>IF(A1411="","",IF(SUMPRODUCT((Ввод!$F$12:$F$31&lt;&gt;"")*(Ввод!$F$12:$F$31&lt;=A1411)*(Ввод!$G$12:$G$31&gt;=A1411))&gt;0,1,0))</f>
        <v/>
      </c>
      <c r="G1411">
        <f>IF(A1411="","",IF(OR(B1411&lt;&gt;B1410,C1411&lt;&gt;C1410,E1411&lt;&gt;E1410),G1410+1,G1410))</f>
        <v/>
      </c>
    </row>
    <row r="1412">
      <c r="A1412" s="20">
        <f>IF(A1411="","",IF(A1411+1&gt;Ввод!$B$4,"",A1411+1))</f>
        <v/>
      </c>
      <c r="B1412">
        <f>IF(A1412="","",IFERROR(INDEX(Ввод!$B$12:$B$71,MATCH(A1412,Ввод!$D$12:$D$71,1)),""))</f>
        <v/>
      </c>
      <c r="C1412">
        <f>IF(A1412="","",DATE(YEAR(A1412),12,31)-DATE(YEAR(A1412),1,1)+1)</f>
        <v/>
      </c>
      <c r="D1412">
        <f>IF(A1412="","",SUMIFS(Акты!$D$5:$D$16,Акты!$E$5:$E$16,"&lt;="&amp;A1412)-SUMIFS(Оплаты!$B$6:$B$505,Оплаты!$A$6:$A$505,"&lt;"&amp;A1412,Оплаты!$D$6:$D$505,"&lt;&gt;"))</f>
        <v/>
      </c>
      <c r="E1412">
        <f>IF(A1412="","",IF(SUMPRODUCT((Ввод!$F$12:$F$31&lt;&gt;"")*(Ввод!$F$12:$F$31&lt;=A1412)*(Ввод!$G$12:$G$31&gt;=A1412))&gt;0,1,0))</f>
        <v/>
      </c>
      <c r="G1412">
        <f>IF(A1412="","",IF(OR(B1412&lt;&gt;B1411,C1412&lt;&gt;C1411,E1412&lt;&gt;E1411),G1411+1,G1411))</f>
        <v/>
      </c>
    </row>
    <row r="1413">
      <c r="A1413" s="20">
        <f>IF(A1412="","",IF(A1412+1&gt;Ввод!$B$4,"",A1412+1))</f>
        <v/>
      </c>
      <c r="B1413">
        <f>IF(A1413="","",IFERROR(INDEX(Ввод!$B$12:$B$71,MATCH(A1413,Ввод!$D$12:$D$71,1)),""))</f>
        <v/>
      </c>
      <c r="C1413">
        <f>IF(A1413="","",DATE(YEAR(A1413),12,31)-DATE(YEAR(A1413),1,1)+1)</f>
        <v/>
      </c>
      <c r="D1413">
        <f>IF(A1413="","",SUMIFS(Акты!$D$5:$D$16,Акты!$E$5:$E$16,"&lt;="&amp;A1413)-SUMIFS(Оплаты!$B$6:$B$505,Оплаты!$A$6:$A$505,"&lt;"&amp;A1413,Оплаты!$D$6:$D$505,"&lt;&gt;"))</f>
        <v/>
      </c>
      <c r="E1413">
        <f>IF(A1413="","",IF(SUMPRODUCT((Ввод!$F$12:$F$31&lt;&gt;"")*(Ввод!$F$12:$F$31&lt;=A1413)*(Ввод!$G$12:$G$31&gt;=A1413))&gt;0,1,0))</f>
        <v/>
      </c>
      <c r="G1413">
        <f>IF(A1413="","",IF(OR(B1413&lt;&gt;B1412,C1413&lt;&gt;C1412,E1413&lt;&gt;E1412),G1412+1,G1412))</f>
        <v/>
      </c>
    </row>
    <row r="1414">
      <c r="A1414" s="20">
        <f>IF(A1413="","",IF(A1413+1&gt;Ввод!$B$4,"",A1413+1))</f>
        <v/>
      </c>
      <c r="B1414">
        <f>IF(A1414="","",IFERROR(INDEX(Ввод!$B$12:$B$71,MATCH(A1414,Ввод!$D$12:$D$71,1)),""))</f>
        <v/>
      </c>
      <c r="C1414">
        <f>IF(A1414="","",DATE(YEAR(A1414),12,31)-DATE(YEAR(A1414),1,1)+1)</f>
        <v/>
      </c>
      <c r="D1414">
        <f>IF(A1414="","",SUMIFS(Акты!$D$5:$D$16,Акты!$E$5:$E$16,"&lt;="&amp;A1414)-SUMIFS(Оплаты!$B$6:$B$505,Оплаты!$A$6:$A$505,"&lt;"&amp;A1414,Оплаты!$D$6:$D$505,"&lt;&gt;"))</f>
        <v/>
      </c>
      <c r="E1414">
        <f>IF(A1414="","",IF(SUMPRODUCT((Ввод!$F$12:$F$31&lt;&gt;"")*(Ввод!$F$12:$F$31&lt;=A1414)*(Ввод!$G$12:$G$31&gt;=A1414))&gt;0,1,0))</f>
        <v/>
      </c>
      <c r="G1414">
        <f>IF(A1414="","",IF(OR(B1414&lt;&gt;B1413,C1414&lt;&gt;C1413,E1414&lt;&gt;E1413),G1413+1,G1413))</f>
        <v/>
      </c>
    </row>
    <row r="1415">
      <c r="A1415" s="20">
        <f>IF(A1414="","",IF(A1414+1&gt;Ввод!$B$4,"",A1414+1))</f>
        <v/>
      </c>
      <c r="B1415">
        <f>IF(A1415="","",IFERROR(INDEX(Ввод!$B$12:$B$71,MATCH(A1415,Ввод!$D$12:$D$71,1)),""))</f>
        <v/>
      </c>
      <c r="C1415">
        <f>IF(A1415="","",DATE(YEAR(A1415),12,31)-DATE(YEAR(A1415),1,1)+1)</f>
        <v/>
      </c>
      <c r="D1415">
        <f>IF(A1415="","",SUMIFS(Акты!$D$5:$D$16,Акты!$E$5:$E$16,"&lt;="&amp;A1415)-SUMIFS(Оплаты!$B$6:$B$505,Оплаты!$A$6:$A$505,"&lt;"&amp;A1415,Оплаты!$D$6:$D$505,"&lt;&gt;"))</f>
        <v/>
      </c>
      <c r="E1415">
        <f>IF(A1415="","",IF(SUMPRODUCT((Ввод!$F$12:$F$31&lt;&gt;"")*(Ввод!$F$12:$F$31&lt;=A1415)*(Ввод!$G$12:$G$31&gt;=A1415))&gt;0,1,0))</f>
        <v/>
      </c>
      <c r="G1415">
        <f>IF(A1415="","",IF(OR(B1415&lt;&gt;B1414,C1415&lt;&gt;C1414,E1415&lt;&gt;E1414),G1414+1,G1414))</f>
        <v/>
      </c>
    </row>
    <row r="1416">
      <c r="A1416" s="20">
        <f>IF(A1415="","",IF(A1415+1&gt;Ввод!$B$4,"",A1415+1))</f>
        <v/>
      </c>
      <c r="B1416">
        <f>IF(A1416="","",IFERROR(INDEX(Ввод!$B$12:$B$71,MATCH(A1416,Ввод!$D$12:$D$71,1)),""))</f>
        <v/>
      </c>
      <c r="C1416">
        <f>IF(A1416="","",DATE(YEAR(A1416),12,31)-DATE(YEAR(A1416),1,1)+1)</f>
        <v/>
      </c>
      <c r="D1416">
        <f>IF(A1416="","",SUMIFS(Акты!$D$5:$D$16,Акты!$E$5:$E$16,"&lt;="&amp;A1416)-SUMIFS(Оплаты!$B$6:$B$505,Оплаты!$A$6:$A$505,"&lt;"&amp;A1416,Оплаты!$D$6:$D$505,"&lt;&gt;"))</f>
        <v/>
      </c>
      <c r="E1416">
        <f>IF(A1416="","",IF(SUMPRODUCT((Ввод!$F$12:$F$31&lt;&gt;"")*(Ввод!$F$12:$F$31&lt;=A1416)*(Ввод!$G$12:$G$31&gt;=A1416))&gt;0,1,0))</f>
        <v/>
      </c>
      <c r="G1416">
        <f>IF(A1416="","",IF(OR(B1416&lt;&gt;B1415,C1416&lt;&gt;C1415,E1416&lt;&gt;E1415),G1415+1,G1415))</f>
        <v/>
      </c>
    </row>
    <row r="1417">
      <c r="A1417" s="20">
        <f>IF(A1416="","",IF(A1416+1&gt;Ввод!$B$4,"",A1416+1))</f>
        <v/>
      </c>
      <c r="B1417">
        <f>IF(A1417="","",IFERROR(INDEX(Ввод!$B$12:$B$71,MATCH(A1417,Ввод!$D$12:$D$71,1)),""))</f>
        <v/>
      </c>
      <c r="C1417">
        <f>IF(A1417="","",DATE(YEAR(A1417),12,31)-DATE(YEAR(A1417),1,1)+1)</f>
        <v/>
      </c>
      <c r="D1417">
        <f>IF(A1417="","",SUMIFS(Акты!$D$5:$D$16,Акты!$E$5:$E$16,"&lt;="&amp;A1417)-SUMIFS(Оплаты!$B$6:$B$505,Оплаты!$A$6:$A$505,"&lt;"&amp;A1417,Оплаты!$D$6:$D$505,"&lt;&gt;"))</f>
        <v/>
      </c>
      <c r="E1417">
        <f>IF(A1417="","",IF(SUMPRODUCT((Ввод!$F$12:$F$31&lt;&gt;"")*(Ввод!$F$12:$F$31&lt;=A1417)*(Ввод!$G$12:$G$31&gt;=A1417))&gt;0,1,0))</f>
        <v/>
      </c>
      <c r="G1417">
        <f>IF(A1417="","",IF(OR(B1417&lt;&gt;B1416,C1417&lt;&gt;C1416,E1417&lt;&gt;E1416),G1416+1,G1416))</f>
        <v/>
      </c>
    </row>
    <row r="1418">
      <c r="A1418" s="20">
        <f>IF(A1417="","",IF(A1417+1&gt;Ввод!$B$4,"",A1417+1))</f>
        <v/>
      </c>
      <c r="B1418">
        <f>IF(A1418="","",IFERROR(INDEX(Ввод!$B$12:$B$71,MATCH(A1418,Ввод!$D$12:$D$71,1)),""))</f>
        <v/>
      </c>
      <c r="C1418">
        <f>IF(A1418="","",DATE(YEAR(A1418),12,31)-DATE(YEAR(A1418),1,1)+1)</f>
        <v/>
      </c>
      <c r="D1418">
        <f>IF(A1418="","",SUMIFS(Акты!$D$5:$D$16,Акты!$E$5:$E$16,"&lt;="&amp;A1418)-SUMIFS(Оплаты!$B$6:$B$505,Оплаты!$A$6:$A$505,"&lt;"&amp;A1418,Оплаты!$D$6:$D$505,"&lt;&gt;"))</f>
        <v/>
      </c>
      <c r="E1418">
        <f>IF(A1418="","",IF(SUMPRODUCT((Ввод!$F$12:$F$31&lt;&gt;"")*(Ввод!$F$12:$F$31&lt;=A1418)*(Ввод!$G$12:$G$31&gt;=A1418))&gt;0,1,0))</f>
        <v/>
      </c>
      <c r="G1418">
        <f>IF(A1418="","",IF(OR(B1418&lt;&gt;B1417,C1418&lt;&gt;C1417,E1418&lt;&gt;E1417),G1417+1,G1417))</f>
        <v/>
      </c>
    </row>
    <row r="1419">
      <c r="A1419" s="20">
        <f>IF(A1418="","",IF(A1418+1&gt;Ввод!$B$4,"",A1418+1))</f>
        <v/>
      </c>
      <c r="B1419">
        <f>IF(A1419="","",IFERROR(INDEX(Ввод!$B$12:$B$71,MATCH(A1419,Ввод!$D$12:$D$71,1)),""))</f>
        <v/>
      </c>
      <c r="C1419">
        <f>IF(A1419="","",DATE(YEAR(A1419),12,31)-DATE(YEAR(A1419),1,1)+1)</f>
        <v/>
      </c>
      <c r="D1419">
        <f>IF(A1419="","",SUMIFS(Акты!$D$5:$D$16,Акты!$E$5:$E$16,"&lt;="&amp;A1419)-SUMIFS(Оплаты!$B$6:$B$505,Оплаты!$A$6:$A$505,"&lt;"&amp;A1419,Оплаты!$D$6:$D$505,"&lt;&gt;"))</f>
        <v/>
      </c>
      <c r="E1419">
        <f>IF(A1419="","",IF(SUMPRODUCT((Ввод!$F$12:$F$31&lt;&gt;"")*(Ввод!$F$12:$F$31&lt;=A1419)*(Ввод!$G$12:$G$31&gt;=A1419))&gt;0,1,0))</f>
        <v/>
      </c>
      <c r="G1419">
        <f>IF(A1419="","",IF(OR(B1419&lt;&gt;B1418,C1419&lt;&gt;C1418,E1419&lt;&gt;E1418),G1418+1,G1418))</f>
        <v/>
      </c>
    </row>
    <row r="1420">
      <c r="A1420" s="20">
        <f>IF(A1419="","",IF(A1419+1&gt;Ввод!$B$4,"",A1419+1))</f>
        <v/>
      </c>
      <c r="B1420">
        <f>IF(A1420="","",IFERROR(INDEX(Ввод!$B$12:$B$71,MATCH(A1420,Ввод!$D$12:$D$71,1)),""))</f>
        <v/>
      </c>
      <c r="C1420">
        <f>IF(A1420="","",DATE(YEAR(A1420),12,31)-DATE(YEAR(A1420),1,1)+1)</f>
        <v/>
      </c>
      <c r="D1420">
        <f>IF(A1420="","",SUMIFS(Акты!$D$5:$D$16,Акты!$E$5:$E$16,"&lt;="&amp;A1420)-SUMIFS(Оплаты!$B$6:$B$505,Оплаты!$A$6:$A$505,"&lt;"&amp;A1420,Оплаты!$D$6:$D$505,"&lt;&gt;"))</f>
        <v/>
      </c>
      <c r="E1420">
        <f>IF(A1420="","",IF(SUMPRODUCT((Ввод!$F$12:$F$31&lt;&gt;"")*(Ввод!$F$12:$F$31&lt;=A1420)*(Ввод!$G$12:$G$31&gt;=A1420))&gt;0,1,0))</f>
        <v/>
      </c>
      <c r="G1420">
        <f>IF(A1420="","",IF(OR(B1420&lt;&gt;B1419,C1420&lt;&gt;C1419,E1420&lt;&gt;E1419),G1419+1,G1419))</f>
        <v/>
      </c>
    </row>
    <row r="1421">
      <c r="A1421" s="20">
        <f>IF(A1420="","",IF(A1420+1&gt;Ввод!$B$4,"",A1420+1))</f>
        <v/>
      </c>
      <c r="B1421">
        <f>IF(A1421="","",IFERROR(INDEX(Ввод!$B$12:$B$71,MATCH(A1421,Ввод!$D$12:$D$71,1)),""))</f>
        <v/>
      </c>
      <c r="C1421">
        <f>IF(A1421="","",DATE(YEAR(A1421),12,31)-DATE(YEAR(A1421),1,1)+1)</f>
        <v/>
      </c>
      <c r="D1421">
        <f>IF(A1421="","",SUMIFS(Акты!$D$5:$D$16,Акты!$E$5:$E$16,"&lt;="&amp;A1421)-SUMIFS(Оплаты!$B$6:$B$505,Оплаты!$A$6:$A$505,"&lt;"&amp;A1421,Оплаты!$D$6:$D$505,"&lt;&gt;"))</f>
        <v/>
      </c>
      <c r="E1421">
        <f>IF(A1421="","",IF(SUMPRODUCT((Ввод!$F$12:$F$31&lt;&gt;"")*(Ввод!$F$12:$F$31&lt;=A1421)*(Ввод!$G$12:$G$31&gt;=A1421))&gt;0,1,0))</f>
        <v/>
      </c>
      <c r="G1421">
        <f>IF(A1421="","",IF(OR(B1421&lt;&gt;B1420,C1421&lt;&gt;C1420,E1421&lt;&gt;E1420),G1420+1,G1420))</f>
        <v/>
      </c>
    </row>
    <row r="1422">
      <c r="A1422" s="20">
        <f>IF(A1421="","",IF(A1421+1&gt;Ввод!$B$4,"",A1421+1))</f>
        <v/>
      </c>
      <c r="B1422">
        <f>IF(A1422="","",IFERROR(INDEX(Ввод!$B$12:$B$71,MATCH(A1422,Ввод!$D$12:$D$71,1)),""))</f>
        <v/>
      </c>
      <c r="C1422">
        <f>IF(A1422="","",DATE(YEAR(A1422),12,31)-DATE(YEAR(A1422),1,1)+1)</f>
        <v/>
      </c>
      <c r="D1422">
        <f>IF(A1422="","",SUMIFS(Акты!$D$5:$D$16,Акты!$E$5:$E$16,"&lt;="&amp;A1422)-SUMIFS(Оплаты!$B$6:$B$505,Оплаты!$A$6:$A$505,"&lt;"&amp;A1422,Оплаты!$D$6:$D$505,"&lt;&gt;"))</f>
        <v/>
      </c>
      <c r="E1422">
        <f>IF(A1422="","",IF(SUMPRODUCT((Ввод!$F$12:$F$31&lt;&gt;"")*(Ввод!$F$12:$F$31&lt;=A1422)*(Ввод!$G$12:$G$31&gt;=A1422))&gt;0,1,0))</f>
        <v/>
      </c>
      <c r="G1422">
        <f>IF(A1422="","",IF(OR(B1422&lt;&gt;B1421,C1422&lt;&gt;C1421,E1422&lt;&gt;E1421),G1421+1,G1421))</f>
        <v/>
      </c>
    </row>
    <row r="1423">
      <c r="A1423" s="20">
        <f>IF(A1422="","",IF(A1422+1&gt;Ввод!$B$4,"",A1422+1))</f>
        <v/>
      </c>
      <c r="B1423">
        <f>IF(A1423="","",IFERROR(INDEX(Ввод!$B$12:$B$71,MATCH(A1423,Ввод!$D$12:$D$71,1)),""))</f>
        <v/>
      </c>
      <c r="C1423">
        <f>IF(A1423="","",DATE(YEAR(A1423),12,31)-DATE(YEAR(A1423),1,1)+1)</f>
        <v/>
      </c>
      <c r="D1423">
        <f>IF(A1423="","",SUMIFS(Акты!$D$5:$D$16,Акты!$E$5:$E$16,"&lt;="&amp;A1423)-SUMIFS(Оплаты!$B$6:$B$505,Оплаты!$A$6:$A$505,"&lt;"&amp;A1423,Оплаты!$D$6:$D$505,"&lt;&gt;"))</f>
        <v/>
      </c>
      <c r="E1423">
        <f>IF(A1423="","",IF(SUMPRODUCT((Ввод!$F$12:$F$31&lt;&gt;"")*(Ввод!$F$12:$F$31&lt;=A1423)*(Ввод!$G$12:$G$31&gt;=A1423))&gt;0,1,0))</f>
        <v/>
      </c>
      <c r="G1423">
        <f>IF(A1423="","",IF(OR(B1423&lt;&gt;B1422,C1423&lt;&gt;C1422,E1423&lt;&gt;E1422),G1422+1,G1422))</f>
        <v/>
      </c>
    </row>
    <row r="1424">
      <c r="A1424" s="20">
        <f>IF(A1423="","",IF(A1423+1&gt;Ввод!$B$4,"",A1423+1))</f>
        <v/>
      </c>
      <c r="B1424">
        <f>IF(A1424="","",IFERROR(INDEX(Ввод!$B$12:$B$71,MATCH(A1424,Ввод!$D$12:$D$71,1)),""))</f>
        <v/>
      </c>
      <c r="C1424">
        <f>IF(A1424="","",DATE(YEAR(A1424),12,31)-DATE(YEAR(A1424),1,1)+1)</f>
        <v/>
      </c>
      <c r="D1424">
        <f>IF(A1424="","",SUMIFS(Акты!$D$5:$D$16,Акты!$E$5:$E$16,"&lt;="&amp;A1424)-SUMIFS(Оплаты!$B$6:$B$505,Оплаты!$A$6:$A$505,"&lt;"&amp;A1424,Оплаты!$D$6:$D$505,"&lt;&gt;"))</f>
        <v/>
      </c>
      <c r="E1424">
        <f>IF(A1424="","",IF(SUMPRODUCT((Ввод!$F$12:$F$31&lt;&gt;"")*(Ввод!$F$12:$F$31&lt;=A1424)*(Ввод!$G$12:$G$31&gt;=A1424))&gt;0,1,0))</f>
        <v/>
      </c>
      <c r="G1424">
        <f>IF(A1424="","",IF(OR(B1424&lt;&gt;B1423,C1424&lt;&gt;C1423,E1424&lt;&gt;E1423),G1423+1,G1423))</f>
        <v/>
      </c>
    </row>
    <row r="1425">
      <c r="A1425" s="20">
        <f>IF(A1424="","",IF(A1424+1&gt;Ввод!$B$4,"",A1424+1))</f>
        <v/>
      </c>
      <c r="B1425">
        <f>IF(A1425="","",IFERROR(INDEX(Ввод!$B$12:$B$71,MATCH(A1425,Ввод!$D$12:$D$71,1)),""))</f>
        <v/>
      </c>
      <c r="C1425">
        <f>IF(A1425="","",DATE(YEAR(A1425),12,31)-DATE(YEAR(A1425),1,1)+1)</f>
        <v/>
      </c>
      <c r="D1425">
        <f>IF(A1425="","",SUMIFS(Акты!$D$5:$D$16,Акты!$E$5:$E$16,"&lt;="&amp;A1425)-SUMIFS(Оплаты!$B$6:$B$505,Оплаты!$A$6:$A$505,"&lt;"&amp;A1425,Оплаты!$D$6:$D$505,"&lt;&gt;"))</f>
        <v/>
      </c>
      <c r="E1425">
        <f>IF(A1425="","",IF(SUMPRODUCT((Ввод!$F$12:$F$31&lt;&gt;"")*(Ввод!$F$12:$F$31&lt;=A1425)*(Ввод!$G$12:$G$31&gt;=A1425))&gt;0,1,0))</f>
        <v/>
      </c>
      <c r="G1425">
        <f>IF(A1425="","",IF(OR(B1425&lt;&gt;B1424,C1425&lt;&gt;C1424,E1425&lt;&gt;E1424),G1424+1,G1424))</f>
        <v/>
      </c>
    </row>
    <row r="1426">
      <c r="A1426" s="20">
        <f>IF(A1425="","",IF(A1425+1&gt;Ввод!$B$4,"",A1425+1))</f>
        <v/>
      </c>
      <c r="B1426">
        <f>IF(A1426="","",IFERROR(INDEX(Ввод!$B$12:$B$71,MATCH(A1426,Ввод!$D$12:$D$71,1)),""))</f>
        <v/>
      </c>
      <c r="C1426">
        <f>IF(A1426="","",DATE(YEAR(A1426),12,31)-DATE(YEAR(A1426),1,1)+1)</f>
        <v/>
      </c>
      <c r="D1426">
        <f>IF(A1426="","",SUMIFS(Акты!$D$5:$D$16,Акты!$E$5:$E$16,"&lt;="&amp;A1426)-SUMIFS(Оплаты!$B$6:$B$505,Оплаты!$A$6:$A$505,"&lt;"&amp;A1426,Оплаты!$D$6:$D$505,"&lt;&gt;"))</f>
        <v/>
      </c>
      <c r="E1426">
        <f>IF(A1426="","",IF(SUMPRODUCT((Ввод!$F$12:$F$31&lt;&gt;"")*(Ввод!$F$12:$F$31&lt;=A1426)*(Ввод!$G$12:$G$31&gt;=A1426))&gt;0,1,0))</f>
        <v/>
      </c>
      <c r="G1426">
        <f>IF(A1426="","",IF(OR(B1426&lt;&gt;B1425,C1426&lt;&gt;C1425,E1426&lt;&gt;E1425),G1425+1,G1425))</f>
        <v/>
      </c>
    </row>
    <row r="1427">
      <c r="A1427" s="20">
        <f>IF(A1426="","",IF(A1426+1&gt;Ввод!$B$4,"",A1426+1))</f>
        <v/>
      </c>
      <c r="B1427">
        <f>IF(A1427="","",IFERROR(INDEX(Ввод!$B$12:$B$71,MATCH(A1427,Ввод!$D$12:$D$71,1)),""))</f>
        <v/>
      </c>
      <c r="C1427">
        <f>IF(A1427="","",DATE(YEAR(A1427),12,31)-DATE(YEAR(A1427),1,1)+1)</f>
        <v/>
      </c>
      <c r="D1427">
        <f>IF(A1427="","",SUMIFS(Акты!$D$5:$D$16,Акты!$E$5:$E$16,"&lt;="&amp;A1427)-SUMIFS(Оплаты!$B$6:$B$505,Оплаты!$A$6:$A$505,"&lt;"&amp;A1427,Оплаты!$D$6:$D$505,"&lt;&gt;"))</f>
        <v/>
      </c>
      <c r="E1427">
        <f>IF(A1427="","",IF(SUMPRODUCT((Ввод!$F$12:$F$31&lt;&gt;"")*(Ввод!$F$12:$F$31&lt;=A1427)*(Ввод!$G$12:$G$31&gt;=A1427))&gt;0,1,0))</f>
        <v/>
      </c>
      <c r="G1427">
        <f>IF(A1427="","",IF(OR(B1427&lt;&gt;B1426,C1427&lt;&gt;C1426,E1427&lt;&gt;E1426),G1426+1,G1426))</f>
        <v/>
      </c>
    </row>
    <row r="1428">
      <c r="A1428" s="20">
        <f>IF(A1427="","",IF(A1427+1&gt;Ввод!$B$4,"",A1427+1))</f>
        <v/>
      </c>
      <c r="B1428">
        <f>IF(A1428="","",IFERROR(INDEX(Ввод!$B$12:$B$71,MATCH(A1428,Ввод!$D$12:$D$71,1)),""))</f>
        <v/>
      </c>
      <c r="C1428">
        <f>IF(A1428="","",DATE(YEAR(A1428),12,31)-DATE(YEAR(A1428),1,1)+1)</f>
        <v/>
      </c>
      <c r="D1428">
        <f>IF(A1428="","",SUMIFS(Акты!$D$5:$D$16,Акты!$E$5:$E$16,"&lt;="&amp;A1428)-SUMIFS(Оплаты!$B$6:$B$505,Оплаты!$A$6:$A$505,"&lt;"&amp;A1428,Оплаты!$D$6:$D$505,"&lt;&gt;"))</f>
        <v/>
      </c>
      <c r="E1428">
        <f>IF(A1428="","",IF(SUMPRODUCT((Ввод!$F$12:$F$31&lt;&gt;"")*(Ввод!$F$12:$F$31&lt;=A1428)*(Ввод!$G$12:$G$31&gt;=A1428))&gt;0,1,0))</f>
        <v/>
      </c>
      <c r="G1428">
        <f>IF(A1428="","",IF(OR(B1428&lt;&gt;B1427,C1428&lt;&gt;C1427,E1428&lt;&gt;E1427),G1427+1,G1427))</f>
        <v/>
      </c>
    </row>
    <row r="1429">
      <c r="A1429" s="20">
        <f>IF(A1428="","",IF(A1428+1&gt;Ввод!$B$4,"",A1428+1))</f>
        <v/>
      </c>
      <c r="B1429">
        <f>IF(A1429="","",IFERROR(INDEX(Ввод!$B$12:$B$71,MATCH(A1429,Ввод!$D$12:$D$71,1)),""))</f>
        <v/>
      </c>
      <c r="C1429">
        <f>IF(A1429="","",DATE(YEAR(A1429),12,31)-DATE(YEAR(A1429),1,1)+1)</f>
        <v/>
      </c>
      <c r="D1429">
        <f>IF(A1429="","",SUMIFS(Акты!$D$5:$D$16,Акты!$E$5:$E$16,"&lt;="&amp;A1429)-SUMIFS(Оплаты!$B$6:$B$505,Оплаты!$A$6:$A$505,"&lt;"&amp;A1429,Оплаты!$D$6:$D$505,"&lt;&gt;"))</f>
        <v/>
      </c>
      <c r="E1429">
        <f>IF(A1429="","",IF(SUMPRODUCT((Ввод!$F$12:$F$31&lt;&gt;"")*(Ввод!$F$12:$F$31&lt;=A1429)*(Ввод!$G$12:$G$31&gt;=A1429))&gt;0,1,0))</f>
        <v/>
      </c>
      <c r="G1429">
        <f>IF(A1429="","",IF(OR(B1429&lt;&gt;B1428,C1429&lt;&gt;C1428,E1429&lt;&gt;E1428),G1428+1,G1428))</f>
        <v/>
      </c>
    </row>
    <row r="1430">
      <c r="A1430" s="20">
        <f>IF(A1429="","",IF(A1429+1&gt;Ввод!$B$4,"",A1429+1))</f>
        <v/>
      </c>
      <c r="B1430">
        <f>IF(A1430="","",IFERROR(INDEX(Ввод!$B$12:$B$71,MATCH(A1430,Ввод!$D$12:$D$71,1)),""))</f>
        <v/>
      </c>
      <c r="C1430">
        <f>IF(A1430="","",DATE(YEAR(A1430),12,31)-DATE(YEAR(A1430),1,1)+1)</f>
        <v/>
      </c>
      <c r="D1430">
        <f>IF(A1430="","",SUMIFS(Акты!$D$5:$D$16,Акты!$E$5:$E$16,"&lt;="&amp;A1430)-SUMIFS(Оплаты!$B$6:$B$505,Оплаты!$A$6:$A$505,"&lt;"&amp;A1430,Оплаты!$D$6:$D$505,"&lt;&gt;"))</f>
        <v/>
      </c>
      <c r="E1430">
        <f>IF(A1430="","",IF(SUMPRODUCT((Ввод!$F$12:$F$31&lt;&gt;"")*(Ввод!$F$12:$F$31&lt;=A1430)*(Ввод!$G$12:$G$31&gt;=A1430))&gt;0,1,0))</f>
        <v/>
      </c>
      <c r="G1430">
        <f>IF(A1430="","",IF(OR(B1430&lt;&gt;B1429,C1430&lt;&gt;C1429,E1430&lt;&gt;E1429),G1429+1,G1429))</f>
        <v/>
      </c>
    </row>
    <row r="1431">
      <c r="A1431" s="20">
        <f>IF(A1430="","",IF(A1430+1&gt;Ввод!$B$4,"",A1430+1))</f>
        <v/>
      </c>
      <c r="B1431">
        <f>IF(A1431="","",IFERROR(INDEX(Ввод!$B$12:$B$71,MATCH(A1431,Ввод!$D$12:$D$71,1)),""))</f>
        <v/>
      </c>
      <c r="C1431">
        <f>IF(A1431="","",DATE(YEAR(A1431),12,31)-DATE(YEAR(A1431),1,1)+1)</f>
        <v/>
      </c>
      <c r="D1431">
        <f>IF(A1431="","",SUMIFS(Акты!$D$5:$D$16,Акты!$E$5:$E$16,"&lt;="&amp;A1431)-SUMIFS(Оплаты!$B$6:$B$505,Оплаты!$A$6:$A$505,"&lt;"&amp;A1431,Оплаты!$D$6:$D$505,"&lt;&gt;"))</f>
        <v/>
      </c>
      <c r="E1431">
        <f>IF(A1431="","",IF(SUMPRODUCT((Ввод!$F$12:$F$31&lt;&gt;"")*(Ввод!$F$12:$F$31&lt;=A1431)*(Ввод!$G$12:$G$31&gt;=A1431))&gt;0,1,0))</f>
        <v/>
      </c>
      <c r="G1431">
        <f>IF(A1431="","",IF(OR(B1431&lt;&gt;B1430,C1431&lt;&gt;C1430,E1431&lt;&gt;E1430),G1430+1,G1430))</f>
        <v/>
      </c>
    </row>
    <row r="1432">
      <c r="A1432" s="20">
        <f>IF(A1431="","",IF(A1431+1&gt;Ввод!$B$4,"",A1431+1))</f>
        <v/>
      </c>
      <c r="B1432">
        <f>IF(A1432="","",IFERROR(INDEX(Ввод!$B$12:$B$71,MATCH(A1432,Ввод!$D$12:$D$71,1)),""))</f>
        <v/>
      </c>
      <c r="C1432">
        <f>IF(A1432="","",DATE(YEAR(A1432),12,31)-DATE(YEAR(A1432),1,1)+1)</f>
        <v/>
      </c>
      <c r="D1432">
        <f>IF(A1432="","",SUMIFS(Акты!$D$5:$D$16,Акты!$E$5:$E$16,"&lt;="&amp;A1432)-SUMIFS(Оплаты!$B$6:$B$505,Оплаты!$A$6:$A$505,"&lt;"&amp;A1432,Оплаты!$D$6:$D$505,"&lt;&gt;"))</f>
        <v/>
      </c>
      <c r="E1432">
        <f>IF(A1432="","",IF(SUMPRODUCT((Ввод!$F$12:$F$31&lt;&gt;"")*(Ввод!$F$12:$F$31&lt;=A1432)*(Ввод!$G$12:$G$31&gt;=A1432))&gt;0,1,0))</f>
        <v/>
      </c>
      <c r="G1432">
        <f>IF(A1432="","",IF(OR(B1432&lt;&gt;B1431,C1432&lt;&gt;C1431,E1432&lt;&gt;E1431),G1431+1,G1431))</f>
        <v/>
      </c>
    </row>
    <row r="1433">
      <c r="A1433" s="20">
        <f>IF(A1432="","",IF(A1432+1&gt;Ввод!$B$4,"",A1432+1))</f>
        <v/>
      </c>
      <c r="B1433">
        <f>IF(A1433="","",IFERROR(INDEX(Ввод!$B$12:$B$71,MATCH(A1433,Ввод!$D$12:$D$71,1)),""))</f>
        <v/>
      </c>
      <c r="C1433">
        <f>IF(A1433="","",DATE(YEAR(A1433),12,31)-DATE(YEAR(A1433),1,1)+1)</f>
        <v/>
      </c>
      <c r="D1433">
        <f>IF(A1433="","",SUMIFS(Акты!$D$5:$D$16,Акты!$E$5:$E$16,"&lt;="&amp;A1433)-SUMIFS(Оплаты!$B$6:$B$505,Оплаты!$A$6:$A$505,"&lt;"&amp;A1433,Оплаты!$D$6:$D$505,"&lt;&gt;"))</f>
        <v/>
      </c>
      <c r="E1433">
        <f>IF(A1433="","",IF(SUMPRODUCT((Ввод!$F$12:$F$31&lt;&gt;"")*(Ввод!$F$12:$F$31&lt;=A1433)*(Ввод!$G$12:$G$31&gt;=A1433))&gt;0,1,0))</f>
        <v/>
      </c>
      <c r="G1433">
        <f>IF(A1433="","",IF(OR(B1433&lt;&gt;B1432,C1433&lt;&gt;C1432,E1433&lt;&gt;E1432),G1432+1,G1432))</f>
        <v/>
      </c>
    </row>
    <row r="1434">
      <c r="A1434" s="20">
        <f>IF(A1433="","",IF(A1433+1&gt;Ввод!$B$4,"",A1433+1))</f>
        <v/>
      </c>
      <c r="B1434">
        <f>IF(A1434="","",IFERROR(INDEX(Ввод!$B$12:$B$71,MATCH(A1434,Ввод!$D$12:$D$71,1)),""))</f>
        <v/>
      </c>
      <c r="C1434">
        <f>IF(A1434="","",DATE(YEAR(A1434),12,31)-DATE(YEAR(A1434),1,1)+1)</f>
        <v/>
      </c>
      <c r="D1434">
        <f>IF(A1434="","",SUMIFS(Акты!$D$5:$D$16,Акты!$E$5:$E$16,"&lt;="&amp;A1434)-SUMIFS(Оплаты!$B$6:$B$505,Оплаты!$A$6:$A$505,"&lt;"&amp;A1434,Оплаты!$D$6:$D$505,"&lt;&gt;"))</f>
        <v/>
      </c>
      <c r="E1434">
        <f>IF(A1434="","",IF(SUMPRODUCT((Ввод!$F$12:$F$31&lt;&gt;"")*(Ввод!$F$12:$F$31&lt;=A1434)*(Ввод!$G$12:$G$31&gt;=A1434))&gt;0,1,0))</f>
        <v/>
      </c>
      <c r="G1434">
        <f>IF(A1434="","",IF(OR(B1434&lt;&gt;B1433,C1434&lt;&gt;C1433,E1434&lt;&gt;E1433),G1433+1,G1433))</f>
        <v/>
      </c>
    </row>
    <row r="1435">
      <c r="A1435" s="20">
        <f>IF(A1434="","",IF(A1434+1&gt;Ввод!$B$4,"",A1434+1))</f>
        <v/>
      </c>
      <c r="B1435">
        <f>IF(A1435="","",IFERROR(INDEX(Ввод!$B$12:$B$71,MATCH(A1435,Ввод!$D$12:$D$71,1)),""))</f>
        <v/>
      </c>
      <c r="C1435">
        <f>IF(A1435="","",DATE(YEAR(A1435),12,31)-DATE(YEAR(A1435),1,1)+1)</f>
        <v/>
      </c>
      <c r="D1435">
        <f>IF(A1435="","",SUMIFS(Акты!$D$5:$D$16,Акты!$E$5:$E$16,"&lt;="&amp;A1435)-SUMIFS(Оплаты!$B$6:$B$505,Оплаты!$A$6:$A$505,"&lt;"&amp;A1435,Оплаты!$D$6:$D$505,"&lt;&gt;"))</f>
        <v/>
      </c>
      <c r="E1435">
        <f>IF(A1435="","",IF(SUMPRODUCT((Ввод!$F$12:$F$31&lt;&gt;"")*(Ввод!$F$12:$F$31&lt;=A1435)*(Ввод!$G$12:$G$31&gt;=A1435))&gt;0,1,0))</f>
        <v/>
      </c>
      <c r="G1435">
        <f>IF(A1435="","",IF(OR(B1435&lt;&gt;B1434,C1435&lt;&gt;C1434,E1435&lt;&gt;E1434),G1434+1,G1434))</f>
        <v/>
      </c>
    </row>
    <row r="1436">
      <c r="A1436" s="20">
        <f>IF(A1435="","",IF(A1435+1&gt;Ввод!$B$4,"",A1435+1))</f>
        <v/>
      </c>
      <c r="B1436">
        <f>IF(A1436="","",IFERROR(INDEX(Ввод!$B$12:$B$71,MATCH(A1436,Ввод!$D$12:$D$71,1)),""))</f>
        <v/>
      </c>
      <c r="C1436">
        <f>IF(A1436="","",DATE(YEAR(A1436),12,31)-DATE(YEAR(A1436),1,1)+1)</f>
        <v/>
      </c>
      <c r="D1436">
        <f>IF(A1436="","",SUMIFS(Акты!$D$5:$D$16,Акты!$E$5:$E$16,"&lt;="&amp;A1436)-SUMIFS(Оплаты!$B$6:$B$505,Оплаты!$A$6:$A$505,"&lt;"&amp;A1436,Оплаты!$D$6:$D$505,"&lt;&gt;"))</f>
        <v/>
      </c>
      <c r="E1436">
        <f>IF(A1436="","",IF(SUMPRODUCT((Ввод!$F$12:$F$31&lt;&gt;"")*(Ввод!$F$12:$F$31&lt;=A1436)*(Ввод!$G$12:$G$31&gt;=A1436))&gt;0,1,0))</f>
        <v/>
      </c>
      <c r="G1436">
        <f>IF(A1436="","",IF(OR(B1436&lt;&gt;B1435,C1436&lt;&gt;C1435,E1436&lt;&gt;E1435),G1435+1,G1435))</f>
        <v/>
      </c>
    </row>
    <row r="1437">
      <c r="A1437" s="20">
        <f>IF(A1436="","",IF(A1436+1&gt;Ввод!$B$4,"",A1436+1))</f>
        <v/>
      </c>
      <c r="B1437">
        <f>IF(A1437="","",IFERROR(INDEX(Ввод!$B$12:$B$71,MATCH(A1437,Ввод!$D$12:$D$71,1)),""))</f>
        <v/>
      </c>
      <c r="C1437">
        <f>IF(A1437="","",DATE(YEAR(A1437),12,31)-DATE(YEAR(A1437),1,1)+1)</f>
        <v/>
      </c>
      <c r="D1437">
        <f>IF(A1437="","",SUMIFS(Акты!$D$5:$D$16,Акты!$E$5:$E$16,"&lt;="&amp;A1437)-SUMIFS(Оплаты!$B$6:$B$505,Оплаты!$A$6:$A$505,"&lt;"&amp;A1437,Оплаты!$D$6:$D$505,"&lt;&gt;"))</f>
        <v/>
      </c>
      <c r="E1437">
        <f>IF(A1437="","",IF(SUMPRODUCT((Ввод!$F$12:$F$31&lt;&gt;"")*(Ввод!$F$12:$F$31&lt;=A1437)*(Ввод!$G$12:$G$31&gt;=A1437))&gt;0,1,0))</f>
        <v/>
      </c>
      <c r="G1437">
        <f>IF(A1437="","",IF(OR(B1437&lt;&gt;B1436,C1437&lt;&gt;C1436,E1437&lt;&gt;E1436),G1436+1,G1436))</f>
        <v/>
      </c>
    </row>
    <row r="1438">
      <c r="A1438" s="20">
        <f>IF(A1437="","",IF(A1437+1&gt;Ввод!$B$4,"",A1437+1))</f>
        <v/>
      </c>
      <c r="B1438">
        <f>IF(A1438="","",IFERROR(INDEX(Ввод!$B$12:$B$71,MATCH(A1438,Ввод!$D$12:$D$71,1)),""))</f>
        <v/>
      </c>
      <c r="C1438">
        <f>IF(A1438="","",DATE(YEAR(A1438),12,31)-DATE(YEAR(A1438),1,1)+1)</f>
        <v/>
      </c>
      <c r="D1438">
        <f>IF(A1438="","",SUMIFS(Акты!$D$5:$D$16,Акты!$E$5:$E$16,"&lt;="&amp;A1438)-SUMIFS(Оплаты!$B$6:$B$505,Оплаты!$A$6:$A$505,"&lt;"&amp;A1438,Оплаты!$D$6:$D$505,"&lt;&gt;"))</f>
        <v/>
      </c>
      <c r="E1438">
        <f>IF(A1438="","",IF(SUMPRODUCT((Ввод!$F$12:$F$31&lt;&gt;"")*(Ввод!$F$12:$F$31&lt;=A1438)*(Ввод!$G$12:$G$31&gt;=A1438))&gt;0,1,0))</f>
        <v/>
      </c>
      <c r="G1438">
        <f>IF(A1438="","",IF(OR(B1438&lt;&gt;B1437,C1438&lt;&gt;C1437,E1438&lt;&gt;E1437),G1437+1,G1437))</f>
        <v/>
      </c>
    </row>
    <row r="1439">
      <c r="A1439" s="20">
        <f>IF(A1438="","",IF(A1438+1&gt;Ввод!$B$4,"",A1438+1))</f>
        <v/>
      </c>
      <c r="B1439">
        <f>IF(A1439="","",IFERROR(INDEX(Ввод!$B$12:$B$71,MATCH(A1439,Ввод!$D$12:$D$71,1)),""))</f>
        <v/>
      </c>
      <c r="C1439">
        <f>IF(A1439="","",DATE(YEAR(A1439),12,31)-DATE(YEAR(A1439),1,1)+1)</f>
        <v/>
      </c>
      <c r="D1439">
        <f>IF(A1439="","",SUMIFS(Акты!$D$5:$D$16,Акты!$E$5:$E$16,"&lt;="&amp;A1439)-SUMIFS(Оплаты!$B$6:$B$505,Оплаты!$A$6:$A$505,"&lt;"&amp;A1439,Оплаты!$D$6:$D$505,"&lt;&gt;"))</f>
        <v/>
      </c>
      <c r="E1439">
        <f>IF(A1439="","",IF(SUMPRODUCT((Ввод!$F$12:$F$31&lt;&gt;"")*(Ввод!$F$12:$F$31&lt;=A1439)*(Ввод!$G$12:$G$31&gt;=A1439))&gt;0,1,0))</f>
        <v/>
      </c>
      <c r="G1439">
        <f>IF(A1439="","",IF(OR(B1439&lt;&gt;B1438,C1439&lt;&gt;C1438,E1439&lt;&gt;E1438),G1438+1,G1438))</f>
        <v/>
      </c>
    </row>
    <row r="1440">
      <c r="A1440" s="20">
        <f>IF(A1439="","",IF(A1439+1&gt;Ввод!$B$4,"",A1439+1))</f>
        <v/>
      </c>
      <c r="B1440">
        <f>IF(A1440="","",IFERROR(INDEX(Ввод!$B$12:$B$71,MATCH(A1440,Ввод!$D$12:$D$71,1)),""))</f>
        <v/>
      </c>
      <c r="C1440">
        <f>IF(A1440="","",DATE(YEAR(A1440),12,31)-DATE(YEAR(A1440),1,1)+1)</f>
        <v/>
      </c>
      <c r="D1440">
        <f>IF(A1440="","",SUMIFS(Акты!$D$5:$D$16,Акты!$E$5:$E$16,"&lt;="&amp;A1440)-SUMIFS(Оплаты!$B$6:$B$505,Оплаты!$A$6:$A$505,"&lt;"&amp;A1440,Оплаты!$D$6:$D$505,"&lt;&gt;"))</f>
        <v/>
      </c>
      <c r="E1440">
        <f>IF(A1440="","",IF(SUMPRODUCT((Ввод!$F$12:$F$31&lt;&gt;"")*(Ввод!$F$12:$F$31&lt;=A1440)*(Ввод!$G$12:$G$31&gt;=A1440))&gt;0,1,0))</f>
        <v/>
      </c>
      <c r="G1440">
        <f>IF(A1440="","",IF(OR(B1440&lt;&gt;B1439,C1440&lt;&gt;C1439,E1440&lt;&gt;E1439),G1439+1,G1439))</f>
        <v/>
      </c>
    </row>
    <row r="1441">
      <c r="A1441" s="20">
        <f>IF(A1440="","",IF(A1440+1&gt;Ввод!$B$4,"",A1440+1))</f>
        <v/>
      </c>
      <c r="B1441">
        <f>IF(A1441="","",IFERROR(INDEX(Ввод!$B$12:$B$71,MATCH(A1441,Ввод!$D$12:$D$71,1)),""))</f>
        <v/>
      </c>
      <c r="C1441">
        <f>IF(A1441="","",DATE(YEAR(A1441),12,31)-DATE(YEAR(A1441),1,1)+1)</f>
        <v/>
      </c>
      <c r="D1441">
        <f>IF(A1441="","",SUMIFS(Акты!$D$5:$D$16,Акты!$E$5:$E$16,"&lt;="&amp;A1441)-SUMIFS(Оплаты!$B$6:$B$505,Оплаты!$A$6:$A$505,"&lt;"&amp;A1441,Оплаты!$D$6:$D$505,"&lt;&gt;"))</f>
        <v/>
      </c>
      <c r="E1441">
        <f>IF(A1441="","",IF(SUMPRODUCT((Ввод!$F$12:$F$31&lt;&gt;"")*(Ввод!$F$12:$F$31&lt;=A1441)*(Ввод!$G$12:$G$31&gt;=A1441))&gt;0,1,0))</f>
        <v/>
      </c>
      <c r="G1441">
        <f>IF(A1441="","",IF(OR(B1441&lt;&gt;B1440,C1441&lt;&gt;C1440,E1441&lt;&gt;E1440),G1440+1,G1440))</f>
        <v/>
      </c>
    </row>
    <row r="1442">
      <c r="A1442" s="20">
        <f>IF(A1441="","",IF(A1441+1&gt;Ввод!$B$4,"",A1441+1))</f>
        <v/>
      </c>
      <c r="B1442">
        <f>IF(A1442="","",IFERROR(INDEX(Ввод!$B$12:$B$71,MATCH(A1442,Ввод!$D$12:$D$71,1)),""))</f>
        <v/>
      </c>
      <c r="C1442">
        <f>IF(A1442="","",DATE(YEAR(A1442),12,31)-DATE(YEAR(A1442),1,1)+1)</f>
        <v/>
      </c>
      <c r="D1442">
        <f>IF(A1442="","",SUMIFS(Акты!$D$5:$D$16,Акты!$E$5:$E$16,"&lt;="&amp;A1442)-SUMIFS(Оплаты!$B$6:$B$505,Оплаты!$A$6:$A$505,"&lt;"&amp;A1442,Оплаты!$D$6:$D$505,"&lt;&gt;"))</f>
        <v/>
      </c>
      <c r="E1442">
        <f>IF(A1442="","",IF(SUMPRODUCT((Ввод!$F$12:$F$31&lt;&gt;"")*(Ввод!$F$12:$F$31&lt;=A1442)*(Ввод!$G$12:$G$31&gt;=A1442))&gt;0,1,0))</f>
        <v/>
      </c>
      <c r="G1442">
        <f>IF(A1442="","",IF(OR(B1442&lt;&gt;B1441,C1442&lt;&gt;C1441,E1442&lt;&gt;E1441),G1441+1,G1441))</f>
        <v/>
      </c>
    </row>
    <row r="1443">
      <c r="A1443" s="20">
        <f>IF(A1442="","",IF(A1442+1&gt;Ввод!$B$4,"",A1442+1))</f>
        <v/>
      </c>
      <c r="B1443">
        <f>IF(A1443="","",IFERROR(INDEX(Ввод!$B$12:$B$71,MATCH(A1443,Ввод!$D$12:$D$71,1)),""))</f>
        <v/>
      </c>
      <c r="C1443">
        <f>IF(A1443="","",DATE(YEAR(A1443),12,31)-DATE(YEAR(A1443),1,1)+1)</f>
        <v/>
      </c>
      <c r="D1443">
        <f>IF(A1443="","",SUMIFS(Акты!$D$5:$D$16,Акты!$E$5:$E$16,"&lt;="&amp;A1443)-SUMIFS(Оплаты!$B$6:$B$505,Оплаты!$A$6:$A$505,"&lt;"&amp;A1443,Оплаты!$D$6:$D$505,"&lt;&gt;"))</f>
        <v/>
      </c>
      <c r="E1443">
        <f>IF(A1443="","",IF(SUMPRODUCT((Ввод!$F$12:$F$31&lt;&gt;"")*(Ввод!$F$12:$F$31&lt;=A1443)*(Ввод!$G$12:$G$31&gt;=A1443))&gt;0,1,0))</f>
        <v/>
      </c>
      <c r="G1443">
        <f>IF(A1443="","",IF(OR(B1443&lt;&gt;B1442,C1443&lt;&gt;C1442,E1443&lt;&gt;E1442),G1442+1,G1442))</f>
        <v/>
      </c>
    </row>
    <row r="1444">
      <c r="A1444" s="20">
        <f>IF(A1443="","",IF(A1443+1&gt;Ввод!$B$4,"",A1443+1))</f>
        <v/>
      </c>
      <c r="B1444">
        <f>IF(A1444="","",IFERROR(INDEX(Ввод!$B$12:$B$71,MATCH(A1444,Ввод!$D$12:$D$71,1)),""))</f>
        <v/>
      </c>
      <c r="C1444">
        <f>IF(A1444="","",DATE(YEAR(A1444),12,31)-DATE(YEAR(A1444),1,1)+1)</f>
        <v/>
      </c>
      <c r="D1444">
        <f>IF(A1444="","",SUMIFS(Акты!$D$5:$D$16,Акты!$E$5:$E$16,"&lt;="&amp;A1444)-SUMIFS(Оплаты!$B$6:$B$505,Оплаты!$A$6:$A$505,"&lt;"&amp;A1444,Оплаты!$D$6:$D$505,"&lt;&gt;"))</f>
        <v/>
      </c>
      <c r="E1444">
        <f>IF(A1444="","",IF(SUMPRODUCT((Ввод!$F$12:$F$31&lt;&gt;"")*(Ввод!$F$12:$F$31&lt;=A1444)*(Ввод!$G$12:$G$31&gt;=A1444))&gt;0,1,0))</f>
        <v/>
      </c>
      <c r="G1444">
        <f>IF(A1444="","",IF(OR(B1444&lt;&gt;B1443,C1444&lt;&gt;C1443,E1444&lt;&gt;E1443),G1443+1,G1443))</f>
        <v/>
      </c>
    </row>
    <row r="1445">
      <c r="A1445" s="20">
        <f>IF(A1444="","",IF(A1444+1&gt;Ввод!$B$4,"",A1444+1))</f>
        <v/>
      </c>
      <c r="B1445">
        <f>IF(A1445="","",IFERROR(INDEX(Ввод!$B$12:$B$71,MATCH(A1445,Ввод!$D$12:$D$71,1)),""))</f>
        <v/>
      </c>
      <c r="C1445">
        <f>IF(A1445="","",DATE(YEAR(A1445),12,31)-DATE(YEAR(A1445),1,1)+1)</f>
        <v/>
      </c>
      <c r="D1445">
        <f>IF(A1445="","",SUMIFS(Акты!$D$5:$D$16,Акты!$E$5:$E$16,"&lt;="&amp;A1445)-SUMIFS(Оплаты!$B$6:$B$505,Оплаты!$A$6:$A$505,"&lt;"&amp;A1445,Оплаты!$D$6:$D$505,"&lt;&gt;"))</f>
        <v/>
      </c>
      <c r="E1445">
        <f>IF(A1445="","",IF(SUMPRODUCT((Ввод!$F$12:$F$31&lt;&gt;"")*(Ввод!$F$12:$F$31&lt;=A1445)*(Ввод!$G$12:$G$31&gt;=A1445))&gt;0,1,0))</f>
        <v/>
      </c>
      <c r="G1445">
        <f>IF(A1445="","",IF(OR(B1445&lt;&gt;B1444,C1445&lt;&gt;C1444,E1445&lt;&gt;E1444),G1444+1,G1444))</f>
        <v/>
      </c>
    </row>
    <row r="1446">
      <c r="A1446" s="20">
        <f>IF(A1445="","",IF(A1445+1&gt;Ввод!$B$4,"",A1445+1))</f>
        <v/>
      </c>
      <c r="B1446">
        <f>IF(A1446="","",IFERROR(INDEX(Ввод!$B$12:$B$71,MATCH(A1446,Ввод!$D$12:$D$71,1)),""))</f>
        <v/>
      </c>
      <c r="C1446">
        <f>IF(A1446="","",DATE(YEAR(A1446),12,31)-DATE(YEAR(A1446),1,1)+1)</f>
        <v/>
      </c>
      <c r="D1446">
        <f>IF(A1446="","",SUMIFS(Акты!$D$5:$D$16,Акты!$E$5:$E$16,"&lt;="&amp;A1446)-SUMIFS(Оплаты!$B$6:$B$505,Оплаты!$A$6:$A$505,"&lt;"&amp;A1446,Оплаты!$D$6:$D$505,"&lt;&gt;"))</f>
        <v/>
      </c>
      <c r="E1446">
        <f>IF(A1446="","",IF(SUMPRODUCT((Ввод!$F$12:$F$31&lt;&gt;"")*(Ввод!$F$12:$F$31&lt;=A1446)*(Ввод!$G$12:$G$31&gt;=A1446))&gt;0,1,0))</f>
        <v/>
      </c>
      <c r="G1446">
        <f>IF(A1446="","",IF(OR(B1446&lt;&gt;B1445,C1446&lt;&gt;C1445,E1446&lt;&gt;E1445),G1445+1,G1445))</f>
        <v/>
      </c>
    </row>
    <row r="1447">
      <c r="A1447" s="20">
        <f>IF(A1446="","",IF(A1446+1&gt;Ввод!$B$4,"",A1446+1))</f>
        <v/>
      </c>
      <c r="B1447">
        <f>IF(A1447="","",IFERROR(INDEX(Ввод!$B$12:$B$71,MATCH(A1447,Ввод!$D$12:$D$71,1)),""))</f>
        <v/>
      </c>
      <c r="C1447">
        <f>IF(A1447="","",DATE(YEAR(A1447),12,31)-DATE(YEAR(A1447),1,1)+1)</f>
        <v/>
      </c>
      <c r="D1447">
        <f>IF(A1447="","",SUMIFS(Акты!$D$5:$D$16,Акты!$E$5:$E$16,"&lt;="&amp;A1447)-SUMIFS(Оплаты!$B$6:$B$505,Оплаты!$A$6:$A$505,"&lt;"&amp;A1447,Оплаты!$D$6:$D$505,"&lt;&gt;"))</f>
        <v/>
      </c>
      <c r="E1447">
        <f>IF(A1447="","",IF(SUMPRODUCT((Ввод!$F$12:$F$31&lt;&gt;"")*(Ввод!$F$12:$F$31&lt;=A1447)*(Ввод!$G$12:$G$31&gt;=A1447))&gt;0,1,0))</f>
        <v/>
      </c>
      <c r="G1447">
        <f>IF(A1447="","",IF(OR(B1447&lt;&gt;B1446,C1447&lt;&gt;C1446,E1447&lt;&gt;E1446),G1446+1,G1446))</f>
        <v/>
      </c>
    </row>
    <row r="1448">
      <c r="A1448" s="20">
        <f>IF(A1447="","",IF(A1447+1&gt;Ввод!$B$4,"",A1447+1))</f>
        <v/>
      </c>
      <c r="B1448">
        <f>IF(A1448="","",IFERROR(INDEX(Ввод!$B$12:$B$71,MATCH(A1448,Ввод!$D$12:$D$71,1)),""))</f>
        <v/>
      </c>
      <c r="C1448">
        <f>IF(A1448="","",DATE(YEAR(A1448),12,31)-DATE(YEAR(A1448),1,1)+1)</f>
        <v/>
      </c>
      <c r="D1448">
        <f>IF(A1448="","",SUMIFS(Акты!$D$5:$D$16,Акты!$E$5:$E$16,"&lt;="&amp;A1448)-SUMIFS(Оплаты!$B$6:$B$505,Оплаты!$A$6:$A$505,"&lt;"&amp;A1448,Оплаты!$D$6:$D$505,"&lt;&gt;"))</f>
        <v/>
      </c>
      <c r="E1448">
        <f>IF(A1448="","",IF(SUMPRODUCT((Ввод!$F$12:$F$31&lt;&gt;"")*(Ввод!$F$12:$F$31&lt;=A1448)*(Ввод!$G$12:$G$31&gt;=A1448))&gt;0,1,0))</f>
        <v/>
      </c>
      <c r="G1448">
        <f>IF(A1448="","",IF(OR(B1448&lt;&gt;B1447,C1448&lt;&gt;C1447,E1448&lt;&gt;E1447),G1447+1,G1447))</f>
        <v/>
      </c>
    </row>
    <row r="1449">
      <c r="A1449" s="20">
        <f>IF(A1448="","",IF(A1448+1&gt;Ввод!$B$4,"",A1448+1))</f>
        <v/>
      </c>
      <c r="B1449">
        <f>IF(A1449="","",IFERROR(INDEX(Ввод!$B$12:$B$71,MATCH(A1449,Ввод!$D$12:$D$71,1)),""))</f>
        <v/>
      </c>
      <c r="C1449">
        <f>IF(A1449="","",DATE(YEAR(A1449),12,31)-DATE(YEAR(A1449),1,1)+1)</f>
        <v/>
      </c>
      <c r="D1449">
        <f>IF(A1449="","",SUMIFS(Акты!$D$5:$D$16,Акты!$E$5:$E$16,"&lt;="&amp;A1449)-SUMIFS(Оплаты!$B$6:$B$505,Оплаты!$A$6:$A$505,"&lt;"&amp;A1449,Оплаты!$D$6:$D$505,"&lt;&gt;"))</f>
        <v/>
      </c>
      <c r="E1449">
        <f>IF(A1449="","",IF(SUMPRODUCT((Ввод!$F$12:$F$31&lt;&gt;"")*(Ввод!$F$12:$F$31&lt;=A1449)*(Ввод!$G$12:$G$31&gt;=A1449))&gt;0,1,0))</f>
        <v/>
      </c>
      <c r="G1449">
        <f>IF(A1449="","",IF(OR(B1449&lt;&gt;B1448,C1449&lt;&gt;C1448,E1449&lt;&gt;E1448),G1448+1,G1448))</f>
        <v/>
      </c>
    </row>
    <row r="1450">
      <c r="A1450" s="20">
        <f>IF(A1449="","",IF(A1449+1&gt;Ввод!$B$4,"",A1449+1))</f>
        <v/>
      </c>
      <c r="B1450">
        <f>IF(A1450="","",IFERROR(INDEX(Ввод!$B$12:$B$71,MATCH(A1450,Ввод!$D$12:$D$71,1)),""))</f>
        <v/>
      </c>
      <c r="C1450">
        <f>IF(A1450="","",DATE(YEAR(A1450),12,31)-DATE(YEAR(A1450),1,1)+1)</f>
        <v/>
      </c>
      <c r="D1450">
        <f>IF(A1450="","",SUMIFS(Акты!$D$5:$D$16,Акты!$E$5:$E$16,"&lt;="&amp;A1450)-SUMIFS(Оплаты!$B$6:$B$505,Оплаты!$A$6:$A$505,"&lt;"&amp;A1450,Оплаты!$D$6:$D$505,"&lt;&gt;"))</f>
        <v/>
      </c>
      <c r="E1450">
        <f>IF(A1450="","",IF(SUMPRODUCT((Ввод!$F$12:$F$31&lt;&gt;"")*(Ввод!$F$12:$F$31&lt;=A1450)*(Ввод!$G$12:$G$31&gt;=A1450))&gt;0,1,0))</f>
        <v/>
      </c>
      <c r="G1450">
        <f>IF(A1450="","",IF(OR(B1450&lt;&gt;B1449,C1450&lt;&gt;C1449,E1450&lt;&gt;E1449),G1449+1,G1449))</f>
        <v/>
      </c>
    </row>
    <row r="1451">
      <c r="A1451" s="20">
        <f>IF(A1450="","",IF(A1450+1&gt;Ввод!$B$4,"",A1450+1))</f>
        <v/>
      </c>
      <c r="B1451">
        <f>IF(A1451="","",IFERROR(INDEX(Ввод!$B$12:$B$71,MATCH(A1451,Ввод!$D$12:$D$71,1)),""))</f>
        <v/>
      </c>
      <c r="C1451">
        <f>IF(A1451="","",DATE(YEAR(A1451),12,31)-DATE(YEAR(A1451),1,1)+1)</f>
        <v/>
      </c>
      <c r="D1451">
        <f>IF(A1451="","",SUMIFS(Акты!$D$5:$D$16,Акты!$E$5:$E$16,"&lt;="&amp;A1451)-SUMIFS(Оплаты!$B$6:$B$505,Оплаты!$A$6:$A$505,"&lt;"&amp;A1451,Оплаты!$D$6:$D$505,"&lt;&gt;"))</f>
        <v/>
      </c>
      <c r="E1451">
        <f>IF(A1451="","",IF(SUMPRODUCT((Ввод!$F$12:$F$31&lt;&gt;"")*(Ввод!$F$12:$F$31&lt;=A1451)*(Ввод!$G$12:$G$31&gt;=A1451))&gt;0,1,0))</f>
        <v/>
      </c>
      <c r="G1451">
        <f>IF(A1451="","",IF(OR(B1451&lt;&gt;B1450,C1451&lt;&gt;C1450,E1451&lt;&gt;E1450),G1450+1,G1450))</f>
        <v/>
      </c>
    </row>
    <row r="1452">
      <c r="A1452" s="20">
        <f>IF(A1451="","",IF(A1451+1&gt;Ввод!$B$4,"",A1451+1))</f>
        <v/>
      </c>
      <c r="B1452">
        <f>IF(A1452="","",IFERROR(INDEX(Ввод!$B$12:$B$71,MATCH(A1452,Ввод!$D$12:$D$71,1)),""))</f>
        <v/>
      </c>
      <c r="C1452">
        <f>IF(A1452="","",DATE(YEAR(A1452),12,31)-DATE(YEAR(A1452),1,1)+1)</f>
        <v/>
      </c>
      <c r="D1452">
        <f>IF(A1452="","",SUMIFS(Акты!$D$5:$D$16,Акты!$E$5:$E$16,"&lt;="&amp;A1452)-SUMIFS(Оплаты!$B$6:$B$505,Оплаты!$A$6:$A$505,"&lt;"&amp;A1452,Оплаты!$D$6:$D$505,"&lt;&gt;"))</f>
        <v/>
      </c>
      <c r="E1452">
        <f>IF(A1452="","",IF(SUMPRODUCT((Ввод!$F$12:$F$31&lt;&gt;"")*(Ввод!$F$12:$F$31&lt;=A1452)*(Ввод!$G$12:$G$31&gt;=A1452))&gt;0,1,0))</f>
        <v/>
      </c>
      <c r="G1452">
        <f>IF(A1452="","",IF(OR(B1452&lt;&gt;B1451,C1452&lt;&gt;C1451,E1452&lt;&gt;E1451),G1451+1,G1451))</f>
        <v/>
      </c>
    </row>
    <row r="1453">
      <c r="A1453" s="20">
        <f>IF(A1452="","",IF(A1452+1&gt;Ввод!$B$4,"",A1452+1))</f>
        <v/>
      </c>
      <c r="B1453">
        <f>IF(A1453="","",IFERROR(INDEX(Ввод!$B$12:$B$71,MATCH(A1453,Ввод!$D$12:$D$71,1)),""))</f>
        <v/>
      </c>
      <c r="C1453">
        <f>IF(A1453="","",DATE(YEAR(A1453),12,31)-DATE(YEAR(A1453),1,1)+1)</f>
        <v/>
      </c>
      <c r="D1453">
        <f>IF(A1453="","",SUMIFS(Акты!$D$5:$D$16,Акты!$E$5:$E$16,"&lt;="&amp;A1453)-SUMIFS(Оплаты!$B$6:$B$505,Оплаты!$A$6:$A$505,"&lt;"&amp;A1453,Оплаты!$D$6:$D$505,"&lt;&gt;"))</f>
        <v/>
      </c>
      <c r="E1453">
        <f>IF(A1453="","",IF(SUMPRODUCT((Ввод!$F$12:$F$31&lt;&gt;"")*(Ввод!$F$12:$F$31&lt;=A1453)*(Ввод!$G$12:$G$31&gt;=A1453))&gt;0,1,0))</f>
        <v/>
      </c>
      <c r="G1453">
        <f>IF(A1453="","",IF(OR(B1453&lt;&gt;B1452,C1453&lt;&gt;C1452,E1453&lt;&gt;E1452),G1452+1,G1452))</f>
        <v/>
      </c>
    </row>
    <row r="1454">
      <c r="A1454" s="20">
        <f>IF(A1453="","",IF(A1453+1&gt;Ввод!$B$4,"",A1453+1))</f>
        <v/>
      </c>
      <c r="B1454">
        <f>IF(A1454="","",IFERROR(INDEX(Ввод!$B$12:$B$71,MATCH(A1454,Ввод!$D$12:$D$71,1)),""))</f>
        <v/>
      </c>
      <c r="C1454">
        <f>IF(A1454="","",DATE(YEAR(A1454),12,31)-DATE(YEAR(A1454),1,1)+1)</f>
        <v/>
      </c>
      <c r="D1454">
        <f>IF(A1454="","",SUMIFS(Акты!$D$5:$D$16,Акты!$E$5:$E$16,"&lt;="&amp;A1454)-SUMIFS(Оплаты!$B$6:$B$505,Оплаты!$A$6:$A$505,"&lt;"&amp;A1454,Оплаты!$D$6:$D$505,"&lt;&gt;"))</f>
        <v/>
      </c>
      <c r="E1454">
        <f>IF(A1454="","",IF(SUMPRODUCT((Ввод!$F$12:$F$31&lt;&gt;"")*(Ввод!$F$12:$F$31&lt;=A1454)*(Ввод!$G$12:$G$31&gt;=A1454))&gt;0,1,0))</f>
        <v/>
      </c>
      <c r="G1454">
        <f>IF(A1454="","",IF(OR(B1454&lt;&gt;B1453,C1454&lt;&gt;C1453,E1454&lt;&gt;E1453),G1453+1,G1453))</f>
        <v/>
      </c>
    </row>
    <row r="1455">
      <c r="A1455" s="20">
        <f>IF(A1454="","",IF(A1454+1&gt;Ввод!$B$4,"",A1454+1))</f>
        <v/>
      </c>
      <c r="B1455">
        <f>IF(A1455="","",IFERROR(INDEX(Ввод!$B$12:$B$71,MATCH(A1455,Ввод!$D$12:$D$71,1)),""))</f>
        <v/>
      </c>
      <c r="C1455">
        <f>IF(A1455="","",DATE(YEAR(A1455),12,31)-DATE(YEAR(A1455),1,1)+1)</f>
        <v/>
      </c>
      <c r="D1455">
        <f>IF(A1455="","",SUMIFS(Акты!$D$5:$D$16,Акты!$E$5:$E$16,"&lt;="&amp;A1455)-SUMIFS(Оплаты!$B$6:$B$505,Оплаты!$A$6:$A$505,"&lt;"&amp;A1455,Оплаты!$D$6:$D$505,"&lt;&gt;"))</f>
        <v/>
      </c>
      <c r="E1455">
        <f>IF(A1455="","",IF(SUMPRODUCT((Ввод!$F$12:$F$31&lt;&gt;"")*(Ввод!$F$12:$F$31&lt;=A1455)*(Ввод!$G$12:$G$31&gt;=A1455))&gt;0,1,0))</f>
        <v/>
      </c>
      <c r="G1455">
        <f>IF(A1455="","",IF(OR(B1455&lt;&gt;B1454,C1455&lt;&gt;C1454,E1455&lt;&gt;E1454),G1454+1,G1454))</f>
        <v/>
      </c>
    </row>
    <row r="1456">
      <c r="A1456" s="20">
        <f>IF(A1455="","",IF(A1455+1&gt;Ввод!$B$4,"",A1455+1))</f>
        <v/>
      </c>
      <c r="B1456">
        <f>IF(A1456="","",IFERROR(INDEX(Ввод!$B$12:$B$71,MATCH(A1456,Ввод!$D$12:$D$71,1)),""))</f>
        <v/>
      </c>
      <c r="C1456">
        <f>IF(A1456="","",DATE(YEAR(A1456),12,31)-DATE(YEAR(A1456),1,1)+1)</f>
        <v/>
      </c>
      <c r="D1456">
        <f>IF(A1456="","",SUMIFS(Акты!$D$5:$D$16,Акты!$E$5:$E$16,"&lt;="&amp;A1456)-SUMIFS(Оплаты!$B$6:$B$505,Оплаты!$A$6:$A$505,"&lt;"&amp;A1456,Оплаты!$D$6:$D$505,"&lt;&gt;"))</f>
        <v/>
      </c>
      <c r="E1456">
        <f>IF(A1456="","",IF(SUMPRODUCT((Ввод!$F$12:$F$31&lt;&gt;"")*(Ввод!$F$12:$F$31&lt;=A1456)*(Ввод!$G$12:$G$31&gt;=A1456))&gt;0,1,0))</f>
        <v/>
      </c>
      <c r="G1456">
        <f>IF(A1456="","",IF(OR(B1456&lt;&gt;B1455,C1456&lt;&gt;C1455,E1456&lt;&gt;E1455),G1455+1,G1455))</f>
        <v/>
      </c>
    </row>
    <row r="1457">
      <c r="A1457" s="20">
        <f>IF(A1456="","",IF(A1456+1&gt;Ввод!$B$4,"",A1456+1))</f>
        <v/>
      </c>
      <c r="B1457">
        <f>IF(A1457="","",IFERROR(INDEX(Ввод!$B$12:$B$71,MATCH(A1457,Ввод!$D$12:$D$71,1)),""))</f>
        <v/>
      </c>
      <c r="C1457">
        <f>IF(A1457="","",DATE(YEAR(A1457),12,31)-DATE(YEAR(A1457),1,1)+1)</f>
        <v/>
      </c>
      <c r="D1457">
        <f>IF(A1457="","",SUMIFS(Акты!$D$5:$D$16,Акты!$E$5:$E$16,"&lt;="&amp;A1457)-SUMIFS(Оплаты!$B$6:$B$505,Оплаты!$A$6:$A$505,"&lt;"&amp;A1457,Оплаты!$D$6:$D$505,"&lt;&gt;"))</f>
        <v/>
      </c>
      <c r="E1457">
        <f>IF(A1457="","",IF(SUMPRODUCT((Ввод!$F$12:$F$31&lt;&gt;"")*(Ввод!$F$12:$F$31&lt;=A1457)*(Ввод!$G$12:$G$31&gt;=A1457))&gt;0,1,0))</f>
        <v/>
      </c>
      <c r="G1457">
        <f>IF(A1457="","",IF(OR(B1457&lt;&gt;B1456,C1457&lt;&gt;C1456,E1457&lt;&gt;E1456),G1456+1,G1456))</f>
        <v/>
      </c>
    </row>
    <row r="1458">
      <c r="A1458" s="20">
        <f>IF(A1457="","",IF(A1457+1&gt;Ввод!$B$4,"",A1457+1))</f>
        <v/>
      </c>
      <c r="B1458">
        <f>IF(A1458="","",IFERROR(INDEX(Ввод!$B$12:$B$71,MATCH(A1458,Ввод!$D$12:$D$71,1)),""))</f>
        <v/>
      </c>
      <c r="C1458">
        <f>IF(A1458="","",DATE(YEAR(A1458),12,31)-DATE(YEAR(A1458),1,1)+1)</f>
        <v/>
      </c>
      <c r="D1458">
        <f>IF(A1458="","",SUMIFS(Акты!$D$5:$D$16,Акты!$E$5:$E$16,"&lt;="&amp;A1458)-SUMIFS(Оплаты!$B$6:$B$505,Оплаты!$A$6:$A$505,"&lt;"&amp;A1458,Оплаты!$D$6:$D$505,"&lt;&gt;"))</f>
        <v/>
      </c>
      <c r="E1458">
        <f>IF(A1458="","",IF(SUMPRODUCT((Ввод!$F$12:$F$31&lt;&gt;"")*(Ввод!$F$12:$F$31&lt;=A1458)*(Ввод!$G$12:$G$31&gt;=A1458))&gt;0,1,0))</f>
        <v/>
      </c>
      <c r="G1458">
        <f>IF(A1458="","",IF(OR(B1458&lt;&gt;B1457,C1458&lt;&gt;C1457,E1458&lt;&gt;E1457),G1457+1,G1457))</f>
        <v/>
      </c>
    </row>
    <row r="1459">
      <c r="A1459" s="20">
        <f>IF(A1458="","",IF(A1458+1&gt;Ввод!$B$4,"",A1458+1))</f>
        <v/>
      </c>
      <c r="B1459">
        <f>IF(A1459="","",IFERROR(INDEX(Ввод!$B$12:$B$71,MATCH(A1459,Ввод!$D$12:$D$71,1)),""))</f>
        <v/>
      </c>
      <c r="C1459">
        <f>IF(A1459="","",DATE(YEAR(A1459),12,31)-DATE(YEAR(A1459),1,1)+1)</f>
        <v/>
      </c>
      <c r="D1459">
        <f>IF(A1459="","",SUMIFS(Акты!$D$5:$D$16,Акты!$E$5:$E$16,"&lt;="&amp;A1459)-SUMIFS(Оплаты!$B$6:$B$505,Оплаты!$A$6:$A$505,"&lt;"&amp;A1459,Оплаты!$D$6:$D$505,"&lt;&gt;"))</f>
        <v/>
      </c>
      <c r="E1459">
        <f>IF(A1459="","",IF(SUMPRODUCT((Ввод!$F$12:$F$31&lt;&gt;"")*(Ввод!$F$12:$F$31&lt;=A1459)*(Ввод!$G$12:$G$31&gt;=A1459))&gt;0,1,0))</f>
        <v/>
      </c>
      <c r="G1459">
        <f>IF(A1459="","",IF(OR(B1459&lt;&gt;B1458,C1459&lt;&gt;C1458,E1459&lt;&gt;E1458),G1458+1,G1458))</f>
        <v/>
      </c>
    </row>
    <row r="1460">
      <c r="A1460" s="20">
        <f>IF(A1459="","",IF(A1459+1&gt;Ввод!$B$4,"",A1459+1))</f>
        <v/>
      </c>
      <c r="B1460">
        <f>IF(A1460="","",IFERROR(INDEX(Ввод!$B$12:$B$71,MATCH(A1460,Ввод!$D$12:$D$71,1)),""))</f>
        <v/>
      </c>
      <c r="C1460">
        <f>IF(A1460="","",DATE(YEAR(A1460),12,31)-DATE(YEAR(A1460),1,1)+1)</f>
        <v/>
      </c>
      <c r="D1460">
        <f>IF(A1460="","",SUMIFS(Акты!$D$5:$D$16,Акты!$E$5:$E$16,"&lt;="&amp;A1460)-SUMIFS(Оплаты!$B$6:$B$505,Оплаты!$A$6:$A$505,"&lt;"&amp;A1460,Оплаты!$D$6:$D$505,"&lt;&gt;"))</f>
        <v/>
      </c>
      <c r="E1460">
        <f>IF(A1460="","",IF(SUMPRODUCT((Ввод!$F$12:$F$31&lt;&gt;"")*(Ввод!$F$12:$F$31&lt;=A1460)*(Ввод!$G$12:$G$31&gt;=A1460))&gt;0,1,0))</f>
        <v/>
      </c>
      <c r="G1460">
        <f>IF(A1460="","",IF(OR(B1460&lt;&gt;B1459,C1460&lt;&gt;C1459,E1460&lt;&gt;E1459),G1459+1,G1459))</f>
        <v/>
      </c>
    </row>
    <row r="1461">
      <c r="A1461" s="20">
        <f>IF(A1460="","",IF(A1460+1&gt;Ввод!$B$4,"",A1460+1))</f>
        <v/>
      </c>
      <c r="B1461">
        <f>IF(A1461="","",IFERROR(INDEX(Ввод!$B$12:$B$71,MATCH(A1461,Ввод!$D$12:$D$71,1)),""))</f>
        <v/>
      </c>
      <c r="C1461">
        <f>IF(A1461="","",DATE(YEAR(A1461),12,31)-DATE(YEAR(A1461),1,1)+1)</f>
        <v/>
      </c>
      <c r="D1461">
        <f>IF(A1461="","",SUMIFS(Акты!$D$5:$D$16,Акты!$E$5:$E$16,"&lt;="&amp;A1461)-SUMIFS(Оплаты!$B$6:$B$505,Оплаты!$A$6:$A$505,"&lt;"&amp;A1461,Оплаты!$D$6:$D$505,"&lt;&gt;"))</f>
        <v/>
      </c>
      <c r="E1461">
        <f>IF(A1461="","",IF(SUMPRODUCT((Ввод!$F$12:$F$31&lt;&gt;"")*(Ввод!$F$12:$F$31&lt;=A1461)*(Ввод!$G$12:$G$31&gt;=A1461))&gt;0,1,0))</f>
        <v/>
      </c>
      <c r="G1461">
        <f>IF(A1461="","",IF(OR(B1461&lt;&gt;B1460,C1461&lt;&gt;C1460,E1461&lt;&gt;E1460),G1460+1,G1460))</f>
        <v/>
      </c>
    </row>
    <row r="1462">
      <c r="A1462" s="20">
        <f>IF(A1461="","",IF(A1461+1&gt;Ввод!$B$4,"",A1461+1))</f>
        <v/>
      </c>
      <c r="B1462">
        <f>IF(A1462="","",IFERROR(INDEX(Ввод!$B$12:$B$71,MATCH(A1462,Ввод!$D$12:$D$71,1)),""))</f>
        <v/>
      </c>
      <c r="C1462">
        <f>IF(A1462="","",DATE(YEAR(A1462),12,31)-DATE(YEAR(A1462),1,1)+1)</f>
        <v/>
      </c>
      <c r="D1462">
        <f>IF(A1462="","",SUMIFS(Акты!$D$5:$D$16,Акты!$E$5:$E$16,"&lt;="&amp;A1462)-SUMIFS(Оплаты!$B$6:$B$505,Оплаты!$A$6:$A$505,"&lt;"&amp;A1462,Оплаты!$D$6:$D$505,"&lt;&gt;"))</f>
        <v/>
      </c>
      <c r="E1462">
        <f>IF(A1462="","",IF(SUMPRODUCT((Ввод!$F$12:$F$31&lt;&gt;"")*(Ввод!$F$12:$F$31&lt;=A1462)*(Ввод!$G$12:$G$31&gt;=A1462))&gt;0,1,0))</f>
        <v/>
      </c>
      <c r="G1462">
        <f>IF(A1462="","",IF(OR(B1462&lt;&gt;B1461,C1462&lt;&gt;C1461,E1462&lt;&gt;E1461),G1461+1,G1461))</f>
        <v/>
      </c>
    </row>
    <row r="1463">
      <c r="A1463" s="20">
        <f>IF(A1462="","",IF(A1462+1&gt;Ввод!$B$4,"",A1462+1))</f>
        <v/>
      </c>
      <c r="B1463">
        <f>IF(A1463="","",IFERROR(INDEX(Ввод!$B$12:$B$71,MATCH(A1463,Ввод!$D$12:$D$71,1)),""))</f>
        <v/>
      </c>
      <c r="C1463">
        <f>IF(A1463="","",DATE(YEAR(A1463),12,31)-DATE(YEAR(A1463),1,1)+1)</f>
        <v/>
      </c>
      <c r="D1463">
        <f>IF(A1463="","",SUMIFS(Акты!$D$5:$D$16,Акты!$E$5:$E$16,"&lt;="&amp;A1463)-SUMIFS(Оплаты!$B$6:$B$505,Оплаты!$A$6:$A$505,"&lt;"&amp;A1463,Оплаты!$D$6:$D$505,"&lt;&gt;"))</f>
        <v/>
      </c>
      <c r="E1463">
        <f>IF(A1463="","",IF(SUMPRODUCT((Ввод!$F$12:$F$31&lt;&gt;"")*(Ввод!$F$12:$F$31&lt;=A1463)*(Ввод!$G$12:$G$31&gt;=A1463))&gt;0,1,0))</f>
        <v/>
      </c>
      <c r="G1463">
        <f>IF(A1463="","",IF(OR(B1463&lt;&gt;B1462,C1463&lt;&gt;C1462,E1463&lt;&gt;E1462),G1462+1,G1462))</f>
        <v/>
      </c>
    </row>
    <row r="1464">
      <c r="A1464" s="20">
        <f>IF(A1463="","",IF(A1463+1&gt;Ввод!$B$4,"",A1463+1))</f>
        <v/>
      </c>
      <c r="B1464">
        <f>IF(A1464="","",IFERROR(INDEX(Ввод!$B$12:$B$71,MATCH(A1464,Ввод!$D$12:$D$71,1)),""))</f>
        <v/>
      </c>
      <c r="C1464">
        <f>IF(A1464="","",DATE(YEAR(A1464),12,31)-DATE(YEAR(A1464),1,1)+1)</f>
        <v/>
      </c>
      <c r="D1464">
        <f>IF(A1464="","",SUMIFS(Акты!$D$5:$D$16,Акты!$E$5:$E$16,"&lt;="&amp;A1464)-SUMIFS(Оплаты!$B$6:$B$505,Оплаты!$A$6:$A$505,"&lt;"&amp;A1464,Оплаты!$D$6:$D$505,"&lt;&gt;"))</f>
        <v/>
      </c>
      <c r="E1464">
        <f>IF(A1464="","",IF(SUMPRODUCT((Ввод!$F$12:$F$31&lt;&gt;"")*(Ввод!$F$12:$F$31&lt;=A1464)*(Ввод!$G$12:$G$31&gt;=A1464))&gt;0,1,0))</f>
        <v/>
      </c>
      <c r="G1464">
        <f>IF(A1464="","",IF(OR(B1464&lt;&gt;B1463,C1464&lt;&gt;C1463,E1464&lt;&gt;E1463),G1463+1,G1463))</f>
        <v/>
      </c>
    </row>
    <row r="1465">
      <c r="A1465" s="20">
        <f>IF(A1464="","",IF(A1464+1&gt;Ввод!$B$4,"",A1464+1))</f>
        <v/>
      </c>
      <c r="B1465">
        <f>IF(A1465="","",IFERROR(INDEX(Ввод!$B$12:$B$71,MATCH(A1465,Ввод!$D$12:$D$71,1)),""))</f>
        <v/>
      </c>
      <c r="C1465">
        <f>IF(A1465="","",DATE(YEAR(A1465),12,31)-DATE(YEAR(A1465),1,1)+1)</f>
        <v/>
      </c>
      <c r="D1465">
        <f>IF(A1465="","",SUMIFS(Акты!$D$5:$D$16,Акты!$E$5:$E$16,"&lt;="&amp;A1465)-SUMIFS(Оплаты!$B$6:$B$505,Оплаты!$A$6:$A$505,"&lt;"&amp;A1465,Оплаты!$D$6:$D$505,"&lt;&gt;"))</f>
        <v/>
      </c>
      <c r="E1465">
        <f>IF(A1465="","",IF(SUMPRODUCT((Ввод!$F$12:$F$31&lt;&gt;"")*(Ввод!$F$12:$F$31&lt;=A1465)*(Ввод!$G$12:$G$31&gt;=A1465))&gt;0,1,0))</f>
        <v/>
      </c>
      <c r="G1465">
        <f>IF(A1465="","",IF(OR(B1465&lt;&gt;B1464,C1465&lt;&gt;C1464,E1465&lt;&gt;E1464),G1464+1,G1464))</f>
        <v/>
      </c>
    </row>
    <row r="1466">
      <c r="A1466" s="20">
        <f>IF(A1465="","",IF(A1465+1&gt;Ввод!$B$4,"",A1465+1))</f>
        <v/>
      </c>
      <c r="B1466">
        <f>IF(A1466="","",IFERROR(INDEX(Ввод!$B$12:$B$71,MATCH(A1466,Ввод!$D$12:$D$71,1)),""))</f>
        <v/>
      </c>
      <c r="C1466">
        <f>IF(A1466="","",DATE(YEAR(A1466),12,31)-DATE(YEAR(A1466),1,1)+1)</f>
        <v/>
      </c>
      <c r="D1466">
        <f>IF(A1466="","",SUMIFS(Акты!$D$5:$D$16,Акты!$E$5:$E$16,"&lt;="&amp;A1466)-SUMIFS(Оплаты!$B$6:$B$505,Оплаты!$A$6:$A$505,"&lt;"&amp;A1466,Оплаты!$D$6:$D$505,"&lt;&gt;"))</f>
        <v/>
      </c>
      <c r="E1466">
        <f>IF(A1466="","",IF(SUMPRODUCT((Ввод!$F$12:$F$31&lt;&gt;"")*(Ввод!$F$12:$F$31&lt;=A1466)*(Ввод!$G$12:$G$31&gt;=A1466))&gt;0,1,0))</f>
        <v/>
      </c>
      <c r="G1466">
        <f>IF(A1466="","",IF(OR(B1466&lt;&gt;B1465,C1466&lt;&gt;C1465,E1466&lt;&gt;E1465),G1465+1,G1465))</f>
        <v/>
      </c>
    </row>
    <row r="1467">
      <c r="A1467" s="20">
        <f>IF(A1466="","",IF(A1466+1&gt;Ввод!$B$4,"",A1466+1))</f>
        <v/>
      </c>
      <c r="B1467">
        <f>IF(A1467="","",IFERROR(INDEX(Ввод!$B$12:$B$71,MATCH(A1467,Ввод!$D$12:$D$71,1)),""))</f>
        <v/>
      </c>
      <c r="C1467">
        <f>IF(A1467="","",DATE(YEAR(A1467),12,31)-DATE(YEAR(A1467),1,1)+1)</f>
        <v/>
      </c>
      <c r="D1467">
        <f>IF(A1467="","",SUMIFS(Акты!$D$5:$D$16,Акты!$E$5:$E$16,"&lt;="&amp;A1467)-SUMIFS(Оплаты!$B$6:$B$505,Оплаты!$A$6:$A$505,"&lt;"&amp;A1467,Оплаты!$D$6:$D$505,"&lt;&gt;"))</f>
        <v/>
      </c>
      <c r="E1467">
        <f>IF(A1467="","",IF(SUMPRODUCT((Ввод!$F$12:$F$31&lt;&gt;"")*(Ввод!$F$12:$F$31&lt;=A1467)*(Ввод!$G$12:$G$31&gt;=A1467))&gt;0,1,0))</f>
        <v/>
      </c>
      <c r="G1467">
        <f>IF(A1467="","",IF(OR(B1467&lt;&gt;B1466,C1467&lt;&gt;C1466,E1467&lt;&gt;E1466),G1466+1,G1466))</f>
        <v/>
      </c>
    </row>
    <row r="1468">
      <c r="A1468" s="20">
        <f>IF(A1467="","",IF(A1467+1&gt;Ввод!$B$4,"",A1467+1))</f>
        <v/>
      </c>
      <c r="B1468">
        <f>IF(A1468="","",IFERROR(INDEX(Ввод!$B$12:$B$71,MATCH(A1468,Ввод!$D$12:$D$71,1)),""))</f>
        <v/>
      </c>
      <c r="C1468">
        <f>IF(A1468="","",DATE(YEAR(A1468),12,31)-DATE(YEAR(A1468),1,1)+1)</f>
        <v/>
      </c>
      <c r="D1468">
        <f>IF(A1468="","",SUMIFS(Акты!$D$5:$D$16,Акты!$E$5:$E$16,"&lt;="&amp;A1468)-SUMIFS(Оплаты!$B$6:$B$505,Оплаты!$A$6:$A$505,"&lt;"&amp;A1468,Оплаты!$D$6:$D$505,"&lt;&gt;"))</f>
        <v/>
      </c>
      <c r="E1468">
        <f>IF(A1468="","",IF(SUMPRODUCT((Ввод!$F$12:$F$31&lt;&gt;"")*(Ввод!$F$12:$F$31&lt;=A1468)*(Ввод!$G$12:$G$31&gt;=A1468))&gt;0,1,0))</f>
        <v/>
      </c>
      <c r="G1468">
        <f>IF(A1468="","",IF(OR(B1468&lt;&gt;B1467,C1468&lt;&gt;C1467,E1468&lt;&gt;E1467),G1467+1,G1467))</f>
        <v/>
      </c>
    </row>
    <row r="1469">
      <c r="A1469" s="20">
        <f>IF(A1468="","",IF(A1468+1&gt;Ввод!$B$4,"",A1468+1))</f>
        <v/>
      </c>
      <c r="B1469">
        <f>IF(A1469="","",IFERROR(INDEX(Ввод!$B$12:$B$71,MATCH(A1469,Ввод!$D$12:$D$71,1)),""))</f>
        <v/>
      </c>
      <c r="C1469">
        <f>IF(A1469="","",DATE(YEAR(A1469),12,31)-DATE(YEAR(A1469),1,1)+1)</f>
        <v/>
      </c>
      <c r="D1469">
        <f>IF(A1469="","",SUMIFS(Акты!$D$5:$D$16,Акты!$E$5:$E$16,"&lt;="&amp;A1469)-SUMIFS(Оплаты!$B$6:$B$505,Оплаты!$A$6:$A$505,"&lt;"&amp;A1469,Оплаты!$D$6:$D$505,"&lt;&gt;"))</f>
        <v/>
      </c>
      <c r="E1469">
        <f>IF(A1469="","",IF(SUMPRODUCT((Ввод!$F$12:$F$31&lt;&gt;"")*(Ввод!$F$12:$F$31&lt;=A1469)*(Ввод!$G$12:$G$31&gt;=A1469))&gt;0,1,0))</f>
        <v/>
      </c>
      <c r="G1469">
        <f>IF(A1469="","",IF(OR(B1469&lt;&gt;B1468,C1469&lt;&gt;C1468,E1469&lt;&gt;E1468),G1468+1,G1468))</f>
        <v/>
      </c>
    </row>
    <row r="1470">
      <c r="A1470" s="20">
        <f>IF(A1469="","",IF(A1469+1&gt;Ввод!$B$4,"",A1469+1))</f>
        <v/>
      </c>
      <c r="B1470">
        <f>IF(A1470="","",IFERROR(INDEX(Ввод!$B$12:$B$71,MATCH(A1470,Ввод!$D$12:$D$71,1)),""))</f>
        <v/>
      </c>
      <c r="C1470">
        <f>IF(A1470="","",DATE(YEAR(A1470),12,31)-DATE(YEAR(A1470),1,1)+1)</f>
        <v/>
      </c>
      <c r="D1470">
        <f>IF(A1470="","",SUMIFS(Акты!$D$5:$D$16,Акты!$E$5:$E$16,"&lt;="&amp;A1470)-SUMIFS(Оплаты!$B$6:$B$505,Оплаты!$A$6:$A$505,"&lt;"&amp;A1470,Оплаты!$D$6:$D$505,"&lt;&gt;"))</f>
        <v/>
      </c>
      <c r="E1470">
        <f>IF(A1470="","",IF(SUMPRODUCT((Ввод!$F$12:$F$31&lt;&gt;"")*(Ввод!$F$12:$F$31&lt;=A1470)*(Ввод!$G$12:$G$31&gt;=A1470))&gt;0,1,0))</f>
        <v/>
      </c>
      <c r="G1470">
        <f>IF(A1470="","",IF(OR(B1470&lt;&gt;B1469,C1470&lt;&gt;C1469,E1470&lt;&gt;E1469),G1469+1,G1469))</f>
        <v/>
      </c>
    </row>
    <row r="1471">
      <c r="A1471" s="20">
        <f>IF(A1470="","",IF(A1470+1&gt;Ввод!$B$4,"",A1470+1))</f>
        <v/>
      </c>
      <c r="B1471">
        <f>IF(A1471="","",IFERROR(INDEX(Ввод!$B$12:$B$71,MATCH(A1471,Ввод!$D$12:$D$71,1)),""))</f>
        <v/>
      </c>
      <c r="C1471">
        <f>IF(A1471="","",DATE(YEAR(A1471),12,31)-DATE(YEAR(A1471),1,1)+1)</f>
        <v/>
      </c>
      <c r="D1471">
        <f>IF(A1471="","",SUMIFS(Акты!$D$5:$D$16,Акты!$E$5:$E$16,"&lt;="&amp;A1471)-SUMIFS(Оплаты!$B$6:$B$505,Оплаты!$A$6:$A$505,"&lt;"&amp;A1471,Оплаты!$D$6:$D$505,"&lt;&gt;"))</f>
        <v/>
      </c>
      <c r="E1471">
        <f>IF(A1471="","",IF(SUMPRODUCT((Ввод!$F$12:$F$31&lt;&gt;"")*(Ввод!$F$12:$F$31&lt;=A1471)*(Ввод!$G$12:$G$31&gt;=A1471))&gt;0,1,0))</f>
        <v/>
      </c>
      <c r="G1471">
        <f>IF(A1471="","",IF(OR(B1471&lt;&gt;B1470,C1471&lt;&gt;C1470,E1471&lt;&gt;E1470),G1470+1,G1470))</f>
        <v/>
      </c>
    </row>
    <row r="1472">
      <c r="A1472" s="20">
        <f>IF(A1471="","",IF(A1471+1&gt;Ввод!$B$4,"",A1471+1))</f>
        <v/>
      </c>
      <c r="B1472">
        <f>IF(A1472="","",IFERROR(INDEX(Ввод!$B$12:$B$71,MATCH(A1472,Ввод!$D$12:$D$71,1)),""))</f>
        <v/>
      </c>
      <c r="C1472">
        <f>IF(A1472="","",DATE(YEAR(A1472),12,31)-DATE(YEAR(A1472),1,1)+1)</f>
        <v/>
      </c>
      <c r="D1472">
        <f>IF(A1472="","",SUMIFS(Акты!$D$5:$D$16,Акты!$E$5:$E$16,"&lt;="&amp;A1472)-SUMIFS(Оплаты!$B$6:$B$505,Оплаты!$A$6:$A$505,"&lt;"&amp;A1472,Оплаты!$D$6:$D$505,"&lt;&gt;"))</f>
        <v/>
      </c>
      <c r="E1472">
        <f>IF(A1472="","",IF(SUMPRODUCT((Ввод!$F$12:$F$31&lt;&gt;"")*(Ввод!$F$12:$F$31&lt;=A1472)*(Ввод!$G$12:$G$31&gt;=A1472))&gt;0,1,0))</f>
        <v/>
      </c>
      <c r="G1472">
        <f>IF(A1472="","",IF(OR(B1472&lt;&gt;B1471,C1472&lt;&gt;C1471,E1472&lt;&gt;E1471),G1471+1,G1471))</f>
        <v/>
      </c>
    </row>
    <row r="1473">
      <c r="A1473" s="20">
        <f>IF(A1472="","",IF(A1472+1&gt;Ввод!$B$4,"",A1472+1))</f>
        <v/>
      </c>
      <c r="B1473">
        <f>IF(A1473="","",IFERROR(INDEX(Ввод!$B$12:$B$71,MATCH(A1473,Ввод!$D$12:$D$71,1)),""))</f>
        <v/>
      </c>
      <c r="C1473">
        <f>IF(A1473="","",DATE(YEAR(A1473),12,31)-DATE(YEAR(A1473),1,1)+1)</f>
        <v/>
      </c>
      <c r="D1473">
        <f>IF(A1473="","",SUMIFS(Акты!$D$5:$D$16,Акты!$E$5:$E$16,"&lt;="&amp;A1473)-SUMIFS(Оплаты!$B$6:$B$505,Оплаты!$A$6:$A$505,"&lt;"&amp;A1473,Оплаты!$D$6:$D$505,"&lt;&gt;"))</f>
        <v/>
      </c>
      <c r="E1473">
        <f>IF(A1473="","",IF(SUMPRODUCT((Ввод!$F$12:$F$31&lt;&gt;"")*(Ввод!$F$12:$F$31&lt;=A1473)*(Ввод!$G$12:$G$31&gt;=A1473))&gt;0,1,0))</f>
        <v/>
      </c>
      <c r="G1473">
        <f>IF(A1473="","",IF(OR(B1473&lt;&gt;B1472,C1473&lt;&gt;C1472,E1473&lt;&gt;E1472),G1472+1,G1472))</f>
        <v/>
      </c>
    </row>
    <row r="1474">
      <c r="A1474" s="20">
        <f>IF(A1473="","",IF(A1473+1&gt;Ввод!$B$4,"",A1473+1))</f>
        <v/>
      </c>
      <c r="B1474">
        <f>IF(A1474="","",IFERROR(INDEX(Ввод!$B$12:$B$71,MATCH(A1474,Ввод!$D$12:$D$71,1)),""))</f>
        <v/>
      </c>
      <c r="C1474">
        <f>IF(A1474="","",DATE(YEAR(A1474),12,31)-DATE(YEAR(A1474),1,1)+1)</f>
        <v/>
      </c>
      <c r="D1474">
        <f>IF(A1474="","",SUMIFS(Акты!$D$5:$D$16,Акты!$E$5:$E$16,"&lt;="&amp;A1474)-SUMIFS(Оплаты!$B$6:$B$505,Оплаты!$A$6:$A$505,"&lt;"&amp;A1474,Оплаты!$D$6:$D$505,"&lt;&gt;"))</f>
        <v/>
      </c>
      <c r="E1474">
        <f>IF(A1474="","",IF(SUMPRODUCT((Ввод!$F$12:$F$31&lt;&gt;"")*(Ввод!$F$12:$F$31&lt;=A1474)*(Ввод!$G$12:$G$31&gt;=A1474))&gt;0,1,0))</f>
        <v/>
      </c>
      <c r="G1474">
        <f>IF(A1474="","",IF(OR(B1474&lt;&gt;B1473,C1474&lt;&gt;C1473,E1474&lt;&gt;E1473),G1473+1,G1473))</f>
        <v/>
      </c>
    </row>
    <row r="1475">
      <c r="A1475" s="20">
        <f>IF(A1474="","",IF(A1474+1&gt;Ввод!$B$4,"",A1474+1))</f>
        <v/>
      </c>
      <c r="B1475">
        <f>IF(A1475="","",IFERROR(INDEX(Ввод!$B$12:$B$71,MATCH(A1475,Ввод!$D$12:$D$71,1)),""))</f>
        <v/>
      </c>
      <c r="C1475">
        <f>IF(A1475="","",DATE(YEAR(A1475),12,31)-DATE(YEAR(A1475),1,1)+1)</f>
        <v/>
      </c>
      <c r="D1475">
        <f>IF(A1475="","",SUMIFS(Акты!$D$5:$D$16,Акты!$E$5:$E$16,"&lt;="&amp;A1475)-SUMIFS(Оплаты!$B$6:$B$505,Оплаты!$A$6:$A$505,"&lt;"&amp;A1475,Оплаты!$D$6:$D$505,"&lt;&gt;"))</f>
        <v/>
      </c>
      <c r="E1475">
        <f>IF(A1475="","",IF(SUMPRODUCT((Ввод!$F$12:$F$31&lt;&gt;"")*(Ввод!$F$12:$F$31&lt;=A1475)*(Ввод!$G$12:$G$31&gt;=A1475))&gt;0,1,0))</f>
        <v/>
      </c>
      <c r="G1475">
        <f>IF(A1475="","",IF(OR(B1475&lt;&gt;B1474,C1475&lt;&gt;C1474,E1475&lt;&gt;E1474),G1474+1,G1474))</f>
        <v/>
      </c>
    </row>
    <row r="1476">
      <c r="A1476" s="20">
        <f>IF(A1475="","",IF(A1475+1&gt;Ввод!$B$4,"",A1475+1))</f>
        <v/>
      </c>
      <c r="B1476">
        <f>IF(A1476="","",IFERROR(INDEX(Ввод!$B$12:$B$71,MATCH(A1476,Ввод!$D$12:$D$71,1)),""))</f>
        <v/>
      </c>
      <c r="C1476">
        <f>IF(A1476="","",DATE(YEAR(A1476),12,31)-DATE(YEAR(A1476),1,1)+1)</f>
        <v/>
      </c>
      <c r="D1476">
        <f>IF(A1476="","",SUMIFS(Акты!$D$5:$D$16,Акты!$E$5:$E$16,"&lt;="&amp;A1476)-SUMIFS(Оплаты!$B$6:$B$505,Оплаты!$A$6:$A$505,"&lt;"&amp;A1476,Оплаты!$D$6:$D$505,"&lt;&gt;"))</f>
        <v/>
      </c>
      <c r="E1476">
        <f>IF(A1476="","",IF(SUMPRODUCT((Ввод!$F$12:$F$31&lt;&gt;"")*(Ввод!$F$12:$F$31&lt;=A1476)*(Ввод!$G$12:$G$31&gt;=A1476))&gt;0,1,0))</f>
        <v/>
      </c>
      <c r="G1476">
        <f>IF(A1476="","",IF(OR(B1476&lt;&gt;B1475,C1476&lt;&gt;C1475,E1476&lt;&gt;E1475),G1475+1,G1475))</f>
        <v/>
      </c>
    </row>
    <row r="1477">
      <c r="A1477" s="20">
        <f>IF(A1476="","",IF(A1476+1&gt;Ввод!$B$4,"",A1476+1))</f>
        <v/>
      </c>
      <c r="B1477">
        <f>IF(A1477="","",IFERROR(INDEX(Ввод!$B$12:$B$71,MATCH(A1477,Ввод!$D$12:$D$71,1)),""))</f>
        <v/>
      </c>
      <c r="C1477">
        <f>IF(A1477="","",DATE(YEAR(A1477),12,31)-DATE(YEAR(A1477),1,1)+1)</f>
        <v/>
      </c>
      <c r="D1477">
        <f>IF(A1477="","",SUMIFS(Акты!$D$5:$D$16,Акты!$E$5:$E$16,"&lt;="&amp;A1477)-SUMIFS(Оплаты!$B$6:$B$505,Оплаты!$A$6:$A$505,"&lt;"&amp;A1477,Оплаты!$D$6:$D$505,"&lt;&gt;"))</f>
        <v/>
      </c>
      <c r="E1477">
        <f>IF(A1477="","",IF(SUMPRODUCT((Ввод!$F$12:$F$31&lt;&gt;"")*(Ввод!$F$12:$F$31&lt;=A1477)*(Ввод!$G$12:$G$31&gt;=A1477))&gt;0,1,0))</f>
        <v/>
      </c>
      <c r="G1477">
        <f>IF(A1477="","",IF(OR(B1477&lt;&gt;B1476,C1477&lt;&gt;C1476,E1477&lt;&gt;E1476),G1476+1,G1476))</f>
        <v/>
      </c>
    </row>
    <row r="1478">
      <c r="A1478" s="20">
        <f>IF(A1477="","",IF(A1477+1&gt;Ввод!$B$4,"",A1477+1))</f>
        <v/>
      </c>
      <c r="B1478">
        <f>IF(A1478="","",IFERROR(INDEX(Ввод!$B$12:$B$71,MATCH(A1478,Ввод!$D$12:$D$71,1)),""))</f>
        <v/>
      </c>
      <c r="C1478">
        <f>IF(A1478="","",DATE(YEAR(A1478),12,31)-DATE(YEAR(A1478),1,1)+1)</f>
        <v/>
      </c>
      <c r="D1478">
        <f>IF(A1478="","",SUMIFS(Акты!$D$5:$D$16,Акты!$E$5:$E$16,"&lt;="&amp;A1478)-SUMIFS(Оплаты!$B$6:$B$505,Оплаты!$A$6:$A$505,"&lt;"&amp;A1478,Оплаты!$D$6:$D$505,"&lt;&gt;"))</f>
        <v/>
      </c>
      <c r="E1478">
        <f>IF(A1478="","",IF(SUMPRODUCT((Ввод!$F$12:$F$31&lt;&gt;"")*(Ввод!$F$12:$F$31&lt;=A1478)*(Ввод!$G$12:$G$31&gt;=A1478))&gt;0,1,0))</f>
        <v/>
      </c>
      <c r="G1478">
        <f>IF(A1478="","",IF(OR(B1478&lt;&gt;B1477,C1478&lt;&gt;C1477,E1478&lt;&gt;E1477),G1477+1,G1477))</f>
        <v/>
      </c>
    </row>
    <row r="1479">
      <c r="A1479" s="20">
        <f>IF(A1478="","",IF(A1478+1&gt;Ввод!$B$4,"",A1478+1))</f>
        <v/>
      </c>
      <c r="B1479">
        <f>IF(A1479="","",IFERROR(INDEX(Ввод!$B$12:$B$71,MATCH(A1479,Ввод!$D$12:$D$71,1)),""))</f>
        <v/>
      </c>
      <c r="C1479">
        <f>IF(A1479="","",DATE(YEAR(A1479),12,31)-DATE(YEAR(A1479),1,1)+1)</f>
        <v/>
      </c>
      <c r="D1479">
        <f>IF(A1479="","",SUMIFS(Акты!$D$5:$D$16,Акты!$E$5:$E$16,"&lt;="&amp;A1479)-SUMIFS(Оплаты!$B$6:$B$505,Оплаты!$A$6:$A$505,"&lt;"&amp;A1479,Оплаты!$D$6:$D$505,"&lt;&gt;"))</f>
        <v/>
      </c>
      <c r="E1479">
        <f>IF(A1479="","",IF(SUMPRODUCT((Ввод!$F$12:$F$31&lt;&gt;"")*(Ввод!$F$12:$F$31&lt;=A1479)*(Ввод!$G$12:$G$31&gt;=A1479))&gt;0,1,0))</f>
        <v/>
      </c>
      <c r="G1479">
        <f>IF(A1479="","",IF(OR(B1479&lt;&gt;B1478,C1479&lt;&gt;C1478,E1479&lt;&gt;E1478),G1478+1,G1478))</f>
        <v/>
      </c>
    </row>
    <row r="1480">
      <c r="A1480" s="20">
        <f>IF(A1479="","",IF(A1479+1&gt;Ввод!$B$4,"",A1479+1))</f>
        <v/>
      </c>
      <c r="B1480">
        <f>IF(A1480="","",IFERROR(INDEX(Ввод!$B$12:$B$71,MATCH(A1480,Ввод!$D$12:$D$71,1)),""))</f>
        <v/>
      </c>
      <c r="C1480">
        <f>IF(A1480="","",DATE(YEAR(A1480),12,31)-DATE(YEAR(A1480),1,1)+1)</f>
        <v/>
      </c>
      <c r="D1480">
        <f>IF(A1480="","",SUMIFS(Акты!$D$5:$D$16,Акты!$E$5:$E$16,"&lt;="&amp;A1480)-SUMIFS(Оплаты!$B$6:$B$505,Оплаты!$A$6:$A$505,"&lt;"&amp;A1480,Оплаты!$D$6:$D$505,"&lt;&gt;"))</f>
        <v/>
      </c>
      <c r="E1480">
        <f>IF(A1480="","",IF(SUMPRODUCT((Ввод!$F$12:$F$31&lt;&gt;"")*(Ввод!$F$12:$F$31&lt;=A1480)*(Ввод!$G$12:$G$31&gt;=A1480))&gt;0,1,0))</f>
        <v/>
      </c>
      <c r="G1480">
        <f>IF(A1480="","",IF(OR(B1480&lt;&gt;B1479,C1480&lt;&gt;C1479,E1480&lt;&gt;E1479),G1479+1,G1479))</f>
        <v/>
      </c>
    </row>
    <row r="1481">
      <c r="A1481" s="20">
        <f>IF(A1480="","",IF(A1480+1&gt;Ввод!$B$4,"",A1480+1))</f>
        <v/>
      </c>
      <c r="B1481">
        <f>IF(A1481="","",IFERROR(INDEX(Ввод!$B$12:$B$71,MATCH(A1481,Ввод!$D$12:$D$71,1)),""))</f>
        <v/>
      </c>
      <c r="C1481">
        <f>IF(A1481="","",DATE(YEAR(A1481),12,31)-DATE(YEAR(A1481),1,1)+1)</f>
        <v/>
      </c>
      <c r="D1481">
        <f>IF(A1481="","",SUMIFS(Акты!$D$5:$D$16,Акты!$E$5:$E$16,"&lt;="&amp;A1481)-SUMIFS(Оплаты!$B$6:$B$505,Оплаты!$A$6:$A$505,"&lt;"&amp;A1481,Оплаты!$D$6:$D$505,"&lt;&gt;"))</f>
        <v/>
      </c>
      <c r="E1481">
        <f>IF(A1481="","",IF(SUMPRODUCT((Ввод!$F$12:$F$31&lt;&gt;"")*(Ввод!$F$12:$F$31&lt;=A1481)*(Ввод!$G$12:$G$31&gt;=A1481))&gt;0,1,0))</f>
        <v/>
      </c>
      <c r="G1481">
        <f>IF(A1481="","",IF(OR(B1481&lt;&gt;B1480,C1481&lt;&gt;C1480,E1481&lt;&gt;E1480),G1480+1,G1480))</f>
        <v/>
      </c>
    </row>
    <row r="1482">
      <c r="A1482" s="20">
        <f>IF(A1481="","",IF(A1481+1&gt;Ввод!$B$4,"",A1481+1))</f>
        <v/>
      </c>
      <c r="B1482">
        <f>IF(A1482="","",IFERROR(INDEX(Ввод!$B$12:$B$71,MATCH(A1482,Ввод!$D$12:$D$71,1)),""))</f>
        <v/>
      </c>
      <c r="C1482">
        <f>IF(A1482="","",DATE(YEAR(A1482),12,31)-DATE(YEAR(A1482),1,1)+1)</f>
        <v/>
      </c>
      <c r="D1482">
        <f>IF(A1482="","",SUMIFS(Акты!$D$5:$D$16,Акты!$E$5:$E$16,"&lt;="&amp;A1482)-SUMIFS(Оплаты!$B$6:$B$505,Оплаты!$A$6:$A$505,"&lt;"&amp;A1482,Оплаты!$D$6:$D$505,"&lt;&gt;"))</f>
        <v/>
      </c>
      <c r="E1482">
        <f>IF(A1482="","",IF(SUMPRODUCT((Ввод!$F$12:$F$31&lt;&gt;"")*(Ввод!$F$12:$F$31&lt;=A1482)*(Ввод!$G$12:$G$31&gt;=A1482))&gt;0,1,0))</f>
        <v/>
      </c>
      <c r="G1482">
        <f>IF(A1482="","",IF(OR(B1482&lt;&gt;B1481,C1482&lt;&gt;C1481,E1482&lt;&gt;E1481),G1481+1,G1481))</f>
        <v/>
      </c>
    </row>
    <row r="1483">
      <c r="A1483" s="20">
        <f>IF(A1482="","",IF(A1482+1&gt;Ввод!$B$4,"",A1482+1))</f>
        <v/>
      </c>
      <c r="B1483">
        <f>IF(A1483="","",IFERROR(INDEX(Ввод!$B$12:$B$71,MATCH(A1483,Ввод!$D$12:$D$71,1)),""))</f>
        <v/>
      </c>
      <c r="C1483">
        <f>IF(A1483="","",DATE(YEAR(A1483),12,31)-DATE(YEAR(A1483),1,1)+1)</f>
        <v/>
      </c>
      <c r="D1483">
        <f>IF(A1483="","",SUMIFS(Акты!$D$5:$D$16,Акты!$E$5:$E$16,"&lt;="&amp;A1483)-SUMIFS(Оплаты!$B$6:$B$505,Оплаты!$A$6:$A$505,"&lt;"&amp;A1483,Оплаты!$D$6:$D$505,"&lt;&gt;"))</f>
        <v/>
      </c>
      <c r="E1483">
        <f>IF(A1483="","",IF(SUMPRODUCT((Ввод!$F$12:$F$31&lt;&gt;"")*(Ввод!$F$12:$F$31&lt;=A1483)*(Ввод!$G$12:$G$31&gt;=A1483))&gt;0,1,0))</f>
        <v/>
      </c>
      <c r="G1483">
        <f>IF(A1483="","",IF(OR(B1483&lt;&gt;B1482,C1483&lt;&gt;C1482,E1483&lt;&gt;E1482),G1482+1,G1482))</f>
        <v/>
      </c>
    </row>
    <row r="1484">
      <c r="A1484" s="20">
        <f>IF(A1483="","",IF(A1483+1&gt;Ввод!$B$4,"",A1483+1))</f>
        <v/>
      </c>
      <c r="B1484">
        <f>IF(A1484="","",IFERROR(INDEX(Ввод!$B$12:$B$71,MATCH(A1484,Ввод!$D$12:$D$71,1)),""))</f>
        <v/>
      </c>
      <c r="C1484">
        <f>IF(A1484="","",DATE(YEAR(A1484),12,31)-DATE(YEAR(A1484),1,1)+1)</f>
        <v/>
      </c>
      <c r="D1484">
        <f>IF(A1484="","",SUMIFS(Акты!$D$5:$D$16,Акты!$E$5:$E$16,"&lt;="&amp;A1484)-SUMIFS(Оплаты!$B$6:$B$505,Оплаты!$A$6:$A$505,"&lt;"&amp;A1484,Оплаты!$D$6:$D$505,"&lt;&gt;"))</f>
        <v/>
      </c>
      <c r="E1484">
        <f>IF(A1484="","",IF(SUMPRODUCT((Ввод!$F$12:$F$31&lt;&gt;"")*(Ввод!$F$12:$F$31&lt;=A1484)*(Ввод!$G$12:$G$31&gt;=A1484))&gt;0,1,0))</f>
        <v/>
      </c>
      <c r="G1484">
        <f>IF(A1484="","",IF(OR(B1484&lt;&gt;B1483,C1484&lt;&gt;C1483,E1484&lt;&gt;E1483),G1483+1,G1483))</f>
        <v/>
      </c>
    </row>
    <row r="1485">
      <c r="A1485" s="20">
        <f>IF(A1484="","",IF(A1484+1&gt;Ввод!$B$4,"",A1484+1))</f>
        <v/>
      </c>
      <c r="B1485">
        <f>IF(A1485="","",IFERROR(INDEX(Ввод!$B$12:$B$71,MATCH(A1485,Ввод!$D$12:$D$71,1)),""))</f>
        <v/>
      </c>
      <c r="C1485">
        <f>IF(A1485="","",DATE(YEAR(A1485),12,31)-DATE(YEAR(A1485),1,1)+1)</f>
        <v/>
      </c>
      <c r="D1485">
        <f>IF(A1485="","",SUMIFS(Акты!$D$5:$D$16,Акты!$E$5:$E$16,"&lt;="&amp;A1485)-SUMIFS(Оплаты!$B$6:$B$505,Оплаты!$A$6:$A$505,"&lt;"&amp;A1485,Оплаты!$D$6:$D$505,"&lt;&gt;"))</f>
        <v/>
      </c>
      <c r="E1485">
        <f>IF(A1485="","",IF(SUMPRODUCT((Ввод!$F$12:$F$31&lt;&gt;"")*(Ввод!$F$12:$F$31&lt;=A1485)*(Ввод!$G$12:$G$31&gt;=A1485))&gt;0,1,0))</f>
        <v/>
      </c>
      <c r="G1485">
        <f>IF(A1485="","",IF(OR(B1485&lt;&gt;B1484,C1485&lt;&gt;C1484,E1485&lt;&gt;E1484),G1484+1,G1484))</f>
        <v/>
      </c>
    </row>
    <row r="1486">
      <c r="A1486" s="20">
        <f>IF(A1485="","",IF(A1485+1&gt;Ввод!$B$4,"",A1485+1))</f>
        <v/>
      </c>
      <c r="B1486">
        <f>IF(A1486="","",IFERROR(INDEX(Ввод!$B$12:$B$71,MATCH(A1486,Ввод!$D$12:$D$71,1)),""))</f>
        <v/>
      </c>
      <c r="C1486">
        <f>IF(A1486="","",DATE(YEAR(A1486),12,31)-DATE(YEAR(A1486),1,1)+1)</f>
        <v/>
      </c>
      <c r="D1486">
        <f>IF(A1486="","",SUMIFS(Акты!$D$5:$D$16,Акты!$E$5:$E$16,"&lt;="&amp;A1486)-SUMIFS(Оплаты!$B$6:$B$505,Оплаты!$A$6:$A$505,"&lt;"&amp;A1486,Оплаты!$D$6:$D$505,"&lt;&gt;"))</f>
        <v/>
      </c>
      <c r="E1486">
        <f>IF(A1486="","",IF(SUMPRODUCT((Ввод!$F$12:$F$31&lt;&gt;"")*(Ввод!$F$12:$F$31&lt;=A1486)*(Ввод!$G$12:$G$31&gt;=A1486))&gt;0,1,0))</f>
        <v/>
      </c>
      <c r="G1486">
        <f>IF(A1486="","",IF(OR(B1486&lt;&gt;B1485,C1486&lt;&gt;C1485,E1486&lt;&gt;E1485),G1485+1,G1485))</f>
        <v/>
      </c>
    </row>
    <row r="1487">
      <c r="A1487" s="20">
        <f>IF(A1486="","",IF(A1486+1&gt;Ввод!$B$4,"",A1486+1))</f>
        <v/>
      </c>
      <c r="B1487">
        <f>IF(A1487="","",IFERROR(INDEX(Ввод!$B$12:$B$71,MATCH(A1487,Ввод!$D$12:$D$71,1)),""))</f>
        <v/>
      </c>
      <c r="C1487">
        <f>IF(A1487="","",DATE(YEAR(A1487),12,31)-DATE(YEAR(A1487),1,1)+1)</f>
        <v/>
      </c>
      <c r="D1487">
        <f>IF(A1487="","",SUMIFS(Акты!$D$5:$D$16,Акты!$E$5:$E$16,"&lt;="&amp;A1487)-SUMIFS(Оплаты!$B$6:$B$505,Оплаты!$A$6:$A$505,"&lt;"&amp;A1487,Оплаты!$D$6:$D$505,"&lt;&gt;"))</f>
        <v/>
      </c>
      <c r="E1487">
        <f>IF(A1487="","",IF(SUMPRODUCT((Ввод!$F$12:$F$31&lt;&gt;"")*(Ввод!$F$12:$F$31&lt;=A1487)*(Ввод!$G$12:$G$31&gt;=A1487))&gt;0,1,0))</f>
        <v/>
      </c>
      <c r="G1487">
        <f>IF(A1487="","",IF(OR(B1487&lt;&gt;B1486,C1487&lt;&gt;C1486,E1487&lt;&gt;E1486),G1486+1,G1486))</f>
        <v/>
      </c>
    </row>
    <row r="1488">
      <c r="A1488" s="20">
        <f>IF(A1487="","",IF(A1487+1&gt;Ввод!$B$4,"",A1487+1))</f>
        <v/>
      </c>
      <c r="B1488">
        <f>IF(A1488="","",IFERROR(INDEX(Ввод!$B$12:$B$71,MATCH(A1488,Ввод!$D$12:$D$71,1)),""))</f>
        <v/>
      </c>
      <c r="C1488">
        <f>IF(A1488="","",DATE(YEAR(A1488),12,31)-DATE(YEAR(A1488),1,1)+1)</f>
        <v/>
      </c>
      <c r="D1488">
        <f>IF(A1488="","",SUMIFS(Акты!$D$5:$D$16,Акты!$E$5:$E$16,"&lt;="&amp;A1488)-SUMIFS(Оплаты!$B$6:$B$505,Оплаты!$A$6:$A$505,"&lt;"&amp;A1488,Оплаты!$D$6:$D$505,"&lt;&gt;"))</f>
        <v/>
      </c>
      <c r="E1488">
        <f>IF(A1488="","",IF(SUMPRODUCT((Ввод!$F$12:$F$31&lt;&gt;"")*(Ввод!$F$12:$F$31&lt;=A1488)*(Ввод!$G$12:$G$31&gt;=A1488))&gt;0,1,0))</f>
        <v/>
      </c>
      <c r="G1488">
        <f>IF(A1488="","",IF(OR(B1488&lt;&gt;B1487,C1488&lt;&gt;C1487,E1488&lt;&gt;E1487),G1487+1,G1487))</f>
        <v/>
      </c>
    </row>
    <row r="1489">
      <c r="A1489" s="20">
        <f>IF(A1488="","",IF(A1488+1&gt;Ввод!$B$4,"",A1488+1))</f>
        <v/>
      </c>
      <c r="B1489">
        <f>IF(A1489="","",IFERROR(INDEX(Ввод!$B$12:$B$71,MATCH(A1489,Ввод!$D$12:$D$71,1)),""))</f>
        <v/>
      </c>
      <c r="C1489">
        <f>IF(A1489="","",DATE(YEAR(A1489),12,31)-DATE(YEAR(A1489),1,1)+1)</f>
        <v/>
      </c>
      <c r="D1489">
        <f>IF(A1489="","",SUMIFS(Акты!$D$5:$D$16,Акты!$E$5:$E$16,"&lt;="&amp;A1489)-SUMIFS(Оплаты!$B$6:$B$505,Оплаты!$A$6:$A$505,"&lt;"&amp;A1489,Оплаты!$D$6:$D$505,"&lt;&gt;"))</f>
        <v/>
      </c>
      <c r="E1489">
        <f>IF(A1489="","",IF(SUMPRODUCT((Ввод!$F$12:$F$31&lt;&gt;"")*(Ввод!$F$12:$F$31&lt;=A1489)*(Ввод!$G$12:$G$31&gt;=A1489))&gt;0,1,0))</f>
        <v/>
      </c>
      <c r="G1489">
        <f>IF(A1489="","",IF(OR(B1489&lt;&gt;B1488,C1489&lt;&gt;C1488,E1489&lt;&gt;E1488),G1488+1,G1488))</f>
        <v/>
      </c>
    </row>
    <row r="1490">
      <c r="A1490" s="20">
        <f>IF(A1489="","",IF(A1489+1&gt;Ввод!$B$4,"",A1489+1))</f>
        <v/>
      </c>
      <c r="B1490">
        <f>IF(A1490="","",IFERROR(INDEX(Ввод!$B$12:$B$71,MATCH(A1490,Ввод!$D$12:$D$71,1)),""))</f>
        <v/>
      </c>
      <c r="C1490">
        <f>IF(A1490="","",DATE(YEAR(A1490),12,31)-DATE(YEAR(A1490),1,1)+1)</f>
        <v/>
      </c>
      <c r="D1490">
        <f>IF(A1490="","",SUMIFS(Акты!$D$5:$D$16,Акты!$E$5:$E$16,"&lt;="&amp;A1490)-SUMIFS(Оплаты!$B$6:$B$505,Оплаты!$A$6:$A$505,"&lt;"&amp;A1490,Оплаты!$D$6:$D$505,"&lt;&gt;"))</f>
        <v/>
      </c>
      <c r="E1490">
        <f>IF(A1490="","",IF(SUMPRODUCT((Ввод!$F$12:$F$31&lt;&gt;"")*(Ввод!$F$12:$F$31&lt;=A1490)*(Ввод!$G$12:$G$31&gt;=A1490))&gt;0,1,0))</f>
        <v/>
      </c>
      <c r="G1490">
        <f>IF(A1490="","",IF(OR(B1490&lt;&gt;B1489,C1490&lt;&gt;C1489,E1490&lt;&gt;E1489),G1489+1,G1489))</f>
        <v/>
      </c>
    </row>
    <row r="1491">
      <c r="A1491" s="20">
        <f>IF(A1490="","",IF(A1490+1&gt;Ввод!$B$4,"",A1490+1))</f>
        <v/>
      </c>
      <c r="B1491">
        <f>IF(A1491="","",IFERROR(INDEX(Ввод!$B$12:$B$71,MATCH(A1491,Ввод!$D$12:$D$71,1)),""))</f>
        <v/>
      </c>
      <c r="C1491">
        <f>IF(A1491="","",DATE(YEAR(A1491),12,31)-DATE(YEAR(A1491),1,1)+1)</f>
        <v/>
      </c>
      <c r="D1491">
        <f>IF(A1491="","",SUMIFS(Акты!$D$5:$D$16,Акты!$E$5:$E$16,"&lt;="&amp;A1491)-SUMIFS(Оплаты!$B$6:$B$505,Оплаты!$A$6:$A$505,"&lt;"&amp;A1491,Оплаты!$D$6:$D$505,"&lt;&gt;"))</f>
        <v/>
      </c>
      <c r="E1491">
        <f>IF(A1491="","",IF(SUMPRODUCT((Ввод!$F$12:$F$31&lt;&gt;"")*(Ввод!$F$12:$F$31&lt;=A1491)*(Ввод!$G$12:$G$31&gt;=A1491))&gt;0,1,0))</f>
        <v/>
      </c>
      <c r="G1491">
        <f>IF(A1491="","",IF(OR(B1491&lt;&gt;B1490,C1491&lt;&gt;C1490,E1491&lt;&gt;E1490),G1490+1,G1490))</f>
        <v/>
      </c>
    </row>
    <row r="1492">
      <c r="A1492" s="20">
        <f>IF(A1491="","",IF(A1491+1&gt;Ввод!$B$4,"",A1491+1))</f>
        <v/>
      </c>
      <c r="B1492">
        <f>IF(A1492="","",IFERROR(INDEX(Ввод!$B$12:$B$71,MATCH(A1492,Ввод!$D$12:$D$71,1)),""))</f>
        <v/>
      </c>
      <c r="C1492">
        <f>IF(A1492="","",DATE(YEAR(A1492),12,31)-DATE(YEAR(A1492),1,1)+1)</f>
        <v/>
      </c>
      <c r="D1492">
        <f>IF(A1492="","",SUMIFS(Акты!$D$5:$D$16,Акты!$E$5:$E$16,"&lt;="&amp;A1492)-SUMIFS(Оплаты!$B$6:$B$505,Оплаты!$A$6:$A$505,"&lt;"&amp;A1492,Оплаты!$D$6:$D$505,"&lt;&gt;"))</f>
        <v/>
      </c>
      <c r="E1492">
        <f>IF(A1492="","",IF(SUMPRODUCT((Ввод!$F$12:$F$31&lt;&gt;"")*(Ввод!$F$12:$F$31&lt;=A1492)*(Ввод!$G$12:$G$31&gt;=A1492))&gt;0,1,0))</f>
        <v/>
      </c>
      <c r="G1492">
        <f>IF(A1492="","",IF(OR(B1492&lt;&gt;B1491,C1492&lt;&gt;C1491,E1492&lt;&gt;E1491),G1491+1,G1491))</f>
        <v/>
      </c>
    </row>
    <row r="1493">
      <c r="A1493" s="20">
        <f>IF(A1492="","",IF(A1492+1&gt;Ввод!$B$4,"",A1492+1))</f>
        <v/>
      </c>
      <c r="B1493">
        <f>IF(A1493="","",IFERROR(INDEX(Ввод!$B$12:$B$71,MATCH(A1493,Ввод!$D$12:$D$71,1)),""))</f>
        <v/>
      </c>
      <c r="C1493">
        <f>IF(A1493="","",DATE(YEAR(A1493),12,31)-DATE(YEAR(A1493),1,1)+1)</f>
        <v/>
      </c>
      <c r="D1493">
        <f>IF(A1493="","",SUMIFS(Акты!$D$5:$D$16,Акты!$E$5:$E$16,"&lt;="&amp;A1493)-SUMIFS(Оплаты!$B$6:$B$505,Оплаты!$A$6:$A$505,"&lt;"&amp;A1493,Оплаты!$D$6:$D$505,"&lt;&gt;"))</f>
        <v/>
      </c>
      <c r="E1493">
        <f>IF(A1493="","",IF(SUMPRODUCT((Ввод!$F$12:$F$31&lt;&gt;"")*(Ввод!$F$12:$F$31&lt;=A1493)*(Ввод!$G$12:$G$31&gt;=A1493))&gt;0,1,0))</f>
        <v/>
      </c>
      <c r="G1493">
        <f>IF(A1493="","",IF(OR(B1493&lt;&gt;B1492,C1493&lt;&gt;C1492,E1493&lt;&gt;E1492),G1492+1,G1492))</f>
        <v/>
      </c>
    </row>
    <row r="1494">
      <c r="A1494" s="20">
        <f>IF(A1493="","",IF(A1493+1&gt;Ввод!$B$4,"",A1493+1))</f>
        <v/>
      </c>
      <c r="B1494">
        <f>IF(A1494="","",IFERROR(INDEX(Ввод!$B$12:$B$71,MATCH(A1494,Ввод!$D$12:$D$71,1)),""))</f>
        <v/>
      </c>
      <c r="C1494">
        <f>IF(A1494="","",DATE(YEAR(A1494),12,31)-DATE(YEAR(A1494),1,1)+1)</f>
        <v/>
      </c>
      <c r="D1494">
        <f>IF(A1494="","",SUMIFS(Акты!$D$5:$D$16,Акты!$E$5:$E$16,"&lt;="&amp;A1494)-SUMIFS(Оплаты!$B$6:$B$505,Оплаты!$A$6:$A$505,"&lt;"&amp;A1494,Оплаты!$D$6:$D$505,"&lt;&gt;"))</f>
        <v/>
      </c>
      <c r="E1494">
        <f>IF(A1494="","",IF(SUMPRODUCT((Ввод!$F$12:$F$31&lt;&gt;"")*(Ввод!$F$12:$F$31&lt;=A1494)*(Ввод!$G$12:$G$31&gt;=A1494))&gt;0,1,0))</f>
        <v/>
      </c>
      <c r="G1494">
        <f>IF(A1494="","",IF(OR(B1494&lt;&gt;B1493,C1494&lt;&gt;C1493,E1494&lt;&gt;E1493),G1493+1,G1493))</f>
        <v/>
      </c>
    </row>
    <row r="1495">
      <c r="A1495" s="20">
        <f>IF(A1494="","",IF(A1494+1&gt;Ввод!$B$4,"",A1494+1))</f>
        <v/>
      </c>
      <c r="B1495">
        <f>IF(A1495="","",IFERROR(INDEX(Ввод!$B$12:$B$71,MATCH(A1495,Ввод!$D$12:$D$71,1)),""))</f>
        <v/>
      </c>
      <c r="C1495">
        <f>IF(A1495="","",DATE(YEAR(A1495),12,31)-DATE(YEAR(A1495),1,1)+1)</f>
        <v/>
      </c>
      <c r="D1495">
        <f>IF(A1495="","",SUMIFS(Акты!$D$5:$D$16,Акты!$E$5:$E$16,"&lt;="&amp;A1495)-SUMIFS(Оплаты!$B$6:$B$505,Оплаты!$A$6:$A$505,"&lt;"&amp;A1495,Оплаты!$D$6:$D$505,"&lt;&gt;"))</f>
        <v/>
      </c>
      <c r="E1495">
        <f>IF(A1495="","",IF(SUMPRODUCT((Ввод!$F$12:$F$31&lt;&gt;"")*(Ввод!$F$12:$F$31&lt;=A1495)*(Ввод!$G$12:$G$31&gt;=A1495))&gt;0,1,0))</f>
        <v/>
      </c>
      <c r="G1495">
        <f>IF(A1495="","",IF(OR(B1495&lt;&gt;B1494,C1495&lt;&gt;C1494,E1495&lt;&gt;E1494),G1494+1,G1494))</f>
        <v/>
      </c>
    </row>
    <row r="1496">
      <c r="A1496" s="20">
        <f>IF(A1495="","",IF(A1495+1&gt;Ввод!$B$4,"",A1495+1))</f>
        <v/>
      </c>
      <c r="B1496">
        <f>IF(A1496="","",IFERROR(INDEX(Ввод!$B$12:$B$71,MATCH(A1496,Ввод!$D$12:$D$71,1)),""))</f>
        <v/>
      </c>
      <c r="C1496">
        <f>IF(A1496="","",DATE(YEAR(A1496),12,31)-DATE(YEAR(A1496),1,1)+1)</f>
        <v/>
      </c>
      <c r="D1496">
        <f>IF(A1496="","",SUMIFS(Акты!$D$5:$D$16,Акты!$E$5:$E$16,"&lt;="&amp;A1496)-SUMIFS(Оплаты!$B$6:$B$505,Оплаты!$A$6:$A$505,"&lt;"&amp;A1496,Оплаты!$D$6:$D$505,"&lt;&gt;"))</f>
        <v/>
      </c>
      <c r="E1496">
        <f>IF(A1496="","",IF(SUMPRODUCT((Ввод!$F$12:$F$31&lt;&gt;"")*(Ввод!$F$12:$F$31&lt;=A1496)*(Ввод!$G$12:$G$31&gt;=A1496))&gt;0,1,0))</f>
        <v/>
      </c>
      <c r="G1496">
        <f>IF(A1496="","",IF(OR(B1496&lt;&gt;B1495,C1496&lt;&gt;C1495,E1496&lt;&gt;E1495),G1495+1,G1495))</f>
        <v/>
      </c>
    </row>
    <row r="1497">
      <c r="A1497" s="20">
        <f>IF(A1496="","",IF(A1496+1&gt;Ввод!$B$4,"",A1496+1))</f>
        <v/>
      </c>
      <c r="B1497">
        <f>IF(A1497="","",IFERROR(INDEX(Ввод!$B$12:$B$71,MATCH(A1497,Ввод!$D$12:$D$71,1)),""))</f>
        <v/>
      </c>
      <c r="C1497">
        <f>IF(A1497="","",DATE(YEAR(A1497),12,31)-DATE(YEAR(A1497),1,1)+1)</f>
        <v/>
      </c>
      <c r="D1497">
        <f>IF(A1497="","",SUMIFS(Акты!$D$5:$D$16,Акты!$E$5:$E$16,"&lt;="&amp;A1497)-SUMIFS(Оплаты!$B$6:$B$505,Оплаты!$A$6:$A$505,"&lt;"&amp;A1497,Оплаты!$D$6:$D$505,"&lt;&gt;"))</f>
        <v/>
      </c>
      <c r="E1497">
        <f>IF(A1497="","",IF(SUMPRODUCT((Ввод!$F$12:$F$31&lt;&gt;"")*(Ввод!$F$12:$F$31&lt;=A1497)*(Ввод!$G$12:$G$31&gt;=A1497))&gt;0,1,0))</f>
        <v/>
      </c>
      <c r="G1497">
        <f>IF(A1497="","",IF(OR(B1497&lt;&gt;B1496,C1497&lt;&gt;C1496,E1497&lt;&gt;E1496),G1496+1,G1496))</f>
        <v/>
      </c>
    </row>
    <row r="1498">
      <c r="A1498" s="20">
        <f>IF(A1497="","",IF(A1497+1&gt;Ввод!$B$4,"",A1497+1))</f>
        <v/>
      </c>
      <c r="B1498">
        <f>IF(A1498="","",IFERROR(INDEX(Ввод!$B$12:$B$71,MATCH(A1498,Ввод!$D$12:$D$71,1)),""))</f>
        <v/>
      </c>
      <c r="C1498">
        <f>IF(A1498="","",DATE(YEAR(A1498),12,31)-DATE(YEAR(A1498),1,1)+1)</f>
        <v/>
      </c>
      <c r="D1498">
        <f>IF(A1498="","",SUMIFS(Акты!$D$5:$D$16,Акты!$E$5:$E$16,"&lt;="&amp;A1498)-SUMIFS(Оплаты!$B$6:$B$505,Оплаты!$A$6:$A$505,"&lt;"&amp;A1498,Оплаты!$D$6:$D$505,"&lt;&gt;"))</f>
        <v/>
      </c>
      <c r="E1498">
        <f>IF(A1498="","",IF(SUMPRODUCT((Ввод!$F$12:$F$31&lt;&gt;"")*(Ввод!$F$12:$F$31&lt;=A1498)*(Ввод!$G$12:$G$31&gt;=A1498))&gt;0,1,0))</f>
        <v/>
      </c>
      <c r="G1498">
        <f>IF(A1498="","",IF(OR(B1498&lt;&gt;B1497,C1498&lt;&gt;C1497,E1498&lt;&gt;E1497),G1497+1,G1497))</f>
        <v/>
      </c>
    </row>
    <row r="1499">
      <c r="A1499" s="20">
        <f>IF(A1498="","",IF(A1498+1&gt;Ввод!$B$4,"",A1498+1))</f>
        <v/>
      </c>
      <c r="B1499">
        <f>IF(A1499="","",IFERROR(INDEX(Ввод!$B$12:$B$71,MATCH(A1499,Ввод!$D$12:$D$71,1)),""))</f>
        <v/>
      </c>
      <c r="C1499">
        <f>IF(A1499="","",DATE(YEAR(A1499),12,31)-DATE(YEAR(A1499),1,1)+1)</f>
        <v/>
      </c>
      <c r="D1499">
        <f>IF(A1499="","",SUMIFS(Акты!$D$5:$D$16,Акты!$E$5:$E$16,"&lt;="&amp;A1499)-SUMIFS(Оплаты!$B$6:$B$505,Оплаты!$A$6:$A$505,"&lt;"&amp;A1499,Оплаты!$D$6:$D$505,"&lt;&gt;"))</f>
        <v/>
      </c>
      <c r="E1499">
        <f>IF(A1499="","",IF(SUMPRODUCT((Ввод!$F$12:$F$31&lt;&gt;"")*(Ввод!$F$12:$F$31&lt;=A1499)*(Ввод!$G$12:$G$31&gt;=A1499))&gt;0,1,0))</f>
        <v/>
      </c>
      <c r="G1499">
        <f>IF(A1499="","",IF(OR(B1499&lt;&gt;B1498,C1499&lt;&gt;C1498,E1499&lt;&gt;E1498),G1498+1,G1498))</f>
        <v/>
      </c>
    </row>
    <row r="1500">
      <c r="A1500" s="20">
        <f>IF(A1499="","",IF(A1499+1&gt;Ввод!$B$4,"",A1499+1))</f>
        <v/>
      </c>
      <c r="B1500">
        <f>IF(A1500="","",IFERROR(INDEX(Ввод!$B$12:$B$71,MATCH(A1500,Ввод!$D$12:$D$71,1)),""))</f>
        <v/>
      </c>
      <c r="C1500">
        <f>IF(A1500="","",DATE(YEAR(A1500),12,31)-DATE(YEAR(A1500),1,1)+1)</f>
        <v/>
      </c>
      <c r="D1500">
        <f>IF(A1500="","",SUMIFS(Акты!$D$5:$D$16,Акты!$E$5:$E$16,"&lt;="&amp;A1500)-SUMIFS(Оплаты!$B$6:$B$505,Оплаты!$A$6:$A$505,"&lt;"&amp;A1500,Оплаты!$D$6:$D$505,"&lt;&gt;"))</f>
        <v/>
      </c>
      <c r="E1500">
        <f>IF(A1500="","",IF(SUMPRODUCT((Ввод!$F$12:$F$31&lt;&gt;"")*(Ввод!$F$12:$F$31&lt;=A1500)*(Ввод!$G$12:$G$31&gt;=A1500))&gt;0,1,0))</f>
        <v/>
      </c>
      <c r="G1500">
        <f>IF(A1500="","",IF(OR(B1500&lt;&gt;B1499,C1500&lt;&gt;C1499,E1500&lt;&gt;E1499),G1499+1,G1499))</f>
        <v/>
      </c>
    </row>
    <row r="1501">
      <c r="A1501" s="20">
        <f>IF(A1500="","",IF(A1500+1&gt;Ввод!$B$4,"",A1500+1))</f>
        <v/>
      </c>
      <c r="B1501">
        <f>IF(A1501="","",IFERROR(INDEX(Ввод!$B$12:$B$71,MATCH(A1501,Ввод!$D$12:$D$71,1)),""))</f>
        <v/>
      </c>
      <c r="C1501">
        <f>IF(A1501="","",DATE(YEAR(A1501),12,31)-DATE(YEAR(A1501),1,1)+1)</f>
        <v/>
      </c>
      <c r="D1501">
        <f>IF(A1501="","",SUMIFS(Акты!$D$5:$D$16,Акты!$E$5:$E$16,"&lt;="&amp;A1501)-SUMIFS(Оплаты!$B$6:$B$505,Оплаты!$A$6:$A$505,"&lt;"&amp;A1501,Оплаты!$D$6:$D$505,"&lt;&gt;"))</f>
        <v/>
      </c>
      <c r="E1501">
        <f>IF(A1501="","",IF(SUMPRODUCT((Ввод!$F$12:$F$31&lt;&gt;"")*(Ввод!$F$12:$F$31&lt;=A1501)*(Ввод!$G$12:$G$31&gt;=A1501))&gt;0,1,0))</f>
        <v/>
      </c>
      <c r="G1501">
        <f>IF(A1501="","",IF(OR(B1501&lt;&gt;B1500,C1501&lt;&gt;C1500,E1501&lt;&gt;E1500),G1500+1,G1500))</f>
        <v/>
      </c>
    </row>
    <row r="1502">
      <c r="A1502" s="20">
        <f>IF(A1501="","",IF(A1501+1&gt;Ввод!$B$4,"",A1501+1))</f>
        <v/>
      </c>
      <c r="B1502">
        <f>IF(A1502="","",IFERROR(INDEX(Ввод!$B$12:$B$71,MATCH(A1502,Ввод!$D$12:$D$71,1)),""))</f>
        <v/>
      </c>
      <c r="C1502">
        <f>IF(A1502="","",DATE(YEAR(A1502),12,31)-DATE(YEAR(A1502),1,1)+1)</f>
        <v/>
      </c>
      <c r="D1502">
        <f>IF(A1502="","",SUMIFS(Акты!$D$5:$D$16,Акты!$E$5:$E$16,"&lt;="&amp;A1502)-SUMIFS(Оплаты!$B$6:$B$505,Оплаты!$A$6:$A$505,"&lt;"&amp;A1502,Оплаты!$D$6:$D$505,"&lt;&gt;"))</f>
        <v/>
      </c>
      <c r="E1502">
        <f>IF(A1502="","",IF(SUMPRODUCT((Ввод!$F$12:$F$31&lt;&gt;"")*(Ввод!$F$12:$F$31&lt;=A1502)*(Ввод!$G$12:$G$31&gt;=A1502))&gt;0,1,0))</f>
        <v/>
      </c>
      <c r="G1502">
        <f>IF(A1502="","",IF(OR(B1502&lt;&gt;B1501,C1502&lt;&gt;C1501,E1502&lt;&gt;E1501),G1501+1,G1501))</f>
        <v/>
      </c>
    </row>
    <row r="1503">
      <c r="A1503" s="20">
        <f>IF(A1502="","",IF(A1502+1&gt;Ввод!$B$4,"",A1502+1))</f>
        <v/>
      </c>
      <c r="B1503">
        <f>IF(A1503="","",IFERROR(INDEX(Ввод!$B$12:$B$71,MATCH(A1503,Ввод!$D$12:$D$71,1)),""))</f>
        <v/>
      </c>
      <c r="C1503">
        <f>IF(A1503="","",DATE(YEAR(A1503),12,31)-DATE(YEAR(A1503),1,1)+1)</f>
        <v/>
      </c>
      <c r="D1503">
        <f>IF(A1503="","",SUMIFS(Акты!$D$5:$D$16,Акты!$E$5:$E$16,"&lt;="&amp;A1503)-SUMIFS(Оплаты!$B$6:$B$505,Оплаты!$A$6:$A$505,"&lt;"&amp;A1503,Оплаты!$D$6:$D$505,"&lt;&gt;"))</f>
        <v/>
      </c>
      <c r="E1503">
        <f>IF(A1503="","",IF(SUMPRODUCT((Ввод!$F$12:$F$31&lt;&gt;"")*(Ввод!$F$12:$F$31&lt;=A1503)*(Ввод!$G$12:$G$31&gt;=A1503))&gt;0,1,0))</f>
        <v/>
      </c>
      <c r="G1503">
        <f>IF(A1503="","",IF(OR(B1503&lt;&gt;B1502,C1503&lt;&gt;C1502,E1503&lt;&gt;E1502),G1502+1,G1502))</f>
        <v/>
      </c>
    </row>
    <row r="1504">
      <c r="A1504" s="20">
        <f>IF(A1503="","",IF(A1503+1&gt;Ввод!$B$4,"",A1503+1))</f>
        <v/>
      </c>
      <c r="B1504">
        <f>IF(A1504="","",IFERROR(INDEX(Ввод!$B$12:$B$71,MATCH(A1504,Ввод!$D$12:$D$71,1)),""))</f>
        <v/>
      </c>
      <c r="C1504">
        <f>IF(A1504="","",DATE(YEAR(A1504),12,31)-DATE(YEAR(A1504),1,1)+1)</f>
        <v/>
      </c>
      <c r="D1504">
        <f>IF(A1504="","",SUMIFS(Акты!$D$5:$D$16,Акты!$E$5:$E$16,"&lt;="&amp;A1504)-SUMIFS(Оплаты!$B$6:$B$505,Оплаты!$A$6:$A$505,"&lt;"&amp;A1504,Оплаты!$D$6:$D$505,"&lt;&gt;"))</f>
        <v/>
      </c>
      <c r="E1504">
        <f>IF(A1504="","",IF(SUMPRODUCT((Ввод!$F$12:$F$31&lt;&gt;"")*(Ввод!$F$12:$F$31&lt;=A1504)*(Ввод!$G$12:$G$31&gt;=A1504))&gt;0,1,0))</f>
        <v/>
      </c>
      <c r="G1504">
        <f>IF(A1504="","",IF(OR(B1504&lt;&gt;B1503,C1504&lt;&gt;C1503,E1504&lt;&gt;E1503),G1503+1,G1503))</f>
        <v/>
      </c>
    </row>
    <row r="1505">
      <c r="A1505" s="20">
        <f>IF(A1504="","",IF(A1504+1&gt;Ввод!$B$4,"",A1504+1))</f>
        <v/>
      </c>
      <c r="B1505">
        <f>IF(A1505="","",IFERROR(INDEX(Ввод!$B$12:$B$71,MATCH(A1505,Ввод!$D$12:$D$71,1)),""))</f>
        <v/>
      </c>
      <c r="C1505">
        <f>IF(A1505="","",DATE(YEAR(A1505),12,31)-DATE(YEAR(A1505),1,1)+1)</f>
        <v/>
      </c>
      <c r="D1505">
        <f>IF(A1505="","",SUMIFS(Акты!$D$5:$D$16,Акты!$E$5:$E$16,"&lt;="&amp;A1505)-SUMIFS(Оплаты!$B$6:$B$505,Оплаты!$A$6:$A$505,"&lt;"&amp;A1505,Оплаты!$D$6:$D$505,"&lt;&gt;"))</f>
        <v/>
      </c>
      <c r="E1505">
        <f>IF(A1505="","",IF(SUMPRODUCT((Ввод!$F$12:$F$31&lt;&gt;"")*(Ввод!$F$12:$F$31&lt;=A1505)*(Ввод!$G$12:$G$31&gt;=A1505))&gt;0,1,0))</f>
        <v/>
      </c>
      <c r="G1505">
        <f>IF(A1505="","",IF(OR(B1505&lt;&gt;B1504,C1505&lt;&gt;C1504,E1505&lt;&gt;E1504),G1504+1,G1504))</f>
        <v/>
      </c>
    </row>
    <row r="1506">
      <c r="A1506" s="20">
        <f>IF(A1505="","",IF(A1505+1&gt;Ввод!$B$4,"",A1505+1))</f>
        <v/>
      </c>
      <c r="B1506">
        <f>IF(A1506="","",IFERROR(INDEX(Ввод!$B$12:$B$71,MATCH(A1506,Ввод!$D$12:$D$71,1)),""))</f>
        <v/>
      </c>
      <c r="C1506">
        <f>IF(A1506="","",DATE(YEAR(A1506),12,31)-DATE(YEAR(A1506),1,1)+1)</f>
        <v/>
      </c>
      <c r="D1506">
        <f>IF(A1506="","",SUMIFS(Акты!$D$5:$D$16,Акты!$E$5:$E$16,"&lt;="&amp;A1506)-SUMIFS(Оплаты!$B$6:$B$505,Оплаты!$A$6:$A$505,"&lt;"&amp;A1506,Оплаты!$D$6:$D$505,"&lt;&gt;"))</f>
        <v/>
      </c>
      <c r="E1506">
        <f>IF(A1506="","",IF(SUMPRODUCT((Ввод!$F$12:$F$31&lt;&gt;"")*(Ввод!$F$12:$F$31&lt;=A1506)*(Ввод!$G$12:$G$31&gt;=A1506))&gt;0,1,0))</f>
        <v/>
      </c>
      <c r="G1506">
        <f>IF(A1506="","",IF(OR(B1506&lt;&gt;B1505,C1506&lt;&gt;C1505,E1506&lt;&gt;E1505),G1505+1,G1505))</f>
        <v/>
      </c>
    </row>
    <row r="1507">
      <c r="A1507" s="20">
        <f>IF(A1506="","",IF(A1506+1&gt;Ввод!$B$4,"",A1506+1))</f>
        <v/>
      </c>
      <c r="B1507">
        <f>IF(A1507="","",IFERROR(INDEX(Ввод!$B$12:$B$71,MATCH(A1507,Ввод!$D$12:$D$71,1)),""))</f>
        <v/>
      </c>
      <c r="C1507">
        <f>IF(A1507="","",DATE(YEAR(A1507),12,31)-DATE(YEAR(A1507),1,1)+1)</f>
        <v/>
      </c>
      <c r="D1507">
        <f>IF(A1507="","",SUMIFS(Акты!$D$5:$D$16,Акты!$E$5:$E$16,"&lt;="&amp;A1507)-SUMIFS(Оплаты!$B$6:$B$505,Оплаты!$A$6:$A$505,"&lt;"&amp;A1507,Оплаты!$D$6:$D$505,"&lt;&gt;"))</f>
        <v/>
      </c>
      <c r="E1507">
        <f>IF(A1507="","",IF(SUMPRODUCT((Ввод!$F$12:$F$31&lt;&gt;"")*(Ввод!$F$12:$F$31&lt;=A1507)*(Ввод!$G$12:$G$31&gt;=A1507))&gt;0,1,0))</f>
        <v/>
      </c>
      <c r="G1507">
        <f>IF(A1507="","",IF(OR(B1507&lt;&gt;B1506,C1507&lt;&gt;C1506,E1507&lt;&gt;E1506),G1506+1,G1506))</f>
        <v/>
      </c>
    </row>
    <row r="1508">
      <c r="A1508" s="20">
        <f>IF(A1507="","",IF(A1507+1&gt;Ввод!$B$4,"",A1507+1))</f>
        <v/>
      </c>
      <c r="B1508">
        <f>IF(A1508="","",IFERROR(INDEX(Ввод!$B$12:$B$71,MATCH(A1508,Ввод!$D$12:$D$71,1)),""))</f>
        <v/>
      </c>
      <c r="C1508">
        <f>IF(A1508="","",DATE(YEAR(A1508),12,31)-DATE(YEAR(A1508),1,1)+1)</f>
        <v/>
      </c>
      <c r="D1508">
        <f>IF(A1508="","",SUMIFS(Акты!$D$5:$D$16,Акты!$E$5:$E$16,"&lt;="&amp;A1508)-SUMIFS(Оплаты!$B$6:$B$505,Оплаты!$A$6:$A$505,"&lt;"&amp;A1508,Оплаты!$D$6:$D$505,"&lt;&gt;"))</f>
        <v/>
      </c>
      <c r="E1508">
        <f>IF(A1508="","",IF(SUMPRODUCT((Ввод!$F$12:$F$31&lt;&gt;"")*(Ввод!$F$12:$F$31&lt;=A1508)*(Ввод!$G$12:$G$31&gt;=A1508))&gt;0,1,0))</f>
        <v/>
      </c>
      <c r="G1508">
        <f>IF(A1508="","",IF(OR(B1508&lt;&gt;B1507,C1508&lt;&gt;C1507,E1508&lt;&gt;E1507),G1507+1,G1507))</f>
        <v/>
      </c>
    </row>
    <row r="1509">
      <c r="A1509" s="20">
        <f>IF(A1508="","",IF(A1508+1&gt;Ввод!$B$4,"",A1508+1))</f>
        <v/>
      </c>
      <c r="B1509">
        <f>IF(A1509="","",IFERROR(INDEX(Ввод!$B$12:$B$71,MATCH(A1509,Ввод!$D$12:$D$71,1)),""))</f>
        <v/>
      </c>
      <c r="C1509">
        <f>IF(A1509="","",DATE(YEAR(A1509),12,31)-DATE(YEAR(A1509),1,1)+1)</f>
        <v/>
      </c>
      <c r="D1509">
        <f>IF(A1509="","",SUMIFS(Акты!$D$5:$D$16,Акты!$E$5:$E$16,"&lt;="&amp;A1509)-SUMIFS(Оплаты!$B$6:$B$505,Оплаты!$A$6:$A$505,"&lt;"&amp;A1509,Оплаты!$D$6:$D$505,"&lt;&gt;"))</f>
        <v/>
      </c>
      <c r="E1509">
        <f>IF(A1509="","",IF(SUMPRODUCT((Ввод!$F$12:$F$31&lt;&gt;"")*(Ввод!$F$12:$F$31&lt;=A1509)*(Ввод!$G$12:$G$31&gt;=A1509))&gt;0,1,0))</f>
        <v/>
      </c>
      <c r="G1509">
        <f>IF(A1509="","",IF(OR(B1509&lt;&gt;B1508,C1509&lt;&gt;C1508,E1509&lt;&gt;E1508),G1508+1,G1508))</f>
        <v/>
      </c>
    </row>
    <row r="1510">
      <c r="A1510" s="20">
        <f>IF(A1509="","",IF(A1509+1&gt;Ввод!$B$4,"",A1509+1))</f>
        <v/>
      </c>
      <c r="B1510">
        <f>IF(A1510="","",IFERROR(INDEX(Ввод!$B$12:$B$71,MATCH(A1510,Ввод!$D$12:$D$71,1)),""))</f>
        <v/>
      </c>
      <c r="C1510">
        <f>IF(A1510="","",DATE(YEAR(A1510),12,31)-DATE(YEAR(A1510),1,1)+1)</f>
        <v/>
      </c>
      <c r="D1510">
        <f>IF(A1510="","",SUMIFS(Акты!$D$5:$D$16,Акты!$E$5:$E$16,"&lt;="&amp;A1510)-SUMIFS(Оплаты!$B$6:$B$505,Оплаты!$A$6:$A$505,"&lt;"&amp;A1510,Оплаты!$D$6:$D$505,"&lt;&gt;"))</f>
        <v/>
      </c>
      <c r="E1510">
        <f>IF(A1510="","",IF(SUMPRODUCT((Ввод!$F$12:$F$31&lt;&gt;"")*(Ввод!$F$12:$F$31&lt;=A1510)*(Ввод!$G$12:$G$31&gt;=A1510))&gt;0,1,0))</f>
        <v/>
      </c>
      <c r="G1510">
        <f>IF(A1510="","",IF(OR(B1510&lt;&gt;B1509,C1510&lt;&gt;C1509,E1510&lt;&gt;E1509),G1509+1,G1509))</f>
        <v/>
      </c>
    </row>
    <row r="1511">
      <c r="A1511" s="20">
        <f>IF(A1510="","",IF(A1510+1&gt;Ввод!$B$4,"",A1510+1))</f>
        <v/>
      </c>
      <c r="B1511">
        <f>IF(A1511="","",IFERROR(INDEX(Ввод!$B$12:$B$71,MATCH(A1511,Ввод!$D$12:$D$71,1)),""))</f>
        <v/>
      </c>
      <c r="C1511">
        <f>IF(A1511="","",DATE(YEAR(A1511),12,31)-DATE(YEAR(A1511),1,1)+1)</f>
        <v/>
      </c>
      <c r="D1511">
        <f>IF(A1511="","",SUMIFS(Акты!$D$5:$D$16,Акты!$E$5:$E$16,"&lt;="&amp;A1511)-SUMIFS(Оплаты!$B$6:$B$505,Оплаты!$A$6:$A$505,"&lt;"&amp;A1511,Оплаты!$D$6:$D$505,"&lt;&gt;"))</f>
        <v/>
      </c>
      <c r="E1511">
        <f>IF(A1511="","",IF(SUMPRODUCT((Ввод!$F$12:$F$31&lt;&gt;"")*(Ввод!$F$12:$F$31&lt;=A1511)*(Ввод!$G$12:$G$31&gt;=A1511))&gt;0,1,0))</f>
        <v/>
      </c>
      <c r="G1511">
        <f>IF(A1511="","",IF(OR(B1511&lt;&gt;B1510,C1511&lt;&gt;C1510,E1511&lt;&gt;E1510),G1510+1,G1510))</f>
        <v/>
      </c>
    </row>
    <row r="1512">
      <c r="A1512" s="20">
        <f>IF(A1511="","",IF(A1511+1&gt;Ввод!$B$4,"",A1511+1))</f>
        <v/>
      </c>
      <c r="B1512">
        <f>IF(A1512="","",IFERROR(INDEX(Ввод!$B$12:$B$71,MATCH(A1512,Ввод!$D$12:$D$71,1)),""))</f>
        <v/>
      </c>
      <c r="C1512">
        <f>IF(A1512="","",DATE(YEAR(A1512),12,31)-DATE(YEAR(A1512),1,1)+1)</f>
        <v/>
      </c>
      <c r="D1512">
        <f>IF(A1512="","",SUMIFS(Акты!$D$5:$D$16,Акты!$E$5:$E$16,"&lt;="&amp;A1512)-SUMIFS(Оплаты!$B$6:$B$505,Оплаты!$A$6:$A$505,"&lt;"&amp;A1512,Оплаты!$D$6:$D$505,"&lt;&gt;"))</f>
        <v/>
      </c>
      <c r="E1512">
        <f>IF(A1512="","",IF(SUMPRODUCT((Ввод!$F$12:$F$31&lt;&gt;"")*(Ввод!$F$12:$F$31&lt;=A1512)*(Ввод!$G$12:$G$31&gt;=A1512))&gt;0,1,0))</f>
        <v/>
      </c>
      <c r="G1512">
        <f>IF(A1512="","",IF(OR(B1512&lt;&gt;B1511,C1512&lt;&gt;C1511,E1512&lt;&gt;E1511),G1511+1,G1511))</f>
        <v/>
      </c>
    </row>
    <row r="1513">
      <c r="A1513" s="20">
        <f>IF(A1512="","",IF(A1512+1&gt;Ввод!$B$4,"",A1512+1))</f>
        <v/>
      </c>
      <c r="B1513">
        <f>IF(A1513="","",IFERROR(INDEX(Ввод!$B$12:$B$71,MATCH(A1513,Ввод!$D$12:$D$71,1)),""))</f>
        <v/>
      </c>
      <c r="C1513">
        <f>IF(A1513="","",DATE(YEAR(A1513),12,31)-DATE(YEAR(A1513),1,1)+1)</f>
        <v/>
      </c>
      <c r="D1513">
        <f>IF(A1513="","",SUMIFS(Акты!$D$5:$D$16,Акты!$E$5:$E$16,"&lt;="&amp;A1513)-SUMIFS(Оплаты!$B$6:$B$505,Оплаты!$A$6:$A$505,"&lt;"&amp;A1513,Оплаты!$D$6:$D$505,"&lt;&gt;"))</f>
        <v/>
      </c>
      <c r="E1513">
        <f>IF(A1513="","",IF(SUMPRODUCT((Ввод!$F$12:$F$31&lt;&gt;"")*(Ввод!$F$12:$F$31&lt;=A1513)*(Ввод!$G$12:$G$31&gt;=A1513))&gt;0,1,0))</f>
        <v/>
      </c>
      <c r="G1513">
        <f>IF(A1513="","",IF(OR(B1513&lt;&gt;B1512,C1513&lt;&gt;C1512,E1513&lt;&gt;E1512),G1512+1,G1512))</f>
        <v/>
      </c>
    </row>
    <row r="1514">
      <c r="A1514" s="20">
        <f>IF(A1513="","",IF(A1513+1&gt;Ввод!$B$4,"",A1513+1))</f>
        <v/>
      </c>
      <c r="B1514">
        <f>IF(A1514="","",IFERROR(INDEX(Ввод!$B$12:$B$71,MATCH(A1514,Ввод!$D$12:$D$71,1)),""))</f>
        <v/>
      </c>
      <c r="C1514">
        <f>IF(A1514="","",DATE(YEAR(A1514),12,31)-DATE(YEAR(A1514),1,1)+1)</f>
        <v/>
      </c>
      <c r="D1514">
        <f>IF(A1514="","",SUMIFS(Акты!$D$5:$D$16,Акты!$E$5:$E$16,"&lt;="&amp;A1514)-SUMIFS(Оплаты!$B$6:$B$505,Оплаты!$A$6:$A$505,"&lt;"&amp;A1514,Оплаты!$D$6:$D$505,"&lt;&gt;"))</f>
        <v/>
      </c>
      <c r="E1514">
        <f>IF(A1514="","",IF(SUMPRODUCT((Ввод!$F$12:$F$31&lt;&gt;"")*(Ввод!$F$12:$F$31&lt;=A1514)*(Ввод!$G$12:$G$31&gt;=A1514))&gt;0,1,0))</f>
        <v/>
      </c>
      <c r="G1514">
        <f>IF(A1514="","",IF(OR(B1514&lt;&gt;B1513,C1514&lt;&gt;C1513,E1514&lt;&gt;E1513),G1513+1,G1513))</f>
        <v/>
      </c>
    </row>
    <row r="1515">
      <c r="A1515" s="20">
        <f>IF(A1514="","",IF(A1514+1&gt;Ввод!$B$4,"",A1514+1))</f>
        <v/>
      </c>
      <c r="B1515">
        <f>IF(A1515="","",IFERROR(INDEX(Ввод!$B$12:$B$71,MATCH(A1515,Ввод!$D$12:$D$71,1)),""))</f>
        <v/>
      </c>
      <c r="C1515">
        <f>IF(A1515="","",DATE(YEAR(A1515),12,31)-DATE(YEAR(A1515),1,1)+1)</f>
        <v/>
      </c>
      <c r="D1515">
        <f>IF(A1515="","",SUMIFS(Акты!$D$5:$D$16,Акты!$E$5:$E$16,"&lt;="&amp;A1515)-SUMIFS(Оплаты!$B$6:$B$505,Оплаты!$A$6:$A$505,"&lt;"&amp;A1515,Оплаты!$D$6:$D$505,"&lt;&gt;"))</f>
        <v/>
      </c>
      <c r="E1515">
        <f>IF(A1515="","",IF(SUMPRODUCT((Ввод!$F$12:$F$31&lt;&gt;"")*(Ввод!$F$12:$F$31&lt;=A1515)*(Ввод!$G$12:$G$31&gt;=A1515))&gt;0,1,0))</f>
        <v/>
      </c>
      <c r="G1515">
        <f>IF(A1515="","",IF(OR(B1515&lt;&gt;B1514,C1515&lt;&gt;C1514,E1515&lt;&gt;E1514),G1514+1,G1514))</f>
        <v/>
      </c>
    </row>
    <row r="1516">
      <c r="A1516" s="20">
        <f>IF(A1515="","",IF(A1515+1&gt;Ввод!$B$4,"",A1515+1))</f>
        <v/>
      </c>
      <c r="B1516">
        <f>IF(A1516="","",IFERROR(INDEX(Ввод!$B$12:$B$71,MATCH(A1516,Ввод!$D$12:$D$71,1)),""))</f>
        <v/>
      </c>
      <c r="C1516">
        <f>IF(A1516="","",DATE(YEAR(A1516),12,31)-DATE(YEAR(A1516),1,1)+1)</f>
        <v/>
      </c>
      <c r="D1516">
        <f>IF(A1516="","",SUMIFS(Акты!$D$5:$D$16,Акты!$E$5:$E$16,"&lt;="&amp;A1516)-SUMIFS(Оплаты!$B$6:$B$505,Оплаты!$A$6:$A$505,"&lt;"&amp;A1516,Оплаты!$D$6:$D$505,"&lt;&gt;"))</f>
        <v/>
      </c>
      <c r="E1516">
        <f>IF(A1516="","",IF(SUMPRODUCT((Ввод!$F$12:$F$31&lt;&gt;"")*(Ввод!$F$12:$F$31&lt;=A1516)*(Ввод!$G$12:$G$31&gt;=A1516))&gt;0,1,0))</f>
        <v/>
      </c>
      <c r="G1516">
        <f>IF(A1516="","",IF(OR(B1516&lt;&gt;B1515,C1516&lt;&gt;C1515,E1516&lt;&gt;E1515),G1515+1,G1515))</f>
        <v/>
      </c>
    </row>
    <row r="1517">
      <c r="A1517" s="20">
        <f>IF(A1516="","",IF(A1516+1&gt;Ввод!$B$4,"",A1516+1))</f>
        <v/>
      </c>
      <c r="B1517">
        <f>IF(A1517="","",IFERROR(INDEX(Ввод!$B$12:$B$71,MATCH(A1517,Ввод!$D$12:$D$71,1)),""))</f>
        <v/>
      </c>
      <c r="C1517">
        <f>IF(A1517="","",DATE(YEAR(A1517),12,31)-DATE(YEAR(A1517),1,1)+1)</f>
        <v/>
      </c>
      <c r="D1517">
        <f>IF(A1517="","",SUMIFS(Акты!$D$5:$D$16,Акты!$E$5:$E$16,"&lt;="&amp;A1517)-SUMIFS(Оплаты!$B$6:$B$505,Оплаты!$A$6:$A$505,"&lt;"&amp;A1517,Оплаты!$D$6:$D$505,"&lt;&gt;"))</f>
        <v/>
      </c>
      <c r="E1517">
        <f>IF(A1517="","",IF(SUMPRODUCT((Ввод!$F$12:$F$31&lt;&gt;"")*(Ввод!$F$12:$F$31&lt;=A1517)*(Ввод!$G$12:$G$31&gt;=A1517))&gt;0,1,0))</f>
        <v/>
      </c>
      <c r="G1517">
        <f>IF(A1517="","",IF(OR(B1517&lt;&gt;B1516,C1517&lt;&gt;C1516,E1517&lt;&gt;E1516),G1516+1,G1516))</f>
        <v/>
      </c>
    </row>
    <row r="1518">
      <c r="A1518" s="20">
        <f>IF(A1517="","",IF(A1517+1&gt;Ввод!$B$4,"",A1517+1))</f>
        <v/>
      </c>
      <c r="B1518">
        <f>IF(A1518="","",IFERROR(INDEX(Ввод!$B$12:$B$71,MATCH(A1518,Ввод!$D$12:$D$71,1)),""))</f>
        <v/>
      </c>
      <c r="C1518">
        <f>IF(A1518="","",DATE(YEAR(A1518),12,31)-DATE(YEAR(A1518),1,1)+1)</f>
        <v/>
      </c>
      <c r="D1518">
        <f>IF(A1518="","",SUMIFS(Акты!$D$5:$D$16,Акты!$E$5:$E$16,"&lt;="&amp;A1518)-SUMIFS(Оплаты!$B$6:$B$505,Оплаты!$A$6:$A$505,"&lt;"&amp;A1518,Оплаты!$D$6:$D$505,"&lt;&gt;"))</f>
        <v/>
      </c>
      <c r="E1518">
        <f>IF(A1518="","",IF(SUMPRODUCT((Ввод!$F$12:$F$31&lt;&gt;"")*(Ввод!$F$12:$F$31&lt;=A1518)*(Ввод!$G$12:$G$31&gt;=A1518))&gt;0,1,0))</f>
        <v/>
      </c>
      <c r="G1518">
        <f>IF(A1518="","",IF(OR(B1518&lt;&gt;B1517,C1518&lt;&gt;C1517,E1518&lt;&gt;E1517),G1517+1,G1517))</f>
        <v/>
      </c>
    </row>
    <row r="1519">
      <c r="A1519" s="20">
        <f>IF(A1518="","",IF(A1518+1&gt;Ввод!$B$4,"",A1518+1))</f>
        <v/>
      </c>
      <c r="B1519">
        <f>IF(A1519="","",IFERROR(INDEX(Ввод!$B$12:$B$71,MATCH(A1519,Ввод!$D$12:$D$71,1)),""))</f>
        <v/>
      </c>
      <c r="C1519">
        <f>IF(A1519="","",DATE(YEAR(A1519),12,31)-DATE(YEAR(A1519),1,1)+1)</f>
        <v/>
      </c>
      <c r="D1519">
        <f>IF(A1519="","",SUMIFS(Акты!$D$5:$D$16,Акты!$E$5:$E$16,"&lt;="&amp;A1519)-SUMIFS(Оплаты!$B$6:$B$505,Оплаты!$A$6:$A$505,"&lt;"&amp;A1519,Оплаты!$D$6:$D$505,"&lt;&gt;"))</f>
        <v/>
      </c>
      <c r="E1519">
        <f>IF(A1519="","",IF(SUMPRODUCT((Ввод!$F$12:$F$31&lt;&gt;"")*(Ввод!$F$12:$F$31&lt;=A1519)*(Ввод!$G$12:$G$31&gt;=A1519))&gt;0,1,0))</f>
        <v/>
      </c>
      <c r="G1519">
        <f>IF(A1519="","",IF(OR(B1519&lt;&gt;B1518,C1519&lt;&gt;C1518,E1519&lt;&gt;E1518),G1518+1,G1518))</f>
        <v/>
      </c>
    </row>
    <row r="1520">
      <c r="A1520" s="20">
        <f>IF(A1519="","",IF(A1519+1&gt;Ввод!$B$4,"",A1519+1))</f>
        <v/>
      </c>
      <c r="B1520">
        <f>IF(A1520="","",IFERROR(INDEX(Ввод!$B$12:$B$71,MATCH(A1520,Ввод!$D$12:$D$71,1)),""))</f>
        <v/>
      </c>
      <c r="C1520">
        <f>IF(A1520="","",DATE(YEAR(A1520),12,31)-DATE(YEAR(A1520),1,1)+1)</f>
        <v/>
      </c>
      <c r="D1520">
        <f>IF(A1520="","",SUMIFS(Акты!$D$5:$D$16,Акты!$E$5:$E$16,"&lt;="&amp;A1520)-SUMIFS(Оплаты!$B$6:$B$505,Оплаты!$A$6:$A$505,"&lt;"&amp;A1520,Оплаты!$D$6:$D$505,"&lt;&gt;"))</f>
        <v/>
      </c>
      <c r="E1520">
        <f>IF(A1520="","",IF(SUMPRODUCT((Ввод!$F$12:$F$31&lt;&gt;"")*(Ввод!$F$12:$F$31&lt;=A1520)*(Ввод!$G$12:$G$31&gt;=A1520))&gt;0,1,0))</f>
        <v/>
      </c>
      <c r="G1520">
        <f>IF(A1520="","",IF(OR(B1520&lt;&gt;B1519,C1520&lt;&gt;C1519,E1520&lt;&gt;E1519),G1519+1,G1519))</f>
        <v/>
      </c>
    </row>
    <row r="1521">
      <c r="A1521" s="20">
        <f>IF(A1520="","",IF(A1520+1&gt;Ввод!$B$4,"",A1520+1))</f>
        <v/>
      </c>
      <c r="B1521">
        <f>IF(A1521="","",IFERROR(INDEX(Ввод!$B$12:$B$71,MATCH(A1521,Ввод!$D$12:$D$71,1)),""))</f>
        <v/>
      </c>
      <c r="C1521">
        <f>IF(A1521="","",DATE(YEAR(A1521),12,31)-DATE(YEAR(A1521),1,1)+1)</f>
        <v/>
      </c>
      <c r="D1521">
        <f>IF(A1521="","",SUMIFS(Акты!$D$5:$D$16,Акты!$E$5:$E$16,"&lt;="&amp;A1521)-SUMIFS(Оплаты!$B$6:$B$505,Оплаты!$A$6:$A$505,"&lt;"&amp;A1521,Оплаты!$D$6:$D$505,"&lt;&gt;"))</f>
        <v/>
      </c>
      <c r="E1521">
        <f>IF(A1521="","",IF(SUMPRODUCT((Ввод!$F$12:$F$31&lt;&gt;"")*(Ввод!$F$12:$F$31&lt;=A1521)*(Ввод!$G$12:$G$31&gt;=A1521))&gt;0,1,0))</f>
        <v/>
      </c>
      <c r="G1521">
        <f>IF(A1521="","",IF(OR(B1521&lt;&gt;B1520,C1521&lt;&gt;C1520,E1521&lt;&gt;E1520),G1520+1,G1520))</f>
        <v/>
      </c>
    </row>
    <row r="1522">
      <c r="A1522" s="20">
        <f>IF(A1521="","",IF(A1521+1&gt;Ввод!$B$4,"",A1521+1))</f>
        <v/>
      </c>
      <c r="B1522">
        <f>IF(A1522="","",IFERROR(INDEX(Ввод!$B$12:$B$71,MATCH(A1522,Ввод!$D$12:$D$71,1)),""))</f>
        <v/>
      </c>
      <c r="C1522">
        <f>IF(A1522="","",DATE(YEAR(A1522),12,31)-DATE(YEAR(A1522),1,1)+1)</f>
        <v/>
      </c>
      <c r="D1522">
        <f>IF(A1522="","",SUMIFS(Акты!$D$5:$D$16,Акты!$E$5:$E$16,"&lt;="&amp;A1522)-SUMIFS(Оплаты!$B$6:$B$505,Оплаты!$A$6:$A$505,"&lt;"&amp;A1522,Оплаты!$D$6:$D$505,"&lt;&gt;"))</f>
        <v/>
      </c>
      <c r="E1522">
        <f>IF(A1522="","",IF(SUMPRODUCT((Ввод!$F$12:$F$31&lt;&gt;"")*(Ввод!$F$12:$F$31&lt;=A1522)*(Ввод!$G$12:$G$31&gt;=A1522))&gt;0,1,0))</f>
        <v/>
      </c>
      <c r="G1522">
        <f>IF(A1522="","",IF(OR(B1522&lt;&gt;B1521,C1522&lt;&gt;C1521,E1522&lt;&gt;E1521),G1521+1,G1521))</f>
        <v/>
      </c>
    </row>
    <row r="1523">
      <c r="A1523" s="20">
        <f>IF(A1522="","",IF(A1522+1&gt;Ввод!$B$4,"",A1522+1))</f>
        <v/>
      </c>
      <c r="B1523">
        <f>IF(A1523="","",IFERROR(INDEX(Ввод!$B$12:$B$71,MATCH(A1523,Ввод!$D$12:$D$71,1)),""))</f>
        <v/>
      </c>
      <c r="C1523">
        <f>IF(A1523="","",DATE(YEAR(A1523),12,31)-DATE(YEAR(A1523),1,1)+1)</f>
        <v/>
      </c>
      <c r="D1523">
        <f>IF(A1523="","",SUMIFS(Акты!$D$5:$D$16,Акты!$E$5:$E$16,"&lt;="&amp;A1523)-SUMIFS(Оплаты!$B$6:$B$505,Оплаты!$A$6:$A$505,"&lt;"&amp;A1523,Оплаты!$D$6:$D$505,"&lt;&gt;"))</f>
        <v/>
      </c>
      <c r="E1523">
        <f>IF(A1523="","",IF(SUMPRODUCT((Ввод!$F$12:$F$31&lt;&gt;"")*(Ввод!$F$12:$F$31&lt;=A1523)*(Ввод!$G$12:$G$31&gt;=A1523))&gt;0,1,0))</f>
        <v/>
      </c>
      <c r="G1523">
        <f>IF(A1523="","",IF(OR(B1523&lt;&gt;B1522,C1523&lt;&gt;C1522,E1523&lt;&gt;E1522),G1522+1,G1522))</f>
        <v/>
      </c>
    </row>
    <row r="1524">
      <c r="A1524" s="20">
        <f>IF(A1523="","",IF(A1523+1&gt;Ввод!$B$4,"",A1523+1))</f>
        <v/>
      </c>
      <c r="B1524">
        <f>IF(A1524="","",IFERROR(INDEX(Ввод!$B$12:$B$71,MATCH(A1524,Ввод!$D$12:$D$71,1)),""))</f>
        <v/>
      </c>
      <c r="C1524">
        <f>IF(A1524="","",DATE(YEAR(A1524),12,31)-DATE(YEAR(A1524),1,1)+1)</f>
        <v/>
      </c>
      <c r="D1524">
        <f>IF(A1524="","",SUMIFS(Акты!$D$5:$D$16,Акты!$E$5:$E$16,"&lt;="&amp;A1524)-SUMIFS(Оплаты!$B$6:$B$505,Оплаты!$A$6:$A$505,"&lt;"&amp;A1524,Оплаты!$D$6:$D$505,"&lt;&gt;"))</f>
        <v/>
      </c>
      <c r="E1524">
        <f>IF(A1524="","",IF(SUMPRODUCT((Ввод!$F$12:$F$31&lt;&gt;"")*(Ввод!$F$12:$F$31&lt;=A1524)*(Ввод!$G$12:$G$31&gt;=A1524))&gt;0,1,0))</f>
        <v/>
      </c>
      <c r="G1524">
        <f>IF(A1524="","",IF(OR(B1524&lt;&gt;B1523,C1524&lt;&gt;C1523,E1524&lt;&gt;E1523),G1523+1,G1523))</f>
        <v/>
      </c>
    </row>
    <row r="1525">
      <c r="A1525" s="20">
        <f>IF(A1524="","",IF(A1524+1&gt;Ввод!$B$4,"",A1524+1))</f>
        <v/>
      </c>
      <c r="B1525">
        <f>IF(A1525="","",IFERROR(INDEX(Ввод!$B$12:$B$71,MATCH(A1525,Ввод!$D$12:$D$71,1)),""))</f>
        <v/>
      </c>
      <c r="C1525">
        <f>IF(A1525="","",DATE(YEAR(A1525),12,31)-DATE(YEAR(A1525),1,1)+1)</f>
        <v/>
      </c>
      <c r="D1525">
        <f>IF(A1525="","",SUMIFS(Акты!$D$5:$D$16,Акты!$E$5:$E$16,"&lt;="&amp;A1525)-SUMIFS(Оплаты!$B$6:$B$505,Оплаты!$A$6:$A$505,"&lt;"&amp;A1525,Оплаты!$D$6:$D$505,"&lt;&gt;"))</f>
        <v/>
      </c>
      <c r="E1525">
        <f>IF(A1525="","",IF(SUMPRODUCT((Ввод!$F$12:$F$31&lt;&gt;"")*(Ввод!$F$12:$F$31&lt;=A1525)*(Ввод!$G$12:$G$31&gt;=A1525))&gt;0,1,0))</f>
        <v/>
      </c>
      <c r="G1525">
        <f>IF(A1525="","",IF(OR(B1525&lt;&gt;B1524,C1525&lt;&gt;C1524,E1525&lt;&gt;E1524),G1524+1,G1524))</f>
        <v/>
      </c>
    </row>
    <row r="1526">
      <c r="A1526" s="20">
        <f>IF(A1525="","",IF(A1525+1&gt;Ввод!$B$4,"",A1525+1))</f>
        <v/>
      </c>
      <c r="B1526">
        <f>IF(A1526="","",IFERROR(INDEX(Ввод!$B$12:$B$71,MATCH(A1526,Ввод!$D$12:$D$71,1)),""))</f>
        <v/>
      </c>
      <c r="C1526">
        <f>IF(A1526="","",DATE(YEAR(A1526),12,31)-DATE(YEAR(A1526),1,1)+1)</f>
        <v/>
      </c>
      <c r="D1526">
        <f>IF(A1526="","",SUMIFS(Акты!$D$5:$D$16,Акты!$E$5:$E$16,"&lt;="&amp;A1526)-SUMIFS(Оплаты!$B$6:$B$505,Оплаты!$A$6:$A$505,"&lt;"&amp;A1526,Оплаты!$D$6:$D$505,"&lt;&gt;"))</f>
        <v/>
      </c>
      <c r="E1526">
        <f>IF(A1526="","",IF(SUMPRODUCT((Ввод!$F$12:$F$31&lt;&gt;"")*(Ввод!$F$12:$F$31&lt;=A1526)*(Ввод!$G$12:$G$31&gt;=A1526))&gt;0,1,0))</f>
        <v/>
      </c>
      <c r="G1526">
        <f>IF(A1526="","",IF(OR(B1526&lt;&gt;B1525,C1526&lt;&gt;C1525,E1526&lt;&gt;E1525),G1525+1,G1525))</f>
        <v/>
      </c>
    </row>
    <row r="1527">
      <c r="A1527" s="20">
        <f>IF(A1526="","",IF(A1526+1&gt;Ввод!$B$4,"",A1526+1))</f>
        <v/>
      </c>
      <c r="B1527">
        <f>IF(A1527="","",IFERROR(INDEX(Ввод!$B$12:$B$71,MATCH(A1527,Ввод!$D$12:$D$71,1)),""))</f>
        <v/>
      </c>
      <c r="C1527">
        <f>IF(A1527="","",DATE(YEAR(A1527),12,31)-DATE(YEAR(A1527),1,1)+1)</f>
        <v/>
      </c>
      <c r="D1527">
        <f>IF(A1527="","",SUMIFS(Акты!$D$5:$D$16,Акты!$E$5:$E$16,"&lt;="&amp;A1527)-SUMIFS(Оплаты!$B$6:$B$505,Оплаты!$A$6:$A$505,"&lt;"&amp;A1527,Оплаты!$D$6:$D$505,"&lt;&gt;"))</f>
        <v/>
      </c>
      <c r="E1527">
        <f>IF(A1527="","",IF(SUMPRODUCT((Ввод!$F$12:$F$31&lt;&gt;"")*(Ввод!$F$12:$F$31&lt;=A1527)*(Ввод!$G$12:$G$31&gt;=A1527))&gt;0,1,0))</f>
        <v/>
      </c>
      <c r="G1527">
        <f>IF(A1527="","",IF(OR(B1527&lt;&gt;B1526,C1527&lt;&gt;C1526,E1527&lt;&gt;E1526),G1526+1,G1526))</f>
        <v/>
      </c>
    </row>
    <row r="1528">
      <c r="A1528" s="20">
        <f>IF(A1527="","",IF(A1527+1&gt;Ввод!$B$4,"",A1527+1))</f>
        <v/>
      </c>
      <c r="B1528">
        <f>IF(A1528="","",IFERROR(INDEX(Ввод!$B$12:$B$71,MATCH(A1528,Ввод!$D$12:$D$71,1)),""))</f>
        <v/>
      </c>
      <c r="C1528">
        <f>IF(A1528="","",DATE(YEAR(A1528),12,31)-DATE(YEAR(A1528),1,1)+1)</f>
        <v/>
      </c>
      <c r="D1528">
        <f>IF(A1528="","",SUMIFS(Акты!$D$5:$D$16,Акты!$E$5:$E$16,"&lt;="&amp;A1528)-SUMIFS(Оплаты!$B$6:$B$505,Оплаты!$A$6:$A$505,"&lt;"&amp;A1528,Оплаты!$D$6:$D$505,"&lt;&gt;"))</f>
        <v/>
      </c>
      <c r="E1528">
        <f>IF(A1528="","",IF(SUMPRODUCT((Ввод!$F$12:$F$31&lt;&gt;"")*(Ввод!$F$12:$F$31&lt;=A1528)*(Ввод!$G$12:$G$31&gt;=A1528))&gt;0,1,0))</f>
        <v/>
      </c>
      <c r="G1528">
        <f>IF(A1528="","",IF(OR(B1528&lt;&gt;B1527,C1528&lt;&gt;C1527,E1528&lt;&gt;E1527),G1527+1,G1527))</f>
        <v/>
      </c>
    </row>
    <row r="1529">
      <c r="A1529" s="20">
        <f>IF(A1528="","",IF(A1528+1&gt;Ввод!$B$4,"",A1528+1))</f>
        <v/>
      </c>
      <c r="B1529">
        <f>IF(A1529="","",IFERROR(INDEX(Ввод!$B$12:$B$71,MATCH(A1529,Ввод!$D$12:$D$71,1)),""))</f>
        <v/>
      </c>
      <c r="C1529">
        <f>IF(A1529="","",DATE(YEAR(A1529),12,31)-DATE(YEAR(A1529),1,1)+1)</f>
        <v/>
      </c>
      <c r="D1529">
        <f>IF(A1529="","",SUMIFS(Акты!$D$5:$D$16,Акты!$E$5:$E$16,"&lt;="&amp;A1529)-SUMIFS(Оплаты!$B$6:$B$505,Оплаты!$A$6:$A$505,"&lt;"&amp;A1529,Оплаты!$D$6:$D$505,"&lt;&gt;"))</f>
        <v/>
      </c>
      <c r="E1529">
        <f>IF(A1529="","",IF(SUMPRODUCT((Ввод!$F$12:$F$31&lt;&gt;"")*(Ввод!$F$12:$F$31&lt;=A1529)*(Ввод!$G$12:$G$31&gt;=A1529))&gt;0,1,0))</f>
        <v/>
      </c>
      <c r="G1529">
        <f>IF(A1529="","",IF(OR(B1529&lt;&gt;B1528,C1529&lt;&gt;C1528,E1529&lt;&gt;E1528),G1528+1,G1528))</f>
        <v/>
      </c>
    </row>
    <row r="1530">
      <c r="A1530" s="20">
        <f>IF(A1529="","",IF(A1529+1&gt;Ввод!$B$4,"",A1529+1))</f>
        <v/>
      </c>
      <c r="B1530">
        <f>IF(A1530="","",IFERROR(INDEX(Ввод!$B$12:$B$71,MATCH(A1530,Ввод!$D$12:$D$71,1)),""))</f>
        <v/>
      </c>
      <c r="C1530">
        <f>IF(A1530="","",DATE(YEAR(A1530),12,31)-DATE(YEAR(A1530),1,1)+1)</f>
        <v/>
      </c>
      <c r="D1530">
        <f>IF(A1530="","",SUMIFS(Акты!$D$5:$D$16,Акты!$E$5:$E$16,"&lt;="&amp;A1530)-SUMIFS(Оплаты!$B$6:$B$505,Оплаты!$A$6:$A$505,"&lt;"&amp;A1530,Оплаты!$D$6:$D$505,"&lt;&gt;"))</f>
        <v/>
      </c>
      <c r="E1530">
        <f>IF(A1530="","",IF(SUMPRODUCT((Ввод!$F$12:$F$31&lt;&gt;"")*(Ввод!$F$12:$F$31&lt;=A1530)*(Ввод!$G$12:$G$31&gt;=A1530))&gt;0,1,0))</f>
        <v/>
      </c>
      <c r="G1530">
        <f>IF(A1530="","",IF(OR(B1530&lt;&gt;B1529,C1530&lt;&gt;C1529,E1530&lt;&gt;E1529),G1529+1,G1529))</f>
        <v/>
      </c>
    </row>
    <row r="1531">
      <c r="A1531" s="20">
        <f>IF(A1530="","",IF(A1530+1&gt;Ввод!$B$4,"",A1530+1))</f>
        <v/>
      </c>
      <c r="B1531">
        <f>IF(A1531="","",IFERROR(INDEX(Ввод!$B$12:$B$71,MATCH(A1531,Ввод!$D$12:$D$71,1)),""))</f>
        <v/>
      </c>
      <c r="C1531">
        <f>IF(A1531="","",DATE(YEAR(A1531),12,31)-DATE(YEAR(A1531),1,1)+1)</f>
        <v/>
      </c>
      <c r="D1531">
        <f>IF(A1531="","",SUMIFS(Акты!$D$5:$D$16,Акты!$E$5:$E$16,"&lt;="&amp;A1531)-SUMIFS(Оплаты!$B$6:$B$505,Оплаты!$A$6:$A$505,"&lt;"&amp;A1531,Оплаты!$D$6:$D$505,"&lt;&gt;"))</f>
        <v/>
      </c>
      <c r="E1531">
        <f>IF(A1531="","",IF(SUMPRODUCT((Ввод!$F$12:$F$31&lt;&gt;"")*(Ввод!$F$12:$F$31&lt;=A1531)*(Ввод!$G$12:$G$31&gt;=A1531))&gt;0,1,0))</f>
        <v/>
      </c>
      <c r="G1531">
        <f>IF(A1531="","",IF(OR(B1531&lt;&gt;B1530,C1531&lt;&gt;C1530,E1531&lt;&gt;E1530),G1530+1,G1530))</f>
        <v/>
      </c>
    </row>
    <row r="1532">
      <c r="A1532" s="20">
        <f>IF(A1531="","",IF(A1531+1&gt;Ввод!$B$4,"",A1531+1))</f>
        <v/>
      </c>
      <c r="B1532">
        <f>IF(A1532="","",IFERROR(INDEX(Ввод!$B$12:$B$71,MATCH(A1532,Ввод!$D$12:$D$71,1)),""))</f>
        <v/>
      </c>
      <c r="C1532">
        <f>IF(A1532="","",DATE(YEAR(A1532),12,31)-DATE(YEAR(A1532),1,1)+1)</f>
        <v/>
      </c>
      <c r="D1532">
        <f>IF(A1532="","",SUMIFS(Акты!$D$5:$D$16,Акты!$E$5:$E$16,"&lt;="&amp;A1532)-SUMIFS(Оплаты!$B$6:$B$505,Оплаты!$A$6:$A$505,"&lt;"&amp;A1532,Оплаты!$D$6:$D$505,"&lt;&gt;"))</f>
        <v/>
      </c>
      <c r="E1532">
        <f>IF(A1532="","",IF(SUMPRODUCT((Ввод!$F$12:$F$31&lt;&gt;"")*(Ввод!$F$12:$F$31&lt;=A1532)*(Ввод!$G$12:$G$31&gt;=A1532))&gt;0,1,0))</f>
        <v/>
      </c>
      <c r="G1532">
        <f>IF(A1532="","",IF(OR(B1532&lt;&gt;B1531,C1532&lt;&gt;C1531,E1532&lt;&gt;E1531),G1531+1,G1531))</f>
        <v/>
      </c>
    </row>
    <row r="1533">
      <c r="A1533" s="20">
        <f>IF(A1532="","",IF(A1532+1&gt;Ввод!$B$4,"",A1532+1))</f>
        <v/>
      </c>
      <c r="B1533">
        <f>IF(A1533="","",IFERROR(INDEX(Ввод!$B$12:$B$71,MATCH(A1533,Ввод!$D$12:$D$71,1)),""))</f>
        <v/>
      </c>
      <c r="C1533">
        <f>IF(A1533="","",DATE(YEAR(A1533),12,31)-DATE(YEAR(A1533),1,1)+1)</f>
        <v/>
      </c>
      <c r="D1533">
        <f>IF(A1533="","",SUMIFS(Акты!$D$5:$D$16,Акты!$E$5:$E$16,"&lt;="&amp;A1533)-SUMIFS(Оплаты!$B$6:$B$505,Оплаты!$A$6:$A$505,"&lt;"&amp;A1533,Оплаты!$D$6:$D$505,"&lt;&gt;"))</f>
        <v/>
      </c>
      <c r="E1533">
        <f>IF(A1533="","",IF(SUMPRODUCT((Ввод!$F$12:$F$31&lt;&gt;"")*(Ввод!$F$12:$F$31&lt;=A1533)*(Ввод!$G$12:$G$31&gt;=A1533))&gt;0,1,0))</f>
        <v/>
      </c>
      <c r="G1533">
        <f>IF(A1533="","",IF(OR(B1533&lt;&gt;B1532,C1533&lt;&gt;C1532,E1533&lt;&gt;E1532),G1532+1,G1532))</f>
        <v/>
      </c>
    </row>
    <row r="1534">
      <c r="A1534" s="20">
        <f>IF(A1533="","",IF(A1533+1&gt;Ввод!$B$4,"",A1533+1))</f>
        <v/>
      </c>
      <c r="B1534">
        <f>IF(A1534="","",IFERROR(INDEX(Ввод!$B$12:$B$71,MATCH(A1534,Ввод!$D$12:$D$71,1)),""))</f>
        <v/>
      </c>
      <c r="C1534">
        <f>IF(A1534="","",DATE(YEAR(A1534),12,31)-DATE(YEAR(A1534),1,1)+1)</f>
        <v/>
      </c>
      <c r="D1534">
        <f>IF(A1534="","",SUMIFS(Акты!$D$5:$D$16,Акты!$E$5:$E$16,"&lt;="&amp;A1534)-SUMIFS(Оплаты!$B$6:$B$505,Оплаты!$A$6:$A$505,"&lt;"&amp;A1534,Оплаты!$D$6:$D$505,"&lt;&gt;"))</f>
        <v/>
      </c>
      <c r="E1534">
        <f>IF(A1534="","",IF(SUMPRODUCT((Ввод!$F$12:$F$31&lt;&gt;"")*(Ввод!$F$12:$F$31&lt;=A1534)*(Ввод!$G$12:$G$31&gt;=A1534))&gt;0,1,0))</f>
        <v/>
      </c>
      <c r="G1534">
        <f>IF(A1534="","",IF(OR(B1534&lt;&gt;B1533,C1534&lt;&gt;C1533,E1534&lt;&gt;E1533),G1533+1,G1533))</f>
        <v/>
      </c>
    </row>
    <row r="1535">
      <c r="A1535" s="20">
        <f>IF(A1534="","",IF(A1534+1&gt;Ввод!$B$4,"",A1534+1))</f>
        <v/>
      </c>
      <c r="B1535">
        <f>IF(A1535="","",IFERROR(INDEX(Ввод!$B$12:$B$71,MATCH(A1535,Ввод!$D$12:$D$71,1)),""))</f>
        <v/>
      </c>
      <c r="C1535">
        <f>IF(A1535="","",DATE(YEAR(A1535),12,31)-DATE(YEAR(A1535),1,1)+1)</f>
        <v/>
      </c>
      <c r="D1535">
        <f>IF(A1535="","",SUMIFS(Акты!$D$5:$D$16,Акты!$E$5:$E$16,"&lt;="&amp;A1535)-SUMIFS(Оплаты!$B$6:$B$505,Оплаты!$A$6:$A$505,"&lt;"&amp;A1535,Оплаты!$D$6:$D$505,"&lt;&gt;"))</f>
        <v/>
      </c>
      <c r="E1535">
        <f>IF(A1535="","",IF(SUMPRODUCT((Ввод!$F$12:$F$31&lt;&gt;"")*(Ввод!$F$12:$F$31&lt;=A1535)*(Ввод!$G$12:$G$31&gt;=A1535))&gt;0,1,0))</f>
        <v/>
      </c>
      <c r="G1535">
        <f>IF(A1535="","",IF(OR(B1535&lt;&gt;B1534,C1535&lt;&gt;C1534,E1535&lt;&gt;E1534),G1534+1,G1534))</f>
        <v/>
      </c>
    </row>
    <row r="1536">
      <c r="A1536" s="20">
        <f>IF(A1535="","",IF(A1535+1&gt;Ввод!$B$4,"",A1535+1))</f>
        <v/>
      </c>
      <c r="B1536">
        <f>IF(A1536="","",IFERROR(INDEX(Ввод!$B$12:$B$71,MATCH(A1536,Ввод!$D$12:$D$71,1)),""))</f>
        <v/>
      </c>
      <c r="C1536">
        <f>IF(A1536="","",DATE(YEAR(A1536),12,31)-DATE(YEAR(A1536),1,1)+1)</f>
        <v/>
      </c>
      <c r="D1536">
        <f>IF(A1536="","",SUMIFS(Акты!$D$5:$D$16,Акты!$E$5:$E$16,"&lt;="&amp;A1536)-SUMIFS(Оплаты!$B$6:$B$505,Оплаты!$A$6:$A$505,"&lt;"&amp;A1536,Оплаты!$D$6:$D$505,"&lt;&gt;"))</f>
        <v/>
      </c>
      <c r="E1536">
        <f>IF(A1536="","",IF(SUMPRODUCT((Ввод!$F$12:$F$31&lt;&gt;"")*(Ввод!$F$12:$F$31&lt;=A1536)*(Ввод!$G$12:$G$31&gt;=A1536))&gt;0,1,0))</f>
        <v/>
      </c>
      <c r="G1536">
        <f>IF(A1536="","",IF(OR(B1536&lt;&gt;B1535,C1536&lt;&gt;C1535,E1536&lt;&gt;E1535),G1535+1,G1535))</f>
        <v/>
      </c>
    </row>
    <row r="1537">
      <c r="A1537" s="20">
        <f>IF(A1536="","",IF(A1536+1&gt;Ввод!$B$4,"",A1536+1))</f>
        <v/>
      </c>
      <c r="B1537">
        <f>IF(A1537="","",IFERROR(INDEX(Ввод!$B$12:$B$71,MATCH(A1537,Ввод!$D$12:$D$71,1)),""))</f>
        <v/>
      </c>
      <c r="C1537">
        <f>IF(A1537="","",DATE(YEAR(A1537),12,31)-DATE(YEAR(A1537),1,1)+1)</f>
        <v/>
      </c>
      <c r="D1537">
        <f>IF(A1537="","",SUMIFS(Акты!$D$5:$D$16,Акты!$E$5:$E$16,"&lt;="&amp;A1537)-SUMIFS(Оплаты!$B$6:$B$505,Оплаты!$A$6:$A$505,"&lt;"&amp;A1537,Оплаты!$D$6:$D$505,"&lt;&gt;"))</f>
        <v/>
      </c>
      <c r="E1537">
        <f>IF(A1537="","",IF(SUMPRODUCT((Ввод!$F$12:$F$31&lt;&gt;"")*(Ввод!$F$12:$F$31&lt;=A1537)*(Ввод!$G$12:$G$31&gt;=A1537))&gt;0,1,0))</f>
        <v/>
      </c>
      <c r="G1537">
        <f>IF(A1537="","",IF(OR(B1537&lt;&gt;B1536,C1537&lt;&gt;C1536,E1537&lt;&gt;E1536),G1536+1,G1536))</f>
        <v/>
      </c>
    </row>
    <row r="1538">
      <c r="A1538" s="20">
        <f>IF(A1537="","",IF(A1537+1&gt;Ввод!$B$4,"",A1537+1))</f>
        <v/>
      </c>
      <c r="B1538">
        <f>IF(A1538="","",IFERROR(INDEX(Ввод!$B$12:$B$71,MATCH(A1538,Ввод!$D$12:$D$71,1)),""))</f>
        <v/>
      </c>
      <c r="C1538">
        <f>IF(A1538="","",DATE(YEAR(A1538),12,31)-DATE(YEAR(A1538),1,1)+1)</f>
        <v/>
      </c>
      <c r="D1538">
        <f>IF(A1538="","",SUMIFS(Акты!$D$5:$D$16,Акты!$E$5:$E$16,"&lt;="&amp;A1538)-SUMIFS(Оплаты!$B$6:$B$505,Оплаты!$A$6:$A$505,"&lt;"&amp;A1538,Оплаты!$D$6:$D$505,"&lt;&gt;"))</f>
        <v/>
      </c>
      <c r="E1538">
        <f>IF(A1538="","",IF(SUMPRODUCT((Ввод!$F$12:$F$31&lt;&gt;"")*(Ввод!$F$12:$F$31&lt;=A1538)*(Ввод!$G$12:$G$31&gt;=A1538))&gt;0,1,0))</f>
        <v/>
      </c>
      <c r="G1538">
        <f>IF(A1538="","",IF(OR(B1538&lt;&gt;B1537,C1538&lt;&gt;C1537,E1538&lt;&gt;E1537),G1537+1,G1537))</f>
        <v/>
      </c>
    </row>
    <row r="1539">
      <c r="A1539" s="20">
        <f>IF(A1538="","",IF(A1538+1&gt;Ввод!$B$4,"",A1538+1))</f>
        <v/>
      </c>
      <c r="B1539">
        <f>IF(A1539="","",IFERROR(INDEX(Ввод!$B$12:$B$71,MATCH(A1539,Ввод!$D$12:$D$71,1)),""))</f>
        <v/>
      </c>
      <c r="C1539">
        <f>IF(A1539="","",DATE(YEAR(A1539),12,31)-DATE(YEAR(A1539),1,1)+1)</f>
        <v/>
      </c>
      <c r="D1539">
        <f>IF(A1539="","",SUMIFS(Акты!$D$5:$D$16,Акты!$E$5:$E$16,"&lt;="&amp;A1539)-SUMIFS(Оплаты!$B$6:$B$505,Оплаты!$A$6:$A$505,"&lt;"&amp;A1539,Оплаты!$D$6:$D$505,"&lt;&gt;"))</f>
        <v/>
      </c>
      <c r="E1539">
        <f>IF(A1539="","",IF(SUMPRODUCT((Ввод!$F$12:$F$31&lt;&gt;"")*(Ввод!$F$12:$F$31&lt;=A1539)*(Ввод!$G$12:$G$31&gt;=A1539))&gt;0,1,0))</f>
        <v/>
      </c>
      <c r="G1539">
        <f>IF(A1539="","",IF(OR(B1539&lt;&gt;B1538,C1539&lt;&gt;C1538,E1539&lt;&gt;E1538),G1538+1,G1538))</f>
        <v/>
      </c>
    </row>
    <row r="1540">
      <c r="A1540" s="20">
        <f>IF(A1539="","",IF(A1539+1&gt;Ввод!$B$4,"",A1539+1))</f>
        <v/>
      </c>
      <c r="B1540">
        <f>IF(A1540="","",IFERROR(INDEX(Ввод!$B$12:$B$71,MATCH(A1540,Ввод!$D$12:$D$71,1)),""))</f>
        <v/>
      </c>
      <c r="C1540">
        <f>IF(A1540="","",DATE(YEAR(A1540),12,31)-DATE(YEAR(A1540),1,1)+1)</f>
        <v/>
      </c>
      <c r="D1540">
        <f>IF(A1540="","",SUMIFS(Акты!$D$5:$D$16,Акты!$E$5:$E$16,"&lt;="&amp;A1540)-SUMIFS(Оплаты!$B$6:$B$505,Оплаты!$A$6:$A$505,"&lt;"&amp;A1540,Оплаты!$D$6:$D$505,"&lt;&gt;"))</f>
        <v/>
      </c>
      <c r="E1540">
        <f>IF(A1540="","",IF(SUMPRODUCT((Ввод!$F$12:$F$31&lt;&gt;"")*(Ввод!$F$12:$F$31&lt;=A1540)*(Ввод!$G$12:$G$31&gt;=A1540))&gt;0,1,0))</f>
        <v/>
      </c>
      <c r="G1540">
        <f>IF(A1540="","",IF(OR(B1540&lt;&gt;B1539,C1540&lt;&gt;C1539,E1540&lt;&gt;E1539),G1539+1,G1539))</f>
        <v/>
      </c>
    </row>
    <row r="1541">
      <c r="A1541" s="20">
        <f>IF(A1540="","",IF(A1540+1&gt;Ввод!$B$4,"",A1540+1))</f>
        <v/>
      </c>
      <c r="B1541">
        <f>IF(A1541="","",IFERROR(INDEX(Ввод!$B$12:$B$71,MATCH(A1541,Ввод!$D$12:$D$71,1)),""))</f>
        <v/>
      </c>
      <c r="C1541">
        <f>IF(A1541="","",DATE(YEAR(A1541),12,31)-DATE(YEAR(A1541),1,1)+1)</f>
        <v/>
      </c>
      <c r="D1541">
        <f>IF(A1541="","",SUMIFS(Акты!$D$5:$D$16,Акты!$E$5:$E$16,"&lt;="&amp;A1541)-SUMIFS(Оплаты!$B$6:$B$505,Оплаты!$A$6:$A$505,"&lt;"&amp;A1541,Оплаты!$D$6:$D$505,"&lt;&gt;"))</f>
        <v/>
      </c>
      <c r="E1541">
        <f>IF(A1541="","",IF(SUMPRODUCT((Ввод!$F$12:$F$31&lt;&gt;"")*(Ввод!$F$12:$F$31&lt;=A1541)*(Ввод!$G$12:$G$31&gt;=A1541))&gt;0,1,0))</f>
        <v/>
      </c>
      <c r="G1541">
        <f>IF(A1541="","",IF(OR(B1541&lt;&gt;B1540,C1541&lt;&gt;C1540,E1541&lt;&gt;E1540),G1540+1,G1540))</f>
        <v/>
      </c>
    </row>
    <row r="1542">
      <c r="A1542" s="20">
        <f>IF(A1541="","",IF(A1541+1&gt;Ввод!$B$4,"",A1541+1))</f>
        <v/>
      </c>
      <c r="B1542">
        <f>IF(A1542="","",IFERROR(INDEX(Ввод!$B$12:$B$71,MATCH(A1542,Ввод!$D$12:$D$71,1)),""))</f>
        <v/>
      </c>
      <c r="C1542">
        <f>IF(A1542="","",DATE(YEAR(A1542),12,31)-DATE(YEAR(A1542),1,1)+1)</f>
        <v/>
      </c>
      <c r="D1542">
        <f>IF(A1542="","",SUMIFS(Акты!$D$5:$D$16,Акты!$E$5:$E$16,"&lt;="&amp;A1542)-SUMIFS(Оплаты!$B$6:$B$505,Оплаты!$A$6:$A$505,"&lt;"&amp;A1542,Оплаты!$D$6:$D$505,"&lt;&gt;"))</f>
        <v/>
      </c>
      <c r="E1542">
        <f>IF(A1542="","",IF(SUMPRODUCT((Ввод!$F$12:$F$31&lt;&gt;"")*(Ввод!$F$12:$F$31&lt;=A1542)*(Ввод!$G$12:$G$31&gt;=A1542))&gt;0,1,0))</f>
        <v/>
      </c>
      <c r="G1542">
        <f>IF(A1542="","",IF(OR(B1542&lt;&gt;B1541,C1542&lt;&gt;C1541,E1542&lt;&gt;E1541),G1541+1,G1541))</f>
        <v/>
      </c>
    </row>
    <row r="1543">
      <c r="A1543" s="20">
        <f>IF(A1542="","",IF(A1542+1&gt;Ввод!$B$4,"",A1542+1))</f>
        <v/>
      </c>
      <c r="B1543">
        <f>IF(A1543="","",IFERROR(INDEX(Ввод!$B$12:$B$71,MATCH(A1543,Ввод!$D$12:$D$71,1)),""))</f>
        <v/>
      </c>
      <c r="C1543">
        <f>IF(A1543="","",DATE(YEAR(A1543),12,31)-DATE(YEAR(A1543),1,1)+1)</f>
        <v/>
      </c>
      <c r="D1543">
        <f>IF(A1543="","",SUMIFS(Акты!$D$5:$D$16,Акты!$E$5:$E$16,"&lt;="&amp;A1543)-SUMIFS(Оплаты!$B$6:$B$505,Оплаты!$A$6:$A$505,"&lt;"&amp;A1543,Оплаты!$D$6:$D$505,"&lt;&gt;"))</f>
        <v/>
      </c>
      <c r="E1543">
        <f>IF(A1543="","",IF(SUMPRODUCT((Ввод!$F$12:$F$31&lt;&gt;"")*(Ввод!$F$12:$F$31&lt;=A1543)*(Ввод!$G$12:$G$31&gt;=A1543))&gt;0,1,0))</f>
        <v/>
      </c>
      <c r="G1543">
        <f>IF(A1543="","",IF(OR(B1543&lt;&gt;B1542,C1543&lt;&gt;C1542,E1543&lt;&gt;E1542),G1542+1,G1542))</f>
        <v/>
      </c>
    </row>
    <row r="1544">
      <c r="A1544" s="20">
        <f>IF(A1543="","",IF(A1543+1&gt;Ввод!$B$4,"",A1543+1))</f>
        <v/>
      </c>
      <c r="B1544">
        <f>IF(A1544="","",IFERROR(INDEX(Ввод!$B$12:$B$71,MATCH(A1544,Ввод!$D$12:$D$71,1)),""))</f>
        <v/>
      </c>
      <c r="C1544">
        <f>IF(A1544="","",DATE(YEAR(A1544),12,31)-DATE(YEAR(A1544),1,1)+1)</f>
        <v/>
      </c>
      <c r="D1544">
        <f>IF(A1544="","",SUMIFS(Акты!$D$5:$D$16,Акты!$E$5:$E$16,"&lt;="&amp;A1544)-SUMIFS(Оплаты!$B$6:$B$505,Оплаты!$A$6:$A$505,"&lt;"&amp;A1544,Оплаты!$D$6:$D$505,"&lt;&gt;"))</f>
        <v/>
      </c>
      <c r="E1544">
        <f>IF(A1544="","",IF(SUMPRODUCT((Ввод!$F$12:$F$31&lt;&gt;"")*(Ввод!$F$12:$F$31&lt;=A1544)*(Ввод!$G$12:$G$31&gt;=A1544))&gt;0,1,0))</f>
        <v/>
      </c>
      <c r="G1544">
        <f>IF(A1544="","",IF(OR(B1544&lt;&gt;B1543,C1544&lt;&gt;C1543,E1544&lt;&gt;E1543),G1543+1,G1543))</f>
        <v/>
      </c>
    </row>
    <row r="1545">
      <c r="A1545" s="20">
        <f>IF(A1544="","",IF(A1544+1&gt;Ввод!$B$4,"",A1544+1))</f>
        <v/>
      </c>
      <c r="B1545">
        <f>IF(A1545="","",IFERROR(INDEX(Ввод!$B$12:$B$71,MATCH(A1545,Ввод!$D$12:$D$71,1)),""))</f>
        <v/>
      </c>
      <c r="C1545">
        <f>IF(A1545="","",DATE(YEAR(A1545),12,31)-DATE(YEAR(A1545),1,1)+1)</f>
        <v/>
      </c>
      <c r="D1545">
        <f>IF(A1545="","",SUMIFS(Акты!$D$5:$D$16,Акты!$E$5:$E$16,"&lt;="&amp;A1545)-SUMIFS(Оплаты!$B$6:$B$505,Оплаты!$A$6:$A$505,"&lt;"&amp;A1545,Оплаты!$D$6:$D$505,"&lt;&gt;"))</f>
        <v/>
      </c>
      <c r="E1545">
        <f>IF(A1545="","",IF(SUMPRODUCT((Ввод!$F$12:$F$31&lt;&gt;"")*(Ввод!$F$12:$F$31&lt;=A1545)*(Ввод!$G$12:$G$31&gt;=A1545))&gt;0,1,0))</f>
        <v/>
      </c>
      <c r="G1545">
        <f>IF(A1545="","",IF(OR(B1545&lt;&gt;B1544,C1545&lt;&gt;C1544,E1545&lt;&gt;E1544),G1544+1,G1544))</f>
        <v/>
      </c>
    </row>
    <row r="1546">
      <c r="A1546" s="20">
        <f>IF(A1545="","",IF(A1545+1&gt;Ввод!$B$4,"",A1545+1))</f>
        <v/>
      </c>
      <c r="B1546">
        <f>IF(A1546="","",IFERROR(INDEX(Ввод!$B$12:$B$71,MATCH(A1546,Ввод!$D$12:$D$71,1)),""))</f>
        <v/>
      </c>
      <c r="C1546">
        <f>IF(A1546="","",DATE(YEAR(A1546),12,31)-DATE(YEAR(A1546),1,1)+1)</f>
        <v/>
      </c>
      <c r="D1546">
        <f>IF(A1546="","",SUMIFS(Акты!$D$5:$D$16,Акты!$E$5:$E$16,"&lt;="&amp;A1546)-SUMIFS(Оплаты!$B$6:$B$505,Оплаты!$A$6:$A$505,"&lt;"&amp;A1546,Оплаты!$D$6:$D$505,"&lt;&gt;"))</f>
        <v/>
      </c>
      <c r="E1546">
        <f>IF(A1546="","",IF(SUMPRODUCT((Ввод!$F$12:$F$31&lt;&gt;"")*(Ввод!$F$12:$F$31&lt;=A1546)*(Ввод!$G$12:$G$31&gt;=A1546))&gt;0,1,0))</f>
        <v/>
      </c>
      <c r="G1546">
        <f>IF(A1546="","",IF(OR(B1546&lt;&gt;B1545,C1546&lt;&gt;C1545,E1546&lt;&gt;E1545),G1545+1,G1545))</f>
        <v/>
      </c>
    </row>
    <row r="1547">
      <c r="A1547" s="20">
        <f>IF(A1546="","",IF(A1546+1&gt;Ввод!$B$4,"",A1546+1))</f>
        <v/>
      </c>
      <c r="B1547">
        <f>IF(A1547="","",IFERROR(INDEX(Ввод!$B$12:$B$71,MATCH(A1547,Ввод!$D$12:$D$71,1)),""))</f>
        <v/>
      </c>
      <c r="C1547">
        <f>IF(A1547="","",DATE(YEAR(A1547),12,31)-DATE(YEAR(A1547),1,1)+1)</f>
        <v/>
      </c>
      <c r="D1547">
        <f>IF(A1547="","",SUMIFS(Акты!$D$5:$D$16,Акты!$E$5:$E$16,"&lt;="&amp;A1547)-SUMIFS(Оплаты!$B$6:$B$505,Оплаты!$A$6:$A$505,"&lt;"&amp;A1547,Оплаты!$D$6:$D$505,"&lt;&gt;"))</f>
        <v/>
      </c>
      <c r="E1547">
        <f>IF(A1547="","",IF(SUMPRODUCT((Ввод!$F$12:$F$31&lt;&gt;"")*(Ввод!$F$12:$F$31&lt;=A1547)*(Ввод!$G$12:$G$31&gt;=A1547))&gt;0,1,0))</f>
        <v/>
      </c>
      <c r="G1547">
        <f>IF(A1547="","",IF(OR(B1547&lt;&gt;B1546,C1547&lt;&gt;C1546,E1547&lt;&gt;E1546),G1546+1,G1546))</f>
        <v/>
      </c>
    </row>
    <row r="1548">
      <c r="A1548" s="20">
        <f>IF(A1547="","",IF(A1547+1&gt;Ввод!$B$4,"",A1547+1))</f>
        <v/>
      </c>
      <c r="B1548">
        <f>IF(A1548="","",IFERROR(INDEX(Ввод!$B$12:$B$71,MATCH(A1548,Ввод!$D$12:$D$71,1)),""))</f>
        <v/>
      </c>
      <c r="C1548">
        <f>IF(A1548="","",DATE(YEAR(A1548),12,31)-DATE(YEAR(A1548),1,1)+1)</f>
        <v/>
      </c>
      <c r="D1548">
        <f>IF(A1548="","",SUMIFS(Акты!$D$5:$D$16,Акты!$E$5:$E$16,"&lt;="&amp;A1548)-SUMIFS(Оплаты!$B$6:$B$505,Оплаты!$A$6:$A$505,"&lt;"&amp;A1548,Оплаты!$D$6:$D$505,"&lt;&gt;"))</f>
        <v/>
      </c>
      <c r="E1548">
        <f>IF(A1548="","",IF(SUMPRODUCT((Ввод!$F$12:$F$31&lt;&gt;"")*(Ввод!$F$12:$F$31&lt;=A1548)*(Ввод!$G$12:$G$31&gt;=A1548))&gt;0,1,0))</f>
        <v/>
      </c>
      <c r="G1548">
        <f>IF(A1548="","",IF(OR(B1548&lt;&gt;B1547,C1548&lt;&gt;C1547,E1548&lt;&gt;E1547),G1547+1,G1547))</f>
        <v/>
      </c>
    </row>
    <row r="1549">
      <c r="A1549" s="20">
        <f>IF(A1548="","",IF(A1548+1&gt;Ввод!$B$4,"",A1548+1))</f>
        <v/>
      </c>
      <c r="B1549">
        <f>IF(A1549="","",IFERROR(INDEX(Ввод!$B$12:$B$71,MATCH(A1549,Ввод!$D$12:$D$71,1)),""))</f>
        <v/>
      </c>
      <c r="C1549">
        <f>IF(A1549="","",DATE(YEAR(A1549),12,31)-DATE(YEAR(A1549),1,1)+1)</f>
        <v/>
      </c>
      <c r="D1549">
        <f>IF(A1549="","",SUMIFS(Акты!$D$5:$D$16,Акты!$E$5:$E$16,"&lt;="&amp;A1549)-SUMIFS(Оплаты!$B$6:$B$505,Оплаты!$A$6:$A$505,"&lt;"&amp;A1549,Оплаты!$D$6:$D$505,"&lt;&gt;"))</f>
        <v/>
      </c>
      <c r="E1549">
        <f>IF(A1549="","",IF(SUMPRODUCT((Ввод!$F$12:$F$31&lt;&gt;"")*(Ввод!$F$12:$F$31&lt;=A1549)*(Ввод!$G$12:$G$31&gt;=A1549))&gt;0,1,0))</f>
        <v/>
      </c>
      <c r="G1549">
        <f>IF(A1549="","",IF(OR(B1549&lt;&gt;B1548,C1549&lt;&gt;C1548,E1549&lt;&gt;E1548),G1548+1,G1548))</f>
        <v/>
      </c>
    </row>
    <row r="1550">
      <c r="A1550" s="20">
        <f>IF(A1549="","",IF(A1549+1&gt;Ввод!$B$4,"",A1549+1))</f>
        <v/>
      </c>
      <c r="B1550">
        <f>IF(A1550="","",IFERROR(INDEX(Ввод!$B$12:$B$71,MATCH(A1550,Ввод!$D$12:$D$71,1)),""))</f>
        <v/>
      </c>
      <c r="C1550">
        <f>IF(A1550="","",DATE(YEAR(A1550),12,31)-DATE(YEAR(A1550),1,1)+1)</f>
        <v/>
      </c>
      <c r="D1550">
        <f>IF(A1550="","",SUMIFS(Акты!$D$5:$D$16,Акты!$E$5:$E$16,"&lt;="&amp;A1550)-SUMIFS(Оплаты!$B$6:$B$505,Оплаты!$A$6:$A$505,"&lt;"&amp;A1550,Оплаты!$D$6:$D$505,"&lt;&gt;"))</f>
        <v/>
      </c>
      <c r="E1550">
        <f>IF(A1550="","",IF(SUMPRODUCT((Ввод!$F$12:$F$31&lt;&gt;"")*(Ввод!$F$12:$F$31&lt;=A1550)*(Ввод!$G$12:$G$31&gt;=A1550))&gt;0,1,0))</f>
        <v/>
      </c>
      <c r="G1550">
        <f>IF(A1550="","",IF(OR(B1550&lt;&gt;B1549,C1550&lt;&gt;C1549,E1550&lt;&gt;E1549),G1549+1,G1549))</f>
        <v/>
      </c>
    </row>
    <row r="1551">
      <c r="A1551" s="20">
        <f>IF(A1550="","",IF(A1550+1&gt;Ввод!$B$4,"",A1550+1))</f>
        <v/>
      </c>
      <c r="B1551">
        <f>IF(A1551="","",IFERROR(INDEX(Ввод!$B$12:$B$71,MATCH(A1551,Ввод!$D$12:$D$71,1)),""))</f>
        <v/>
      </c>
      <c r="C1551">
        <f>IF(A1551="","",DATE(YEAR(A1551),12,31)-DATE(YEAR(A1551),1,1)+1)</f>
        <v/>
      </c>
      <c r="D1551">
        <f>IF(A1551="","",SUMIFS(Акты!$D$5:$D$16,Акты!$E$5:$E$16,"&lt;="&amp;A1551)-SUMIFS(Оплаты!$B$6:$B$505,Оплаты!$A$6:$A$505,"&lt;"&amp;A1551,Оплаты!$D$6:$D$505,"&lt;&gt;"))</f>
        <v/>
      </c>
      <c r="E1551">
        <f>IF(A1551="","",IF(SUMPRODUCT((Ввод!$F$12:$F$31&lt;&gt;"")*(Ввод!$F$12:$F$31&lt;=A1551)*(Ввод!$G$12:$G$31&gt;=A1551))&gt;0,1,0))</f>
        <v/>
      </c>
      <c r="G1551">
        <f>IF(A1551="","",IF(OR(B1551&lt;&gt;B1550,C1551&lt;&gt;C1550,E1551&lt;&gt;E1550),G1550+1,G1550))</f>
        <v/>
      </c>
    </row>
    <row r="1552">
      <c r="A1552" s="20">
        <f>IF(A1551="","",IF(A1551+1&gt;Ввод!$B$4,"",A1551+1))</f>
        <v/>
      </c>
      <c r="B1552">
        <f>IF(A1552="","",IFERROR(INDEX(Ввод!$B$12:$B$71,MATCH(A1552,Ввод!$D$12:$D$71,1)),""))</f>
        <v/>
      </c>
      <c r="C1552">
        <f>IF(A1552="","",DATE(YEAR(A1552),12,31)-DATE(YEAR(A1552),1,1)+1)</f>
        <v/>
      </c>
      <c r="D1552">
        <f>IF(A1552="","",SUMIFS(Акты!$D$5:$D$16,Акты!$E$5:$E$16,"&lt;="&amp;A1552)-SUMIFS(Оплаты!$B$6:$B$505,Оплаты!$A$6:$A$505,"&lt;"&amp;A1552,Оплаты!$D$6:$D$505,"&lt;&gt;"))</f>
        <v/>
      </c>
      <c r="E1552">
        <f>IF(A1552="","",IF(SUMPRODUCT((Ввод!$F$12:$F$31&lt;&gt;"")*(Ввод!$F$12:$F$31&lt;=A1552)*(Ввод!$G$12:$G$31&gt;=A1552))&gt;0,1,0))</f>
        <v/>
      </c>
      <c r="G1552">
        <f>IF(A1552="","",IF(OR(B1552&lt;&gt;B1551,C1552&lt;&gt;C1551,E1552&lt;&gt;E1551),G1551+1,G1551))</f>
        <v/>
      </c>
    </row>
    <row r="1553">
      <c r="A1553" s="20">
        <f>IF(A1552="","",IF(A1552+1&gt;Ввод!$B$4,"",A1552+1))</f>
        <v/>
      </c>
      <c r="B1553">
        <f>IF(A1553="","",IFERROR(INDEX(Ввод!$B$12:$B$71,MATCH(A1553,Ввод!$D$12:$D$71,1)),""))</f>
        <v/>
      </c>
      <c r="C1553">
        <f>IF(A1553="","",DATE(YEAR(A1553),12,31)-DATE(YEAR(A1553),1,1)+1)</f>
        <v/>
      </c>
      <c r="D1553">
        <f>IF(A1553="","",SUMIFS(Акты!$D$5:$D$16,Акты!$E$5:$E$16,"&lt;="&amp;A1553)-SUMIFS(Оплаты!$B$6:$B$505,Оплаты!$A$6:$A$505,"&lt;"&amp;A1553,Оплаты!$D$6:$D$505,"&lt;&gt;"))</f>
        <v/>
      </c>
      <c r="E1553">
        <f>IF(A1553="","",IF(SUMPRODUCT((Ввод!$F$12:$F$31&lt;&gt;"")*(Ввод!$F$12:$F$31&lt;=A1553)*(Ввод!$G$12:$G$31&gt;=A1553))&gt;0,1,0))</f>
        <v/>
      </c>
      <c r="G1553">
        <f>IF(A1553="","",IF(OR(B1553&lt;&gt;B1552,C1553&lt;&gt;C1552,E1553&lt;&gt;E1552),G1552+1,G1552))</f>
        <v/>
      </c>
    </row>
    <row r="1554">
      <c r="A1554" s="20">
        <f>IF(A1553="","",IF(A1553+1&gt;Ввод!$B$4,"",A1553+1))</f>
        <v/>
      </c>
      <c r="B1554">
        <f>IF(A1554="","",IFERROR(INDEX(Ввод!$B$12:$B$71,MATCH(A1554,Ввод!$D$12:$D$71,1)),""))</f>
        <v/>
      </c>
      <c r="C1554">
        <f>IF(A1554="","",DATE(YEAR(A1554),12,31)-DATE(YEAR(A1554),1,1)+1)</f>
        <v/>
      </c>
      <c r="D1554">
        <f>IF(A1554="","",SUMIFS(Акты!$D$5:$D$16,Акты!$E$5:$E$16,"&lt;="&amp;A1554)-SUMIFS(Оплаты!$B$6:$B$505,Оплаты!$A$6:$A$505,"&lt;"&amp;A1554,Оплаты!$D$6:$D$505,"&lt;&gt;"))</f>
        <v/>
      </c>
      <c r="E1554">
        <f>IF(A1554="","",IF(SUMPRODUCT((Ввод!$F$12:$F$31&lt;&gt;"")*(Ввод!$F$12:$F$31&lt;=A1554)*(Ввод!$G$12:$G$31&gt;=A1554))&gt;0,1,0))</f>
        <v/>
      </c>
      <c r="G1554">
        <f>IF(A1554="","",IF(OR(B1554&lt;&gt;B1553,C1554&lt;&gt;C1553,E1554&lt;&gt;E1553),G1553+1,G1553))</f>
        <v/>
      </c>
    </row>
    <row r="1555">
      <c r="A1555" s="20">
        <f>IF(A1554="","",IF(A1554+1&gt;Ввод!$B$4,"",A1554+1))</f>
        <v/>
      </c>
      <c r="B1555">
        <f>IF(A1555="","",IFERROR(INDEX(Ввод!$B$12:$B$71,MATCH(A1555,Ввод!$D$12:$D$71,1)),""))</f>
        <v/>
      </c>
      <c r="C1555">
        <f>IF(A1555="","",DATE(YEAR(A1555),12,31)-DATE(YEAR(A1555),1,1)+1)</f>
        <v/>
      </c>
      <c r="D1555">
        <f>IF(A1555="","",SUMIFS(Акты!$D$5:$D$16,Акты!$E$5:$E$16,"&lt;="&amp;A1555)-SUMIFS(Оплаты!$B$6:$B$505,Оплаты!$A$6:$A$505,"&lt;"&amp;A1555,Оплаты!$D$6:$D$505,"&lt;&gt;"))</f>
        <v/>
      </c>
      <c r="E1555">
        <f>IF(A1555="","",IF(SUMPRODUCT((Ввод!$F$12:$F$31&lt;&gt;"")*(Ввод!$F$12:$F$31&lt;=A1555)*(Ввод!$G$12:$G$31&gt;=A1555))&gt;0,1,0))</f>
        <v/>
      </c>
      <c r="G1555">
        <f>IF(A1555="","",IF(OR(B1555&lt;&gt;B1554,C1555&lt;&gt;C1554,E1555&lt;&gt;E1554),G1554+1,G1554))</f>
        <v/>
      </c>
    </row>
    <row r="1556">
      <c r="A1556" s="20">
        <f>IF(A1555="","",IF(A1555+1&gt;Ввод!$B$4,"",A1555+1))</f>
        <v/>
      </c>
      <c r="B1556">
        <f>IF(A1556="","",IFERROR(INDEX(Ввод!$B$12:$B$71,MATCH(A1556,Ввод!$D$12:$D$71,1)),""))</f>
        <v/>
      </c>
      <c r="C1556">
        <f>IF(A1556="","",DATE(YEAR(A1556),12,31)-DATE(YEAR(A1556),1,1)+1)</f>
        <v/>
      </c>
      <c r="D1556">
        <f>IF(A1556="","",SUMIFS(Акты!$D$5:$D$16,Акты!$E$5:$E$16,"&lt;="&amp;A1556)-SUMIFS(Оплаты!$B$6:$B$505,Оплаты!$A$6:$A$505,"&lt;"&amp;A1556,Оплаты!$D$6:$D$505,"&lt;&gt;"))</f>
        <v/>
      </c>
      <c r="E1556">
        <f>IF(A1556="","",IF(SUMPRODUCT((Ввод!$F$12:$F$31&lt;&gt;"")*(Ввод!$F$12:$F$31&lt;=A1556)*(Ввод!$G$12:$G$31&gt;=A1556))&gt;0,1,0))</f>
        <v/>
      </c>
      <c r="G1556">
        <f>IF(A1556="","",IF(OR(B1556&lt;&gt;B1555,C1556&lt;&gt;C1555,E1556&lt;&gt;E1555),G1555+1,G1555))</f>
        <v/>
      </c>
    </row>
    <row r="1557">
      <c r="A1557" s="20">
        <f>IF(A1556="","",IF(A1556+1&gt;Ввод!$B$4,"",A1556+1))</f>
        <v/>
      </c>
      <c r="B1557">
        <f>IF(A1557="","",IFERROR(INDEX(Ввод!$B$12:$B$71,MATCH(A1557,Ввод!$D$12:$D$71,1)),""))</f>
        <v/>
      </c>
      <c r="C1557">
        <f>IF(A1557="","",DATE(YEAR(A1557),12,31)-DATE(YEAR(A1557),1,1)+1)</f>
        <v/>
      </c>
      <c r="D1557">
        <f>IF(A1557="","",SUMIFS(Акты!$D$5:$D$16,Акты!$E$5:$E$16,"&lt;="&amp;A1557)-SUMIFS(Оплаты!$B$6:$B$505,Оплаты!$A$6:$A$505,"&lt;"&amp;A1557,Оплаты!$D$6:$D$505,"&lt;&gt;"))</f>
        <v/>
      </c>
      <c r="E1557">
        <f>IF(A1557="","",IF(SUMPRODUCT((Ввод!$F$12:$F$31&lt;&gt;"")*(Ввод!$F$12:$F$31&lt;=A1557)*(Ввод!$G$12:$G$31&gt;=A1557))&gt;0,1,0))</f>
        <v/>
      </c>
      <c r="G1557">
        <f>IF(A1557="","",IF(OR(B1557&lt;&gt;B1556,C1557&lt;&gt;C1556,E1557&lt;&gt;E1556),G1556+1,G1556))</f>
        <v/>
      </c>
    </row>
    <row r="1558">
      <c r="A1558" s="20">
        <f>IF(A1557="","",IF(A1557+1&gt;Ввод!$B$4,"",A1557+1))</f>
        <v/>
      </c>
      <c r="B1558">
        <f>IF(A1558="","",IFERROR(INDEX(Ввод!$B$12:$B$71,MATCH(A1558,Ввод!$D$12:$D$71,1)),""))</f>
        <v/>
      </c>
      <c r="C1558">
        <f>IF(A1558="","",DATE(YEAR(A1558),12,31)-DATE(YEAR(A1558),1,1)+1)</f>
        <v/>
      </c>
      <c r="D1558">
        <f>IF(A1558="","",SUMIFS(Акты!$D$5:$D$16,Акты!$E$5:$E$16,"&lt;="&amp;A1558)-SUMIFS(Оплаты!$B$6:$B$505,Оплаты!$A$6:$A$505,"&lt;"&amp;A1558,Оплаты!$D$6:$D$505,"&lt;&gt;"))</f>
        <v/>
      </c>
      <c r="E1558">
        <f>IF(A1558="","",IF(SUMPRODUCT((Ввод!$F$12:$F$31&lt;&gt;"")*(Ввод!$F$12:$F$31&lt;=A1558)*(Ввод!$G$12:$G$31&gt;=A1558))&gt;0,1,0))</f>
        <v/>
      </c>
      <c r="G1558">
        <f>IF(A1558="","",IF(OR(B1558&lt;&gt;B1557,C1558&lt;&gt;C1557,E1558&lt;&gt;E1557),G1557+1,G1557))</f>
        <v/>
      </c>
    </row>
    <row r="1559">
      <c r="A1559" s="20">
        <f>IF(A1558="","",IF(A1558+1&gt;Ввод!$B$4,"",A1558+1))</f>
        <v/>
      </c>
      <c r="B1559">
        <f>IF(A1559="","",IFERROR(INDEX(Ввод!$B$12:$B$71,MATCH(A1559,Ввод!$D$12:$D$71,1)),""))</f>
        <v/>
      </c>
      <c r="C1559">
        <f>IF(A1559="","",DATE(YEAR(A1559),12,31)-DATE(YEAR(A1559),1,1)+1)</f>
        <v/>
      </c>
      <c r="D1559">
        <f>IF(A1559="","",SUMIFS(Акты!$D$5:$D$16,Акты!$E$5:$E$16,"&lt;="&amp;A1559)-SUMIFS(Оплаты!$B$6:$B$505,Оплаты!$A$6:$A$505,"&lt;"&amp;A1559,Оплаты!$D$6:$D$505,"&lt;&gt;"))</f>
        <v/>
      </c>
      <c r="E1559">
        <f>IF(A1559="","",IF(SUMPRODUCT((Ввод!$F$12:$F$31&lt;&gt;"")*(Ввод!$F$12:$F$31&lt;=A1559)*(Ввод!$G$12:$G$31&gt;=A1559))&gt;0,1,0))</f>
        <v/>
      </c>
      <c r="G1559">
        <f>IF(A1559="","",IF(OR(B1559&lt;&gt;B1558,C1559&lt;&gt;C1558,E1559&lt;&gt;E1558),G1558+1,G1558))</f>
        <v/>
      </c>
    </row>
    <row r="1560">
      <c r="A1560" s="20">
        <f>IF(A1559="","",IF(A1559+1&gt;Ввод!$B$4,"",A1559+1))</f>
        <v/>
      </c>
      <c r="B1560">
        <f>IF(A1560="","",IFERROR(INDEX(Ввод!$B$12:$B$71,MATCH(A1560,Ввод!$D$12:$D$71,1)),""))</f>
        <v/>
      </c>
      <c r="C1560">
        <f>IF(A1560="","",DATE(YEAR(A1560),12,31)-DATE(YEAR(A1560),1,1)+1)</f>
        <v/>
      </c>
      <c r="D1560">
        <f>IF(A1560="","",SUMIFS(Акты!$D$5:$D$16,Акты!$E$5:$E$16,"&lt;="&amp;A1560)-SUMIFS(Оплаты!$B$6:$B$505,Оплаты!$A$6:$A$505,"&lt;"&amp;A1560,Оплаты!$D$6:$D$505,"&lt;&gt;"))</f>
        <v/>
      </c>
      <c r="E1560">
        <f>IF(A1560="","",IF(SUMPRODUCT((Ввод!$F$12:$F$31&lt;&gt;"")*(Ввод!$F$12:$F$31&lt;=A1560)*(Ввод!$G$12:$G$31&gt;=A1560))&gt;0,1,0))</f>
        <v/>
      </c>
      <c r="G1560">
        <f>IF(A1560="","",IF(OR(B1560&lt;&gt;B1559,C1560&lt;&gt;C1559,E1560&lt;&gt;E1559),G1559+1,G1559))</f>
        <v/>
      </c>
    </row>
    <row r="1561">
      <c r="A1561" s="20">
        <f>IF(A1560="","",IF(A1560+1&gt;Ввод!$B$4,"",A1560+1))</f>
        <v/>
      </c>
      <c r="B1561">
        <f>IF(A1561="","",IFERROR(INDEX(Ввод!$B$12:$B$71,MATCH(A1561,Ввод!$D$12:$D$71,1)),""))</f>
        <v/>
      </c>
      <c r="C1561">
        <f>IF(A1561="","",DATE(YEAR(A1561),12,31)-DATE(YEAR(A1561),1,1)+1)</f>
        <v/>
      </c>
      <c r="D1561">
        <f>IF(A1561="","",SUMIFS(Акты!$D$5:$D$16,Акты!$E$5:$E$16,"&lt;="&amp;A1561)-SUMIFS(Оплаты!$B$6:$B$505,Оплаты!$A$6:$A$505,"&lt;"&amp;A1561,Оплаты!$D$6:$D$505,"&lt;&gt;"))</f>
        <v/>
      </c>
      <c r="E1561">
        <f>IF(A1561="","",IF(SUMPRODUCT((Ввод!$F$12:$F$31&lt;&gt;"")*(Ввод!$F$12:$F$31&lt;=A1561)*(Ввод!$G$12:$G$31&gt;=A1561))&gt;0,1,0))</f>
        <v/>
      </c>
      <c r="G1561">
        <f>IF(A1561="","",IF(OR(B1561&lt;&gt;B1560,C1561&lt;&gt;C1560,E1561&lt;&gt;E1560),G1560+1,G1560))</f>
        <v/>
      </c>
    </row>
    <row r="1562">
      <c r="A1562" s="20">
        <f>IF(A1561="","",IF(A1561+1&gt;Ввод!$B$4,"",A1561+1))</f>
        <v/>
      </c>
      <c r="B1562">
        <f>IF(A1562="","",IFERROR(INDEX(Ввод!$B$12:$B$71,MATCH(A1562,Ввод!$D$12:$D$71,1)),""))</f>
        <v/>
      </c>
      <c r="C1562">
        <f>IF(A1562="","",DATE(YEAR(A1562),12,31)-DATE(YEAR(A1562),1,1)+1)</f>
        <v/>
      </c>
      <c r="D1562">
        <f>IF(A1562="","",SUMIFS(Акты!$D$5:$D$16,Акты!$E$5:$E$16,"&lt;="&amp;A1562)-SUMIFS(Оплаты!$B$6:$B$505,Оплаты!$A$6:$A$505,"&lt;"&amp;A1562,Оплаты!$D$6:$D$505,"&lt;&gt;"))</f>
        <v/>
      </c>
      <c r="E1562">
        <f>IF(A1562="","",IF(SUMPRODUCT((Ввод!$F$12:$F$31&lt;&gt;"")*(Ввод!$F$12:$F$31&lt;=A1562)*(Ввод!$G$12:$G$31&gt;=A1562))&gt;0,1,0))</f>
        <v/>
      </c>
      <c r="G1562">
        <f>IF(A1562="","",IF(OR(B1562&lt;&gt;B1561,C1562&lt;&gt;C1561,E1562&lt;&gt;E1561),G1561+1,G1561))</f>
        <v/>
      </c>
    </row>
    <row r="1563">
      <c r="A1563" s="20">
        <f>IF(A1562="","",IF(A1562+1&gt;Ввод!$B$4,"",A1562+1))</f>
        <v/>
      </c>
      <c r="B1563">
        <f>IF(A1563="","",IFERROR(INDEX(Ввод!$B$12:$B$71,MATCH(A1563,Ввод!$D$12:$D$71,1)),""))</f>
        <v/>
      </c>
      <c r="C1563">
        <f>IF(A1563="","",DATE(YEAR(A1563),12,31)-DATE(YEAR(A1563),1,1)+1)</f>
        <v/>
      </c>
      <c r="D1563">
        <f>IF(A1563="","",SUMIFS(Акты!$D$5:$D$16,Акты!$E$5:$E$16,"&lt;="&amp;A1563)-SUMIFS(Оплаты!$B$6:$B$505,Оплаты!$A$6:$A$505,"&lt;"&amp;A1563,Оплаты!$D$6:$D$505,"&lt;&gt;"))</f>
        <v/>
      </c>
      <c r="E1563">
        <f>IF(A1563="","",IF(SUMPRODUCT((Ввод!$F$12:$F$31&lt;&gt;"")*(Ввод!$F$12:$F$31&lt;=A1563)*(Ввод!$G$12:$G$31&gt;=A1563))&gt;0,1,0))</f>
        <v/>
      </c>
      <c r="G1563">
        <f>IF(A1563="","",IF(OR(B1563&lt;&gt;B1562,C1563&lt;&gt;C1562,E1563&lt;&gt;E1562),G1562+1,G1562))</f>
        <v/>
      </c>
    </row>
    <row r="1564">
      <c r="A1564" s="20">
        <f>IF(A1563="","",IF(A1563+1&gt;Ввод!$B$4,"",A1563+1))</f>
        <v/>
      </c>
      <c r="B1564">
        <f>IF(A1564="","",IFERROR(INDEX(Ввод!$B$12:$B$71,MATCH(A1564,Ввод!$D$12:$D$71,1)),""))</f>
        <v/>
      </c>
      <c r="C1564">
        <f>IF(A1564="","",DATE(YEAR(A1564),12,31)-DATE(YEAR(A1564),1,1)+1)</f>
        <v/>
      </c>
      <c r="D1564">
        <f>IF(A1564="","",SUMIFS(Акты!$D$5:$D$16,Акты!$E$5:$E$16,"&lt;="&amp;A1564)-SUMIFS(Оплаты!$B$6:$B$505,Оплаты!$A$6:$A$505,"&lt;"&amp;A1564,Оплаты!$D$6:$D$505,"&lt;&gt;"))</f>
        <v/>
      </c>
      <c r="E1564">
        <f>IF(A1564="","",IF(SUMPRODUCT((Ввод!$F$12:$F$31&lt;&gt;"")*(Ввод!$F$12:$F$31&lt;=A1564)*(Ввод!$G$12:$G$31&gt;=A1564))&gt;0,1,0))</f>
        <v/>
      </c>
      <c r="G1564">
        <f>IF(A1564="","",IF(OR(B1564&lt;&gt;B1563,C1564&lt;&gt;C1563,E1564&lt;&gt;E1563),G1563+1,G1563))</f>
        <v/>
      </c>
    </row>
    <row r="1565">
      <c r="A1565" s="20">
        <f>IF(A1564="","",IF(A1564+1&gt;Ввод!$B$4,"",A1564+1))</f>
        <v/>
      </c>
      <c r="B1565">
        <f>IF(A1565="","",IFERROR(INDEX(Ввод!$B$12:$B$71,MATCH(A1565,Ввод!$D$12:$D$71,1)),""))</f>
        <v/>
      </c>
      <c r="C1565">
        <f>IF(A1565="","",DATE(YEAR(A1565),12,31)-DATE(YEAR(A1565),1,1)+1)</f>
        <v/>
      </c>
      <c r="D1565">
        <f>IF(A1565="","",SUMIFS(Акты!$D$5:$D$16,Акты!$E$5:$E$16,"&lt;="&amp;A1565)-SUMIFS(Оплаты!$B$6:$B$505,Оплаты!$A$6:$A$505,"&lt;"&amp;A1565,Оплаты!$D$6:$D$505,"&lt;&gt;"))</f>
        <v/>
      </c>
      <c r="E1565">
        <f>IF(A1565="","",IF(SUMPRODUCT((Ввод!$F$12:$F$31&lt;&gt;"")*(Ввод!$F$12:$F$31&lt;=A1565)*(Ввод!$G$12:$G$31&gt;=A1565))&gt;0,1,0))</f>
        <v/>
      </c>
      <c r="G1565">
        <f>IF(A1565="","",IF(OR(B1565&lt;&gt;B1564,C1565&lt;&gt;C1564,E1565&lt;&gt;E1564),G1564+1,G1564))</f>
        <v/>
      </c>
    </row>
    <row r="1566">
      <c r="A1566" s="20">
        <f>IF(A1565="","",IF(A1565+1&gt;Ввод!$B$4,"",A1565+1))</f>
        <v/>
      </c>
      <c r="B1566">
        <f>IF(A1566="","",IFERROR(INDEX(Ввод!$B$12:$B$71,MATCH(A1566,Ввод!$D$12:$D$71,1)),""))</f>
        <v/>
      </c>
      <c r="C1566">
        <f>IF(A1566="","",DATE(YEAR(A1566),12,31)-DATE(YEAR(A1566),1,1)+1)</f>
        <v/>
      </c>
      <c r="D1566">
        <f>IF(A1566="","",SUMIFS(Акты!$D$5:$D$16,Акты!$E$5:$E$16,"&lt;="&amp;A1566)-SUMIFS(Оплаты!$B$6:$B$505,Оплаты!$A$6:$A$505,"&lt;"&amp;A1566,Оплаты!$D$6:$D$505,"&lt;&gt;"))</f>
        <v/>
      </c>
      <c r="E1566">
        <f>IF(A1566="","",IF(SUMPRODUCT((Ввод!$F$12:$F$31&lt;&gt;"")*(Ввод!$F$12:$F$31&lt;=A1566)*(Ввод!$G$12:$G$31&gt;=A1566))&gt;0,1,0))</f>
        <v/>
      </c>
      <c r="G1566">
        <f>IF(A1566="","",IF(OR(B1566&lt;&gt;B1565,C1566&lt;&gt;C1565,E1566&lt;&gt;E1565),G1565+1,G1565))</f>
        <v/>
      </c>
    </row>
    <row r="1567">
      <c r="A1567" s="20">
        <f>IF(A1566="","",IF(A1566+1&gt;Ввод!$B$4,"",A1566+1))</f>
        <v/>
      </c>
      <c r="B1567">
        <f>IF(A1567="","",IFERROR(INDEX(Ввод!$B$12:$B$71,MATCH(A1567,Ввод!$D$12:$D$71,1)),""))</f>
        <v/>
      </c>
      <c r="C1567">
        <f>IF(A1567="","",DATE(YEAR(A1567),12,31)-DATE(YEAR(A1567),1,1)+1)</f>
        <v/>
      </c>
      <c r="D1567">
        <f>IF(A1567="","",SUMIFS(Акты!$D$5:$D$16,Акты!$E$5:$E$16,"&lt;="&amp;A1567)-SUMIFS(Оплаты!$B$6:$B$505,Оплаты!$A$6:$A$505,"&lt;"&amp;A1567,Оплаты!$D$6:$D$505,"&lt;&gt;"))</f>
        <v/>
      </c>
      <c r="E1567">
        <f>IF(A1567="","",IF(SUMPRODUCT((Ввод!$F$12:$F$31&lt;&gt;"")*(Ввод!$F$12:$F$31&lt;=A1567)*(Ввод!$G$12:$G$31&gt;=A1567))&gt;0,1,0))</f>
        <v/>
      </c>
      <c r="G1567">
        <f>IF(A1567="","",IF(OR(B1567&lt;&gt;B1566,C1567&lt;&gt;C1566,E1567&lt;&gt;E1566),G1566+1,G1566))</f>
        <v/>
      </c>
    </row>
    <row r="1568">
      <c r="A1568" s="20">
        <f>IF(A1567="","",IF(A1567+1&gt;Ввод!$B$4,"",A1567+1))</f>
        <v/>
      </c>
      <c r="B1568">
        <f>IF(A1568="","",IFERROR(INDEX(Ввод!$B$12:$B$71,MATCH(A1568,Ввод!$D$12:$D$71,1)),""))</f>
        <v/>
      </c>
      <c r="C1568">
        <f>IF(A1568="","",DATE(YEAR(A1568),12,31)-DATE(YEAR(A1568),1,1)+1)</f>
        <v/>
      </c>
      <c r="D1568">
        <f>IF(A1568="","",SUMIFS(Акты!$D$5:$D$16,Акты!$E$5:$E$16,"&lt;="&amp;A1568)-SUMIFS(Оплаты!$B$6:$B$505,Оплаты!$A$6:$A$505,"&lt;"&amp;A1568,Оплаты!$D$6:$D$505,"&lt;&gt;"))</f>
        <v/>
      </c>
      <c r="E1568">
        <f>IF(A1568="","",IF(SUMPRODUCT((Ввод!$F$12:$F$31&lt;&gt;"")*(Ввод!$F$12:$F$31&lt;=A1568)*(Ввод!$G$12:$G$31&gt;=A1568))&gt;0,1,0))</f>
        <v/>
      </c>
      <c r="G1568">
        <f>IF(A1568="","",IF(OR(B1568&lt;&gt;B1567,C1568&lt;&gt;C1567,E1568&lt;&gt;E1567),G1567+1,G1567))</f>
        <v/>
      </c>
    </row>
    <row r="1569">
      <c r="A1569" s="20">
        <f>IF(A1568="","",IF(A1568+1&gt;Ввод!$B$4,"",A1568+1))</f>
        <v/>
      </c>
      <c r="B1569">
        <f>IF(A1569="","",IFERROR(INDEX(Ввод!$B$12:$B$71,MATCH(A1569,Ввод!$D$12:$D$71,1)),""))</f>
        <v/>
      </c>
      <c r="C1569">
        <f>IF(A1569="","",DATE(YEAR(A1569),12,31)-DATE(YEAR(A1569),1,1)+1)</f>
        <v/>
      </c>
      <c r="D1569">
        <f>IF(A1569="","",SUMIFS(Акты!$D$5:$D$16,Акты!$E$5:$E$16,"&lt;="&amp;A1569)-SUMIFS(Оплаты!$B$6:$B$505,Оплаты!$A$6:$A$505,"&lt;"&amp;A1569,Оплаты!$D$6:$D$505,"&lt;&gt;"))</f>
        <v/>
      </c>
      <c r="E1569">
        <f>IF(A1569="","",IF(SUMPRODUCT((Ввод!$F$12:$F$31&lt;&gt;"")*(Ввод!$F$12:$F$31&lt;=A1569)*(Ввод!$G$12:$G$31&gt;=A1569))&gt;0,1,0))</f>
        <v/>
      </c>
      <c r="G1569">
        <f>IF(A1569="","",IF(OR(B1569&lt;&gt;B1568,C1569&lt;&gt;C1568,E1569&lt;&gt;E1568),G1568+1,G1568))</f>
        <v/>
      </c>
    </row>
    <row r="1570">
      <c r="A1570" s="20">
        <f>IF(A1569="","",IF(A1569+1&gt;Ввод!$B$4,"",A1569+1))</f>
        <v/>
      </c>
      <c r="B1570">
        <f>IF(A1570="","",IFERROR(INDEX(Ввод!$B$12:$B$71,MATCH(A1570,Ввод!$D$12:$D$71,1)),""))</f>
        <v/>
      </c>
      <c r="C1570">
        <f>IF(A1570="","",DATE(YEAR(A1570),12,31)-DATE(YEAR(A1570),1,1)+1)</f>
        <v/>
      </c>
      <c r="D1570">
        <f>IF(A1570="","",SUMIFS(Акты!$D$5:$D$16,Акты!$E$5:$E$16,"&lt;="&amp;A1570)-SUMIFS(Оплаты!$B$6:$B$505,Оплаты!$A$6:$A$505,"&lt;"&amp;A1570,Оплаты!$D$6:$D$505,"&lt;&gt;"))</f>
        <v/>
      </c>
      <c r="E1570">
        <f>IF(A1570="","",IF(SUMPRODUCT((Ввод!$F$12:$F$31&lt;&gt;"")*(Ввод!$F$12:$F$31&lt;=A1570)*(Ввод!$G$12:$G$31&gt;=A1570))&gt;0,1,0))</f>
        <v/>
      </c>
      <c r="G1570">
        <f>IF(A1570="","",IF(OR(B1570&lt;&gt;B1569,C1570&lt;&gt;C1569,E1570&lt;&gt;E1569),G1569+1,G1569))</f>
        <v/>
      </c>
    </row>
    <row r="1571">
      <c r="A1571" s="20">
        <f>IF(A1570="","",IF(A1570+1&gt;Ввод!$B$4,"",A1570+1))</f>
        <v/>
      </c>
      <c r="B1571">
        <f>IF(A1571="","",IFERROR(INDEX(Ввод!$B$12:$B$71,MATCH(A1571,Ввод!$D$12:$D$71,1)),""))</f>
        <v/>
      </c>
      <c r="C1571">
        <f>IF(A1571="","",DATE(YEAR(A1571),12,31)-DATE(YEAR(A1571),1,1)+1)</f>
        <v/>
      </c>
      <c r="D1571">
        <f>IF(A1571="","",SUMIFS(Акты!$D$5:$D$16,Акты!$E$5:$E$16,"&lt;="&amp;A1571)-SUMIFS(Оплаты!$B$6:$B$505,Оплаты!$A$6:$A$505,"&lt;"&amp;A1571,Оплаты!$D$6:$D$505,"&lt;&gt;"))</f>
        <v/>
      </c>
      <c r="E1571">
        <f>IF(A1571="","",IF(SUMPRODUCT((Ввод!$F$12:$F$31&lt;&gt;"")*(Ввод!$F$12:$F$31&lt;=A1571)*(Ввод!$G$12:$G$31&gt;=A1571))&gt;0,1,0))</f>
        <v/>
      </c>
      <c r="G1571">
        <f>IF(A1571="","",IF(OR(B1571&lt;&gt;B1570,C1571&lt;&gt;C1570,E1571&lt;&gt;E1570),G1570+1,G1570))</f>
        <v/>
      </c>
    </row>
    <row r="1572">
      <c r="A1572" s="20">
        <f>IF(A1571="","",IF(A1571+1&gt;Ввод!$B$4,"",A1571+1))</f>
        <v/>
      </c>
      <c r="B1572">
        <f>IF(A1572="","",IFERROR(INDEX(Ввод!$B$12:$B$71,MATCH(A1572,Ввод!$D$12:$D$71,1)),""))</f>
        <v/>
      </c>
      <c r="C1572">
        <f>IF(A1572="","",DATE(YEAR(A1572),12,31)-DATE(YEAR(A1572),1,1)+1)</f>
        <v/>
      </c>
      <c r="D1572">
        <f>IF(A1572="","",SUMIFS(Акты!$D$5:$D$16,Акты!$E$5:$E$16,"&lt;="&amp;A1572)-SUMIFS(Оплаты!$B$6:$B$505,Оплаты!$A$6:$A$505,"&lt;"&amp;A1572,Оплаты!$D$6:$D$505,"&lt;&gt;"))</f>
        <v/>
      </c>
      <c r="E1572">
        <f>IF(A1572="","",IF(SUMPRODUCT((Ввод!$F$12:$F$31&lt;&gt;"")*(Ввод!$F$12:$F$31&lt;=A1572)*(Ввод!$G$12:$G$31&gt;=A1572))&gt;0,1,0))</f>
        <v/>
      </c>
      <c r="G1572">
        <f>IF(A1572="","",IF(OR(B1572&lt;&gt;B1571,C1572&lt;&gt;C1571,E1572&lt;&gt;E1571),G1571+1,G1571))</f>
        <v/>
      </c>
    </row>
    <row r="1573">
      <c r="A1573" s="20">
        <f>IF(A1572="","",IF(A1572+1&gt;Ввод!$B$4,"",A1572+1))</f>
        <v/>
      </c>
      <c r="B1573">
        <f>IF(A1573="","",IFERROR(INDEX(Ввод!$B$12:$B$71,MATCH(A1573,Ввод!$D$12:$D$71,1)),""))</f>
        <v/>
      </c>
      <c r="C1573">
        <f>IF(A1573="","",DATE(YEAR(A1573),12,31)-DATE(YEAR(A1573),1,1)+1)</f>
        <v/>
      </c>
      <c r="D1573">
        <f>IF(A1573="","",SUMIFS(Акты!$D$5:$D$16,Акты!$E$5:$E$16,"&lt;="&amp;A1573)-SUMIFS(Оплаты!$B$6:$B$505,Оплаты!$A$6:$A$505,"&lt;"&amp;A1573,Оплаты!$D$6:$D$505,"&lt;&gt;"))</f>
        <v/>
      </c>
      <c r="E1573">
        <f>IF(A1573="","",IF(SUMPRODUCT((Ввод!$F$12:$F$31&lt;&gt;"")*(Ввод!$F$12:$F$31&lt;=A1573)*(Ввод!$G$12:$G$31&gt;=A1573))&gt;0,1,0))</f>
        <v/>
      </c>
      <c r="G1573">
        <f>IF(A1573="","",IF(OR(B1573&lt;&gt;B1572,C1573&lt;&gt;C1572,E1573&lt;&gt;E1572),G1572+1,G1572))</f>
        <v/>
      </c>
    </row>
    <row r="1574">
      <c r="A1574" s="20">
        <f>IF(A1573="","",IF(A1573+1&gt;Ввод!$B$4,"",A1573+1))</f>
        <v/>
      </c>
      <c r="B1574">
        <f>IF(A1574="","",IFERROR(INDEX(Ввод!$B$12:$B$71,MATCH(A1574,Ввод!$D$12:$D$71,1)),""))</f>
        <v/>
      </c>
      <c r="C1574">
        <f>IF(A1574="","",DATE(YEAR(A1574),12,31)-DATE(YEAR(A1574),1,1)+1)</f>
        <v/>
      </c>
      <c r="D1574">
        <f>IF(A1574="","",SUMIFS(Акты!$D$5:$D$16,Акты!$E$5:$E$16,"&lt;="&amp;A1574)-SUMIFS(Оплаты!$B$6:$B$505,Оплаты!$A$6:$A$505,"&lt;"&amp;A1574,Оплаты!$D$6:$D$505,"&lt;&gt;"))</f>
        <v/>
      </c>
      <c r="E1574">
        <f>IF(A1574="","",IF(SUMPRODUCT((Ввод!$F$12:$F$31&lt;&gt;"")*(Ввод!$F$12:$F$31&lt;=A1574)*(Ввод!$G$12:$G$31&gt;=A1574))&gt;0,1,0))</f>
        <v/>
      </c>
      <c r="G1574">
        <f>IF(A1574="","",IF(OR(B1574&lt;&gt;B1573,C1574&lt;&gt;C1573,E1574&lt;&gt;E1573),G1573+1,G1573))</f>
        <v/>
      </c>
    </row>
    <row r="1575">
      <c r="A1575" s="20">
        <f>IF(A1574="","",IF(A1574+1&gt;Ввод!$B$4,"",A1574+1))</f>
        <v/>
      </c>
      <c r="B1575">
        <f>IF(A1575="","",IFERROR(INDEX(Ввод!$B$12:$B$71,MATCH(A1575,Ввод!$D$12:$D$71,1)),""))</f>
        <v/>
      </c>
      <c r="C1575">
        <f>IF(A1575="","",DATE(YEAR(A1575),12,31)-DATE(YEAR(A1575),1,1)+1)</f>
        <v/>
      </c>
      <c r="D1575">
        <f>IF(A1575="","",SUMIFS(Акты!$D$5:$D$16,Акты!$E$5:$E$16,"&lt;="&amp;A1575)-SUMIFS(Оплаты!$B$6:$B$505,Оплаты!$A$6:$A$505,"&lt;"&amp;A1575,Оплаты!$D$6:$D$505,"&lt;&gt;"))</f>
        <v/>
      </c>
      <c r="E1575">
        <f>IF(A1575="","",IF(SUMPRODUCT((Ввод!$F$12:$F$31&lt;&gt;"")*(Ввод!$F$12:$F$31&lt;=A1575)*(Ввод!$G$12:$G$31&gt;=A1575))&gt;0,1,0))</f>
        <v/>
      </c>
      <c r="G1575">
        <f>IF(A1575="","",IF(OR(B1575&lt;&gt;B1574,C1575&lt;&gt;C1574,E1575&lt;&gt;E1574),G1574+1,G1574))</f>
        <v/>
      </c>
    </row>
    <row r="1576">
      <c r="A1576" s="20">
        <f>IF(A1575="","",IF(A1575+1&gt;Ввод!$B$4,"",A1575+1))</f>
        <v/>
      </c>
      <c r="B1576">
        <f>IF(A1576="","",IFERROR(INDEX(Ввод!$B$12:$B$71,MATCH(A1576,Ввод!$D$12:$D$71,1)),""))</f>
        <v/>
      </c>
      <c r="C1576">
        <f>IF(A1576="","",DATE(YEAR(A1576),12,31)-DATE(YEAR(A1576),1,1)+1)</f>
        <v/>
      </c>
      <c r="D1576">
        <f>IF(A1576="","",SUMIFS(Акты!$D$5:$D$16,Акты!$E$5:$E$16,"&lt;="&amp;A1576)-SUMIFS(Оплаты!$B$6:$B$505,Оплаты!$A$6:$A$505,"&lt;"&amp;A1576,Оплаты!$D$6:$D$505,"&lt;&gt;"))</f>
        <v/>
      </c>
      <c r="E1576">
        <f>IF(A1576="","",IF(SUMPRODUCT((Ввод!$F$12:$F$31&lt;&gt;"")*(Ввод!$F$12:$F$31&lt;=A1576)*(Ввод!$G$12:$G$31&gt;=A1576))&gt;0,1,0))</f>
        <v/>
      </c>
      <c r="G1576">
        <f>IF(A1576="","",IF(OR(B1576&lt;&gt;B1575,C1576&lt;&gt;C1575,E1576&lt;&gt;E1575),G1575+1,G1575))</f>
        <v/>
      </c>
    </row>
    <row r="1577">
      <c r="A1577" s="20">
        <f>IF(A1576="","",IF(A1576+1&gt;Ввод!$B$4,"",A1576+1))</f>
        <v/>
      </c>
      <c r="B1577">
        <f>IF(A1577="","",IFERROR(INDEX(Ввод!$B$12:$B$71,MATCH(A1577,Ввод!$D$12:$D$71,1)),""))</f>
        <v/>
      </c>
      <c r="C1577">
        <f>IF(A1577="","",DATE(YEAR(A1577),12,31)-DATE(YEAR(A1577),1,1)+1)</f>
        <v/>
      </c>
      <c r="D1577">
        <f>IF(A1577="","",SUMIFS(Акты!$D$5:$D$16,Акты!$E$5:$E$16,"&lt;="&amp;A1577)-SUMIFS(Оплаты!$B$6:$B$505,Оплаты!$A$6:$A$505,"&lt;"&amp;A1577,Оплаты!$D$6:$D$505,"&lt;&gt;"))</f>
        <v/>
      </c>
      <c r="E1577">
        <f>IF(A1577="","",IF(SUMPRODUCT((Ввод!$F$12:$F$31&lt;&gt;"")*(Ввод!$F$12:$F$31&lt;=A1577)*(Ввод!$G$12:$G$31&gt;=A1577))&gt;0,1,0))</f>
        <v/>
      </c>
      <c r="G1577">
        <f>IF(A1577="","",IF(OR(B1577&lt;&gt;B1576,C1577&lt;&gt;C1576,E1577&lt;&gt;E1576),G1576+1,G1576))</f>
        <v/>
      </c>
    </row>
    <row r="1578">
      <c r="A1578" s="20">
        <f>IF(A1577="","",IF(A1577+1&gt;Ввод!$B$4,"",A1577+1))</f>
        <v/>
      </c>
      <c r="B1578">
        <f>IF(A1578="","",IFERROR(INDEX(Ввод!$B$12:$B$71,MATCH(A1578,Ввод!$D$12:$D$71,1)),""))</f>
        <v/>
      </c>
      <c r="C1578">
        <f>IF(A1578="","",DATE(YEAR(A1578),12,31)-DATE(YEAR(A1578),1,1)+1)</f>
        <v/>
      </c>
      <c r="D1578">
        <f>IF(A1578="","",SUMIFS(Акты!$D$5:$D$16,Акты!$E$5:$E$16,"&lt;="&amp;A1578)-SUMIFS(Оплаты!$B$6:$B$505,Оплаты!$A$6:$A$505,"&lt;"&amp;A1578,Оплаты!$D$6:$D$505,"&lt;&gt;"))</f>
        <v/>
      </c>
      <c r="E1578">
        <f>IF(A1578="","",IF(SUMPRODUCT((Ввод!$F$12:$F$31&lt;&gt;"")*(Ввод!$F$12:$F$31&lt;=A1578)*(Ввод!$G$12:$G$31&gt;=A1578))&gt;0,1,0))</f>
        <v/>
      </c>
      <c r="G1578">
        <f>IF(A1578="","",IF(OR(B1578&lt;&gt;B1577,C1578&lt;&gt;C1577,E1578&lt;&gt;E1577),G1577+1,G1577))</f>
        <v/>
      </c>
    </row>
    <row r="1579">
      <c r="A1579" s="20">
        <f>IF(A1578="","",IF(A1578+1&gt;Ввод!$B$4,"",A1578+1))</f>
        <v/>
      </c>
      <c r="B1579">
        <f>IF(A1579="","",IFERROR(INDEX(Ввод!$B$12:$B$71,MATCH(A1579,Ввод!$D$12:$D$71,1)),""))</f>
        <v/>
      </c>
      <c r="C1579">
        <f>IF(A1579="","",DATE(YEAR(A1579),12,31)-DATE(YEAR(A1579),1,1)+1)</f>
        <v/>
      </c>
      <c r="D1579">
        <f>IF(A1579="","",SUMIFS(Акты!$D$5:$D$16,Акты!$E$5:$E$16,"&lt;="&amp;A1579)-SUMIFS(Оплаты!$B$6:$B$505,Оплаты!$A$6:$A$505,"&lt;"&amp;A1579,Оплаты!$D$6:$D$505,"&lt;&gt;"))</f>
        <v/>
      </c>
      <c r="E1579">
        <f>IF(A1579="","",IF(SUMPRODUCT((Ввод!$F$12:$F$31&lt;&gt;"")*(Ввод!$F$12:$F$31&lt;=A1579)*(Ввод!$G$12:$G$31&gt;=A1579))&gt;0,1,0))</f>
        <v/>
      </c>
      <c r="G1579">
        <f>IF(A1579="","",IF(OR(B1579&lt;&gt;B1578,C1579&lt;&gt;C1578,E1579&lt;&gt;E1578),G1578+1,G1578))</f>
        <v/>
      </c>
    </row>
    <row r="1580">
      <c r="A1580" s="20">
        <f>IF(A1579="","",IF(A1579+1&gt;Ввод!$B$4,"",A1579+1))</f>
        <v/>
      </c>
      <c r="B1580">
        <f>IF(A1580="","",IFERROR(INDEX(Ввод!$B$12:$B$71,MATCH(A1580,Ввод!$D$12:$D$71,1)),""))</f>
        <v/>
      </c>
      <c r="C1580">
        <f>IF(A1580="","",DATE(YEAR(A1580),12,31)-DATE(YEAR(A1580),1,1)+1)</f>
        <v/>
      </c>
      <c r="D1580">
        <f>IF(A1580="","",SUMIFS(Акты!$D$5:$D$16,Акты!$E$5:$E$16,"&lt;="&amp;A1580)-SUMIFS(Оплаты!$B$6:$B$505,Оплаты!$A$6:$A$505,"&lt;"&amp;A1580,Оплаты!$D$6:$D$505,"&lt;&gt;"))</f>
        <v/>
      </c>
      <c r="E1580">
        <f>IF(A1580="","",IF(SUMPRODUCT((Ввод!$F$12:$F$31&lt;&gt;"")*(Ввод!$F$12:$F$31&lt;=A1580)*(Ввод!$G$12:$G$31&gt;=A1580))&gt;0,1,0))</f>
        <v/>
      </c>
      <c r="G1580">
        <f>IF(A1580="","",IF(OR(B1580&lt;&gt;B1579,C1580&lt;&gt;C1579,E1580&lt;&gt;E1579),G1579+1,G1579))</f>
        <v/>
      </c>
    </row>
    <row r="1581">
      <c r="A1581" s="20">
        <f>IF(A1580="","",IF(A1580+1&gt;Ввод!$B$4,"",A1580+1))</f>
        <v/>
      </c>
      <c r="B1581">
        <f>IF(A1581="","",IFERROR(INDEX(Ввод!$B$12:$B$71,MATCH(A1581,Ввод!$D$12:$D$71,1)),""))</f>
        <v/>
      </c>
      <c r="C1581">
        <f>IF(A1581="","",DATE(YEAR(A1581),12,31)-DATE(YEAR(A1581),1,1)+1)</f>
        <v/>
      </c>
      <c r="D1581">
        <f>IF(A1581="","",SUMIFS(Акты!$D$5:$D$16,Акты!$E$5:$E$16,"&lt;="&amp;A1581)-SUMIFS(Оплаты!$B$6:$B$505,Оплаты!$A$6:$A$505,"&lt;"&amp;A1581,Оплаты!$D$6:$D$505,"&lt;&gt;"))</f>
        <v/>
      </c>
      <c r="E1581">
        <f>IF(A1581="","",IF(SUMPRODUCT((Ввод!$F$12:$F$31&lt;&gt;"")*(Ввод!$F$12:$F$31&lt;=A1581)*(Ввод!$G$12:$G$31&gt;=A1581))&gt;0,1,0))</f>
        <v/>
      </c>
      <c r="G1581">
        <f>IF(A1581="","",IF(OR(B1581&lt;&gt;B1580,C1581&lt;&gt;C1580,E1581&lt;&gt;E1580),G1580+1,G1580))</f>
        <v/>
      </c>
    </row>
    <row r="1582">
      <c r="A1582" s="20">
        <f>IF(A1581="","",IF(A1581+1&gt;Ввод!$B$4,"",A1581+1))</f>
        <v/>
      </c>
      <c r="B1582">
        <f>IF(A1582="","",IFERROR(INDEX(Ввод!$B$12:$B$71,MATCH(A1582,Ввод!$D$12:$D$71,1)),""))</f>
        <v/>
      </c>
      <c r="C1582">
        <f>IF(A1582="","",DATE(YEAR(A1582),12,31)-DATE(YEAR(A1582),1,1)+1)</f>
        <v/>
      </c>
      <c r="D1582">
        <f>IF(A1582="","",SUMIFS(Акты!$D$5:$D$16,Акты!$E$5:$E$16,"&lt;="&amp;A1582)-SUMIFS(Оплаты!$B$6:$B$505,Оплаты!$A$6:$A$505,"&lt;"&amp;A1582,Оплаты!$D$6:$D$505,"&lt;&gt;"))</f>
        <v/>
      </c>
      <c r="E1582">
        <f>IF(A1582="","",IF(SUMPRODUCT((Ввод!$F$12:$F$31&lt;&gt;"")*(Ввод!$F$12:$F$31&lt;=A1582)*(Ввод!$G$12:$G$31&gt;=A1582))&gt;0,1,0))</f>
        <v/>
      </c>
      <c r="G1582">
        <f>IF(A1582="","",IF(OR(B1582&lt;&gt;B1581,C1582&lt;&gt;C1581,E1582&lt;&gt;E1581),G1581+1,G1581))</f>
        <v/>
      </c>
    </row>
    <row r="1583">
      <c r="A1583" s="20">
        <f>IF(A1582="","",IF(A1582+1&gt;Ввод!$B$4,"",A1582+1))</f>
        <v/>
      </c>
      <c r="B1583">
        <f>IF(A1583="","",IFERROR(INDEX(Ввод!$B$12:$B$71,MATCH(A1583,Ввод!$D$12:$D$71,1)),""))</f>
        <v/>
      </c>
      <c r="C1583">
        <f>IF(A1583="","",DATE(YEAR(A1583),12,31)-DATE(YEAR(A1583),1,1)+1)</f>
        <v/>
      </c>
      <c r="D1583">
        <f>IF(A1583="","",SUMIFS(Акты!$D$5:$D$16,Акты!$E$5:$E$16,"&lt;="&amp;A1583)-SUMIFS(Оплаты!$B$6:$B$505,Оплаты!$A$6:$A$505,"&lt;"&amp;A1583,Оплаты!$D$6:$D$505,"&lt;&gt;"))</f>
        <v/>
      </c>
      <c r="E1583">
        <f>IF(A1583="","",IF(SUMPRODUCT((Ввод!$F$12:$F$31&lt;&gt;"")*(Ввод!$F$12:$F$31&lt;=A1583)*(Ввод!$G$12:$G$31&gt;=A1583))&gt;0,1,0))</f>
        <v/>
      </c>
      <c r="G1583">
        <f>IF(A1583="","",IF(OR(B1583&lt;&gt;B1582,C1583&lt;&gt;C1582,E1583&lt;&gt;E1582),G1582+1,G1582))</f>
        <v/>
      </c>
    </row>
    <row r="1584">
      <c r="A1584" s="20">
        <f>IF(A1583="","",IF(A1583+1&gt;Ввод!$B$4,"",A1583+1))</f>
        <v/>
      </c>
      <c r="B1584">
        <f>IF(A1584="","",IFERROR(INDEX(Ввод!$B$12:$B$71,MATCH(A1584,Ввод!$D$12:$D$71,1)),""))</f>
        <v/>
      </c>
      <c r="C1584">
        <f>IF(A1584="","",DATE(YEAR(A1584),12,31)-DATE(YEAR(A1584),1,1)+1)</f>
        <v/>
      </c>
      <c r="D1584">
        <f>IF(A1584="","",SUMIFS(Акты!$D$5:$D$16,Акты!$E$5:$E$16,"&lt;="&amp;A1584)-SUMIFS(Оплаты!$B$6:$B$505,Оплаты!$A$6:$A$505,"&lt;"&amp;A1584,Оплаты!$D$6:$D$505,"&lt;&gt;"))</f>
        <v/>
      </c>
      <c r="E1584">
        <f>IF(A1584="","",IF(SUMPRODUCT((Ввод!$F$12:$F$31&lt;&gt;"")*(Ввод!$F$12:$F$31&lt;=A1584)*(Ввод!$G$12:$G$31&gt;=A1584))&gt;0,1,0))</f>
        <v/>
      </c>
      <c r="G1584">
        <f>IF(A1584="","",IF(OR(B1584&lt;&gt;B1583,C1584&lt;&gt;C1583,E1584&lt;&gt;E1583),G1583+1,G1583))</f>
        <v/>
      </c>
    </row>
    <row r="1585">
      <c r="A1585" s="20">
        <f>IF(A1584="","",IF(A1584+1&gt;Ввод!$B$4,"",A1584+1))</f>
        <v/>
      </c>
      <c r="B1585">
        <f>IF(A1585="","",IFERROR(INDEX(Ввод!$B$12:$B$71,MATCH(A1585,Ввод!$D$12:$D$71,1)),""))</f>
        <v/>
      </c>
      <c r="C1585">
        <f>IF(A1585="","",DATE(YEAR(A1585),12,31)-DATE(YEAR(A1585),1,1)+1)</f>
        <v/>
      </c>
      <c r="D1585">
        <f>IF(A1585="","",SUMIFS(Акты!$D$5:$D$16,Акты!$E$5:$E$16,"&lt;="&amp;A1585)-SUMIFS(Оплаты!$B$6:$B$505,Оплаты!$A$6:$A$505,"&lt;"&amp;A1585,Оплаты!$D$6:$D$505,"&lt;&gt;"))</f>
        <v/>
      </c>
      <c r="E1585">
        <f>IF(A1585="","",IF(SUMPRODUCT((Ввод!$F$12:$F$31&lt;&gt;"")*(Ввод!$F$12:$F$31&lt;=A1585)*(Ввод!$G$12:$G$31&gt;=A1585))&gt;0,1,0))</f>
        <v/>
      </c>
      <c r="G1585">
        <f>IF(A1585="","",IF(OR(B1585&lt;&gt;B1584,C1585&lt;&gt;C1584,E1585&lt;&gt;E1584),G1584+1,G1584))</f>
        <v/>
      </c>
    </row>
    <row r="1586">
      <c r="A1586" s="20">
        <f>IF(A1585="","",IF(A1585+1&gt;Ввод!$B$4,"",A1585+1))</f>
        <v/>
      </c>
      <c r="B1586">
        <f>IF(A1586="","",IFERROR(INDEX(Ввод!$B$12:$B$71,MATCH(A1586,Ввод!$D$12:$D$71,1)),""))</f>
        <v/>
      </c>
      <c r="C1586">
        <f>IF(A1586="","",DATE(YEAR(A1586),12,31)-DATE(YEAR(A1586),1,1)+1)</f>
        <v/>
      </c>
      <c r="D1586">
        <f>IF(A1586="","",SUMIFS(Акты!$D$5:$D$16,Акты!$E$5:$E$16,"&lt;="&amp;A1586)-SUMIFS(Оплаты!$B$6:$B$505,Оплаты!$A$6:$A$505,"&lt;"&amp;A1586,Оплаты!$D$6:$D$505,"&lt;&gt;"))</f>
        <v/>
      </c>
      <c r="E1586">
        <f>IF(A1586="","",IF(SUMPRODUCT((Ввод!$F$12:$F$31&lt;&gt;"")*(Ввод!$F$12:$F$31&lt;=A1586)*(Ввод!$G$12:$G$31&gt;=A1586))&gt;0,1,0))</f>
        <v/>
      </c>
      <c r="G1586">
        <f>IF(A1586="","",IF(OR(B1586&lt;&gt;B1585,C1586&lt;&gt;C1585,E1586&lt;&gt;E1585),G1585+1,G1585))</f>
        <v/>
      </c>
    </row>
    <row r="1587">
      <c r="A1587" s="20">
        <f>IF(A1586="","",IF(A1586+1&gt;Ввод!$B$4,"",A1586+1))</f>
        <v/>
      </c>
      <c r="B1587">
        <f>IF(A1587="","",IFERROR(INDEX(Ввод!$B$12:$B$71,MATCH(A1587,Ввод!$D$12:$D$71,1)),""))</f>
        <v/>
      </c>
      <c r="C1587">
        <f>IF(A1587="","",DATE(YEAR(A1587),12,31)-DATE(YEAR(A1587),1,1)+1)</f>
        <v/>
      </c>
      <c r="D1587">
        <f>IF(A1587="","",SUMIFS(Акты!$D$5:$D$16,Акты!$E$5:$E$16,"&lt;="&amp;A1587)-SUMIFS(Оплаты!$B$6:$B$505,Оплаты!$A$6:$A$505,"&lt;"&amp;A1587,Оплаты!$D$6:$D$505,"&lt;&gt;"))</f>
        <v/>
      </c>
      <c r="E1587">
        <f>IF(A1587="","",IF(SUMPRODUCT((Ввод!$F$12:$F$31&lt;&gt;"")*(Ввод!$F$12:$F$31&lt;=A1587)*(Ввод!$G$12:$G$31&gt;=A1587))&gt;0,1,0))</f>
        <v/>
      </c>
      <c r="G1587">
        <f>IF(A1587="","",IF(OR(B1587&lt;&gt;B1586,C1587&lt;&gt;C1586,E1587&lt;&gt;E1586),G1586+1,G1586))</f>
        <v/>
      </c>
    </row>
    <row r="1588">
      <c r="A1588" s="20">
        <f>IF(A1587="","",IF(A1587+1&gt;Ввод!$B$4,"",A1587+1))</f>
        <v/>
      </c>
      <c r="B1588">
        <f>IF(A1588="","",IFERROR(INDEX(Ввод!$B$12:$B$71,MATCH(A1588,Ввод!$D$12:$D$71,1)),""))</f>
        <v/>
      </c>
      <c r="C1588">
        <f>IF(A1588="","",DATE(YEAR(A1588),12,31)-DATE(YEAR(A1588),1,1)+1)</f>
        <v/>
      </c>
      <c r="D1588">
        <f>IF(A1588="","",SUMIFS(Акты!$D$5:$D$16,Акты!$E$5:$E$16,"&lt;="&amp;A1588)-SUMIFS(Оплаты!$B$6:$B$505,Оплаты!$A$6:$A$505,"&lt;"&amp;A1588,Оплаты!$D$6:$D$505,"&lt;&gt;"))</f>
        <v/>
      </c>
      <c r="E1588">
        <f>IF(A1588="","",IF(SUMPRODUCT((Ввод!$F$12:$F$31&lt;&gt;"")*(Ввод!$F$12:$F$31&lt;=A1588)*(Ввод!$G$12:$G$31&gt;=A1588))&gt;0,1,0))</f>
        <v/>
      </c>
      <c r="G1588">
        <f>IF(A1588="","",IF(OR(B1588&lt;&gt;B1587,C1588&lt;&gt;C1587,E1588&lt;&gt;E1587),G1587+1,G1587))</f>
        <v/>
      </c>
    </row>
    <row r="1589">
      <c r="A1589" s="20">
        <f>IF(A1588="","",IF(A1588+1&gt;Ввод!$B$4,"",A1588+1))</f>
        <v/>
      </c>
      <c r="B1589">
        <f>IF(A1589="","",IFERROR(INDEX(Ввод!$B$12:$B$71,MATCH(A1589,Ввод!$D$12:$D$71,1)),""))</f>
        <v/>
      </c>
      <c r="C1589">
        <f>IF(A1589="","",DATE(YEAR(A1589),12,31)-DATE(YEAR(A1589),1,1)+1)</f>
        <v/>
      </c>
      <c r="D1589">
        <f>IF(A1589="","",SUMIFS(Акты!$D$5:$D$16,Акты!$E$5:$E$16,"&lt;="&amp;A1589)-SUMIFS(Оплаты!$B$6:$B$505,Оплаты!$A$6:$A$505,"&lt;"&amp;A1589,Оплаты!$D$6:$D$505,"&lt;&gt;"))</f>
        <v/>
      </c>
      <c r="E1589">
        <f>IF(A1589="","",IF(SUMPRODUCT((Ввод!$F$12:$F$31&lt;&gt;"")*(Ввод!$F$12:$F$31&lt;=A1589)*(Ввод!$G$12:$G$31&gt;=A1589))&gt;0,1,0))</f>
        <v/>
      </c>
      <c r="G1589">
        <f>IF(A1589="","",IF(OR(B1589&lt;&gt;B1588,C1589&lt;&gt;C1588,E1589&lt;&gt;E1588),G1588+1,G1588))</f>
        <v/>
      </c>
    </row>
    <row r="1590">
      <c r="A1590" s="20">
        <f>IF(A1589="","",IF(A1589+1&gt;Ввод!$B$4,"",A1589+1))</f>
        <v/>
      </c>
      <c r="B1590">
        <f>IF(A1590="","",IFERROR(INDEX(Ввод!$B$12:$B$71,MATCH(A1590,Ввод!$D$12:$D$71,1)),""))</f>
        <v/>
      </c>
      <c r="C1590">
        <f>IF(A1590="","",DATE(YEAR(A1590),12,31)-DATE(YEAR(A1590),1,1)+1)</f>
        <v/>
      </c>
      <c r="D1590">
        <f>IF(A1590="","",SUMIFS(Акты!$D$5:$D$16,Акты!$E$5:$E$16,"&lt;="&amp;A1590)-SUMIFS(Оплаты!$B$6:$B$505,Оплаты!$A$6:$A$505,"&lt;"&amp;A1590,Оплаты!$D$6:$D$505,"&lt;&gt;"))</f>
        <v/>
      </c>
      <c r="E1590">
        <f>IF(A1590="","",IF(SUMPRODUCT((Ввод!$F$12:$F$31&lt;&gt;"")*(Ввод!$F$12:$F$31&lt;=A1590)*(Ввод!$G$12:$G$31&gt;=A1590))&gt;0,1,0))</f>
        <v/>
      </c>
      <c r="G1590">
        <f>IF(A1590="","",IF(OR(B1590&lt;&gt;B1589,C1590&lt;&gt;C1589,E1590&lt;&gt;E1589),G1589+1,G1589))</f>
        <v/>
      </c>
    </row>
    <row r="1591">
      <c r="A1591" s="20">
        <f>IF(A1590="","",IF(A1590+1&gt;Ввод!$B$4,"",A1590+1))</f>
        <v/>
      </c>
      <c r="B1591">
        <f>IF(A1591="","",IFERROR(INDEX(Ввод!$B$12:$B$71,MATCH(A1591,Ввод!$D$12:$D$71,1)),""))</f>
        <v/>
      </c>
      <c r="C1591">
        <f>IF(A1591="","",DATE(YEAR(A1591),12,31)-DATE(YEAR(A1591),1,1)+1)</f>
        <v/>
      </c>
      <c r="D1591">
        <f>IF(A1591="","",SUMIFS(Акты!$D$5:$D$16,Акты!$E$5:$E$16,"&lt;="&amp;A1591)-SUMIFS(Оплаты!$B$6:$B$505,Оплаты!$A$6:$A$505,"&lt;"&amp;A1591,Оплаты!$D$6:$D$505,"&lt;&gt;"))</f>
        <v/>
      </c>
      <c r="E1591">
        <f>IF(A1591="","",IF(SUMPRODUCT((Ввод!$F$12:$F$31&lt;&gt;"")*(Ввод!$F$12:$F$31&lt;=A1591)*(Ввод!$G$12:$G$31&gt;=A1591))&gt;0,1,0))</f>
        <v/>
      </c>
      <c r="G1591">
        <f>IF(A1591="","",IF(OR(B1591&lt;&gt;B1590,C1591&lt;&gt;C1590,E1591&lt;&gt;E1590),G1590+1,G1590))</f>
        <v/>
      </c>
    </row>
    <row r="1592">
      <c r="A1592" s="20">
        <f>IF(A1591="","",IF(A1591+1&gt;Ввод!$B$4,"",A1591+1))</f>
        <v/>
      </c>
      <c r="B1592">
        <f>IF(A1592="","",IFERROR(INDEX(Ввод!$B$12:$B$71,MATCH(A1592,Ввод!$D$12:$D$71,1)),""))</f>
        <v/>
      </c>
      <c r="C1592">
        <f>IF(A1592="","",DATE(YEAR(A1592),12,31)-DATE(YEAR(A1592),1,1)+1)</f>
        <v/>
      </c>
      <c r="D1592">
        <f>IF(A1592="","",SUMIFS(Акты!$D$5:$D$16,Акты!$E$5:$E$16,"&lt;="&amp;A1592)-SUMIFS(Оплаты!$B$6:$B$505,Оплаты!$A$6:$A$505,"&lt;"&amp;A1592,Оплаты!$D$6:$D$505,"&lt;&gt;"))</f>
        <v/>
      </c>
      <c r="E1592">
        <f>IF(A1592="","",IF(SUMPRODUCT((Ввод!$F$12:$F$31&lt;&gt;"")*(Ввод!$F$12:$F$31&lt;=A1592)*(Ввод!$G$12:$G$31&gt;=A1592))&gt;0,1,0))</f>
        <v/>
      </c>
      <c r="G1592">
        <f>IF(A1592="","",IF(OR(B1592&lt;&gt;B1591,C1592&lt;&gt;C1591,E1592&lt;&gt;E1591),G1591+1,G1591))</f>
        <v/>
      </c>
    </row>
    <row r="1593">
      <c r="A1593" s="20">
        <f>IF(A1592="","",IF(A1592+1&gt;Ввод!$B$4,"",A1592+1))</f>
        <v/>
      </c>
      <c r="B1593">
        <f>IF(A1593="","",IFERROR(INDEX(Ввод!$B$12:$B$71,MATCH(A1593,Ввод!$D$12:$D$71,1)),""))</f>
        <v/>
      </c>
      <c r="C1593">
        <f>IF(A1593="","",DATE(YEAR(A1593),12,31)-DATE(YEAR(A1593),1,1)+1)</f>
        <v/>
      </c>
      <c r="D1593">
        <f>IF(A1593="","",SUMIFS(Акты!$D$5:$D$16,Акты!$E$5:$E$16,"&lt;="&amp;A1593)-SUMIFS(Оплаты!$B$6:$B$505,Оплаты!$A$6:$A$505,"&lt;"&amp;A1593,Оплаты!$D$6:$D$505,"&lt;&gt;"))</f>
        <v/>
      </c>
      <c r="E1593">
        <f>IF(A1593="","",IF(SUMPRODUCT((Ввод!$F$12:$F$31&lt;&gt;"")*(Ввод!$F$12:$F$31&lt;=A1593)*(Ввод!$G$12:$G$31&gt;=A1593))&gt;0,1,0))</f>
        <v/>
      </c>
      <c r="G1593">
        <f>IF(A1593="","",IF(OR(B1593&lt;&gt;B1592,C1593&lt;&gt;C1592,E1593&lt;&gt;E1592),G1592+1,G1592))</f>
        <v/>
      </c>
    </row>
    <row r="1594">
      <c r="A1594" s="20">
        <f>IF(A1593="","",IF(A1593+1&gt;Ввод!$B$4,"",A1593+1))</f>
        <v/>
      </c>
      <c r="B1594">
        <f>IF(A1594="","",IFERROR(INDEX(Ввод!$B$12:$B$71,MATCH(A1594,Ввод!$D$12:$D$71,1)),""))</f>
        <v/>
      </c>
      <c r="C1594">
        <f>IF(A1594="","",DATE(YEAR(A1594),12,31)-DATE(YEAR(A1594),1,1)+1)</f>
        <v/>
      </c>
      <c r="D1594">
        <f>IF(A1594="","",SUMIFS(Акты!$D$5:$D$16,Акты!$E$5:$E$16,"&lt;="&amp;A1594)-SUMIFS(Оплаты!$B$6:$B$505,Оплаты!$A$6:$A$505,"&lt;"&amp;A1594,Оплаты!$D$6:$D$505,"&lt;&gt;"))</f>
        <v/>
      </c>
      <c r="E1594">
        <f>IF(A1594="","",IF(SUMPRODUCT((Ввод!$F$12:$F$31&lt;&gt;"")*(Ввод!$F$12:$F$31&lt;=A1594)*(Ввод!$G$12:$G$31&gt;=A1594))&gt;0,1,0))</f>
        <v/>
      </c>
      <c r="G1594">
        <f>IF(A1594="","",IF(OR(B1594&lt;&gt;B1593,C1594&lt;&gt;C1593,E1594&lt;&gt;E1593),G1593+1,G1593))</f>
        <v/>
      </c>
    </row>
    <row r="1595">
      <c r="A1595" s="20">
        <f>IF(A1594="","",IF(A1594+1&gt;Ввод!$B$4,"",A1594+1))</f>
        <v/>
      </c>
      <c r="B1595">
        <f>IF(A1595="","",IFERROR(INDEX(Ввод!$B$12:$B$71,MATCH(A1595,Ввод!$D$12:$D$71,1)),""))</f>
        <v/>
      </c>
      <c r="C1595">
        <f>IF(A1595="","",DATE(YEAR(A1595),12,31)-DATE(YEAR(A1595),1,1)+1)</f>
        <v/>
      </c>
      <c r="D1595">
        <f>IF(A1595="","",SUMIFS(Акты!$D$5:$D$16,Акты!$E$5:$E$16,"&lt;="&amp;A1595)-SUMIFS(Оплаты!$B$6:$B$505,Оплаты!$A$6:$A$505,"&lt;"&amp;A1595,Оплаты!$D$6:$D$505,"&lt;&gt;"))</f>
        <v/>
      </c>
      <c r="E1595">
        <f>IF(A1595="","",IF(SUMPRODUCT((Ввод!$F$12:$F$31&lt;&gt;"")*(Ввод!$F$12:$F$31&lt;=A1595)*(Ввод!$G$12:$G$31&gt;=A1595))&gt;0,1,0))</f>
        <v/>
      </c>
      <c r="G1595">
        <f>IF(A1595="","",IF(OR(B1595&lt;&gt;B1594,C1595&lt;&gt;C1594,E1595&lt;&gt;E1594),G1594+1,G1594))</f>
        <v/>
      </c>
    </row>
    <row r="1596">
      <c r="A1596" s="20">
        <f>IF(A1595="","",IF(A1595+1&gt;Ввод!$B$4,"",A1595+1))</f>
        <v/>
      </c>
      <c r="B1596">
        <f>IF(A1596="","",IFERROR(INDEX(Ввод!$B$12:$B$71,MATCH(A1596,Ввод!$D$12:$D$71,1)),""))</f>
        <v/>
      </c>
      <c r="C1596">
        <f>IF(A1596="","",DATE(YEAR(A1596),12,31)-DATE(YEAR(A1596),1,1)+1)</f>
        <v/>
      </c>
      <c r="D1596">
        <f>IF(A1596="","",SUMIFS(Акты!$D$5:$D$16,Акты!$E$5:$E$16,"&lt;="&amp;A1596)-SUMIFS(Оплаты!$B$6:$B$505,Оплаты!$A$6:$A$505,"&lt;"&amp;A1596,Оплаты!$D$6:$D$505,"&lt;&gt;"))</f>
        <v/>
      </c>
      <c r="E1596">
        <f>IF(A1596="","",IF(SUMPRODUCT((Ввод!$F$12:$F$31&lt;&gt;"")*(Ввод!$F$12:$F$31&lt;=A1596)*(Ввод!$G$12:$G$31&gt;=A1596))&gt;0,1,0))</f>
        <v/>
      </c>
      <c r="G1596">
        <f>IF(A1596="","",IF(OR(B1596&lt;&gt;B1595,C1596&lt;&gt;C1595,E1596&lt;&gt;E1595),G1595+1,G1595))</f>
        <v/>
      </c>
    </row>
    <row r="1597">
      <c r="A1597" s="20">
        <f>IF(A1596="","",IF(A1596+1&gt;Ввод!$B$4,"",A1596+1))</f>
        <v/>
      </c>
      <c r="B1597">
        <f>IF(A1597="","",IFERROR(INDEX(Ввод!$B$12:$B$71,MATCH(A1597,Ввод!$D$12:$D$71,1)),""))</f>
        <v/>
      </c>
      <c r="C1597">
        <f>IF(A1597="","",DATE(YEAR(A1597),12,31)-DATE(YEAR(A1597),1,1)+1)</f>
        <v/>
      </c>
      <c r="D1597">
        <f>IF(A1597="","",SUMIFS(Акты!$D$5:$D$16,Акты!$E$5:$E$16,"&lt;="&amp;A1597)-SUMIFS(Оплаты!$B$6:$B$505,Оплаты!$A$6:$A$505,"&lt;"&amp;A1597,Оплаты!$D$6:$D$505,"&lt;&gt;"))</f>
        <v/>
      </c>
      <c r="E1597">
        <f>IF(A1597="","",IF(SUMPRODUCT((Ввод!$F$12:$F$31&lt;&gt;"")*(Ввод!$F$12:$F$31&lt;=A1597)*(Ввод!$G$12:$G$31&gt;=A1597))&gt;0,1,0))</f>
        <v/>
      </c>
      <c r="G1597">
        <f>IF(A1597="","",IF(OR(B1597&lt;&gt;B1596,C1597&lt;&gt;C1596,E1597&lt;&gt;E1596),G1596+1,G1596))</f>
        <v/>
      </c>
    </row>
    <row r="1598">
      <c r="A1598" s="20">
        <f>IF(A1597="","",IF(A1597+1&gt;Ввод!$B$4,"",A1597+1))</f>
        <v/>
      </c>
      <c r="B1598">
        <f>IF(A1598="","",IFERROR(INDEX(Ввод!$B$12:$B$71,MATCH(A1598,Ввод!$D$12:$D$71,1)),""))</f>
        <v/>
      </c>
      <c r="C1598">
        <f>IF(A1598="","",DATE(YEAR(A1598),12,31)-DATE(YEAR(A1598),1,1)+1)</f>
        <v/>
      </c>
      <c r="D1598">
        <f>IF(A1598="","",SUMIFS(Акты!$D$5:$D$16,Акты!$E$5:$E$16,"&lt;="&amp;A1598)-SUMIFS(Оплаты!$B$6:$B$505,Оплаты!$A$6:$A$505,"&lt;"&amp;A1598,Оплаты!$D$6:$D$505,"&lt;&gt;"))</f>
        <v/>
      </c>
      <c r="E1598">
        <f>IF(A1598="","",IF(SUMPRODUCT((Ввод!$F$12:$F$31&lt;&gt;"")*(Ввод!$F$12:$F$31&lt;=A1598)*(Ввод!$G$12:$G$31&gt;=A1598))&gt;0,1,0))</f>
        <v/>
      </c>
      <c r="G1598">
        <f>IF(A1598="","",IF(OR(B1598&lt;&gt;B1597,C1598&lt;&gt;C1597,E1598&lt;&gt;E1597),G1597+1,G1597))</f>
        <v/>
      </c>
    </row>
    <row r="1599">
      <c r="A1599" s="20">
        <f>IF(A1598="","",IF(A1598+1&gt;Ввод!$B$4,"",A1598+1))</f>
        <v/>
      </c>
      <c r="B1599">
        <f>IF(A1599="","",IFERROR(INDEX(Ввод!$B$12:$B$71,MATCH(A1599,Ввод!$D$12:$D$71,1)),""))</f>
        <v/>
      </c>
      <c r="C1599">
        <f>IF(A1599="","",DATE(YEAR(A1599),12,31)-DATE(YEAR(A1599),1,1)+1)</f>
        <v/>
      </c>
      <c r="D1599">
        <f>IF(A1599="","",SUMIFS(Акты!$D$5:$D$16,Акты!$E$5:$E$16,"&lt;="&amp;A1599)-SUMIFS(Оплаты!$B$6:$B$505,Оплаты!$A$6:$A$505,"&lt;"&amp;A1599,Оплаты!$D$6:$D$505,"&lt;&gt;"))</f>
        <v/>
      </c>
      <c r="E1599">
        <f>IF(A1599="","",IF(SUMPRODUCT((Ввод!$F$12:$F$31&lt;&gt;"")*(Ввод!$F$12:$F$31&lt;=A1599)*(Ввод!$G$12:$G$31&gt;=A1599))&gt;0,1,0))</f>
        <v/>
      </c>
      <c r="G1599">
        <f>IF(A1599="","",IF(OR(B1599&lt;&gt;B1598,C1599&lt;&gt;C1598,E1599&lt;&gt;E1598),G1598+1,G1598))</f>
        <v/>
      </c>
    </row>
    <row r="1600">
      <c r="A1600" s="20">
        <f>IF(A1599="","",IF(A1599+1&gt;Ввод!$B$4,"",A1599+1))</f>
        <v/>
      </c>
      <c r="B1600">
        <f>IF(A1600="","",IFERROR(INDEX(Ввод!$B$12:$B$71,MATCH(A1600,Ввод!$D$12:$D$71,1)),""))</f>
        <v/>
      </c>
      <c r="C1600">
        <f>IF(A1600="","",DATE(YEAR(A1600),12,31)-DATE(YEAR(A1600),1,1)+1)</f>
        <v/>
      </c>
      <c r="D1600">
        <f>IF(A1600="","",SUMIFS(Акты!$D$5:$D$16,Акты!$E$5:$E$16,"&lt;="&amp;A1600)-SUMIFS(Оплаты!$B$6:$B$505,Оплаты!$A$6:$A$505,"&lt;"&amp;A1600,Оплаты!$D$6:$D$505,"&lt;&gt;"))</f>
        <v/>
      </c>
      <c r="E1600">
        <f>IF(A1600="","",IF(SUMPRODUCT((Ввод!$F$12:$F$31&lt;&gt;"")*(Ввод!$F$12:$F$31&lt;=A1600)*(Ввод!$G$12:$G$31&gt;=A1600))&gt;0,1,0))</f>
        <v/>
      </c>
      <c r="G1600">
        <f>IF(A1600="","",IF(OR(B1600&lt;&gt;B1599,C1600&lt;&gt;C1599,E1600&lt;&gt;E1599),G1599+1,G1599))</f>
        <v/>
      </c>
    </row>
    <row r="1601">
      <c r="A1601" s="20">
        <f>IF(A1600="","",IF(A1600+1&gt;Ввод!$B$4,"",A1600+1))</f>
        <v/>
      </c>
      <c r="B1601">
        <f>IF(A1601="","",IFERROR(INDEX(Ввод!$B$12:$B$71,MATCH(A1601,Ввод!$D$12:$D$71,1)),""))</f>
        <v/>
      </c>
      <c r="C1601">
        <f>IF(A1601="","",DATE(YEAR(A1601),12,31)-DATE(YEAR(A1601),1,1)+1)</f>
        <v/>
      </c>
      <c r="D1601">
        <f>IF(A1601="","",SUMIFS(Акты!$D$5:$D$16,Акты!$E$5:$E$16,"&lt;="&amp;A1601)-SUMIFS(Оплаты!$B$6:$B$505,Оплаты!$A$6:$A$505,"&lt;"&amp;A1601,Оплаты!$D$6:$D$505,"&lt;&gt;"))</f>
        <v/>
      </c>
      <c r="E1601">
        <f>IF(A1601="","",IF(SUMPRODUCT((Ввод!$F$12:$F$31&lt;&gt;"")*(Ввод!$F$12:$F$31&lt;=A1601)*(Ввод!$G$12:$G$31&gt;=A1601))&gt;0,1,0))</f>
        <v/>
      </c>
      <c r="G1601">
        <f>IF(A1601="","",IF(OR(B1601&lt;&gt;B1600,C1601&lt;&gt;C1600,E1601&lt;&gt;E1600),G1600+1,G1600))</f>
        <v/>
      </c>
    </row>
    <row r="1602">
      <c r="A1602" s="20">
        <f>IF(A1601="","",IF(A1601+1&gt;Ввод!$B$4,"",A1601+1))</f>
        <v/>
      </c>
      <c r="B1602">
        <f>IF(A1602="","",IFERROR(INDEX(Ввод!$B$12:$B$71,MATCH(A1602,Ввод!$D$12:$D$71,1)),""))</f>
        <v/>
      </c>
      <c r="C1602">
        <f>IF(A1602="","",DATE(YEAR(A1602),12,31)-DATE(YEAR(A1602),1,1)+1)</f>
        <v/>
      </c>
      <c r="D1602">
        <f>IF(A1602="","",SUMIFS(Акты!$D$5:$D$16,Акты!$E$5:$E$16,"&lt;="&amp;A1602)-SUMIFS(Оплаты!$B$6:$B$505,Оплаты!$A$6:$A$505,"&lt;"&amp;A1602,Оплаты!$D$6:$D$505,"&lt;&gt;"))</f>
        <v/>
      </c>
      <c r="E1602">
        <f>IF(A1602="","",IF(SUMPRODUCT((Ввод!$F$12:$F$31&lt;&gt;"")*(Ввод!$F$12:$F$31&lt;=A1602)*(Ввод!$G$12:$G$31&gt;=A1602))&gt;0,1,0))</f>
        <v/>
      </c>
      <c r="G1602">
        <f>IF(A1602="","",IF(OR(B1602&lt;&gt;B1601,C1602&lt;&gt;C1601,E1602&lt;&gt;E1601),G1601+1,G1601))</f>
        <v/>
      </c>
    </row>
    <row r="1603">
      <c r="A1603" s="20">
        <f>IF(A1602="","",IF(A1602+1&gt;Ввод!$B$4,"",A1602+1))</f>
        <v/>
      </c>
      <c r="B1603">
        <f>IF(A1603="","",IFERROR(INDEX(Ввод!$B$12:$B$71,MATCH(A1603,Ввод!$D$12:$D$71,1)),""))</f>
        <v/>
      </c>
      <c r="C1603">
        <f>IF(A1603="","",DATE(YEAR(A1603),12,31)-DATE(YEAR(A1603),1,1)+1)</f>
        <v/>
      </c>
      <c r="D1603">
        <f>IF(A1603="","",SUMIFS(Акты!$D$5:$D$16,Акты!$E$5:$E$16,"&lt;="&amp;A1603)-SUMIFS(Оплаты!$B$6:$B$505,Оплаты!$A$6:$A$505,"&lt;"&amp;A1603,Оплаты!$D$6:$D$505,"&lt;&gt;"))</f>
        <v/>
      </c>
      <c r="E1603">
        <f>IF(A1603="","",IF(SUMPRODUCT((Ввод!$F$12:$F$31&lt;&gt;"")*(Ввод!$F$12:$F$31&lt;=A1603)*(Ввод!$G$12:$G$31&gt;=A1603))&gt;0,1,0))</f>
        <v/>
      </c>
      <c r="G1603">
        <f>IF(A1603="","",IF(OR(B1603&lt;&gt;B1602,C1603&lt;&gt;C1602,E1603&lt;&gt;E1602),G1602+1,G1602))</f>
        <v/>
      </c>
    </row>
    <row r="1604">
      <c r="A1604" s="20">
        <f>IF(A1603="","",IF(A1603+1&gt;Ввод!$B$4,"",A1603+1))</f>
        <v/>
      </c>
      <c r="B1604">
        <f>IF(A1604="","",IFERROR(INDEX(Ввод!$B$12:$B$71,MATCH(A1604,Ввод!$D$12:$D$71,1)),""))</f>
        <v/>
      </c>
      <c r="C1604">
        <f>IF(A1604="","",DATE(YEAR(A1604),12,31)-DATE(YEAR(A1604),1,1)+1)</f>
        <v/>
      </c>
      <c r="D1604">
        <f>IF(A1604="","",SUMIFS(Акты!$D$5:$D$16,Акты!$E$5:$E$16,"&lt;="&amp;A1604)-SUMIFS(Оплаты!$B$6:$B$505,Оплаты!$A$6:$A$505,"&lt;"&amp;A1604,Оплаты!$D$6:$D$505,"&lt;&gt;"))</f>
        <v/>
      </c>
      <c r="E1604">
        <f>IF(A1604="","",IF(SUMPRODUCT((Ввод!$F$12:$F$31&lt;&gt;"")*(Ввод!$F$12:$F$31&lt;=A1604)*(Ввод!$G$12:$G$31&gt;=A1604))&gt;0,1,0))</f>
        <v/>
      </c>
      <c r="G1604">
        <f>IF(A1604="","",IF(OR(B1604&lt;&gt;B1603,C1604&lt;&gt;C1603,E1604&lt;&gt;E1603),G1603+1,G1603))</f>
        <v/>
      </c>
    </row>
    <row r="1605">
      <c r="A1605" s="20">
        <f>IF(A1604="","",IF(A1604+1&gt;Ввод!$B$4,"",A1604+1))</f>
        <v/>
      </c>
      <c r="B1605">
        <f>IF(A1605="","",IFERROR(INDEX(Ввод!$B$12:$B$71,MATCH(A1605,Ввод!$D$12:$D$71,1)),""))</f>
        <v/>
      </c>
      <c r="C1605">
        <f>IF(A1605="","",DATE(YEAR(A1605),12,31)-DATE(YEAR(A1605),1,1)+1)</f>
        <v/>
      </c>
      <c r="D1605">
        <f>IF(A1605="","",SUMIFS(Акты!$D$5:$D$16,Акты!$E$5:$E$16,"&lt;="&amp;A1605)-SUMIFS(Оплаты!$B$6:$B$505,Оплаты!$A$6:$A$505,"&lt;"&amp;A1605,Оплаты!$D$6:$D$505,"&lt;&gt;"))</f>
        <v/>
      </c>
      <c r="E1605">
        <f>IF(A1605="","",IF(SUMPRODUCT((Ввод!$F$12:$F$31&lt;&gt;"")*(Ввод!$F$12:$F$31&lt;=A1605)*(Ввод!$G$12:$G$31&gt;=A1605))&gt;0,1,0))</f>
        <v/>
      </c>
      <c r="G1605">
        <f>IF(A1605="","",IF(OR(B1605&lt;&gt;B1604,C1605&lt;&gt;C1604,E1605&lt;&gt;E1604),G1604+1,G1604))</f>
        <v/>
      </c>
    </row>
    <row r="1606">
      <c r="A1606" s="20">
        <f>IF(A1605="","",IF(A1605+1&gt;Ввод!$B$4,"",A1605+1))</f>
        <v/>
      </c>
      <c r="B1606">
        <f>IF(A1606="","",IFERROR(INDEX(Ввод!$B$12:$B$71,MATCH(A1606,Ввод!$D$12:$D$71,1)),""))</f>
        <v/>
      </c>
      <c r="C1606">
        <f>IF(A1606="","",DATE(YEAR(A1606),12,31)-DATE(YEAR(A1606),1,1)+1)</f>
        <v/>
      </c>
      <c r="D1606">
        <f>IF(A1606="","",SUMIFS(Акты!$D$5:$D$16,Акты!$E$5:$E$16,"&lt;="&amp;A1606)-SUMIFS(Оплаты!$B$6:$B$505,Оплаты!$A$6:$A$505,"&lt;"&amp;A1606,Оплаты!$D$6:$D$505,"&lt;&gt;"))</f>
        <v/>
      </c>
      <c r="E1606">
        <f>IF(A1606="","",IF(SUMPRODUCT((Ввод!$F$12:$F$31&lt;&gt;"")*(Ввод!$F$12:$F$31&lt;=A1606)*(Ввод!$G$12:$G$31&gt;=A1606))&gt;0,1,0))</f>
        <v/>
      </c>
      <c r="G1606">
        <f>IF(A1606="","",IF(OR(B1606&lt;&gt;B1605,C1606&lt;&gt;C1605,E1606&lt;&gt;E1605),G1605+1,G1605))</f>
        <v/>
      </c>
    </row>
    <row r="1607">
      <c r="A1607" s="20">
        <f>IF(A1606="","",IF(A1606+1&gt;Ввод!$B$4,"",A1606+1))</f>
        <v/>
      </c>
      <c r="B1607">
        <f>IF(A1607="","",IFERROR(INDEX(Ввод!$B$12:$B$71,MATCH(A1607,Ввод!$D$12:$D$71,1)),""))</f>
        <v/>
      </c>
      <c r="C1607">
        <f>IF(A1607="","",DATE(YEAR(A1607),12,31)-DATE(YEAR(A1607),1,1)+1)</f>
        <v/>
      </c>
      <c r="D1607">
        <f>IF(A1607="","",SUMIFS(Акты!$D$5:$D$16,Акты!$E$5:$E$16,"&lt;="&amp;A1607)-SUMIFS(Оплаты!$B$6:$B$505,Оплаты!$A$6:$A$505,"&lt;"&amp;A1607,Оплаты!$D$6:$D$505,"&lt;&gt;"))</f>
        <v/>
      </c>
      <c r="E1607">
        <f>IF(A1607="","",IF(SUMPRODUCT((Ввод!$F$12:$F$31&lt;&gt;"")*(Ввод!$F$12:$F$31&lt;=A1607)*(Ввод!$G$12:$G$31&gt;=A1607))&gt;0,1,0))</f>
        <v/>
      </c>
      <c r="G1607">
        <f>IF(A1607="","",IF(OR(B1607&lt;&gt;B1606,C1607&lt;&gt;C1606,E1607&lt;&gt;E1606),G1606+1,G1606))</f>
        <v/>
      </c>
    </row>
    <row r="1608">
      <c r="A1608" s="20">
        <f>IF(A1607="","",IF(A1607+1&gt;Ввод!$B$4,"",A1607+1))</f>
        <v/>
      </c>
      <c r="B1608">
        <f>IF(A1608="","",IFERROR(INDEX(Ввод!$B$12:$B$71,MATCH(A1608,Ввод!$D$12:$D$71,1)),""))</f>
        <v/>
      </c>
      <c r="C1608">
        <f>IF(A1608="","",DATE(YEAR(A1608),12,31)-DATE(YEAR(A1608),1,1)+1)</f>
        <v/>
      </c>
      <c r="D1608">
        <f>IF(A1608="","",SUMIFS(Акты!$D$5:$D$16,Акты!$E$5:$E$16,"&lt;="&amp;A1608)-SUMIFS(Оплаты!$B$6:$B$505,Оплаты!$A$6:$A$505,"&lt;"&amp;A1608,Оплаты!$D$6:$D$505,"&lt;&gt;"))</f>
        <v/>
      </c>
      <c r="E1608">
        <f>IF(A1608="","",IF(SUMPRODUCT((Ввод!$F$12:$F$31&lt;&gt;"")*(Ввод!$F$12:$F$31&lt;=A1608)*(Ввод!$G$12:$G$31&gt;=A1608))&gt;0,1,0))</f>
        <v/>
      </c>
      <c r="G1608">
        <f>IF(A1608="","",IF(OR(B1608&lt;&gt;B1607,C1608&lt;&gt;C1607,E1608&lt;&gt;E1607),G1607+1,G1607))</f>
        <v/>
      </c>
    </row>
    <row r="1609">
      <c r="A1609" s="20">
        <f>IF(A1608="","",IF(A1608+1&gt;Ввод!$B$4,"",A1608+1))</f>
        <v/>
      </c>
      <c r="B1609">
        <f>IF(A1609="","",IFERROR(INDEX(Ввод!$B$12:$B$71,MATCH(A1609,Ввод!$D$12:$D$71,1)),""))</f>
        <v/>
      </c>
      <c r="C1609">
        <f>IF(A1609="","",DATE(YEAR(A1609),12,31)-DATE(YEAR(A1609),1,1)+1)</f>
        <v/>
      </c>
      <c r="D1609">
        <f>IF(A1609="","",SUMIFS(Акты!$D$5:$D$16,Акты!$E$5:$E$16,"&lt;="&amp;A1609)-SUMIFS(Оплаты!$B$6:$B$505,Оплаты!$A$6:$A$505,"&lt;"&amp;A1609,Оплаты!$D$6:$D$505,"&lt;&gt;"))</f>
        <v/>
      </c>
      <c r="E1609">
        <f>IF(A1609="","",IF(SUMPRODUCT((Ввод!$F$12:$F$31&lt;&gt;"")*(Ввод!$F$12:$F$31&lt;=A1609)*(Ввод!$G$12:$G$31&gt;=A1609))&gt;0,1,0))</f>
        <v/>
      </c>
      <c r="G1609">
        <f>IF(A1609="","",IF(OR(B1609&lt;&gt;B1608,C1609&lt;&gt;C1608,E1609&lt;&gt;E1608),G1608+1,G1608))</f>
        <v/>
      </c>
    </row>
    <row r="1610">
      <c r="A1610" s="20">
        <f>IF(A1609="","",IF(A1609+1&gt;Ввод!$B$4,"",A1609+1))</f>
        <v/>
      </c>
      <c r="B1610">
        <f>IF(A1610="","",IFERROR(INDEX(Ввод!$B$12:$B$71,MATCH(A1610,Ввод!$D$12:$D$71,1)),""))</f>
        <v/>
      </c>
      <c r="C1610">
        <f>IF(A1610="","",DATE(YEAR(A1610),12,31)-DATE(YEAR(A1610),1,1)+1)</f>
        <v/>
      </c>
      <c r="D1610">
        <f>IF(A1610="","",SUMIFS(Акты!$D$5:$D$16,Акты!$E$5:$E$16,"&lt;="&amp;A1610)-SUMIFS(Оплаты!$B$6:$B$505,Оплаты!$A$6:$A$505,"&lt;"&amp;A1610,Оплаты!$D$6:$D$505,"&lt;&gt;"))</f>
        <v/>
      </c>
      <c r="E1610">
        <f>IF(A1610="","",IF(SUMPRODUCT((Ввод!$F$12:$F$31&lt;&gt;"")*(Ввод!$F$12:$F$31&lt;=A1610)*(Ввод!$G$12:$G$31&gt;=A1610))&gt;0,1,0))</f>
        <v/>
      </c>
      <c r="G1610">
        <f>IF(A1610="","",IF(OR(B1610&lt;&gt;B1609,C1610&lt;&gt;C1609,E1610&lt;&gt;E1609),G1609+1,G1609))</f>
        <v/>
      </c>
    </row>
    <row r="1611">
      <c r="A1611" s="20">
        <f>IF(A1610="","",IF(A1610+1&gt;Ввод!$B$4,"",A1610+1))</f>
        <v/>
      </c>
      <c r="B1611">
        <f>IF(A1611="","",IFERROR(INDEX(Ввод!$B$12:$B$71,MATCH(A1611,Ввод!$D$12:$D$71,1)),""))</f>
        <v/>
      </c>
      <c r="C1611">
        <f>IF(A1611="","",DATE(YEAR(A1611),12,31)-DATE(YEAR(A1611),1,1)+1)</f>
        <v/>
      </c>
      <c r="D1611">
        <f>IF(A1611="","",SUMIFS(Акты!$D$5:$D$16,Акты!$E$5:$E$16,"&lt;="&amp;A1611)-SUMIFS(Оплаты!$B$6:$B$505,Оплаты!$A$6:$A$505,"&lt;"&amp;A1611,Оплаты!$D$6:$D$505,"&lt;&gt;"))</f>
        <v/>
      </c>
      <c r="E1611">
        <f>IF(A1611="","",IF(SUMPRODUCT((Ввод!$F$12:$F$31&lt;&gt;"")*(Ввод!$F$12:$F$31&lt;=A1611)*(Ввод!$G$12:$G$31&gt;=A1611))&gt;0,1,0))</f>
        <v/>
      </c>
      <c r="G1611">
        <f>IF(A1611="","",IF(OR(B1611&lt;&gt;B1610,C1611&lt;&gt;C1610,E1611&lt;&gt;E1610),G1610+1,G1610))</f>
        <v/>
      </c>
    </row>
    <row r="1612">
      <c r="A1612" s="20">
        <f>IF(A1611="","",IF(A1611+1&gt;Ввод!$B$4,"",A1611+1))</f>
        <v/>
      </c>
      <c r="B1612">
        <f>IF(A1612="","",IFERROR(INDEX(Ввод!$B$12:$B$71,MATCH(A1612,Ввод!$D$12:$D$71,1)),""))</f>
        <v/>
      </c>
      <c r="C1612">
        <f>IF(A1612="","",DATE(YEAR(A1612),12,31)-DATE(YEAR(A1612),1,1)+1)</f>
        <v/>
      </c>
      <c r="D1612">
        <f>IF(A1612="","",SUMIFS(Акты!$D$5:$D$16,Акты!$E$5:$E$16,"&lt;="&amp;A1612)-SUMIFS(Оплаты!$B$6:$B$505,Оплаты!$A$6:$A$505,"&lt;"&amp;A1612,Оплаты!$D$6:$D$505,"&lt;&gt;"))</f>
        <v/>
      </c>
      <c r="E1612">
        <f>IF(A1612="","",IF(SUMPRODUCT((Ввод!$F$12:$F$31&lt;&gt;"")*(Ввод!$F$12:$F$31&lt;=A1612)*(Ввод!$G$12:$G$31&gt;=A1612))&gt;0,1,0))</f>
        <v/>
      </c>
      <c r="G1612">
        <f>IF(A1612="","",IF(OR(B1612&lt;&gt;B1611,C1612&lt;&gt;C1611,E1612&lt;&gt;E1611),G1611+1,G1611))</f>
        <v/>
      </c>
    </row>
    <row r="1613">
      <c r="A1613" s="20">
        <f>IF(A1612="","",IF(A1612+1&gt;Ввод!$B$4,"",A1612+1))</f>
        <v/>
      </c>
      <c r="B1613">
        <f>IF(A1613="","",IFERROR(INDEX(Ввод!$B$12:$B$71,MATCH(A1613,Ввод!$D$12:$D$71,1)),""))</f>
        <v/>
      </c>
      <c r="C1613">
        <f>IF(A1613="","",DATE(YEAR(A1613),12,31)-DATE(YEAR(A1613),1,1)+1)</f>
        <v/>
      </c>
      <c r="D1613">
        <f>IF(A1613="","",SUMIFS(Акты!$D$5:$D$16,Акты!$E$5:$E$16,"&lt;="&amp;A1613)-SUMIFS(Оплаты!$B$6:$B$505,Оплаты!$A$6:$A$505,"&lt;"&amp;A1613,Оплаты!$D$6:$D$505,"&lt;&gt;"))</f>
        <v/>
      </c>
      <c r="E1613">
        <f>IF(A1613="","",IF(SUMPRODUCT((Ввод!$F$12:$F$31&lt;&gt;"")*(Ввод!$F$12:$F$31&lt;=A1613)*(Ввод!$G$12:$G$31&gt;=A1613))&gt;0,1,0))</f>
        <v/>
      </c>
      <c r="G1613">
        <f>IF(A1613="","",IF(OR(B1613&lt;&gt;B1612,C1613&lt;&gt;C1612,E1613&lt;&gt;E1612),G1612+1,G1612))</f>
        <v/>
      </c>
    </row>
    <row r="1614">
      <c r="A1614" s="20">
        <f>IF(A1613="","",IF(A1613+1&gt;Ввод!$B$4,"",A1613+1))</f>
        <v/>
      </c>
      <c r="B1614">
        <f>IF(A1614="","",IFERROR(INDEX(Ввод!$B$12:$B$71,MATCH(A1614,Ввод!$D$12:$D$71,1)),""))</f>
        <v/>
      </c>
      <c r="C1614">
        <f>IF(A1614="","",DATE(YEAR(A1614),12,31)-DATE(YEAR(A1614),1,1)+1)</f>
        <v/>
      </c>
      <c r="D1614">
        <f>IF(A1614="","",SUMIFS(Акты!$D$5:$D$16,Акты!$E$5:$E$16,"&lt;="&amp;A1614)-SUMIFS(Оплаты!$B$6:$B$505,Оплаты!$A$6:$A$505,"&lt;"&amp;A1614,Оплаты!$D$6:$D$505,"&lt;&gt;"))</f>
        <v/>
      </c>
      <c r="E1614">
        <f>IF(A1614="","",IF(SUMPRODUCT((Ввод!$F$12:$F$31&lt;&gt;"")*(Ввод!$F$12:$F$31&lt;=A1614)*(Ввод!$G$12:$G$31&gt;=A1614))&gt;0,1,0))</f>
        <v/>
      </c>
      <c r="G1614">
        <f>IF(A1614="","",IF(OR(B1614&lt;&gt;B1613,C1614&lt;&gt;C1613,E1614&lt;&gt;E1613),G1613+1,G1613))</f>
        <v/>
      </c>
    </row>
    <row r="1615">
      <c r="A1615" s="20">
        <f>IF(A1614="","",IF(A1614+1&gt;Ввод!$B$4,"",A1614+1))</f>
        <v/>
      </c>
      <c r="B1615">
        <f>IF(A1615="","",IFERROR(INDEX(Ввод!$B$12:$B$71,MATCH(A1615,Ввод!$D$12:$D$71,1)),""))</f>
        <v/>
      </c>
      <c r="C1615">
        <f>IF(A1615="","",DATE(YEAR(A1615),12,31)-DATE(YEAR(A1615),1,1)+1)</f>
        <v/>
      </c>
      <c r="D1615">
        <f>IF(A1615="","",SUMIFS(Акты!$D$5:$D$16,Акты!$E$5:$E$16,"&lt;="&amp;A1615)-SUMIFS(Оплаты!$B$6:$B$505,Оплаты!$A$6:$A$505,"&lt;"&amp;A1615,Оплаты!$D$6:$D$505,"&lt;&gt;"))</f>
        <v/>
      </c>
      <c r="E1615">
        <f>IF(A1615="","",IF(SUMPRODUCT((Ввод!$F$12:$F$31&lt;&gt;"")*(Ввод!$F$12:$F$31&lt;=A1615)*(Ввод!$G$12:$G$31&gt;=A1615))&gt;0,1,0))</f>
        <v/>
      </c>
      <c r="G1615">
        <f>IF(A1615="","",IF(OR(B1615&lt;&gt;B1614,C1615&lt;&gt;C1614,E1615&lt;&gt;E1614),G1614+1,G1614))</f>
        <v/>
      </c>
    </row>
    <row r="1616">
      <c r="A1616" s="20">
        <f>IF(A1615="","",IF(A1615+1&gt;Ввод!$B$4,"",A1615+1))</f>
        <v/>
      </c>
      <c r="B1616">
        <f>IF(A1616="","",IFERROR(INDEX(Ввод!$B$12:$B$71,MATCH(A1616,Ввод!$D$12:$D$71,1)),""))</f>
        <v/>
      </c>
      <c r="C1616">
        <f>IF(A1616="","",DATE(YEAR(A1616),12,31)-DATE(YEAR(A1616),1,1)+1)</f>
        <v/>
      </c>
      <c r="D1616">
        <f>IF(A1616="","",SUMIFS(Акты!$D$5:$D$16,Акты!$E$5:$E$16,"&lt;="&amp;A1616)-SUMIFS(Оплаты!$B$6:$B$505,Оплаты!$A$6:$A$505,"&lt;"&amp;A1616,Оплаты!$D$6:$D$505,"&lt;&gt;"))</f>
        <v/>
      </c>
      <c r="E1616">
        <f>IF(A1616="","",IF(SUMPRODUCT((Ввод!$F$12:$F$31&lt;&gt;"")*(Ввод!$F$12:$F$31&lt;=A1616)*(Ввод!$G$12:$G$31&gt;=A1616))&gt;0,1,0))</f>
        <v/>
      </c>
      <c r="G1616">
        <f>IF(A1616="","",IF(OR(B1616&lt;&gt;B1615,C1616&lt;&gt;C1615,E1616&lt;&gt;E1615),G1615+1,G1615))</f>
        <v/>
      </c>
    </row>
    <row r="1617">
      <c r="A1617" s="20">
        <f>IF(A1616="","",IF(A1616+1&gt;Ввод!$B$4,"",A1616+1))</f>
        <v/>
      </c>
      <c r="B1617">
        <f>IF(A1617="","",IFERROR(INDEX(Ввод!$B$12:$B$71,MATCH(A1617,Ввод!$D$12:$D$71,1)),""))</f>
        <v/>
      </c>
      <c r="C1617">
        <f>IF(A1617="","",DATE(YEAR(A1617),12,31)-DATE(YEAR(A1617),1,1)+1)</f>
        <v/>
      </c>
      <c r="D1617">
        <f>IF(A1617="","",SUMIFS(Акты!$D$5:$D$16,Акты!$E$5:$E$16,"&lt;="&amp;A1617)-SUMIFS(Оплаты!$B$6:$B$505,Оплаты!$A$6:$A$505,"&lt;"&amp;A1617,Оплаты!$D$6:$D$505,"&lt;&gt;"))</f>
        <v/>
      </c>
      <c r="E1617">
        <f>IF(A1617="","",IF(SUMPRODUCT((Ввод!$F$12:$F$31&lt;&gt;"")*(Ввод!$F$12:$F$31&lt;=A1617)*(Ввод!$G$12:$G$31&gt;=A1617))&gt;0,1,0))</f>
        <v/>
      </c>
      <c r="G1617">
        <f>IF(A1617="","",IF(OR(B1617&lt;&gt;B1616,C1617&lt;&gt;C1616,E1617&lt;&gt;E1616),G1616+1,G1616))</f>
        <v/>
      </c>
    </row>
    <row r="1618">
      <c r="A1618" s="20">
        <f>IF(A1617="","",IF(A1617+1&gt;Ввод!$B$4,"",A1617+1))</f>
        <v/>
      </c>
      <c r="B1618">
        <f>IF(A1618="","",IFERROR(INDEX(Ввод!$B$12:$B$71,MATCH(A1618,Ввод!$D$12:$D$71,1)),""))</f>
        <v/>
      </c>
      <c r="C1618">
        <f>IF(A1618="","",DATE(YEAR(A1618),12,31)-DATE(YEAR(A1618),1,1)+1)</f>
        <v/>
      </c>
      <c r="D1618">
        <f>IF(A1618="","",SUMIFS(Акты!$D$5:$D$16,Акты!$E$5:$E$16,"&lt;="&amp;A1618)-SUMIFS(Оплаты!$B$6:$B$505,Оплаты!$A$6:$A$505,"&lt;"&amp;A1618,Оплаты!$D$6:$D$505,"&lt;&gt;"))</f>
        <v/>
      </c>
      <c r="E1618">
        <f>IF(A1618="","",IF(SUMPRODUCT((Ввод!$F$12:$F$31&lt;&gt;"")*(Ввод!$F$12:$F$31&lt;=A1618)*(Ввод!$G$12:$G$31&gt;=A1618))&gt;0,1,0))</f>
        <v/>
      </c>
      <c r="G1618">
        <f>IF(A1618="","",IF(OR(B1618&lt;&gt;B1617,C1618&lt;&gt;C1617,E1618&lt;&gt;E1617),G1617+1,G1617))</f>
        <v/>
      </c>
    </row>
    <row r="1619">
      <c r="A1619" s="20">
        <f>IF(A1618="","",IF(A1618+1&gt;Ввод!$B$4,"",A1618+1))</f>
        <v/>
      </c>
      <c r="B1619">
        <f>IF(A1619="","",IFERROR(INDEX(Ввод!$B$12:$B$71,MATCH(A1619,Ввод!$D$12:$D$71,1)),""))</f>
        <v/>
      </c>
      <c r="C1619">
        <f>IF(A1619="","",DATE(YEAR(A1619),12,31)-DATE(YEAR(A1619),1,1)+1)</f>
        <v/>
      </c>
      <c r="D1619">
        <f>IF(A1619="","",SUMIFS(Акты!$D$5:$D$16,Акты!$E$5:$E$16,"&lt;="&amp;A1619)-SUMIFS(Оплаты!$B$6:$B$505,Оплаты!$A$6:$A$505,"&lt;"&amp;A1619,Оплаты!$D$6:$D$505,"&lt;&gt;"))</f>
        <v/>
      </c>
      <c r="E1619">
        <f>IF(A1619="","",IF(SUMPRODUCT((Ввод!$F$12:$F$31&lt;&gt;"")*(Ввод!$F$12:$F$31&lt;=A1619)*(Ввод!$G$12:$G$31&gt;=A1619))&gt;0,1,0))</f>
        <v/>
      </c>
      <c r="G1619">
        <f>IF(A1619="","",IF(OR(B1619&lt;&gt;B1618,C1619&lt;&gt;C1618,E1619&lt;&gt;E1618),G1618+1,G1618))</f>
        <v/>
      </c>
    </row>
    <row r="1620">
      <c r="A1620" s="20">
        <f>IF(A1619="","",IF(A1619+1&gt;Ввод!$B$4,"",A1619+1))</f>
        <v/>
      </c>
      <c r="B1620">
        <f>IF(A1620="","",IFERROR(INDEX(Ввод!$B$12:$B$71,MATCH(A1620,Ввод!$D$12:$D$71,1)),""))</f>
        <v/>
      </c>
      <c r="C1620">
        <f>IF(A1620="","",DATE(YEAR(A1620),12,31)-DATE(YEAR(A1620),1,1)+1)</f>
        <v/>
      </c>
      <c r="D1620">
        <f>IF(A1620="","",SUMIFS(Акты!$D$5:$D$16,Акты!$E$5:$E$16,"&lt;="&amp;A1620)-SUMIFS(Оплаты!$B$6:$B$505,Оплаты!$A$6:$A$505,"&lt;"&amp;A1620,Оплаты!$D$6:$D$505,"&lt;&gt;"))</f>
        <v/>
      </c>
      <c r="E1620">
        <f>IF(A1620="","",IF(SUMPRODUCT((Ввод!$F$12:$F$31&lt;&gt;"")*(Ввод!$F$12:$F$31&lt;=A1620)*(Ввод!$G$12:$G$31&gt;=A1620))&gt;0,1,0))</f>
        <v/>
      </c>
      <c r="G1620">
        <f>IF(A1620="","",IF(OR(B1620&lt;&gt;B1619,C1620&lt;&gt;C1619,E1620&lt;&gt;E1619),G1619+1,G1619))</f>
        <v/>
      </c>
    </row>
    <row r="1621">
      <c r="A1621" s="20">
        <f>IF(A1620="","",IF(A1620+1&gt;Ввод!$B$4,"",A1620+1))</f>
        <v/>
      </c>
      <c r="B1621">
        <f>IF(A1621="","",IFERROR(INDEX(Ввод!$B$12:$B$71,MATCH(A1621,Ввод!$D$12:$D$71,1)),""))</f>
        <v/>
      </c>
      <c r="C1621">
        <f>IF(A1621="","",DATE(YEAR(A1621),12,31)-DATE(YEAR(A1621),1,1)+1)</f>
        <v/>
      </c>
      <c r="D1621">
        <f>IF(A1621="","",SUMIFS(Акты!$D$5:$D$16,Акты!$E$5:$E$16,"&lt;="&amp;A1621)-SUMIFS(Оплаты!$B$6:$B$505,Оплаты!$A$6:$A$505,"&lt;"&amp;A1621,Оплаты!$D$6:$D$505,"&lt;&gt;"))</f>
        <v/>
      </c>
      <c r="E1621">
        <f>IF(A1621="","",IF(SUMPRODUCT((Ввод!$F$12:$F$31&lt;&gt;"")*(Ввод!$F$12:$F$31&lt;=A1621)*(Ввод!$G$12:$G$31&gt;=A1621))&gt;0,1,0))</f>
        <v/>
      </c>
      <c r="G1621">
        <f>IF(A1621="","",IF(OR(B1621&lt;&gt;B1620,C1621&lt;&gt;C1620,E1621&lt;&gt;E1620),G1620+1,G1620))</f>
        <v/>
      </c>
    </row>
    <row r="1622">
      <c r="A1622" s="20">
        <f>IF(A1621="","",IF(A1621+1&gt;Ввод!$B$4,"",A1621+1))</f>
        <v/>
      </c>
      <c r="B1622">
        <f>IF(A1622="","",IFERROR(INDEX(Ввод!$B$12:$B$71,MATCH(A1622,Ввод!$D$12:$D$71,1)),""))</f>
        <v/>
      </c>
      <c r="C1622">
        <f>IF(A1622="","",DATE(YEAR(A1622),12,31)-DATE(YEAR(A1622),1,1)+1)</f>
        <v/>
      </c>
      <c r="D1622">
        <f>IF(A1622="","",SUMIFS(Акты!$D$5:$D$16,Акты!$E$5:$E$16,"&lt;="&amp;A1622)-SUMIFS(Оплаты!$B$6:$B$505,Оплаты!$A$6:$A$505,"&lt;"&amp;A1622,Оплаты!$D$6:$D$505,"&lt;&gt;"))</f>
        <v/>
      </c>
      <c r="E1622">
        <f>IF(A1622="","",IF(SUMPRODUCT((Ввод!$F$12:$F$31&lt;&gt;"")*(Ввод!$F$12:$F$31&lt;=A1622)*(Ввод!$G$12:$G$31&gt;=A1622))&gt;0,1,0))</f>
        <v/>
      </c>
      <c r="G1622">
        <f>IF(A1622="","",IF(OR(B1622&lt;&gt;B1621,C1622&lt;&gt;C1621,E1622&lt;&gt;E1621),G1621+1,G1621))</f>
        <v/>
      </c>
    </row>
    <row r="1623">
      <c r="A1623" s="20">
        <f>IF(A1622="","",IF(A1622+1&gt;Ввод!$B$4,"",A1622+1))</f>
        <v/>
      </c>
      <c r="B1623">
        <f>IF(A1623="","",IFERROR(INDEX(Ввод!$B$12:$B$71,MATCH(A1623,Ввод!$D$12:$D$71,1)),""))</f>
        <v/>
      </c>
      <c r="C1623">
        <f>IF(A1623="","",DATE(YEAR(A1623),12,31)-DATE(YEAR(A1623),1,1)+1)</f>
        <v/>
      </c>
      <c r="D1623">
        <f>IF(A1623="","",SUMIFS(Акты!$D$5:$D$16,Акты!$E$5:$E$16,"&lt;="&amp;A1623)-SUMIFS(Оплаты!$B$6:$B$505,Оплаты!$A$6:$A$505,"&lt;"&amp;A1623,Оплаты!$D$6:$D$505,"&lt;&gt;"))</f>
        <v/>
      </c>
      <c r="E1623">
        <f>IF(A1623="","",IF(SUMPRODUCT((Ввод!$F$12:$F$31&lt;&gt;"")*(Ввод!$F$12:$F$31&lt;=A1623)*(Ввод!$G$12:$G$31&gt;=A1623))&gt;0,1,0))</f>
        <v/>
      </c>
      <c r="G1623">
        <f>IF(A1623="","",IF(OR(B1623&lt;&gt;B1622,C1623&lt;&gt;C1622,E1623&lt;&gt;E1622),G1622+1,G1622))</f>
        <v/>
      </c>
    </row>
    <row r="1624">
      <c r="A1624" s="20">
        <f>IF(A1623="","",IF(A1623+1&gt;Ввод!$B$4,"",A1623+1))</f>
        <v/>
      </c>
      <c r="B1624">
        <f>IF(A1624="","",IFERROR(INDEX(Ввод!$B$12:$B$71,MATCH(A1624,Ввод!$D$12:$D$71,1)),""))</f>
        <v/>
      </c>
      <c r="C1624">
        <f>IF(A1624="","",DATE(YEAR(A1624),12,31)-DATE(YEAR(A1624),1,1)+1)</f>
        <v/>
      </c>
      <c r="D1624">
        <f>IF(A1624="","",SUMIFS(Акты!$D$5:$D$16,Акты!$E$5:$E$16,"&lt;="&amp;A1624)-SUMIFS(Оплаты!$B$6:$B$505,Оплаты!$A$6:$A$505,"&lt;"&amp;A1624,Оплаты!$D$6:$D$505,"&lt;&gt;"))</f>
        <v/>
      </c>
      <c r="E1624">
        <f>IF(A1624="","",IF(SUMPRODUCT((Ввод!$F$12:$F$31&lt;&gt;"")*(Ввод!$F$12:$F$31&lt;=A1624)*(Ввод!$G$12:$G$31&gt;=A1624))&gt;0,1,0))</f>
        <v/>
      </c>
      <c r="G1624">
        <f>IF(A1624="","",IF(OR(B1624&lt;&gt;B1623,C1624&lt;&gt;C1623,E1624&lt;&gt;E1623),G1623+1,G1623))</f>
        <v/>
      </c>
    </row>
    <row r="1625">
      <c r="A1625" s="20">
        <f>IF(A1624="","",IF(A1624+1&gt;Ввод!$B$4,"",A1624+1))</f>
        <v/>
      </c>
      <c r="B1625">
        <f>IF(A1625="","",IFERROR(INDEX(Ввод!$B$12:$B$71,MATCH(A1625,Ввод!$D$12:$D$71,1)),""))</f>
        <v/>
      </c>
      <c r="C1625">
        <f>IF(A1625="","",DATE(YEAR(A1625),12,31)-DATE(YEAR(A1625),1,1)+1)</f>
        <v/>
      </c>
      <c r="D1625">
        <f>IF(A1625="","",SUMIFS(Акты!$D$5:$D$16,Акты!$E$5:$E$16,"&lt;="&amp;A1625)-SUMIFS(Оплаты!$B$6:$B$505,Оплаты!$A$6:$A$505,"&lt;"&amp;A1625,Оплаты!$D$6:$D$505,"&lt;&gt;"))</f>
        <v/>
      </c>
      <c r="E1625">
        <f>IF(A1625="","",IF(SUMPRODUCT((Ввод!$F$12:$F$31&lt;&gt;"")*(Ввод!$F$12:$F$31&lt;=A1625)*(Ввод!$G$12:$G$31&gt;=A1625))&gt;0,1,0))</f>
        <v/>
      </c>
      <c r="G1625">
        <f>IF(A1625="","",IF(OR(B1625&lt;&gt;B1624,C1625&lt;&gt;C1624,E1625&lt;&gt;E1624),G1624+1,G1624))</f>
        <v/>
      </c>
    </row>
    <row r="1626">
      <c r="A1626" s="20">
        <f>IF(A1625="","",IF(A1625+1&gt;Ввод!$B$4,"",A1625+1))</f>
        <v/>
      </c>
      <c r="B1626">
        <f>IF(A1626="","",IFERROR(INDEX(Ввод!$B$12:$B$71,MATCH(A1626,Ввод!$D$12:$D$71,1)),""))</f>
        <v/>
      </c>
      <c r="C1626">
        <f>IF(A1626="","",DATE(YEAR(A1626),12,31)-DATE(YEAR(A1626),1,1)+1)</f>
        <v/>
      </c>
      <c r="D1626">
        <f>IF(A1626="","",SUMIFS(Акты!$D$5:$D$16,Акты!$E$5:$E$16,"&lt;="&amp;A1626)-SUMIFS(Оплаты!$B$6:$B$505,Оплаты!$A$6:$A$505,"&lt;"&amp;A1626,Оплаты!$D$6:$D$505,"&lt;&gt;"))</f>
        <v/>
      </c>
      <c r="E1626">
        <f>IF(A1626="","",IF(SUMPRODUCT((Ввод!$F$12:$F$31&lt;&gt;"")*(Ввод!$F$12:$F$31&lt;=A1626)*(Ввод!$G$12:$G$31&gt;=A1626))&gt;0,1,0))</f>
        <v/>
      </c>
      <c r="G1626">
        <f>IF(A1626="","",IF(OR(B1626&lt;&gt;B1625,C1626&lt;&gt;C1625,E1626&lt;&gt;E1625),G1625+1,G1625))</f>
        <v/>
      </c>
    </row>
    <row r="1627">
      <c r="A1627" s="20">
        <f>IF(A1626="","",IF(A1626+1&gt;Ввод!$B$4,"",A1626+1))</f>
        <v/>
      </c>
      <c r="B1627">
        <f>IF(A1627="","",IFERROR(INDEX(Ввод!$B$12:$B$71,MATCH(A1627,Ввод!$D$12:$D$71,1)),""))</f>
        <v/>
      </c>
      <c r="C1627">
        <f>IF(A1627="","",DATE(YEAR(A1627),12,31)-DATE(YEAR(A1627),1,1)+1)</f>
        <v/>
      </c>
      <c r="D1627">
        <f>IF(A1627="","",SUMIFS(Акты!$D$5:$D$16,Акты!$E$5:$E$16,"&lt;="&amp;A1627)-SUMIFS(Оплаты!$B$6:$B$505,Оплаты!$A$6:$A$505,"&lt;"&amp;A1627,Оплаты!$D$6:$D$505,"&lt;&gt;"))</f>
        <v/>
      </c>
      <c r="E1627">
        <f>IF(A1627="","",IF(SUMPRODUCT((Ввод!$F$12:$F$31&lt;&gt;"")*(Ввод!$F$12:$F$31&lt;=A1627)*(Ввод!$G$12:$G$31&gt;=A1627))&gt;0,1,0))</f>
        <v/>
      </c>
      <c r="G1627">
        <f>IF(A1627="","",IF(OR(B1627&lt;&gt;B1626,C1627&lt;&gt;C1626,E1627&lt;&gt;E1626),G1626+1,G1626))</f>
        <v/>
      </c>
    </row>
    <row r="1628">
      <c r="A1628" s="20">
        <f>IF(A1627="","",IF(A1627+1&gt;Ввод!$B$4,"",A1627+1))</f>
        <v/>
      </c>
      <c r="B1628">
        <f>IF(A1628="","",IFERROR(INDEX(Ввод!$B$12:$B$71,MATCH(A1628,Ввод!$D$12:$D$71,1)),""))</f>
        <v/>
      </c>
      <c r="C1628">
        <f>IF(A1628="","",DATE(YEAR(A1628),12,31)-DATE(YEAR(A1628),1,1)+1)</f>
        <v/>
      </c>
      <c r="D1628">
        <f>IF(A1628="","",SUMIFS(Акты!$D$5:$D$16,Акты!$E$5:$E$16,"&lt;="&amp;A1628)-SUMIFS(Оплаты!$B$6:$B$505,Оплаты!$A$6:$A$505,"&lt;"&amp;A1628,Оплаты!$D$6:$D$505,"&lt;&gt;"))</f>
        <v/>
      </c>
      <c r="E1628">
        <f>IF(A1628="","",IF(SUMPRODUCT((Ввод!$F$12:$F$31&lt;&gt;"")*(Ввод!$F$12:$F$31&lt;=A1628)*(Ввод!$G$12:$G$31&gt;=A1628))&gt;0,1,0))</f>
        <v/>
      </c>
      <c r="G1628">
        <f>IF(A1628="","",IF(OR(B1628&lt;&gt;B1627,C1628&lt;&gt;C1627,E1628&lt;&gt;E1627),G1627+1,G1627))</f>
        <v/>
      </c>
    </row>
    <row r="1629">
      <c r="A1629" s="20">
        <f>IF(A1628="","",IF(A1628+1&gt;Ввод!$B$4,"",A1628+1))</f>
        <v/>
      </c>
      <c r="B1629">
        <f>IF(A1629="","",IFERROR(INDEX(Ввод!$B$12:$B$71,MATCH(A1629,Ввод!$D$12:$D$71,1)),""))</f>
        <v/>
      </c>
      <c r="C1629">
        <f>IF(A1629="","",DATE(YEAR(A1629),12,31)-DATE(YEAR(A1629),1,1)+1)</f>
        <v/>
      </c>
      <c r="D1629">
        <f>IF(A1629="","",SUMIFS(Акты!$D$5:$D$16,Акты!$E$5:$E$16,"&lt;="&amp;A1629)-SUMIFS(Оплаты!$B$6:$B$505,Оплаты!$A$6:$A$505,"&lt;"&amp;A1629,Оплаты!$D$6:$D$505,"&lt;&gt;"))</f>
        <v/>
      </c>
      <c r="E1629">
        <f>IF(A1629="","",IF(SUMPRODUCT((Ввод!$F$12:$F$31&lt;&gt;"")*(Ввод!$F$12:$F$31&lt;=A1629)*(Ввод!$G$12:$G$31&gt;=A1629))&gt;0,1,0))</f>
        <v/>
      </c>
      <c r="G1629">
        <f>IF(A1629="","",IF(OR(B1629&lt;&gt;B1628,C1629&lt;&gt;C1628,E1629&lt;&gt;E1628),G1628+1,G1628))</f>
        <v/>
      </c>
    </row>
    <row r="1630">
      <c r="A1630" s="20">
        <f>IF(A1629="","",IF(A1629+1&gt;Ввод!$B$4,"",A1629+1))</f>
        <v/>
      </c>
      <c r="B1630">
        <f>IF(A1630="","",IFERROR(INDEX(Ввод!$B$12:$B$71,MATCH(A1630,Ввод!$D$12:$D$71,1)),""))</f>
        <v/>
      </c>
      <c r="C1630">
        <f>IF(A1630="","",DATE(YEAR(A1630),12,31)-DATE(YEAR(A1630),1,1)+1)</f>
        <v/>
      </c>
      <c r="D1630">
        <f>IF(A1630="","",SUMIFS(Акты!$D$5:$D$16,Акты!$E$5:$E$16,"&lt;="&amp;A1630)-SUMIFS(Оплаты!$B$6:$B$505,Оплаты!$A$6:$A$505,"&lt;"&amp;A1630,Оплаты!$D$6:$D$505,"&lt;&gt;"))</f>
        <v/>
      </c>
      <c r="E1630">
        <f>IF(A1630="","",IF(SUMPRODUCT((Ввод!$F$12:$F$31&lt;&gt;"")*(Ввод!$F$12:$F$31&lt;=A1630)*(Ввод!$G$12:$G$31&gt;=A1630))&gt;0,1,0))</f>
        <v/>
      </c>
      <c r="G1630">
        <f>IF(A1630="","",IF(OR(B1630&lt;&gt;B1629,C1630&lt;&gt;C1629,E1630&lt;&gt;E1629),G1629+1,G1629))</f>
        <v/>
      </c>
    </row>
    <row r="1631">
      <c r="A1631" s="20">
        <f>IF(A1630="","",IF(A1630+1&gt;Ввод!$B$4,"",A1630+1))</f>
        <v/>
      </c>
      <c r="B1631">
        <f>IF(A1631="","",IFERROR(INDEX(Ввод!$B$12:$B$71,MATCH(A1631,Ввод!$D$12:$D$71,1)),""))</f>
        <v/>
      </c>
      <c r="C1631">
        <f>IF(A1631="","",DATE(YEAR(A1631),12,31)-DATE(YEAR(A1631),1,1)+1)</f>
        <v/>
      </c>
      <c r="D1631">
        <f>IF(A1631="","",SUMIFS(Акты!$D$5:$D$16,Акты!$E$5:$E$16,"&lt;="&amp;A1631)-SUMIFS(Оплаты!$B$6:$B$505,Оплаты!$A$6:$A$505,"&lt;"&amp;A1631,Оплаты!$D$6:$D$505,"&lt;&gt;"))</f>
        <v/>
      </c>
      <c r="E1631">
        <f>IF(A1631="","",IF(SUMPRODUCT((Ввод!$F$12:$F$31&lt;&gt;"")*(Ввод!$F$12:$F$31&lt;=A1631)*(Ввод!$G$12:$G$31&gt;=A1631))&gt;0,1,0))</f>
        <v/>
      </c>
      <c r="G1631">
        <f>IF(A1631="","",IF(OR(B1631&lt;&gt;B1630,C1631&lt;&gt;C1630,E1631&lt;&gt;E1630),G1630+1,G1630))</f>
        <v/>
      </c>
    </row>
    <row r="1632">
      <c r="A1632" s="20">
        <f>IF(A1631="","",IF(A1631+1&gt;Ввод!$B$4,"",A1631+1))</f>
        <v/>
      </c>
      <c r="B1632">
        <f>IF(A1632="","",IFERROR(INDEX(Ввод!$B$12:$B$71,MATCH(A1632,Ввод!$D$12:$D$71,1)),""))</f>
        <v/>
      </c>
      <c r="C1632">
        <f>IF(A1632="","",DATE(YEAR(A1632),12,31)-DATE(YEAR(A1632),1,1)+1)</f>
        <v/>
      </c>
      <c r="D1632">
        <f>IF(A1632="","",SUMIFS(Акты!$D$5:$D$16,Акты!$E$5:$E$16,"&lt;="&amp;A1632)-SUMIFS(Оплаты!$B$6:$B$505,Оплаты!$A$6:$A$505,"&lt;"&amp;A1632,Оплаты!$D$6:$D$505,"&lt;&gt;"))</f>
        <v/>
      </c>
      <c r="E1632">
        <f>IF(A1632="","",IF(SUMPRODUCT((Ввод!$F$12:$F$31&lt;&gt;"")*(Ввод!$F$12:$F$31&lt;=A1632)*(Ввод!$G$12:$G$31&gt;=A1632))&gt;0,1,0))</f>
        <v/>
      </c>
      <c r="G1632">
        <f>IF(A1632="","",IF(OR(B1632&lt;&gt;B1631,C1632&lt;&gt;C1631,E1632&lt;&gt;E1631),G1631+1,G1631))</f>
        <v/>
      </c>
    </row>
    <row r="1633">
      <c r="A1633" s="20">
        <f>IF(A1632="","",IF(A1632+1&gt;Ввод!$B$4,"",A1632+1))</f>
        <v/>
      </c>
      <c r="B1633">
        <f>IF(A1633="","",IFERROR(INDEX(Ввод!$B$12:$B$71,MATCH(A1633,Ввод!$D$12:$D$71,1)),""))</f>
        <v/>
      </c>
      <c r="C1633">
        <f>IF(A1633="","",DATE(YEAR(A1633),12,31)-DATE(YEAR(A1633),1,1)+1)</f>
        <v/>
      </c>
      <c r="D1633">
        <f>IF(A1633="","",SUMIFS(Акты!$D$5:$D$16,Акты!$E$5:$E$16,"&lt;="&amp;A1633)-SUMIFS(Оплаты!$B$6:$B$505,Оплаты!$A$6:$A$505,"&lt;"&amp;A1633,Оплаты!$D$6:$D$505,"&lt;&gt;"))</f>
        <v/>
      </c>
      <c r="E1633">
        <f>IF(A1633="","",IF(SUMPRODUCT((Ввод!$F$12:$F$31&lt;&gt;"")*(Ввод!$F$12:$F$31&lt;=A1633)*(Ввод!$G$12:$G$31&gt;=A1633))&gt;0,1,0))</f>
        <v/>
      </c>
      <c r="G1633">
        <f>IF(A1633="","",IF(OR(B1633&lt;&gt;B1632,C1633&lt;&gt;C1632,E1633&lt;&gt;E1632),G1632+1,G1632))</f>
        <v/>
      </c>
    </row>
    <row r="1634">
      <c r="A1634" s="20">
        <f>IF(A1633="","",IF(A1633+1&gt;Ввод!$B$4,"",A1633+1))</f>
        <v/>
      </c>
      <c r="B1634">
        <f>IF(A1634="","",IFERROR(INDEX(Ввод!$B$12:$B$71,MATCH(A1634,Ввод!$D$12:$D$71,1)),""))</f>
        <v/>
      </c>
      <c r="C1634">
        <f>IF(A1634="","",DATE(YEAR(A1634),12,31)-DATE(YEAR(A1634),1,1)+1)</f>
        <v/>
      </c>
      <c r="D1634">
        <f>IF(A1634="","",SUMIFS(Акты!$D$5:$D$16,Акты!$E$5:$E$16,"&lt;="&amp;A1634)-SUMIFS(Оплаты!$B$6:$B$505,Оплаты!$A$6:$A$505,"&lt;"&amp;A1634,Оплаты!$D$6:$D$505,"&lt;&gt;"))</f>
        <v/>
      </c>
      <c r="E1634">
        <f>IF(A1634="","",IF(SUMPRODUCT((Ввод!$F$12:$F$31&lt;&gt;"")*(Ввод!$F$12:$F$31&lt;=A1634)*(Ввод!$G$12:$G$31&gt;=A1634))&gt;0,1,0))</f>
        <v/>
      </c>
      <c r="G1634">
        <f>IF(A1634="","",IF(OR(B1634&lt;&gt;B1633,C1634&lt;&gt;C1633,E1634&lt;&gt;E1633),G1633+1,G1633))</f>
        <v/>
      </c>
    </row>
    <row r="1635">
      <c r="A1635" s="20">
        <f>IF(A1634="","",IF(A1634+1&gt;Ввод!$B$4,"",A1634+1))</f>
        <v/>
      </c>
      <c r="B1635">
        <f>IF(A1635="","",IFERROR(INDEX(Ввод!$B$12:$B$71,MATCH(A1635,Ввод!$D$12:$D$71,1)),""))</f>
        <v/>
      </c>
      <c r="C1635">
        <f>IF(A1635="","",DATE(YEAR(A1635),12,31)-DATE(YEAR(A1635),1,1)+1)</f>
        <v/>
      </c>
      <c r="D1635">
        <f>IF(A1635="","",SUMIFS(Акты!$D$5:$D$16,Акты!$E$5:$E$16,"&lt;="&amp;A1635)-SUMIFS(Оплаты!$B$6:$B$505,Оплаты!$A$6:$A$505,"&lt;"&amp;A1635,Оплаты!$D$6:$D$505,"&lt;&gt;"))</f>
        <v/>
      </c>
      <c r="E1635">
        <f>IF(A1635="","",IF(SUMPRODUCT((Ввод!$F$12:$F$31&lt;&gt;"")*(Ввод!$F$12:$F$31&lt;=A1635)*(Ввод!$G$12:$G$31&gt;=A1635))&gt;0,1,0))</f>
        <v/>
      </c>
      <c r="G1635">
        <f>IF(A1635="","",IF(OR(B1635&lt;&gt;B1634,C1635&lt;&gt;C1634,E1635&lt;&gt;E1634),G1634+1,G1634))</f>
        <v/>
      </c>
    </row>
    <row r="1636">
      <c r="A1636" s="20">
        <f>IF(A1635="","",IF(A1635+1&gt;Ввод!$B$4,"",A1635+1))</f>
        <v/>
      </c>
      <c r="B1636">
        <f>IF(A1636="","",IFERROR(INDEX(Ввод!$B$12:$B$71,MATCH(A1636,Ввод!$D$12:$D$71,1)),""))</f>
        <v/>
      </c>
      <c r="C1636">
        <f>IF(A1636="","",DATE(YEAR(A1636),12,31)-DATE(YEAR(A1636),1,1)+1)</f>
        <v/>
      </c>
      <c r="D1636">
        <f>IF(A1636="","",SUMIFS(Акты!$D$5:$D$16,Акты!$E$5:$E$16,"&lt;="&amp;A1636)-SUMIFS(Оплаты!$B$6:$B$505,Оплаты!$A$6:$A$505,"&lt;"&amp;A1636,Оплаты!$D$6:$D$505,"&lt;&gt;"))</f>
        <v/>
      </c>
      <c r="E1636">
        <f>IF(A1636="","",IF(SUMPRODUCT((Ввод!$F$12:$F$31&lt;&gt;"")*(Ввод!$F$12:$F$31&lt;=A1636)*(Ввод!$G$12:$G$31&gt;=A1636))&gt;0,1,0))</f>
        <v/>
      </c>
      <c r="G1636">
        <f>IF(A1636="","",IF(OR(B1636&lt;&gt;B1635,C1636&lt;&gt;C1635,E1636&lt;&gt;E1635),G1635+1,G1635))</f>
        <v/>
      </c>
    </row>
    <row r="1637">
      <c r="A1637" s="20">
        <f>IF(A1636="","",IF(A1636+1&gt;Ввод!$B$4,"",A1636+1))</f>
        <v/>
      </c>
      <c r="B1637">
        <f>IF(A1637="","",IFERROR(INDEX(Ввод!$B$12:$B$71,MATCH(A1637,Ввод!$D$12:$D$71,1)),""))</f>
        <v/>
      </c>
      <c r="C1637">
        <f>IF(A1637="","",DATE(YEAR(A1637),12,31)-DATE(YEAR(A1637),1,1)+1)</f>
        <v/>
      </c>
      <c r="D1637">
        <f>IF(A1637="","",SUMIFS(Акты!$D$5:$D$16,Акты!$E$5:$E$16,"&lt;="&amp;A1637)-SUMIFS(Оплаты!$B$6:$B$505,Оплаты!$A$6:$A$505,"&lt;"&amp;A1637,Оплаты!$D$6:$D$505,"&lt;&gt;"))</f>
        <v/>
      </c>
      <c r="E1637">
        <f>IF(A1637="","",IF(SUMPRODUCT((Ввод!$F$12:$F$31&lt;&gt;"")*(Ввод!$F$12:$F$31&lt;=A1637)*(Ввод!$G$12:$G$31&gt;=A1637))&gt;0,1,0))</f>
        <v/>
      </c>
      <c r="G1637">
        <f>IF(A1637="","",IF(OR(B1637&lt;&gt;B1636,C1637&lt;&gt;C1636,E1637&lt;&gt;E1636),G1636+1,G1636))</f>
        <v/>
      </c>
    </row>
    <row r="1638">
      <c r="A1638" s="20">
        <f>IF(A1637="","",IF(A1637+1&gt;Ввод!$B$4,"",A1637+1))</f>
        <v/>
      </c>
      <c r="B1638">
        <f>IF(A1638="","",IFERROR(INDEX(Ввод!$B$12:$B$71,MATCH(A1638,Ввод!$D$12:$D$71,1)),""))</f>
        <v/>
      </c>
      <c r="C1638">
        <f>IF(A1638="","",DATE(YEAR(A1638),12,31)-DATE(YEAR(A1638),1,1)+1)</f>
        <v/>
      </c>
      <c r="D1638">
        <f>IF(A1638="","",SUMIFS(Акты!$D$5:$D$16,Акты!$E$5:$E$16,"&lt;="&amp;A1638)-SUMIFS(Оплаты!$B$6:$B$505,Оплаты!$A$6:$A$505,"&lt;"&amp;A1638,Оплаты!$D$6:$D$505,"&lt;&gt;"))</f>
        <v/>
      </c>
      <c r="E1638">
        <f>IF(A1638="","",IF(SUMPRODUCT((Ввод!$F$12:$F$31&lt;&gt;"")*(Ввод!$F$12:$F$31&lt;=A1638)*(Ввод!$G$12:$G$31&gt;=A1638))&gt;0,1,0))</f>
        <v/>
      </c>
      <c r="G1638">
        <f>IF(A1638="","",IF(OR(B1638&lt;&gt;B1637,C1638&lt;&gt;C1637,E1638&lt;&gt;E1637),G1637+1,G1637))</f>
        <v/>
      </c>
    </row>
    <row r="1639">
      <c r="A1639" s="20">
        <f>IF(A1638="","",IF(A1638+1&gt;Ввод!$B$4,"",A1638+1))</f>
        <v/>
      </c>
      <c r="B1639">
        <f>IF(A1639="","",IFERROR(INDEX(Ввод!$B$12:$B$71,MATCH(A1639,Ввод!$D$12:$D$71,1)),""))</f>
        <v/>
      </c>
      <c r="C1639">
        <f>IF(A1639="","",DATE(YEAR(A1639),12,31)-DATE(YEAR(A1639),1,1)+1)</f>
        <v/>
      </c>
      <c r="D1639">
        <f>IF(A1639="","",SUMIFS(Акты!$D$5:$D$16,Акты!$E$5:$E$16,"&lt;="&amp;A1639)-SUMIFS(Оплаты!$B$6:$B$505,Оплаты!$A$6:$A$505,"&lt;"&amp;A1639,Оплаты!$D$6:$D$505,"&lt;&gt;"))</f>
        <v/>
      </c>
      <c r="E1639">
        <f>IF(A1639="","",IF(SUMPRODUCT((Ввод!$F$12:$F$31&lt;&gt;"")*(Ввод!$F$12:$F$31&lt;=A1639)*(Ввод!$G$12:$G$31&gt;=A1639))&gt;0,1,0))</f>
        <v/>
      </c>
      <c r="G1639">
        <f>IF(A1639="","",IF(OR(B1639&lt;&gt;B1638,C1639&lt;&gt;C1638,E1639&lt;&gt;E1638),G1638+1,G1638))</f>
        <v/>
      </c>
    </row>
    <row r="1640">
      <c r="A1640" s="20">
        <f>IF(A1639="","",IF(A1639+1&gt;Ввод!$B$4,"",A1639+1))</f>
        <v/>
      </c>
      <c r="B1640">
        <f>IF(A1640="","",IFERROR(INDEX(Ввод!$B$12:$B$71,MATCH(A1640,Ввод!$D$12:$D$71,1)),""))</f>
        <v/>
      </c>
      <c r="C1640">
        <f>IF(A1640="","",DATE(YEAR(A1640),12,31)-DATE(YEAR(A1640),1,1)+1)</f>
        <v/>
      </c>
      <c r="D1640">
        <f>IF(A1640="","",SUMIFS(Акты!$D$5:$D$16,Акты!$E$5:$E$16,"&lt;="&amp;A1640)-SUMIFS(Оплаты!$B$6:$B$505,Оплаты!$A$6:$A$505,"&lt;"&amp;A1640,Оплаты!$D$6:$D$505,"&lt;&gt;"))</f>
        <v/>
      </c>
      <c r="E1640">
        <f>IF(A1640="","",IF(SUMPRODUCT((Ввод!$F$12:$F$31&lt;&gt;"")*(Ввод!$F$12:$F$31&lt;=A1640)*(Ввод!$G$12:$G$31&gt;=A1640))&gt;0,1,0))</f>
        <v/>
      </c>
      <c r="G1640">
        <f>IF(A1640="","",IF(OR(B1640&lt;&gt;B1639,C1640&lt;&gt;C1639,E1640&lt;&gt;E1639),G1639+1,G1639))</f>
        <v/>
      </c>
    </row>
    <row r="1641">
      <c r="A1641" s="20">
        <f>IF(A1640="","",IF(A1640+1&gt;Ввод!$B$4,"",A1640+1))</f>
        <v/>
      </c>
      <c r="B1641">
        <f>IF(A1641="","",IFERROR(INDEX(Ввод!$B$12:$B$71,MATCH(A1641,Ввод!$D$12:$D$71,1)),""))</f>
        <v/>
      </c>
      <c r="C1641">
        <f>IF(A1641="","",DATE(YEAR(A1641),12,31)-DATE(YEAR(A1641),1,1)+1)</f>
        <v/>
      </c>
      <c r="D1641">
        <f>IF(A1641="","",SUMIFS(Акты!$D$5:$D$16,Акты!$E$5:$E$16,"&lt;="&amp;A1641)-SUMIFS(Оплаты!$B$6:$B$505,Оплаты!$A$6:$A$505,"&lt;"&amp;A1641,Оплаты!$D$6:$D$505,"&lt;&gt;"))</f>
        <v/>
      </c>
      <c r="E1641">
        <f>IF(A1641="","",IF(SUMPRODUCT((Ввод!$F$12:$F$31&lt;&gt;"")*(Ввод!$F$12:$F$31&lt;=A1641)*(Ввод!$G$12:$G$31&gt;=A1641))&gt;0,1,0))</f>
        <v/>
      </c>
      <c r="G1641">
        <f>IF(A1641="","",IF(OR(B1641&lt;&gt;B1640,C1641&lt;&gt;C1640,E1641&lt;&gt;E1640),G1640+1,G1640))</f>
        <v/>
      </c>
    </row>
    <row r="1642">
      <c r="A1642" s="20">
        <f>IF(A1641="","",IF(A1641+1&gt;Ввод!$B$4,"",A1641+1))</f>
        <v/>
      </c>
      <c r="B1642">
        <f>IF(A1642="","",IFERROR(INDEX(Ввод!$B$12:$B$71,MATCH(A1642,Ввод!$D$12:$D$71,1)),""))</f>
        <v/>
      </c>
      <c r="C1642">
        <f>IF(A1642="","",DATE(YEAR(A1642),12,31)-DATE(YEAR(A1642),1,1)+1)</f>
        <v/>
      </c>
      <c r="D1642">
        <f>IF(A1642="","",SUMIFS(Акты!$D$5:$D$16,Акты!$E$5:$E$16,"&lt;="&amp;A1642)-SUMIFS(Оплаты!$B$6:$B$505,Оплаты!$A$6:$A$505,"&lt;"&amp;A1642,Оплаты!$D$6:$D$505,"&lt;&gt;"))</f>
        <v/>
      </c>
      <c r="E1642">
        <f>IF(A1642="","",IF(SUMPRODUCT((Ввод!$F$12:$F$31&lt;&gt;"")*(Ввод!$F$12:$F$31&lt;=A1642)*(Ввод!$G$12:$G$31&gt;=A1642))&gt;0,1,0))</f>
        <v/>
      </c>
      <c r="G1642">
        <f>IF(A1642="","",IF(OR(B1642&lt;&gt;B1641,C1642&lt;&gt;C1641,E1642&lt;&gt;E1641),G1641+1,G1641))</f>
        <v/>
      </c>
    </row>
    <row r="1643">
      <c r="A1643" s="20">
        <f>IF(A1642="","",IF(A1642+1&gt;Ввод!$B$4,"",A1642+1))</f>
        <v/>
      </c>
      <c r="B1643">
        <f>IF(A1643="","",IFERROR(INDEX(Ввод!$B$12:$B$71,MATCH(A1643,Ввод!$D$12:$D$71,1)),""))</f>
        <v/>
      </c>
      <c r="C1643">
        <f>IF(A1643="","",DATE(YEAR(A1643),12,31)-DATE(YEAR(A1643),1,1)+1)</f>
        <v/>
      </c>
      <c r="D1643">
        <f>IF(A1643="","",SUMIFS(Акты!$D$5:$D$16,Акты!$E$5:$E$16,"&lt;="&amp;A1643)-SUMIFS(Оплаты!$B$6:$B$505,Оплаты!$A$6:$A$505,"&lt;"&amp;A1643,Оплаты!$D$6:$D$505,"&lt;&gt;"))</f>
        <v/>
      </c>
      <c r="E1643">
        <f>IF(A1643="","",IF(SUMPRODUCT((Ввод!$F$12:$F$31&lt;&gt;"")*(Ввод!$F$12:$F$31&lt;=A1643)*(Ввод!$G$12:$G$31&gt;=A1643))&gt;0,1,0))</f>
        <v/>
      </c>
      <c r="G1643">
        <f>IF(A1643="","",IF(OR(B1643&lt;&gt;B1642,C1643&lt;&gt;C1642,E1643&lt;&gt;E1642),G1642+1,G1642))</f>
        <v/>
      </c>
    </row>
    <row r="1644">
      <c r="A1644" s="20">
        <f>IF(A1643="","",IF(A1643+1&gt;Ввод!$B$4,"",A1643+1))</f>
        <v/>
      </c>
      <c r="B1644">
        <f>IF(A1644="","",IFERROR(INDEX(Ввод!$B$12:$B$71,MATCH(A1644,Ввод!$D$12:$D$71,1)),""))</f>
        <v/>
      </c>
      <c r="C1644">
        <f>IF(A1644="","",DATE(YEAR(A1644),12,31)-DATE(YEAR(A1644),1,1)+1)</f>
        <v/>
      </c>
      <c r="D1644">
        <f>IF(A1644="","",SUMIFS(Акты!$D$5:$D$16,Акты!$E$5:$E$16,"&lt;="&amp;A1644)-SUMIFS(Оплаты!$B$6:$B$505,Оплаты!$A$6:$A$505,"&lt;"&amp;A1644,Оплаты!$D$6:$D$505,"&lt;&gt;"))</f>
        <v/>
      </c>
      <c r="E1644">
        <f>IF(A1644="","",IF(SUMPRODUCT((Ввод!$F$12:$F$31&lt;&gt;"")*(Ввод!$F$12:$F$31&lt;=A1644)*(Ввод!$G$12:$G$31&gt;=A1644))&gt;0,1,0))</f>
        <v/>
      </c>
      <c r="G1644">
        <f>IF(A1644="","",IF(OR(B1644&lt;&gt;B1643,C1644&lt;&gt;C1643,E1644&lt;&gt;E1643),G1643+1,G1643))</f>
        <v/>
      </c>
    </row>
    <row r="1645">
      <c r="A1645" s="20">
        <f>IF(A1644="","",IF(A1644+1&gt;Ввод!$B$4,"",A1644+1))</f>
        <v/>
      </c>
      <c r="B1645">
        <f>IF(A1645="","",IFERROR(INDEX(Ввод!$B$12:$B$71,MATCH(A1645,Ввод!$D$12:$D$71,1)),""))</f>
        <v/>
      </c>
      <c r="C1645">
        <f>IF(A1645="","",DATE(YEAR(A1645),12,31)-DATE(YEAR(A1645),1,1)+1)</f>
        <v/>
      </c>
      <c r="D1645">
        <f>IF(A1645="","",SUMIFS(Акты!$D$5:$D$16,Акты!$E$5:$E$16,"&lt;="&amp;A1645)-SUMIFS(Оплаты!$B$6:$B$505,Оплаты!$A$6:$A$505,"&lt;"&amp;A1645,Оплаты!$D$6:$D$505,"&lt;&gt;"))</f>
        <v/>
      </c>
      <c r="E1645">
        <f>IF(A1645="","",IF(SUMPRODUCT((Ввод!$F$12:$F$31&lt;&gt;"")*(Ввод!$F$12:$F$31&lt;=A1645)*(Ввод!$G$12:$G$31&gt;=A1645))&gt;0,1,0))</f>
        <v/>
      </c>
      <c r="G1645">
        <f>IF(A1645="","",IF(OR(B1645&lt;&gt;B1644,C1645&lt;&gt;C1644,E1645&lt;&gt;E1644),G1644+1,G1644))</f>
        <v/>
      </c>
    </row>
    <row r="1646">
      <c r="A1646" s="20">
        <f>IF(A1645="","",IF(A1645+1&gt;Ввод!$B$4,"",A1645+1))</f>
        <v/>
      </c>
      <c r="B1646">
        <f>IF(A1646="","",IFERROR(INDEX(Ввод!$B$12:$B$71,MATCH(A1646,Ввод!$D$12:$D$71,1)),""))</f>
        <v/>
      </c>
      <c r="C1646">
        <f>IF(A1646="","",DATE(YEAR(A1646),12,31)-DATE(YEAR(A1646),1,1)+1)</f>
        <v/>
      </c>
      <c r="D1646">
        <f>IF(A1646="","",SUMIFS(Акты!$D$5:$D$16,Акты!$E$5:$E$16,"&lt;="&amp;A1646)-SUMIFS(Оплаты!$B$6:$B$505,Оплаты!$A$6:$A$505,"&lt;"&amp;A1646,Оплаты!$D$6:$D$505,"&lt;&gt;"))</f>
        <v/>
      </c>
      <c r="E1646">
        <f>IF(A1646="","",IF(SUMPRODUCT((Ввод!$F$12:$F$31&lt;&gt;"")*(Ввод!$F$12:$F$31&lt;=A1646)*(Ввод!$G$12:$G$31&gt;=A1646))&gt;0,1,0))</f>
        <v/>
      </c>
      <c r="G1646">
        <f>IF(A1646="","",IF(OR(B1646&lt;&gt;B1645,C1646&lt;&gt;C1645,E1646&lt;&gt;E1645),G1645+1,G1645))</f>
        <v/>
      </c>
    </row>
    <row r="1647">
      <c r="A1647" s="20">
        <f>IF(A1646="","",IF(A1646+1&gt;Ввод!$B$4,"",A1646+1))</f>
        <v/>
      </c>
      <c r="B1647">
        <f>IF(A1647="","",IFERROR(INDEX(Ввод!$B$12:$B$71,MATCH(A1647,Ввод!$D$12:$D$71,1)),""))</f>
        <v/>
      </c>
      <c r="C1647">
        <f>IF(A1647="","",DATE(YEAR(A1647),12,31)-DATE(YEAR(A1647),1,1)+1)</f>
        <v/>
      </c>
      <c r="D1647">
        <f>IF(A1647="","",SUMIFS(Акты!$D$5:$D$16,Акты!$E$5:$E$16,"&lt;="&amp;A1647)-SUMIFS(Оплаты!$B$6:$B$505,Оплаты!$A$6:$A$505,"&lt;"&amp;A1647,Оплаты!$D$6:$D$505,"&lt;&gt;"))</f>
        <v/>
      </c>
      <c r="E1647">
        <f>IF(A1647="","",IF(SUMPRODUCT((Ввод!$F$12:$F$31&lt;&gt;"")*(Ввод!$F$12:$F$31&lt;=A1647)*(Ввод!$G$12:$G$31&gt;=A1647))&gt;0,1,0))</f>
        <v/>
      </c>
      <c r="G1647">
        <f>IF(A1647="","",IF(OR(B1647&lt;&gt;B1646,C1647&lt;&gt;C1646,E1647&lt;&gt;E1646),G1646+1,G1646))</f>
        <v/>
      </c>
    </row>
    <row r="1648">
      <c r="A1648" s="20">
        <f>IF(A1647="","",IF(A1647+1&gt;Ввод!$B$4,"",A1647+1))</f>
        <v/>
      </c>
      <c r="B1648">
        <f>IF(A1648="","",IFERROR(INDEX(Ввод!$B$12:$B$71,MATCH(A1648,Ввод!$D$12:$D$71,1)),""))</f>
        <v/>
      </c>
      <c r="C1648">
        <f>IF(A1648="","",DATE(YEAR(A1648),12,31)-DATE(YEAR(A1648),1,1)+1)</f>
        <v/>
      </c>
      <c r="D1648">
        <f>IF(A1648="","",SUMIFS(Акты!$D$5:$D$16,Акты!$E$5:$E$16,"&lt;="&amp;A1648)-SUMIFS(Оплаты!$B$6:$B$505,Оплаты!$A$6:$A$505,"&lt;"&amp;A1648,Оплаты!$D$6:$D$505,"&lt;&gt;"))</f>
        <v/>
      </c>
      <c r="E1648">
        <f>IF(A1648="","",IF(SUMPRODUCT((Ввод!$F$12:$F$31&lt;&gt;"")*(Ввод!$F$12:$F$31&lt;=A1648)*(Ввод!$G$12:$G$31&gt;=A1648))&gt;0,1,0))</f>
        <v/>
      </c>
      <c r="G1648">
        <f>IF(A1648="","",IF(OR(B1648&lt;&gt;B1647,C1648&lt;&gt;C1647,E1648&lt;&gt;E1647),G1647+1,G1647))</f>
        <v/>
      </c>
    </row>
    <row r="1649">
      <c r="A1649" s="20">
        <f>IF(A1648="","",IF(A1648+1&gt;Ввод!$B$4,"",A1648+1))</f>
        <v/>
      </c>
      <c r="B1649">
        <f>IF(A1649="","",IFERROR(INDEX(Ввод!$B$12:$B$71,MATCH(A1649,Ввод!$D$12:$D$71,1)),""))</f>
        <v/>
      </c>
      <c r="C1649">
        <f>IF(A1649="","",DATE(YEAR(A1649),12,31)-DATE(YEAR(A1649),1,1)+1)</f>
        <v/>
      </c>
      <c r="D1649">
        <f>IF(A1649="","",SUMIFS(Акты!$D$5:$D$16,Акты!$E$5:$E$16,"&lt;="&amp;A1649)-SUMIFS(Оплаты!$B$6:$B$505,Оплаты!$A$6:$A$505,"&lt;"&amp;A1649,Оплаты!$D$6:$D$505,"&lt;&gt;"))</f>
        <v/>
      </c>
      <c r="E1649">
        <f>IF(A1649="","",IF(SUMPRODUCT((Ввод!$F$12:$F$31&lt;&gt;"")*(Ввод!$F$12:$F$31&lt;=A1649)*(Ввод!$G$12:$G$31&gt;=A1649))&gt;0,1,0))</f>
        <v/>
      </c>
      <c r="G1649">
        <f>IF(A1649="","",IF(OR(B1649&lt;&gt;B1648,C1649&lt;&gt;C1648,E1649&lt;&gt;E1648),G1648+1,G1648))</f>
        <v/>
      </c>
    </row>
    <row r="1650">
      <c r="A1650" s="20">
        <f>IF(A1649="","",IF(A1649+1&gt;Ввод!$B$4,"",A1649+1))</f>
        <v/>
      </c>
      <c r="B1650">
        <f>IF(A1650="","",IFERROR(INDEX(Ввод!$B$12:$B$71,MATCH(A1650,Ввод!$D$12:$D$71,1)),""))</f>
        <v/>
      </c>
      <c r="C1650">
        <f>IF(A1650="","",DATE(YEAR(A1650),12,31)-DATE(YEAR(A1650),1,1)+1)</f>
        <v/>
      </c>
      <c r="D1650">
        <f>IF(A1650="","",SUMIFS(Акты!$D$5:$D$16,Акты!$E$5:$E$16,"&lt;="&amp;A1650)-SUMIFS(Оплаты!$B$6:$B$505,Оплаты!$A$6:$A$505,"&lt;"&amp;A1650,Оплаты!$D$6:$D$505,"&lt;&gt;"))</f>
        <v/>
      </c>
      <c r="E1650">
        <f>IF(A1650="","",IF(SUMPRODUCT((Ввод!$F$12:$F$31&lt;&gt;"")*(Ввод!$F$12:$F$31&lt;=A1650)*(Ввод!$G$12:$G$31&gt;=A1650))&gt;0,1,0))</f>
        <v/>
      </c>
      <c r="G1650">
        <f>IF(A1650="","",IF(OR(B1650&lt;&gt;B1649,C1650&lt;&gt;C1649,E1650&lt;&gt;E1649),G1649+1,G1649))</f>
        <v/>
      </c>
    </row>
    <row r="1651">
      <c r="A1651" s="20">
        <f>IF(A1650="","",IF(A1650+1&gt;Ввод!$B$4,"",A1650+1))</f>
        <v/>
      </c>
      <c r="B1651">
        <f>IF(A1651="","",IFERROR(INDEX(Ввод!$B$12:$B$71,MATCH(A1651,Ввод!$D$12:$D$71,1)),""))</f>
        <v/>
      </c>
      <c r="C1651">
        <f>IF(A1651="","",DATE(YEAR(A1651),12,31)-DATE(YEAR(A1651),1,1)+1)</f>
        <v/>
      </c>
      <c r="D1651">
        <f>IF(A1651="","",SUMIFS(Акты!$D$5:$D$16,Акты!$E$5:$E$16,"&lt;="&amp;A1651)-SUMIFS(Оплаты!$B$6:$B$505,Оплаты!$A$6:$A$505,"&lt;"&amp;A1651,Оплаты!$D$6:$D$505,"&lt;&gt;"))</f>
        <v/>
      </c>
      <c r="E1651">
        <f>IF(A1651="","",IF(SUMPRODUCT((Ввод!$F$12:$F$31&lt;&gt;"")*(Ввод!$F$12:$F$31&lt;=A1651)*(Ввод!$G$12:$G$31&gt;=A1651))&gt;0,1,0))</f>
        <v/>
      </c>
      <c r="G1651">
        <f>IF(A1651="","",IF(OR(B1651&lt;&gt;B1650,C1651&lt;&gt;C1650,E1651&lt;&gt;E1650),G1650+1,G1650))</f>
        <v/>
      </c>
    </row>
    <row r="1652">
      <c r="A1652" s="20">
        <f>IF(A1651="","",IF(A1651+1&gt;Ввод!$B$4,"",A1651+1))</f>
        <v/>
      </c>
      <c r="B1652">
        <f>IF(A1652="","",IFERROR(INDEX(Ввод!$B$12:$B$71,MATCH(A1652,Ввод!$D$12:$D$71,1)),""))</f>
        <v/>
      </c>
      <c r="C1652">
        <f>IF(A1652="","",DATE(YEAR(A1652),12,31)-DATE(YEAR(A1652),1,1)+1)</f>
        <v/>
      </c>
      <c r="D1652">
        <f>IF(A1652="","",SUMIFS(Акты!$D$5:$D$16,Акты!$E$5:$E$16,"&lt;="&amp;A1652)-SUMIFS(Оплаты!$B$6:$B$505,Оплаты!$A$6:$A$505,"&lt;"&amp;A1652,Оплаты!$D$6:$D$505,"&lt;&gt;"))</f>
        <v/>
      </c>
      <c r="E1652">
        <f>IF(A1652="","",IF(SUMPRODUCT((Ввод!$F$12:$F$31&lt;&gt;"")*(Ввод!$F$12:$F$31&lt;=A1652)*(Ввод!$G$12:$G$31&gt;=A1652))&gt;0,1,0))</f>
        <v/>
      </c>
      <c r="G1652">
        <f>IF(A1652="","",IF(OR(B1652&lt;&gt;B1651,C1652&lt;&gt;C1651,E1652&lt;&gt;E1651),G1651+1,G1651))</f>
        <v/>
      </c>
    </row>
    <row r="1653">
      <c r="A1653" s="20">
        <f>IF(A1652="","",IF(A1652+1&gt;Ввод!$B$4,"",A1652+1))</f>
        <v/>
      </c>
      <c r="B1653">
        <f>IF(A1653="","",IFERROR(INDEX(Ввод!$B$12:$B$71,MATCH(A1653,Ввод!$D$12:$D$71,1)),""))</f>
        <v/>
      </c>
      <c r="C1653">
        <f>IF(A1653="","",DATE(YEAR(A1653),12,31)-DATE(YEAR(A1653),1,1)+1)</f>
        <v/>
      </c>
      <c r="D1653">
        <f>IF(A1653="","",SUMIFS(Акты!$D$5:$D$16,Акты!$E$5:$E$16,"&lt;="&amp;A1653)-SUMIFS(Оплаты!$B$6:$B$505,Оплаты!$A$6:$A$505,"&lt;"&amp;A1653,Оплаты!$D$6:$D$505,"&lt;&gt;"))</f>
        <v/>
      </c>
      <c r="E1653">
        <f>IF(A1653="","",IF(SUMPRODUCT((Ввод!$F$12:$F$31&lt;&gt;"")*(Ввод!$F$12:$F$31&lt;=A1653)*(Ввод!$G$12:$G$31&gt;=A1653))&gt;0,1,0))</f>
        <v/>
      </c>
      <c r="G1653">
        <f>IF(A1653="","",IF(OR(B1653&lt;&gt;B1652,C1653&lt;&gt;C1652,E1653&lt;&gt;E1652),G1652+1,G1652))</f>
        <v/>
      </c>
    </row>
    <row r="1654">
      <c r="A1654" s="20">
        <f>IF(A1653="","",IF(A1653+1&gt;Ввод!$B$4,"",A1653+1))</f>
        <v/>
      </c>
      <c r="B1654">
        <f>IF(A1654="","",IFERROR(INDEX(Ввод!$B$12:$B$71,MATCH(A1654,Ввод!$D$12:$D$71,1)),""))</f>
        <v/>
      </c>
      <c r="C1654">
        <f>IF(A1654="","",DATE(YEAR(A1654),12,31)-DATE(YEAR(A1654),1,1)+1)</f>
        <v/>
      </c>
      <c r="D1654">
        <f>IF(A1654="","",SUMIFS(Акты!$D$5:$D$16,Акты!$E$5:$E$16,"&lt;="&amp;A1654)-SUMIFS(Оплаты!$B$6:$B$505,Оплаты!$A$6:$A$505,"&lt;"&amp;A1654,Оплаты!$D$6:$D$505,"&lt;&gt;"))</f>
        <v/>
      </c>
      <c r="E1654">
        <f>IF(A1654="","",IF(SUMPRODUCT((Ввод!$F$12:$F$31&lt;&gt;"")*(Ввод!$F$12:$F$31&lt;=A1654)*(Ввод!$G$12:$G$31&gt;=A1654))&gt;0,1,0))</f>
        <v/>
      </c>
      <c r="G1654">
        <f>IF(A1654="","",IF(OR(B1654&lt;&gt;B1653,C1654&lt;&gt;C1653,E1654&lt;&gt;E1653),G1653+1,G1653))</f>
        <v/>
      </c>
    </row>
    <row r="1655">
      <c r="A1655" s="20">
        <f>IF(A1654="","",IF(A1654+1&gt;Ввод!$B$4,"",A1654+1))</f>
        <v/>
      </c>
      <c r="B1655">
        <f>IF(A1655="","",IFERROR(INDEX(Ввод!$B$12:$B$71,MATCH(A1655,Ввод!$D$12:$D$71,1)),""))</f>
        <v/>
      </c>
      <c r="C1655">
        <f>IF(A1655="","",DATE(YEAR(A1655),12,31)-DATE(YEAR(A1655),1,1)+1)</f>
        <v/>
      </c>
      <c r="D1655">
        <f>IF(A1655="","",SUMIFS(Акты!$D$5:$D$16,Акты!$E$5:$E$16,"&lt;="&amp;A1655)-SUMIFS(Оплаты!$B$6:$B$505,Оплаты!$A$6:$A$505,"&lt;"&amp;A1655,Оплаты!$D$6:$D$505,"&lt;&gt;"))</f>
        <v/>
      </c>
      <c r="E1655">
        <f>IF(A1655="","",IF(SUMPRODUCT((Ввод!$F$12:$F$31&lt;&gt;"")*(Ввод!$F$12:$F$31&lt;=A1655)*(Ввод!$G$12:$G$31&gt;=A1655))&gt;0,1,0))</f>
        <v/>
      </c>
      <c r="G1655">
        <f>IF(A1655="","",IF(OR(B1655&lt;&gt;B1654,C1655&lt;&gt;C1654,E1655&lt;&gt;E1654),G1654+1,G1654))</f>
        <v/>
      </c>
    </row>
    <row r="1656">
      <c r="A1656" s="20">
        <f>IF(A1655="","",IF(A1655+1&gt;Ввод!$B$4,"",A1655+1))</f>
        <v/>
      </c>
      <c r="B1656">
        <f>IF(A1656="","",IFERROR(INDEX(Ввод!$B$12:$B$71,MATCH(A1656,Ввод!$D$12:$D$71,1)),""))</f>
        <v/>
      </c>
      <c r="C1656">
        <f>IF(A1656="","",DATE(YEAR(A1656),12,31)-DATE(YEAR(A1656),1,1)+1)</f>
        <v/>
      </c>
      <c r="D1656">
        <f>IF(A1656="","",SUMIFS(Акты!$D$5:$D$16,Акты!$E$5:$E$16,"&lt;="&amp;A1656)-SUMIFS(Оплаты!$B$6:$B$505,Оплаты!$A$6:$A$505,"&lt;"&amp;A1656,Оплаты!$D$6:$D$505,"&lt;&gt;"))</f>
        <v/>
      </c>
      <c r="E1656">
        <f>IF(A1656="","",IF(SUMPRODUCT((Ввод!$F$12:$F$31&lt;&gt;"")*(Ввод!$F$12:$F$31&lt;=A1656)*(Ввод!$G$12:$G$31&gt;=A1656))&gt;0,1,0))</f>
        <v/>
      </c>
      <c r="G1656">
        <f>IF(A1656="","",IF(OR(B1656&lt;&gt;B1655,C1656&lt;&gt;C1655,E1656&lt;&gt;E1655),G1655+1,G1655))</f>
        <v/>
      </c>
    </row>
    <row r="1657">
      <c r="A1657" s="20">
        <f>IF(A1656="","",IF(A1656+1&gt;Ввод!$B$4,"",A1656+1))</f>
        <v/>
      </c>
      <c r="B1657">
        <f>IF(A1657="","",IFERROR(INDEX(Ввод!$B$12:$B$71,MATCH(A1657,Ввод!$D$12:$D$71,1)),""))</f>
        <v/>
      </c>
      <c r="C1657">
        <f>IF(A1657="","",DATE(YEAR(A1657),12,31)-DATE(YEAR(A1657),1,1)+1)</f>
        <v/>
      </c>
      <c r="D1657">
        <f>IF(A1657="","",SUMIFS(Акты!$D$5:$D$16,Акты!$E$5:$E$16,"&lt;="&amp;A1657)-SUMIFS(Оплаты!$B$6:$B$505,Оплаты!$A$6:$A$505,"&lt;"&amp;A1657,Оплаты!$D$6:$D$505,"&lt;&gt;"))</f>
        <v/>
      </c>
      <c r="E1657">
        <f>IF(A1657="","",IF(SUMPRODUCT((Ввод!$F$12:$F$31&lt;&gt;"")*(Ввод!$F$12:$F$31&lt;=A1657)*(Ввод!$G$12:$G$31&gt;=A1657))&gt;0,1,0))</f>
        <v/>
      </c>
      <c r="G1657">
        <f>IF(A1657="","",IF(OR(B1657&lt;&gt;B1656,C1657&lt;&gt;C1656,E1657&lt;&gt;E1656),G1656+1,G1656))</f>
        <v/>
      </c>
    </row>
    <row r="1658">
      <c r="A1658" s="20">
        <f>IF(A1657="","",IF(A1657+1&gt;Ввод!$B$4,"",A1657+1))</f>
        <v/>
      </c>
      <c r="B1658">
        <f>IF(A1658="","",IFERROR(INDEX(Ввод!$B$12:$B$71,MATCH(A1658,Ввод!$D$12:$D$71,1)),""))</f>
        <v/>
      </c>
      <c r="C1658">
        <f>IF(A1658="","",DATE(YEAR(A1658),12,31)-DATE(YEAR(A1658),1,1)+1)</f>
        <v/>
      </c>
      <c r="D1658">
        <f>IF(A1658="","",SUMIFS(Акты!$D$5:$D$16,Акты!$E$5:$E$16,"&lt;="&amp;A1658)-SUMIFS(Оплаты!$B$6:$B$505,Оплаты!$A$6:$A$505,"&lt;"&amp;A1658,Оплаты!$D$6:$D$505,"&lt;&gt;"))</f>
        <v/>
      </c>
      <c r="E1658">
        <f>IF(A1658="","",IF(SUMPRODUCT((Ввод!$F$12:$F$31&lt;&gt;"")*(Ввод!$F$12:$F$31&lt;=A1658)*(Ввод!$G$12:$G$31&gt;=A1658))&gt;0,1,0))</f>
        <v/>
      </c>
      <c r="G1658">
        <f>IF(A1658="","",IF(OR(B1658&lt;&gt;B1657,C1658&lt;&gt;C1657,E1658&lt;&gt;E1657),G1657+1,G1657))</f>
        <v/>
      </c>
    </row>
    <row r="1659">
      <c r="A1659" s="20">
        <f>IF(A1658="","",IF(A1658+1&gt;Ввод!$B$4,"",A1658+1))</f>
        <v/>
      </c>
      <c r="B1659">
        <f>IF(A1659="","",IFERROR(INDEX(Ввод!$B$12:$B$71,MATCH(A1659,Ввод!$D$12:$D$71,1)),""))</f>
        <v/>
      </c>
      <c r="C1659">
        <f>IF(A1659="","",DATE(YEAR(A1659),12,31)-DATE(YEAR(A1659),1,1)+1)</f>
        <v/>
      </c>
      <c r="D1659">
        <f>IF(A1659="","",SUMIFS(Акты!$D$5:$D$16,Акты!$E$5:$E$16,"&lt;="&amp;A1659)-SUMIFS(Оплаты!$B$6:$B$505,Оплаты!$A$6:$A$505,"&lt;"&amp;A1659,Оплаты!$D$6:$D$505,"&lt;&gt;"))</f>
        <v/>
      </c>
      <c r="E1659">
        <f>IF(A1659="","",IF(SUMPRODUCT((Ввод!$F$12:$F$31&lt;&gt;"")*(Ввод!$F$12:$F$31&lt;=A1659)*(Ввод!$G$12:$G$31&gt;=A1659))&gt;0,1,0))</f>
        <v/>
      </c>
      <c r="G1659">
        <f>IF(A1659="","",IF(OR(B1659&lt;&gt;B1658,C1659&lt;&gt;C1658,E1659&lt;&gt;E1658),G1658+1,G1658))</f>
        <v/>
      </c>
    </row>
    <row r="1660">
      <c r="A1660" s="20">
        <f>IF(A1659="","",IF(A1659+1&gt;Ввод!$B$4,"",A1659+1))</f>
        <v/>
      </c>
      <c r="B1660">
        <f>IF(A1660="","",IFERROR(INDEX(Ввод!$B$12:$B$71,MATCH(A1660,Ввод!$D$12:$D$71,1)),""))</f>
        <v/>
      </c>
      <c r="C1660">
        <f>IF(A1660="","",DATE(YEAR(A1660),12,31)-DATE(YEAR(A1660),1,1)+1)</f>
        <v/>
      </c>
      <c r="D1660">
        <f>IF(A1660="","",SUMIFS(Акты!$D$5:$D$16,Акты!$E$5:$E$16,"&lt;="&amp;A1660)-SUMIFS(Оплаты!$B$6:$B$505,Оплаты!$A$6:$A$505,"&lt;"&amp;A1660,Оплаты!$D$6:$D$505,"&lt;&gt;"))</f>
        <v/>
      </c>
      <c r="E1660">
        <f>IF(A1660="","",IF(SUMPRODUCT((Ввод!$F$12:$F$31&lt;&gt;"")*(Ввод!$F$12:$F$31&lt;=A1660)*(Ввод!$G$12:$G$31&gt;=A1660))&gt;0,1,0))</f>
        <v/>
      </c>
      <c r="G1660">
        <f>IF(A1660="","",IF(OR(B1660&lt;&gt;B1659,C1660&lt;&gt;C1659,E1660&lt;&gt;E1659),G1659+1,G1659))</f>
        <v/>
      </c>
    </row>
    <row r="1661">
      <c r="A1661" s="20">
        <f>IF(A1660="","",IF(A1660+1&gt;Ввод!$B$4,"",A1660+1))</f>
        <v/>
      </c>
      <c r="B1661">
        <f>IF(A1661="","",IFERROR(INDEX(Ввод!$B$12:$B$71,MATCH(A1661,Ввод!$D$12:$D$71,1)),""))</f>
        <v/>
      </c>
      <c r="C1661">
        <f>IF(A1661="","",DATE(YEAR(A1661),12,31)-DATE(YEAR(A1661),1,1)+1)</f>
        <v/>
      </c>
      <c r="D1661">
        <f>IF(A1661="","",SUMIFS(Акты!$D$5:$D$16,Акты!$E$5:$E$16,"&lt;="&amp;A1661)-SUMIFS(Оплаты!$B$6:$B$505,Оплаты!$A$6:$A$505,"&lt;"&amp;A1661,Оплаты!$D$6:$D$505,"&lt;&gt;"))</f>
        <v/>
      </c>
      <c r="E1661">
        <f>IF(A1661="","",IF(SUMPRODUCT((Ввод!$F$12:$F$31&lt;&gt;"")*(Ввод!$F$12:$F$31&lt;=A1661)*(Ввод!$G$12:$G$31&gt;=A1661))&gt;0,1,0))</f>
        <v/>
      </c>
      <c r="G1661">
        <f>IF(A1661="","",IF(OR(B1661&lt;&gt;B1660,C1661&lt;&gt;C1660,E1661&lt;&gt;E1660),G1660+1,G1660))</f>
        <v/>
      </c>
    </row>
    <row r="1662">
      <c r="A1662" s="20">
        <f>IF(A1661="","",IF(A1661+1&gt;Ввод!$B$4,"",A1661+1))</f>
        <v/>
      </c>
      <c r="B1662">
        <f>IF(A1662="","",IFERROR(INDEX(Ввод!$B$12:$B$71,MATCH(A1662,Ввод!$D$12:$D$71,1)),""))</f>
        <v/>
      </c>
      <c r="C1662">
        <f>IF(A1662="","",DATE(YEAR(A1662),12,31)-DATE(YEAR(A1662),1,1)+1)</f>
        <v/>
      </c>
      <c r="D1662">
        <f>IF(A1662="","",SUMIFS(Акты!$D$5:$D$16,Акты!$E$5:$E$16,"&lt;="&amp;A1662)-SUMIFS(Оплаты!$B$6:$B$505,Оплаты!$A$6:$A$505,"&lt;"&amp;A1662,Оплаты!$D$6:$D$505,"&lt;&gt;"))</f>
        <v/>
      </c>
      <c r="E1662">
        <f>IF(A1662="","",IF(SUMPRODUCT((Ввод!$F$12:$F$31&lt;&gt;"")*(Ввод!$F$12:$F$31&lt;=A1662)*(Ввод!$G$12:$G$31&gt;=A1662))&gt;0,1,0))</f>
        <v/>
      </c>
      <c r="G1662">
        <f>IF(A1662="","",IF(OR(B1662&lt;&gt;B1661,C1662&lt;&gt;C1661,E1662&lt;&gt;E1661),G1661+1,G1661))</f>
        <v/>
      </c>
    </row>
    <row r="1663">
      <c r="A1663" s="20">
        <f>IF(A1662="","",IF(A1662+1&gt;Ввод!$B$4,"",A1662+1))</f>
        <v/>
      </c>
      <c r="B1663">
        <f>IF(A1663="","",IFERROR(INDEX(Ввод!$B$12:$B$71,MATCH(A1663,Ввод!$D$12:$D$71,1)),""))</f>
        <v/>
      </c>
      <c r="C1663">
        <f>IF(A1663="","",DATE(YEAR(A1663),12,31)-DATE(YEAR(A1663),1,1)+1)</f>
        <v/>
      </c>
      <c r="D1663">
        <f>IF(A1663="","",SUMIFS(Акты!$D$5:$D$16,Акты!$E$5:$E$16,"&lt;="&amp;A1663)-SUMIFS(Оплаты!$B$6:$B$505,Оплаты!$A$6:$A$505,"&lt;"&amp;A1663,Оплаты!$D$6:$D$505,"&lt;&gt;"))</f>
        <v/>
      </c>
      <c r="E1663">
        <f>IF(A1663="","",IF(SUMPRODUCT((Ввод!$F$12:$F$31&lt;&gt;"")*(Ввод!$F$12:$F$31&lt;=A1663)*(Ввод!$G$12:$G$31&gt;=A1663))&gt;0,1,0))</f>
        <v/>
      </c>
      <c r="G1663">
        <f>IF(A1663="","",IF(OR(B1663&lt;&gt;B1662,C1663&lt;&gt;C1662,E1663&lt;&gt;E1662),G1662+1,G1662))</f>
        <v/>
      </c>
    </row>
    <row r="1664">
      <c r="A1664" s="20">
        <f>IF(A1663="","",IF(A1663+1&gt;Ввод!$B$4,"",A1663+1))</f>
        <v/>
      </c>
      <c r="B1664">
        <f>IF(A1664="","",IFERROR(INDEX(Ввод!$B$12:$B$71,MATCH(A1664,Ввод!$D$12:$D$71,1)),""))</f>
        <v/>
      </c>
      <c r="C1664">
        <f>IF(A1664="","",DATE(YEAR(A1664),12,31)-DATE(YEAR(A1664),1,1)+1)</f>
        <v/>
      </c>
      <c r="D1664">
        <f>IF(A1664="","",SUMIFS(Акты!$D$5:$D$16,Акты!$E$5:$E$16,"&lt;="&amp;A1664)-SUMIFS(Оплаты!$B$6:$B$505,Оплаты!$A$6:$A$505,"&lt;"&amp;A1664,Оплаты!$D$6:$D$505,"&lt;&gt;"))</f>
        <v/>
      </c>
      <c r="E1664">
        <f>IF(A1664="","",IF(SUMPRODUCT((Ввод!$F$12:$F$31&lt;&gt;"")*(Ввод!$F$12:$F$31&lt;=A1664)*(Ввод!$G$12:$G$31&gt;=A1664))&gt;0,1,0))</f>
        <v/>
      </c>
      <c r="G1664">
        <f>IF(A1664="","",IF(OR(B1664&lt;&gt;B1663,C1664&lt;&gt;C1663,E1664&lt;&gt;E1663),G1663+1,G1663))</f>
        <v/>
      </c>
    </row>
    <row r="1665">
      <c r="A1665" s="20">
        <f>IF(A1664="","",IF(A1664+1&gt;Ввод!$B$4,"",A1664+1))</f>
        <v/>
      </c>
      <c r="B1665">
        <f>IF(A1665="","",IFERROR(INDEX(Ввод!$B$12:$B$71,MATCH(A1665,Ввод!$D$12:$D$71,1)),""))</f>
        <v/>
      </c>
      <c r="C1665">
        <f>IF(A1665="","",DATE(YEAR(A1665),12,31)-DATE(YEAR(A1665),1,1)+1)</f>
        <v/>
      </c>
      <c r="D1665">
        <f>IF(A1665="","",SUMIFS(Акты!$D$5:$D$16,Акты!$E$5:$E$16,"&lt;="&amp;A1665)-SUMIFS(Оплаты!$B$6:$B$505,Оплаты!$A$6:$A$505,"&lt;"&amp;A1665,Оплаты!$D$6:$D$505,"&lt;&gt;"))</f>
        <v/>
      </c>
      <c r="E1665">
        <f>IF(A1665="","",IF(SUMPRODUCT((Ввод!$F$12:$F$31&lt;&gt;"")*(Ввод!$F$12:$F$31&lt;=A1665)*(Ввод!$G$12:$G$31&gt;=A1665))&gt;0,1,0))</f>
        <v/>
      </c>
      <c r="G1665">
        <f>IF(A1665="","",IF(OR(B1665&lt;&gt;B1664,C1665&lt;&gt;C1664,E1665&lt;&gt;E1664),G1664+1,G1664))</f>
        <v/>
      </c>
    </row>
    <row r="1666">
      <c r="A1666" s="20">
        <f>IF(A1665="","",IF(A1665+1&gt;Ввод!$B$4,"",A1665+1))</f>
        <v/>
      </c>
      <c r="B1666">
        <f>IF(A1666="","",IFERROR(INDEX(Ввод!$B$12:$B$71,MATCH(A1666,Ввод!$D$12:$D$71,1)),""))</f>
        <v/>
      </c>
      <c r="C1666">
        <f>IF(A1666="","",DATE(YEAR(A1666),12,31)-DATE(YEAR(A1666),1,1)+1)</f>
        <v/>
      </c>
      <c r="D1666">
        <f>IF(A1666="","",SUMIFS(Акты!$D$5:$D$16,Акты!$E$5:$E$16,"&lt;="&amp;A1666)-SUMIFS(Оплаты!$B$6:$B$505,Оплаты!$A$6:$A$505,"&lt;"&amp;A1666,Оплаты!$D$6:$D$505,"&lt;&gt;"))</f>
        <v/>
      </c>
      <c r="E1666">
        <f>IF(A1666="","",IF(SUMPRODUCT((Ввод!$F$12:$F$31&lt;&gt;"")*(Ввод!$F$12:$F$31&lt;=A1666)*(Ввод!$G$12:$G$31&gt;=A1666))&gt;0,1,0))</f>
        <v/>
      </c>
      <c r="G1666">
        <f>IF(A1666="","",IF(OR(B1666&lt;&gt;B1665,C1666&lt;&gt;C1665,E1666&lt;&gt;E1665),G1665+1,G1665))</f>
        <v/>
      </c>
    </row>
    <row r="1667">
      <c r="A1667" s="20">
        <f>IF(A1666="","",IF(A1666+1&gt;Ввод!$B$4,"",A1666+1))</f>
        <v/>
      </c>
      <c r="B1667">
        <f>IF(A1667="","",IFERROR(INDEX(Ввод!$B$12:$B$71,MATCH(A1667,Ввод!$D$12:$D$71,1)),""))</f>
        <v/>
      </c>
      <c r="C1667">
        <f>IF(A1667="","",DATE(YEAR(A1667),12,31)-DATE(YEAR(A1667),1,1)+1)</f>
        <v/>
      </c>
      <c r="D1667">
        <f>IF(A1667="","",SUMIFS(Акты!$D$5:$D$16,Акты!$E$5:$E$16,"&lt;="&amp;A1667)-SUMIFS(Оплаты!$B$6:$B$505,Оплаты!$A$6:$A$505,"&lt;"&amp;A1667,Оплаты!$D$6:$D$505,"&lt;&gt;"))</f>
        <v/>
      </c>
      <c r="E1667">
        <f>IF(A1667="","",IF(SUMPRODUCT((Ввод!$F$12:$F$31&lt;&gt;"")*(Ввод!$F$12:$F$31&lt;=A1667)*(Ввод!$G$12:$G$31&gt;=A1667))&gt;0,1,0))</f>
        <v/>
      </c>
      <c r="G1667">
        <f>IF(A1667="","",IF(OR(B1667&lt;&gt;B1666,C1667&lt;&gt;C1666,E1667&lt;&gt;E1666),G1666+1,G1666))</f>
        <v/>
      </c>
    </row>
    <row r="1668">
      <c r="A1668" s="20">
        <f>IF(A1667="","",IF(A1667+1&gt;Ввод!$B$4,"",A1667+1))</f>
        <v/>
      </c>
      <c r="B1668">
        <f>IF(A1668="","",IFERROR(INDEX(Ввод!$B$12:$B$71,MATCH(A1668,Ввод!$D$12:$D$71,1)),""))</f>
        <v/>
      </c>
      <c r="C1668">
        <f>IF(A1668="","",DATE(YEAR(A1668),12,31)-DATE(YEAR(A1668),1,1)+1)</f>
        <v/>
      </c>
      <c r="D1668">
        <f>IF(A1668="","",SUMIFS(Акты!$D$5:$D$16,Акты!$E$5:$E$16,"&lt;="&amp;A1668)-SUMIFS(Оплаты!$B$6:$B$505,Оплаты!$A$6:$A$505,"&lt;"&amp;A1668,Оплаты!$D$6:$D$505,"&lt;&gt;"))</f>
        <v/>
      </c>
      <c r="E1668">
        <f>IF(A1668="","",IF(SUMPRODUCT((Ввод!$F$12:$F$31&lt;&gt;"")*(Ввод!$F$12:$F$31&lt;=A1668)*(Ввод!$G$12:$G$31&gt;=A1668))&gt;0,1,0))</f>
        <v/>
      </c>
      <c r="G1668">
        <f>IF(A1668="","",IF(OR(B1668&lt;&gt;B1667,C1668&lt;&gt;C1667,E1668&lt;&gt;E1667),G1667+1,G1667))</f>
        <v/>
      </c>
    </row>
    <row r="1669">
      <c r="A1669" s="20">
        <f>IF(A1668="","",IF(A1668+1&gt;Ввод!$B$4,"",A1668+1))</f>
        <v/>
      </c>
      <c r="B1669">
        <f>IF(A1669="","",IFERROR(INDEX(Ввод!$B$12:$B$71,MATCH(A1669,Ввод!$D$12:$D$71,1)),""))</f>
        <v/>
      </c>
      <c r="C1669">
        <f>IF(A1669="","",DATE(YEAR(A1669),12,31)-DATE(YEAR(A1669),1,1)+1)</f>
        <v/>
      </c>
      <c r="D1669">
        <f>IF(A1669="","",SUMIFS(Акты!$D$5:$D$16,Акты!$E$5:$E$16,"&lt;="&amp;A1669)-SUMIFS(Оплаты!$B$6:$B$505,Оплаты!$A$6:$A$505,"&lt;"&amp;A1669,Оплаты!$D$6:$D$505,"&lt;&gt;"))</f>
        <v/>
      </c>
      <c r="E1669">
        <f>IF(A1669="","",IF(SUMPRODUCT((Ввод!$F$12:$F$31&lt;&gt;"")*(Ввод!$F$12:$F$31&lt;=A1669)*(Ввод!$G$12:$G$31&gt;=A1669))&gt;0,1,0))</f>
        <v/>
      </c>
      <c r="G1669">
        <f>IF(A1669="","",IF(OR(B1669&lt;&gt;B1668,C1669&lt;&gt;C1668,E1669&lt;&gt;E1668),G1668+1,G1668))</f>
        <v/>
      </c>
    </row>
    <row r="1670">
      <c r="A1670" s="20">
        <f>IF(A1669="","",IF(A1669+1&gt;Ввод!$B$4,"",A1669+1))</f>
        <v/>
      </c>
      <c r="B1670">
        <f>IF(A1670="","",IFERROR(INDEX(Ввод!$B$12:$B$71,MATCH(A1670,Ввод!$D$12:$D$71,1)),""))</f>
        <v/>
      </c>
      <c r="C1670">
        <f>IF(A1670="","",DATE(YEAR(A1670),12,31)-DATE(YEAR(A1670),1,1)+1)</f>
        <v/>
      </c>
      <c r="D1670">
        <f>IF(A1670="","",SUMIFS(Акты!$D$5:$D$16,Акты!$E$5:$E$16,"&lt;="&amp;A1670)-SUMIFS(Оплаты!$B$6:$B$505,Оплаты!$A$6:$A$505,"&lt;"&amp;A1670,Оплаты!$D$6:$D$505,"&lt;&gt;"))</f>
        <v/>
      </c>
      <c r="E1670">
        <f>IF(A1670="","",IF(SUMPRODUCT((Ввод!$F$12:$F$31&lt;&gt;"")*(Ввод!$F$12:$F$31&lt;=A1670)*(Ввод!$G$12:$G$31&gt;=A1670))&gt;0,1,0))</f>
        <v/>
      </c>
      <c r="G1670">
        <f>IF(A1670="","",IF(OR(B1670&lt;&gt;B1669,C1670&lt;&gt;C1669,E1670&lt;&gt;E1669),G1669+1,G1669))</f>
        <v/>
      </c>
    </row>
    <row r="1671">
      <c r="A1671" s="20">
        <f>IF(A1670="","",IF(A1670+1&gt;Ввод!$B$4,"",A1670+1))</f>
        <v/>
      </c>
      <c r="B1671">
        <f>IF(A1671="","",IFERROR(INDEX(Ввод!$B$12:$B$71,MATCH(A1671,Ввод!$D$12:$D$71,1)),""))</f>
        <v/>
      </c>
      <c r="C1671">
        <f>IF(A1671="","",DATE(YEAR(A1671),12,31)-DATE(YEAR(A1671),1,1)+1)</f>
        <v/>
      </c>
      <c r="D1671">
        <f>IF(A1671="","",SUMIFS(Акты!$D$5:$D$16,Акты!$E$5:$E$16,"&lt;="&amp;A1671)-SUMIFS(Оплаты!$B$6:$B$505,Оплаты!$A$6:$A$505,"&lt;"&amp;A1671,Оплаты!$D$6:$D$505,"&lt;&gt;"))</f>
        <v/>
      </c>
      <c r="E1671">
        <f>IF(A1671="","",IF(SUMPRODUCT((Ввод!$F$12:$F$31&lt;&gt;"")*(Ввод!$F$12:$F$31&lt;=A1671)*(Ввод!$G$12:$G$31&gt;=A1671))&gt;0,1,0))</f>
        <v/>
      </c>
      <c r="G1671">
        <f>IF(A1671="","",IF(OR(B1671&lt;&gt;B1670,C1671&lt;&gt;C1670,E1671&lt;&gt;E1670),G1670+1,G1670))</f>
        <v/>
      </c>
    </row>
    <row r="1672">
      <c r="A1672" s="20">
        <f>IF(A1671="","",IF(A1671+1&gt;Ввод!$B$4,"",A1671+1))</f>
        <v/>
      </c>
      <c r="B1672">
        <f>IF(A1672="","",IFERROR(INDEX(Ввод!$B$12:$B$71,MATCH(A1672,Ввод!$D$12:$D$71,1)),""))</f>
        <v/>
      </c>
      <c r="C1672">
        <f>IF(A1672="","",DATE(YEAR(A1672),12,31)-DATE(YEAR(A1672),1,1)+1)</f>
        <v/>
      </c>
      <c r="D1672">
        <f>IF(A1672="","",SUMIFS(Акты!$D$5:$D$16,Акты!$E$5:$E$16,"&lt;="&amp;A1672)-SUMIFS(Оплаты!$B$6:$B$505,Оплаты!$A$6:$A$505,"&lt;"&amp;A1672,Оплаты!$D$6:$D$505,"&lt;&gt;"))</f>
        <v/>
      </c>
      <c r="E1672">
        <f>IF(A1672="","",IF(SUMPRODUCT((Ввод!$F$12:$F$31&lt;&gt;"")*(Ввод!$F$12:$F$31&lt;=A1672)*(Ввод!$G$12:$G$31&gt;=A1672))&gt;0,1,0))</f>
        <v/>
      </c>
      <c r="G1672">
        <f>IF(A1672="","",IF(OR(B1672&lt;&gt;B1671,C1672&lt;&gt;C1671,E1672&lt;&gt;E1671),G1671+1,G1671))</f>
        <v/>
      </c>
    </row>
    <row r="1673">
      <c r="A1673" s="20">
        <f>IF(A1672="","",IF(A1672+1&gt;Ввод!$B$4,"",A1672+1))</f>
        <v/>
      </c>
      <c r="B1673">
        <f>IF(A1673="","",IFERROR(INDEX(Ввод!$B$12:$B$71,MATCH(A1673,Ввод!$D$12:$D$71,1)),""))</f>
        <v/>
      </c>
      <c r="C1673">
        <f>IF(A1673="","",DATE(YEAR(A1673),12,31)-DATE(YEAR(A1673),1,1)+1)</f>
        <v/>
      </c>
      <c r="D1673">
        <f>IF(A1673="","",SUMIFS(Акты!$D$5:$D$16,Акты!$E$5:$E$16,"&lt;="&amp;A1673)-SUMIFS(Оплаты!$B$6:$B$505,Оплаты!$A$6:$A$505,"&lt;"&amp;A1673,Оплаты!$D$6:$D$505,"&lt;&gt;"))</f>
        <v/>
      </c>
      <c r="E1673">
        <f>IF(A1673="","",IF(SUMPRODUCT((Ввод!$F$12:$F$31&lt;&gt;"")*(Ввод!$F$12:$F$31&lt;=A1673)*(Ввод!$G$12:$G$31&gt;=A1673))&gt;0,1,0))</f>
        <v/>
      </c>
      <c r="G1673">
        <f>IF(A1673="","",IF(OR(B1673&lt;&gt;B1672,C1673&lt;&gt;C1672,E1673&lt;&gt;E1672),G1672+1,G1672))</f>
        <v/>
      </c>
    </row>
    <row r="1674">
      <c r="A1674" s="20">
        <f>IF(A1673="","",IF(A1673+1&gt;Ввод!$B$4,"",A1673+1))</f>
        <v/>
      </c>
      <c r="B1674">
        <f>IF(A1674="","",IFERROR(INDEX(Ввод!$B$12:$B$71,MATCH(A1674,Ввод!$D$12:$D$71,1)),""))</f>
        <v/>
      </c>
      <c r="C1674">
        <f>IF(A1674="","",DATE(YEAR(A1674),12,31)-DATE(YEAR(A1674),1,1)+1)</f>
        <v/>
      </c>
      <c r="D1674">
        <f>IF(A1674="","",SUMIFS(Акты!$D$5:$D$16,Акты!$E$5:$E$16,"&lt;="&amp;A1674)-SUMIFS(Оплаты!$B$6:$B$505,Оплаты!$A$6:$A$505,"&lt;"&amp;A1674,Оплаты!$D$6:$D$505,"&lt;&gt;"))</f>
        <v/>
      </c>
      <c r="E1674">
        <f>IF(A1674="","",IF(SUMPRODUCT((Ввод!$F$12:$F$31&lt;&gt;"")*(Ввод!$F$12:$F$31&lt;=A1674)*(Ввод!$G$12:$G$31&gt;=A1674))&gt;0,1,0))</f>
        <v/>
      </c>
      <c r="G1674">
        <f>IF(A1674="","",IF(OR(B1674&lt;&gt;B1673,C1674&lt;&gt;C1673,E1674&lt;&gt;E1673),G1673+1,G1673))</f>
        <v/>
      </c>
    </row>
    <row r="1675">
      <c r="A1675" s="20">
        <f>IF(A1674="","",IF(A1674+1&gt;Ввод!$B$4,"",A1674+1))</f>
        <v/>
      </c>
      <c r="B1675">
        <f>IF(A1675="","",IFERROR(INDEX(Ввод!$B$12:$B$71,MATCH(A1675,Ввод!$D$12:$D$71,1)),""))</f>
        <v/>
      </c>
      <c r="C1675">
        <f>IF(A1675="","",DATE(YEAR(A1675),12,31)-DATE(YEAR(A1675),1,1)+1)</f>
        <v/>
      </c>
      <c r="D1675">
        <f>IF(A1675="","",SUMIFS(Акты!$D$5:$D$16,Акты!$E$5:$E$16,"&lt;="&amp;A1675)-SUMIFS(Оплаты!$B$6:$B$505,Оплаты!$A$6:$A$505,"&lt;"&amp;A1675,Оплаты!$D$6:$D$505,"&lt;&gt;"))</f>
        <v/>
      </c>
      <c r="E1675">
        <f>IF(A1675="","",IF(SUMPRODUCT((Ввод!$F$12:$F$31&lt;&gt;"")*(Ввод!$F$12:$F$31&lt;=A1675)*(Ввод!$G$12:$G$31&gt;=A1675))&gt;0,1,0))</f>
        <v/>
      </c>
      <c r="G1675">
        <f>IF(A1675="","",IF(OR(B1675&lt;&gt;B1674,C1675&lt;&gt;C1674,E1675&lt;&gt;E1674),G1674+1,G1674))</f>
        <v/>
      </c>
    </row>
    <row r="1676">
      <c r="A1676" s="20">
        <f>IF(A1675="","",IF(A1675+1&gt;Ввод!$B$4,"",A1675+1))</f>
        <v/>
      </c>
      <c r="B1676">
        <f>IF(A1676="","",IFERROR(INDEX(Ввод!$B$12:$B$71,MATCH(A1676,Ввод!$D$12:$D$71,1)),""))</f>
        <v/>
      </c>
      <c r="C1676">
        <f>IF(A1676="","",DATE(YEAR(A1676),12,31)-DATE(YEAR(A1676),1,1)+1)</f>
        <v/>
      </c>
      <c r="D1676">
        <f>IF(A1676="","",SUMIFS(Акты!$D$5:$D$16,Акты!$E$5:$E$16,"&lt;="&amp;A1676)-SUMIFS(Оплаты!$B$6:$B$505,Оплаты!$A$6:$A$505,"&lt;"&amp;A1676,Оплаты!$D$6:$D$505,"&lt;&gt;"))</f>
        <v/>
      </c>
      <c r="E1676">
        <f>IF(A1676="","",IF(SUMPRODUCT((Ввод!$F$12:$F$31&lt;&gt;"")*(Ввод!$F$12:$F$31&lt;=A1676)*(Ввод!$G$12:$G$31&gt;=A1676))&gt;0,1,0))</f>
        <v/>
      </c>
      <c r="G1676">
        <f>IF(A1676="","",IF(OR(B1676&lt;&gt;B1675,C1676&lt;&gt;C1675,E1676&lt;&gt;E1675),G1675+1,G1675))</f>
        <v/>
      </c>
    </row>
    <row r="1677">
      <c r="A1677" s="20">
        <f>IF(A1676="","",IF(A1676+1&gt;Ввод!$B$4,"",A1676+1))</f>
        <v/>
      </c>
      <c r="B1677">
        <f>IF(A1677="","",IFERROR(INDEX(Ввод!$B$12:$B$71,MATCH(A1677,Ввод!$D$12:$D$71,1)),""))</f>
        <v/>
      </c>
      <c r="C1677">
        <f>IF(A1677="","",DATE(YEAR(A1677),12,31)-DATE(YEAR(A1677),1,1)+1)</f>
        <v/>
      </c>
      <c r="D1677">
        <f>IF(A1677="","",SUMIFS(Акты!$D$5:$D$16,Акты!$E$5:$E$16,"&lt;="&amp;A1677)-SUMIFS(Оплаты!$B$6:$B$505,Оплаты!$A$6:$A$505,"&lt;"&amp;A1677,Оплаты!$D$6:$D$505,"&lt;&gt;"))</f>
        <v/>
      </c>
      <c r="E1677">
        <f>IF(A1677="","",IF(SUMPRODUCT((Ввод!$F$12:$F$31&lt;&gt;"")*(Ввод!$F$12:$F$31&lt;=A1677)*(Ввод!$G$12:$G$31&gt;=A1677))&gt;0,1,0))</f>
        <v/>
      </c>
      <c r="G1677">
        <f>IF(A1677="","",IF(OR(B1677&lt;&gt;B1676,C1677&lt;&gt;C1676,E1677&lt;&gt;E1676),G1676+1,G1676))</f>
        <v/>
      </c>
    </row>
    <row r="1678">
      <c r="A1678" s="20">
        <f>IF(A1677="","",IF(A1677+1&gt;Ввод!$B$4,"",A1677+1))</f>
        <v/>
      </c>
      <c r="B1678">
        <f>IF(A1678="","",IFERROR(INDEX(Ввод!$B$12:$B$71,MATCH(A1678,Ввод!$D$12:$D$71,1)),""))</f>
        <v/>
      </c>
      <c r="C1678">
        <f>IF(A1678="","",DATE(YEAR(A1678),12,31)-DATE(YEAR(A1678),1,1)+1)</f>
        <v/>
      </c>
      <c r="D1678">
        <f>IF(A1678="","",SUMIFS(Акты!$D$5:$D$16,Акты!$E$5:$E$16,"&lt;="&amp;A1678)-SUMIFS(Оплаты!$B$6:$B$505,Оплаты!$A$6:$A$505,"&lt;"&amp;A1678,Оплаты!$D$6:$D$505,"&lt;&gt;"))</f>
        <v/>
      </c>
      <c r="E1678">
        <f>IF(A1678="","",IF(SUMPRODUCT((Ввод!$F$12:$F$31&lt;&gt;"")*(Ввод!$F$12:$F$31&lt;=A1678)*(Ввод!$G$12:$G$31&gt;=A1678))&gt;0,1,0))</f>
        <v/>
      </c>
      <c r="G1678">
        <f>IF(A1678="","",IF(OR(B1678&lt;&gt;B1677,C1678&lt;&gt;C1677,E1678&lt;&gt;E1677),G1677+1,G1677))</f>
        <v/>
      </c>
    </row>
    <row r="1679">
      <c r="A1679" s="20">
        <f>IF(A1678="","",IF(A1678+1&gt;Ввод!$B$4,"",A1678+1))</f>
        <v/>
      </c>
      <c r="B1679">
        <f>IF(A1679="","",IFERROR(INDEX(Ввод!$B$12:$B$71,MATCH(A1679,Ввод!$D$12:$D$71,1)),""))</f>
        <v/>
      </c>
      <c r="C1679">
        <f>IF(A1679="","",DATE(YEAR(A1679),12,31)-DATE(YEAR(A1679),1,1)+1)</f>
        <v/>
      </c>
      <c r="D1679">
        <f>IF(A1679="","",SUMIFS(Акты!$D$5:$D$16,Акты!$E$5:$E$16,"&lt;="&amp;A1679)-SUMIFS(Оплаты!$B$6:$B$505,Оплаты!$A$6:$A$505,"&lt;"&amp;A1679,Оплаты!$D$6:$D$505,"&lt;&gt;"))</f>
        <v/>
      </c>
      <c r="E1679">
        <f>IF(A1679="","",IF(SUMPRODUCT((Ввод!$F$12:$F$31&lt;&gt;"")*(Ввод!$F$12:$F$31&lt;=A1679)*(Ввод!$G$12:$G$31&gt;=A1679))&gt;0,1,0))</f>
        <v/>
      </c>
      <c r="G1679">
        <f>IF(A1679="","",IF(OR(B1679&lt;&gt;B1678,C1679&lt;&gt;C1678,E1679&lt;&gt;E1678),G1678+1,G1678))</f>
        <v/>
      </c>
    </row>
    <row r="1680">
      <c r="A1680" s="20">
        <f>IF(A1679="","",IF(A1679+1&gt;Ввод!$B$4,"",A1679+1))</f>
        <v/>
      </c>
      <c r="B1680">
        <f>IF(A1680="","",IFERROR(INDEX(Ввод!$B$12:$B$71,MATCH(A1680,Ввод!$D$12:$D$71,1)),""))</f>
        <v/>
      </c>
      <c r="C1680">
        <f>IF(A1680="","",DATE(YEAR(A1680),12,31)-DATE(YEAR(A1680),1,1)+1)</f>
        <v/>
      </c>
      <c r="D1680">
        <f>IF(A1680="","",SUMIFS(Акты!$D$5:$D$16,Акты!$E$5:$E$16,"&lt;="&amp;A1680)-SUMIFS(Оплаты!$B$6:$B$505,Оплаты!$A$6:$A$505,"&lt;"&amp;A1680,Оплаты!$D$6:$D$505,"&lt;&gt;"))</f>
        <v/>
      </c>
      <c r="E1680">
        <f>IF(A1680="","",IF(SUMPRODUCT((Ввод!$F$12:$F$31&lt;&gt;"")*(Ввод!$F$12:$F$31&lt;=A1680)*(Ввод!$G$12:$G$31&gt;=A1680))&gt;0,1,0))</f>
        <v/>
      </c>
      <c r="G1680">
        <f>IF(A1680="","",IF(OR(B1680&lt;&gt;B1679,C1680&lt;&gt;C1679,E1680&lt;&gt;E1679),G1679+1,G1679))</f>
        <v/>
      </c>
    </row>
    <row r="1681">
      <c r="A1681" s="20">
        <f>IF(A1680="","",IF(A1680+1&gt;Ввод!$B$4,"",A1680+1))</f>
        <v/>
      </c>
      <c r="B1681">
        <f>IF(A1681="","",IFERROR(INDEX(Ввод!$B$12:$B$71,MATCH(A1681,Ввод!$D$12:$D$71,1)),""))</f>
        <v/>
      </c>
      <c r="C1681">
        <f>IF(A1681="","",DATE(YEAR(A1681),12,31)-DATE(YEAR(A1681),1,1)+1)</f>
        <v/>
      </c>
      <c r="D1681">
        <f>IF(A1681="","",SUMIFS(Акты!$D$5:$D$16,Акты!$E$5:$E$16,"&lt;="&amp;A1681)-SUMIFS(Оплаты!$B$6:$B$505,Оплаты!$A$6:$A$505,"&lt;"&amp;A1681,Оплаты!$D$6:$D$505,"&lt;&gt;"))</f>
        <v/>
      </c>
      <c r="E1681">
        <f>IF(A1681="","",IF(SUMPRODUCT((Ввод!$F$12:$F$31&lt;&gt;"")*(Ввод!$F$12:$F$31&lt;=A1681)*(Ввод!$G$12:$G$31&gt;=A1681))&gt;0,1,0))</f>
        <v/>
      </c>
      <c r="G1681">
        <f>IF(A1681="","",IF(OR(B1681&lt;&gt;B1680,C1681&lt;&gt;C1680,E1681&lt;&gt;E1680),G1680+1,G1680))</f>
        <v/>
      </c>
    </row>
    <row r="1682">
      <c r="A1682" s="20">
        <f>IF(A1681="","",IF(A1681+1&gt;Ввод!$B$4,"",A1681+1))</f>
        <v/>
      </c>
      <c r="B1682">
        <f>IF(A1682="","",IFERROR(INDEX(Ввод!$B$12:$B$71,MATCH(A1682,Ввод!$D$12:$D$71,1)),""))</f>
        <v/>
      </c>
      <c r="C1682">
        <f>IF(A1682="","",DATE(YEAR(A1682),12,31)-DATE(YEAR(A1682),1,1)+1)</f>
        <v/>
      </c>
      <c r="D1682">
        <f>IF(A1682="","",SUMIFS(Акты!$D$5:$D$16,Акты!$E$5:$E$16,"&lt;="&amp;A1682)-SUMIFS(Оплаты!$B$6:$B$505,Оплаты!$A$6:$A$505,"&lt;"&amp;A1682,Оплаты!$D$6:$D$505,"&lt;&gt;"))</f>
        <v/>
      </c>
      <c r="E1682">
        <f>IF(A1682="","",IF(SUMPRODUCT((Ввод!$F$12:$F$31&lt;&gt;"")*(Ввод!$F$12:$F$31&lt;=A1682)*(Ввод!$G$12:$G$31&gt;=A1682))&gt;0,1,0))</f>
        <v/>
      </c>
      <c r="G1682">
        <f>IF(A1682="","",IF(OR(B1682&lt;&gt;B1681,C1682&lt;&gt;C1681,E1682&lt;&gt;E1681),G1681+1,G1681))</f>
        <v/>
      </c>
    </row>
    <row r="1683">
      <c r="A1683" s="20">
        <f>IF(A1682="","",IF(A1682+1&gt;Ввод!$B$4,"",A1682+1))</f>
        <v/>
      </c>
      <c r="B1683">
        <f>IF(A1683="","",IFERROR(INDEX(Ввод!$B$12:$B$71,MATCH(A1683,Ввод!$D$12:$D$71,1)),""))</f>
        <v/>
      </c>
      <c r="C1683">
        <f>IF(A1683="","",DATE(YEAR(A1683),12,31)-DATE(YEAR(A1683),1,1)+1)</f>
        <v/>
      </c>
      <c r="D1683">
        <f>IF(A1683="","",SUMIFS(Акты!$D$5:$D$16,Акты!$E$5:$E$16,"&lt;="&amp;A1683)-SUMIFS(Оплаты!$B$6:$B$505,Оплаты!$A$6:$A$505,"&lt;"&amp;A1683,Оплаты!$D$6:$D$505,"&lt;&gt;"))</f>
        <v/>
      </c>
      <c r="E1683">
        <f>IF(A1683="","",IF(SUMPRODUCT((Ввод!$F$12:$F$31&lt;&gt;"")*(Ввод!$F$12:$F$31&lt;=A1683)*(Ввод!$G$12:$G$31&gt;=A1683))&gt;0,1,0))</f>
        <v/>
      </c>
      <c r="G1683">
        <f>IF(A1683="","",IF(OR(B1683&lt;&gt;B1682,C1683&lt;&gt;C1682,E1683&lt;&gt;E1682),G1682+1,G1682))</f>
        <v/>
      </c>
    </row>
    <row r="1684">
      <c r="A1684" s="20">
        <f>IF(A1683="","",IF(A1683+1&gt;Ввод!$B$4,"",A1683+1))</f>
        <v/>
      </c>
      <c r="B1684">
        <f>IF(A1684="","",IFERROR(INDEX(Ввод!$B$12:$B$71,MATCH(A1684,Ввод!$D$12:$D$71,1)),""))</f>
        <v/>
      </c>
      <c r="C1684">
        <f>IF(A1684="","",DATE(YEAR(A1684),12,31)-DATE(YEAR(A1684),1,1)+1)</f>
        <v/>
      </c>
      <c r="D1684">
        <f>IF(A1684="","",SUMIFS(Акты!$D$5:$D$16,Акты!$E$5:$E$16,"&lt;="&amp;A1684)-SUMIFS(Оплаты!$B$6:$B$505,Оплаты!$A$6:$A$505,"&lt;"&amp;A1684,Оплаты!$D$6:$D$505,"&lt;&gt;"))</f>
        <v/>
      </c>
      <c r="E1684">
        <f>IF(A1684="","",IF(SUMPRODUCT((Ввод!$F$12:$F$31&lt;&gt;"")*(Ввод!$F$12:$F$31&lt;=A1684)*(Ввод!$G$12:$G$31&gt;=A1684))&gt;0,1,0))</f>
        <v/>
      </c>
      <c r="G1684">
        <f>IF(A1684="","",IF(OR(B1684&lt;&gt;B1683,C1684&lt;&gt;C1683,E1684&lt;&gt;E1683),G1683+1,G1683))</f>
        <v/>
      </c>
    </row>
    <row r="1685">
      <c r="A1685" s="20">
        <f>IF(A1684="","",IF(A1684+1&gt;Ввод!$B$4,"",A1684+1))</f>
        <v/>
      </c>
      <c r="B1685">
        <f>IF(A1685="","",IFERROR(INDEX(Ввод!$B$12:$B$71,MATCH(A1685,Ввод!$D$12:$D$71,1)),""))</f>
        <v/>
      </c>
      <c r="C1685">
        <f>IF(A1685="","",DATE(YEAR(A1685),12,31)-DATE(YEAR(A1685),1,1)+1)</f>
        <v/>
      </c>
      <c r="D1685">
        <f>IF(A1685="","",SUMIFS(Акты!$D$5:$D$16,Акты!$E$5:$E$16,"&lt;="&amp;A1685)-SUMIFS(Оплаты!$B$6:$B$505,Оплаты!$A$6:$A$505,"&lt;"&amp;A1685,Оплаты!$D$6:$D$505,"&lt;&gt;"))</f>
        <v/>
      </c>
      <c r="E1685">
        <f>IF(A1685="","",IF(SUMPRODUCT((Ввод!$F$12:$F$31&lt;&gt;"")*(Ввод!$F$12:$F$31&lt;=A1685)*(Ввод!$G$12:$G$31&gt;=A1685))&gt;0,1,0))</f>
        <v/>
      </c>
      <c r="G1685">
        <f>IF(A1685="","",IF(OR(B1685&lt;&gt;B1684,C1685&lt;&gt;C1684,E1685&lt;&gt;E1684),G1684+1,G1684))</f>
        <v/>
      </c>
    </row>
    <row r="1686">
      <c r="A1686" s="20">
        <f>IF(A1685="","",IF(A1685+1&gt;Ввод!$B$4,"",A1685+1))</f>
        <v/>
      </c>
      <c r="B1686">
        <f>IF(A1686="","",IFERROR(INDEX(Ввод!$B$12:$B$71,MATCH(A1686,Ввод!$D$12:$D$71,1)),""))</f>
        <v/>
      </c>
      <c r="C1686">
        <f>IF(A1686="","",DATE(YEAR(A1686),12,31)-DATE(YEAR(A1686),1,1)+1)</f>
        <v/>
      </c>
      <c r="D1686">
        <f>IF(A1686="","",SUMIFS(Акты!$D$5:$D$16,Акты!$E$5:$E$16,"&lt;="&amp;A1686)-SUMIFS(Оплаты!$B$6:$B$505,Оплаты!$A$6:$A$505,"&lt;"&amp;A1686,Оплаты!$D$6:$D$505,"&lt;&gt;"))</f>
        <v/>
      </c>
      <c r="E1686">
        <f>IF(A1686="","",IF(SUMPRODUCT((Ввод!$F$12:$F$31&lt;&gt;"")*(Ввод!$F$12:$F$31&lt;=A1686)*(Ввод!$G$12:$G$31&gt;=A1686))&gt;0,1,0))</f>
        <v/>
      </c>
      <c r="G1686">
        <f>IF(A1686="","",IF(OR(B1686&lt;&gt;B1685,C1686&lt;&gt;C1685,E1686&lt;&gt;E1685),G1685+1,G1685))</f>
        <v/>
      </c>
    </row>
    <row r="1687">
      <c r="A1687" s="20">
        <f>IF(A1686="","",IF(A1686+1&gt;Ввод!$B$4,"",A1686+1))</f>
        <v/>
      </c>
      <c r="B1687">
        <f>IF(A1687="","",IFERROR(INDEX(Ввод!$B$12:$B$71,MATCH(A1687,Ввод!$D$12:$D$71,1)),""))</f>
        <v/>
      </c>
      <c r="C1687">
        <f>IF(A1687="","",DATE(YEAR(A1687),12,31)-DATE(YEAR(A1687),1,1)+1)</f>
        <v/>
      </c>
      <c r="D1687">
        <f>IF(A1687="","",SUMIFS(Акты!$D$5:$D$16,Акты!$E$5:$E$16,"&lt;="&amp;A1687)-SUMIFS(Оплаты!$B$6:$B$505,Оплаты!$A$6:$A$505,"&lt;"&amp;A1687,Оплаты!$D$6:$D$505,"&lt;&gt;"))</f>
        <v/>
      </c>
      <c r="E1687">
        <f>IF(A1687="","",IF(SUMPRODUCT((Ввод!$F$12:$F$31&lt;&gt;"")*(Ввод!$F$12:$F$31&lt;=A1687)*(Ввод!$G$12:$G$31&gt;=A1687))&gt;0,1,0))</f>
        <v/>
      </c>
      <c r="G1687">
        <f>IF(A1687="","",IF(OR(B1687&lt;&gt;B1686,C1687&lt;&gt;C1686,E1687&lt;&gt;E1686),G1686+1,G1686))</f>
        <v/>
      </c>
    </row>
    <row r="1688">
      <c r="A1688" s="20">
        <f>IF(A1687="","",IF(A1687+1&gt;Ввод!$B$4,"",A1687+1))</f>
        <v/>
      </c>
      <c r="B1688">
        <f>IF(A1688="","",IFERROR(INDEX(Ввод!$B$12:$B$71,MATCH(A1688,Ввод!$D$12:$D$71,1)),""))</f>
        <v/>
      </c>
      <c r="C1688">
        <f>IF(A1688="","",DATE(YEAR(A1688),12,31)-DATE(YEAR(A1688),1,1)+1)</f>
        <v/>
      </c>
      <c r="D1688">
        <f>IF(A1688="","",SUMIFS(Акты!$D$5:$D$16,Акты!$E$5:$E$16,"&lt;="&amp;A1688)-SUMIFS(Оплаты!$B$6:$B$505,Оплаты!$A$6:$A$505,"&lt;"&amp;A1688,Оплаты!$D$6:$D$505,"&lt;&gt;"))</f>
        <v/>
      </c>
      <c r="E1688">
        <f>IF(A1688="","",IF(SUMPRODUCT((Ввод!$F$12:$F$31&lt;&gt;"")*(Ввод!$F$12:$F$31&lt;=A1688)*(Ввод!$G$12:$G$31&gt;=A1688))&gt;0,1,0))</f>
        <v/>
      </c>
      <c r="G1688">
        <f>IF(A1688="","",IF(OR(B1688&lt;&gt;B1687,C1688&lt;&gt;C1687,E1688&lt;&gt;E1687),G1687+1,G1687))</f>
        <v/>
      </c>
    </row>
    <row r="1689">
      <c r="A1689" s="20">
        <f>IF(A1688="","",IF(A1688+1&gt;Ввод!$B$4,"",A1688+1))</f>
        <v/>
      </c>
      <c r="B1689">
        <f>IF(A1689="","",IFERROR(INDEX(Ввод!$B$12:$B$71,MATCH(A1689,Ввод!$D$12:$D$71,1)),""))</f>
        <v/>
      </c>
      <c r="C1689">
        <f>IF(A1689="","",DATE(YEAR(A1689),12,31)-DATE(YEAR(A1689),1,1)+1)</f>
        <v/>
      </c>
      <c r="D1689">
        <f>IF(A1689="","",SUMIFS(Акты!$D$5:$D$16,Акты!$E$5:$E$16,"&lt;="&amp;A1689)-SUMIFS(Оплаты!$B$6:$B$505,Оплаты!$A$6:$A$505,"&lt;"&amp;A1689,Оплаты!$D$6:$D$505,"&lt;&gt;"))</f>
        <v/>
      </c>
      <c r="E1689">
        <f>IF(A1689="","",IF(SUMPRODUCT((Ввод!$F$12:$F$31&lt;&gt;"")*(Ввод!$F$12:$F$31&lt;=A1689)*(Ввод!$G$12:$G$31&gt;=A1689))&gt;0,1,0))</f>
        <v/>
      </c>
      <c r="G1689">
        <f>IF(A1689="","",IF(OR(B1689&lt;&gt;B1688,C1689&lt;&gt;C1688,E1689&lt;&gt;E1688),G1688+1,G1688))</f>
        <v/>
      </c>
    </row>
    <row r="1690">
      <c r="A1690" s="20">
        <f>IF(A1689="","",IF(A1689+1&gt;Ввод!$B$4,"",A1689+1))</f>
        <v/>
      </c>
      <c r="B1690">
        <f>IF(A1690="","",IFERROR(INDEX(Ввод!$B$12:$B$71,MATCH(A1690,Ввод!$D$12:$D$71,1)),""))</f>
        <v/>
      </c>
      <c r="C1690">
        <f>IF(A1690="","",DATE(YEAR(A1690),12,31)-DATE(YEAR(A1690),1,1)+1)</f>
        <v/>
      </c>
      <c r="D1690">
        <f>IF(A1690="","",SUMIFS(Акты!$D$5:$D$16,Акты!$E$5:$E$16,"&lt;="&amp;A1690)-SUMIFS(Оплаты!$B$6:$B$505,Оплаты!$A$6:$A$505,"&lt;"&amp;A1690,Оплаты!$D$6:$D$505,"&lt;&gt;"))</f>
        <v/>
      </c>
      <c r="E1690">
        <f>IF(A1690="","",IF(SUMPRODUCT((Ввод!$F$12:$F$31&lt;&gt;"")*(Ввод!$F$12:$F$31&lt;=A1690)*(Ввод!$G$12:$G$31&gt;=A1690))&gt;0,1,0))</f>
        <v/>
      </c>
      <c r="G1690">
        <f>IF(A1690="","",IF(OR(B1690&lt;&gt;B1689,C1690&lt;&gt;C1689,E1690&lt;&gt;E1689),G1689+1,G1689))</f>
        <v/>
      </c>
    </row>
    <row r="1691">
      <c r="A1691" s="20">
        <f>IF(A1690="","",IF(A1690+1&gt;Ввод!$B$4,"",A1690+1))</f>
        <v/>
      </c>
      <c r="B1691">
        <f>IF(A1691="","",IFERROR(INDEX(Ввод!$B$12:$B$71,MATCH(A1691,Ввод!$D$12:$D$71,1)),""))</f>
        <v/>
      </c>
      <c r="C1691">
        <f>IF(A1691="","",DATE(YEAR(A1691),12,31)-DATE(YEAR(A1691),1,1)+1)</f>
        <v/>
      </c>
      <c r="D1691">
        <f>IF(A1691="","",SUMIFS(Акты!$D$5:$D$16,Акты!$E$5:$E$16,"&lt;="&amp;A1691)-SUMIFS(Оплаты!$B$6:$B$505,Оплаты!$A$6:$A$505,"&lt;"&amp;A1691,Оплаты!$D$6:$D$505,"&lt;&gt;"))</f>
        <v/>
      </c>
      <c r="E1691">
        <f>IF(A1691="","",IF(SUMPRODUCT((Ввод!$F$12:$F$31&lt;&gt;"")*(Ввод!$F$12:$F$31&lt;=A1691)*(Ввод!$G$12:$G$31&gt;=A1691))&gt;0,1,0))</f>
        <v/>
      </c>
      <c r="G1691">
        <f>IF(A1691="","",IF(OR(B1691&lt;&gt;B1690,C1691&lt;&gt;C1690,E1691&lt;&gt;E1690),G1690+1,G1690))</f>
        <v/>
      </c>
    </row>
    <row r="1692">
      <c r="A1692" s="20">
        <f>IF(A1691="","",IF(A1691+1&gt;Ввод!$B$4,"",A1691+1))</f>
        <v/>
      </c>
      <c r="B1692">
        <f>IF(A1692="","",IFERROR(INDEX(Ввод!$B$12:$B$71,MATCH(A1692,Ввод!$D$12:$D$71,1)),""))</f>
        <v/>
      </c>
      <c r="C1692">
        <f>IF(A1692="","",DATE(YEAR(A1692),12,31)-DATE(YEAR(A1692),1,1)+1)</f>
        <v/>
      </c>
      <c r="D1692">
        <f>IF(A1692="","",SUMIFS(Акты!$D$5:$D$16,Акты!$E$5:$E$16,"&lt;="&amp;A1692)-SUMIFS(Оплаты!$B$6:$B$505,Оплаты!$A$6:$A$505,"&lt;"&amp;A1692,Оплаты!$D$6:$D$505,"&lt;&gt;"))</f>
        <v/>
      </c>
      <c r="E1692">
        <f>IF(A1692="","",IF(SUMPRODUCT((Ввод!$F$12:$F$31&lt;&gt;"")*(Ввод!$F$12:$F$31&lt;=A1692)*(Ввод!$G$12:$G$31&gt;=A1692))&gt;0,1,0))</f>
        <v/>
      </c>
      <c r="G1692">
        <f>IF(A1692="","",IF(OR(B1692&lt;&gt;B1691,C1692&lt;&gt;C1691,E1692&lt;&gt;E1691),G1691+1,G1691))</f>
        <v/>
      </c>
    </row>
    <row r="1693">
      <c r="A1693" s="20">
        <f>IF(A1692="","",IF(A1692+1&gt;Ввод!$B$4,"",A1692+1))</f>
        <v/>
      </c>
      <c r="B1693">
        <f>IF(A1693="","",IFERROR(INDEX(Ввод!$B$12:$B$71,MATCH(A1693,Ввод!$D$12:$D$71,1)),""))</f>
        <v/>
      </c>
      <c r="C1693">
        <f>IF(A1693="","",DATE(YEAR(A1693),12,31)-DATE(YEAR(A1693),1,1)+1)</f>
        <v/>
      </c>
      <c r="D1693">
        <f>IF(A1693="","",SUMIFS(Акты!$D$5:$D$16,Акты!$E$5:$E$16,"&lt;="&amp;A1693)-SUMIFS(Оплаты!$B$6:$B$505,Оплаты!$A$6:$A$505,"&lt;"&amp;A1693,Оплаты!$D$6:$D$505,"&lt;&gt;"))</f>
        <v/>
      </c>
      <c r="E1693">
        <f>IF(A1693="","",IF(SUMPRODUCT((Ввод!$F$12:$F$31&lt;&gt;"")*(Ввод!$F$12:$F$31&lt;=A1693)*(Ввод!$G$12:$G$31&gt;=A1693))&gt;0,1,0))</f>
        <v/>
      </c>
      <c r="G1693">
        <f>IF(A1693="","",IF(OR(B1693&lt;&gt;B1692,C1693&lt;&gt;C1692,E1693&lt;&gt;E1692),G1692+1,G1692))</f>
        <v/>
      </c>
    </row>
    <row r="1694">
      <c r="A1694" s="20">
        <f>IF(A1693="","",IF(A1693+1&gt;Ввод!$B$4,"",A1693+1))</f>
        <v/>
      </c>
      <c r="B1694">
        <f>IF(A1694="","",IFERROR(INDEX(Ввод!$B$12:$B$71,MATCH(A1694,Ввод!$D$12:$D$71,1)),""))</f>
        <v/>
      </c>
      <c r="C1694">
        <f>IF(A1694="","",DATE(YEAR(A1694),12,31)-DATE(YEAR(A1694),1,1)+1)</f>
        <v/>
      </c>
      <c r="D1694">
        <f>IF(A1694="","",SUMIFS(Акты!$D$5:$D$16,Акты!$E$5:$E$16,"&lt;="&amp;A1694)-SUMIFS(Оплаты!$B$6:$B$505,Оплаты!$A$6:$A$505,"&lt;"&amp;A1694,Оплаты!$D$6:$D$505,"&lt;&gt;"))</f>
        <v/>
      </c>
      <c r="E1694">
        <f>IF(A1694="","",IF(SUMPRODUCT((Ввод!$F$12:$F$31&lt;&gt;"")*(Ввод!$F$12:$F$31&lt;=A1694)*(Ввод!$G$12:$G$31&gt;=A1694))&gt;0,1,0))</f>
        <v/>
      </c>
      <c r="G1694">
        <f>IF(A1694="","",IF(OR(B1694&lt;&gt;B1693,C1694&lt;&gt;C1693,E1694&lt;&gt;E1693),G1693+1,G1693))</f>
        <v/>
      </c>
    </row>
    <row r="1695">
      <c r="A1695" s="20">
        <f>IF(A1694="","",IF(A1694+1&gt;Ввод!$B$4,"",A1694+1))</f>
        <v/>
      </c>
      <c r="B1695">
        <f>IF(A1695="","",IFERROR(INDEX(Ввод!$B$12:$B$71,MATCH(A1695,Ввод!$D$12:$D$71,1)),""))</f>
        <v/>
      </c>
      <c r="C1695">
        <f>IF(A1695="","",DATE(YEAR(A1695),12,31)-DATE(YEAR(A1695),1,1)+1)</f>
        <v/>
      </c>
      <c r="D1695">
        <f>IF(A1695="","",SUMIFS(Акты!$D$5:$D$16,Акты!$E$5:$E$16,"&lt;="&amp;A1695)-SUMIFS(Оплаты!$B$6:$B$505,Оплаты!$A$6:$A$505,"&lt;"&amp;A1695,Оплаты!$D$6:$D$505,"&lt;&gt;"))</f>
        <v/>
      </c>
      <c r="E1695">
        <f>IF(A1695="","",IF(SUMPRODUCT((Ввод!$F$12:$F$31&lt;&gt;"")*(Ввод!$F$12:$F$31&lt;=A1695)*(Ввод!$G$12:$G$31&gt;=A1695))&gt;0,1,0))</f>
        <v/>
      </c>
      <c r="G1695">
        <f>IF(A1695="","",IF(OR(B1695&lt;&gt;B1694,C1695&lt;&gt;C1694,E1695&lt;&gt;E1694),G1694+1,G1694))</f>
        <v/>
      </c>
    </row>
    <row r="1696">
      <c r="A1696" s="20">
        <f>IF(A1695="","",IF(A1695+1&gt;Ввод!$B$4,"",A1695+1))</f>
        <v/>
      </c>
      <c r="B1696">
        <f>IF(A1696="","",IFERROR(INDEX(Ввод!$B$12:$B$71,MATCH(A1696,Ввод!$D$12:$D$71,1)),""))</f>
        <v/>
      </c>
      <c r="C1696">
        <f>IF(A1696="","",DATE(YEAR(A1696),12,31)-DATE(YEAR(A1696),1,1)+1)</f>
        <v/>
      </c>
      <c r="D1696">
        <f>IF(A1696="","",SUMIFS(Акты!$D$5:$D$16,Акты!$E$5:$E$16,"&lt;="&amp;A1696)-SUMIFS(Оплаты!$B$6:$B$505,Оплаты!$A$6:$A$505,"&lt;"&amp;A1696,Оплаты!$D$6:$D$505,"&lt;&gt;"))</f>
        <v/>
      </c>
      <c r="E1696">
        <f>IF(A1696="","",IF(SUMPRODUCT((Ввод!$F$12:$F$31&lt;&gt;"")*(Ввод!$F$12:$F$31&lt;=A1696)*(Ввод!$G$12:$G$31&gt;=A1696))&gt;0,1,0))</f>
        <v/>
      </c>
      <c r="G1696">
        <f>IF(A1696="","",IF(OR(B1696&lt;&gt;B1695,C1696&lt;&gt;C1695,E1696&lt;&gt;E1695),G1695+1,G1695))</f>
        <v/>
      </c>
    </row>
    <row r="1697">
      <c r="A1697" s="20">
        <f>IF(A1696="","",IF(A1696+1&gt;Ввод!$B$4,"",A1696+1))</f>
        <v/>
      </c>
      <c r="B1697">
        <f>IF(A1697="","",IFERROR(INDEX(Ввод!$B$12:$B$71,MATCH(A1697,Ввод!$D$12:$D$71,1)),""))</f>
        <v/>
      </c>
      <c r="C1697">
        <f>IF(A1697="","",DATE(YEAR(A1697),12,31)-DATE(YEAR(A1697),1,1)+1)</f>
        <v/>
      </c>
      <c r="D1697">
        <f>IF(A1697="","",SUMIFS(Акты!$D$5:$D$16,Акты!$E$5:$E$16,"&lt;="&amp;A1697)-SUMIFS(Оплаты!$B$6:$B$505,Оплаты!$A$6:$A$505,"&lt;"&amp;A1697,Оплаты!$D$6:$D$505,"&lt;&gt;"))</f>
        <v/>
      </c>
      <c r="E1697">
        <f>IF(A1697="","",IF(SUMPRODUCT((Ввод!$F$12:$F$31&lt;&gt;"")*(Ввод!$F$12:$F$31&lt;=A1697)*(Ввод!$G$12:$G$31&gt;=A1697))&gt;0,1,0))</f>
        <v/>
      </c>
      <c r="G1697">
        <f>IF(A1697="","",IF(OR(B1697&lt;&gt;B1696,C1697&lt;&gt;C1696,E1697&lt;&gt;E1696),G1696+1,G1696))</f>
        <v/>
      </c>
    </row>
    <row r="1698">
      <c r="A1698" s="20">
        <f>IF(A1697="","",IF(A1697+1&gt;Ввод!$B$4,"",A1697+1))</f>
        <v/>
      </c>
      <c r="B1698">
        <f>IF(A1698="","",IFERROR(INDEX(Ввод!$B$12:$B$71,MATCH(A1698,Ввод!$D$12:$D$71,1)),""))</f>
        <v/>
      </c>
      <c r="C1698">
        <f>IF(A1698="","",DATE(YEAR(A1698),12,31)-DATE(YEAR(A1698),1,1)+1)</f>
        <v/>
      </c>
      <c r="D1698">
        <f>IF(A1698="","",SUMIFS(Акты!$D$5:$D$16,Акты!$E$5:$E$16,"&lt;="&amp;A1698)-SUMIFS(Оплаты!$B$6:$B$505,Оплаты!$A$6:$A$505,"&lt;"&amp;A1698,Оплаты!$D$6:$D$505,"&lt;&gt;"))</f>
        <v/>
      </c>
      <c r="E1698">
        <f>IF(A1698="","",IF(SUMPRODUCT((Ввод!$F$12:$F$31&lt;&gt;"")*(Ввод!$F$12:$F$31&lt;=A1698)*(Ввод!$G$12:$G$31&gt;=A1698))&gt;0,1,0))</f>
        <v/>
      </c>
      <c r="G1698">
        <f>IF(A1698="","",IF(OR(B1698&lt;&gt;B1697,C1698&lt;&gt;C1697,E1698&lt;&gt;E1697),G1697+1,G1697))</f>
        <v/>
      </c>
    </row>
    <row r="1699">
      <c r="A1699" s="20">
        <f>IF(A1698="","",IF(A1698+1&gt;Ввод!$B$4,"",A1698+1))</f>
        <v/>
      </c>
      <c r="B1699">
        <f>IF(A1699="","",IFERROR(INDEX(Ввод!$B$12:$B$71,MATCH(A1699,Ввод!$D$12:$D$71,1)),""))</f>
        <v/>
      </c>
      <c r="C1699">
        <f>IF(A1699="","",DATE(YEAR(A1699),12,31)-DATE(YEAR(A1699),1,1)+1)</f>
        <v/>
      </c>
      <c r="D1699">
        <f>IF(A1699="","",SUMIFS(Акты!$D$5:$D$16,Акты!$E$5:$E$16,"&lt;="&amp;A1699)-SUMIFS(Оплаты!$B$6:$B$505,Оплаты!$A$6:$A$505,"&lt;"&amp;A1699,Оплаты!$D$6:$D$505,"&lt;&gt;"))</f>
        <v/>
      </c>
      <c r="E1699">
        <f>IF(A1699="","",IF(SUMPRODUCT((Ввод!$F$12:$F$31&lt;&gt;"")*(Ввод!$F$12:$F$31&lt;=A1699)*(Ввод!$G$12:$G$31&gt;=A1699))&gt;0,1,0))</f>
        <v/>
      </c>
      <c r="G1699">
        <f>IF(A1699="","",IF(OR(B1699&lt;&gt;B1698,C1699&lt;&gt;C1698,E1699&lt;&gt;E1698),G1698+1,G1698))</f>
        <v/>
      </c>
    </row>
    <row r="1700">
      <c r="A1700" s="20">
        <f>IF(A1699="","",IF(A1699+1&gt;Ввод!$B$4,"",A1699+1))</f>
        <v/>
      </c>
      <c r="B1700">
        <f>IF(A1700="","",IFERROR(INDEX(Ввод!$B$12:$B$71,MATCH(A1700,Ввод!$D$12:$D$71,1)),""))</f>
        <v/>
      </c>
      <c r="C1700">
        <f>IF(A1700="","",DATE(YEAR(A1700),12,31)-DATE(YEAR(A1700),1,1)+1)</f>
        <v/>
      </c>
      <c r="D1700">
        <f>IF(A1700="","",SUMIFS(Акты!$D$5:$D$16,Акты!$E$5:$E$16,"&lt;="&amp;A1700)-SUMIFS(Оплаты!$B$6:$B$505,Оплаты!$A$6:$A$505,"&lt;"&amp;A1700,Оплаты!$D$6:$D$505,"&lt;&gt;"))</f>
        <v/>
      </c>
      <c r="E1700">
        <f>IF(A1700="","",IF(SUMPRODUCT((Ввод!$F$12:$F$31&lt;&gt;"")*(Ввод!$F$12:$F$31&lt;=A1700)*(Ввод!$G$12:$G$31&gt;=A1700))&gt;0,1,0))</f>
        <v/>
      </c>
      <c r="G1700">
        <f>IF(A1700="","",IF(OR(B1700&lt;&gt;B1699,C1700&lt;&gt;C1699,E1700&lt;&gt;E1699),G1699+1,G1699))</f>
        <v/>
      </c>
    </row>
    <row r="1701">
      <c r="A1701" s="20">
        <f>IF(A1700="","",IF(A1700+1&gt;Ввод!$B$4,"",A1700+1))</f>
        <v/>
      </c>
      <c r="B1701">
        <f>IF(A1701="","",IFERROR(INDEX(Ввод!$B$12:$B$71,MATCH(A1701,Ввод!$D$12:$D$71,1)),""))</f>
        <v/>
      </c>
      <c r="C1701">
        <f>IF(A1701="","",DATE(YEAR(A1701),12,31)-DATE(YEAR(A1701),1,1)+1)</f>
        <v/>
      </c>
      <c r="D1701">
        <f>IF(A1701="","",SUMIFS(Акты!$D$5:$D$16,Акты!$E$5:$E$16,"&lt;="&amp;A1701)-SUMIFS(Оплаты!$B$6:$B$505,Оплаты!$A$6:$A$505,"&lt;"&amp;A1701,Оплаты!$D$6:$D$505,"&lt;&gt;"))</f>
        <v/>
      </c>
      <c r="E1701">
        <f>IF(A1701="","",IF(SUMPRODUCT((Ввод!$F$12:$F$31&lt;&gt;"")*(Ввод!$F$12:$F$31&lt;=A1701)*(Ввод!$G$12:$G$31&gt;=A1701))&gt;0,1,0))</f>
        <v/>
      </c>
      <c r="G1701">
        <f>IF(A1701="","",IF(OR(B1701&lt;&gt;B1700,C1701&lt;&gt;C1700,E1701&lt;&gt;E1700),G1700+1,G1700))</f>
        <v/>
      </c>
    </row>
    <row r="1702">
      <c r="A1702" s="20">
        <f>IF(A1701="","",IF(A1701+1&gt;Ввод!$B$4,"",A1701+1))</f>
        <v/>
      </c>
      <c r="B1702">
        <f>IF(A1702="","",IFERROR(INDEX(Ввод!$B$12:$B$71,MATCH(A1702,Ввод!$D$12:$D$71,1)),""))</f>
        <v/>
      </c>
      <c r="C1702">
        <f>IF(A1702="","",DATE(YEAR(A1702),12,31)-DATE(YEAR(A1702),1,1)+1)</f>
        <v/>
      </c>
      <c r="D1702">
        <f>IF(A1702="","",SUMIFS(Акты!$D$5:$D$16,Акты!$E$5:$E$16,"&lt;="&amp;A1702)-SUMIFS(Оплаты!$B$6:$B$505,Оплаты!$A$6:$A$505,"&lt;"&amp;A1702,Оплаты!$D$6:$D$505,"&lt;&gt;"))</f>
        <v/>
      </c>
      <c r="E1702">
        <f>IF(A1702="","",IF(SUMPRODUCT((Ввод!$F$12:$F$31&lt;&gt;"")*(Ввод!$F$12:$F$31&lt;=A1702)*(Ввод!$G$12:$G$31&gt;=A1702))&gt;0,1,0))</f>
        <v/>
      </c>
      <c r="G1702">
        <f>IF(A1702="","",IF(OR(B1702&lt;&gt;B1701,C1702&lt;&gt;C1701,E1702&lt;&gt;E1701),G1701+1,G1701))</f>
        <v/>
      </c>
    </row>
    <row r="1703">
      <c r="A1703" s="20">
        <f>IF(A1702="","",IF(A1702+1&gt;Ввод!$B$4,"",A1702+1))</f>
        <v/>
      </c>
      <c r="B1703">
        <f>IF(A1703="","",IFERROR(INDEX(Ввод!$B$12:$B$71,MATCH(A1703,Ввод!$D$12:$D$71,1)),""))</f>
        <v/>
      </c>
      <c r="C1703">
        <f>IF(A1703="","",DATE(YEAR(A1703),12,31)-DATE(YEAR(A1703),1,1)+1)</f>
        <v/>
      </c>
      <c r="D1703">
        <f>IF(A1703="","",SUMIFS(Акты!$D$5:$D$16,Акты!$E$5:$E$16,"&lt;="&amp;A1703)-SUMIFS(Оплаты!$B$6:$B$505,Оплаты!$A$6:$A$505,"&lt;"&amp;A1703,Оплаты!$D$6:$D$505,"&lt;&gt;"))</f>
        <v/>
      </c>
      <c r="E1703">
        <f>IF(A1703="","",IF(SUMPRODUCT((Ввод!$F$12:$F$31&lt;&gt;"")*(Ввод!$F$12:$F$31&lt;=A1703)*(Ввод!$G$12:$G$31&gt;=A1703))&gt;0,1,0))</f>
        <v/>
      </c>
      <c r="G1703">
        <f>IF(A1703="","",IF(OR(B1703&lt;&gt;B1702,C1703&lt;&gt;C1702,E1703&lt;&gt;E1702),G1702+1,G1702))</f>
        <v/>
      </c>
    </row>
    <row r="1704">
      <c r="A1704" s="20">
        <f>IF(A1703="","",IF(A1703+1&gt;Ввод!$B$4,"",A1703+1))</f>
        <v/>
      </c>
      <c r="B1704">
        <f>IF(A1704="","",IFERROR(INDEX(Ввод!$B$12:$B$71,MATCH(A1704,Ввод!$D$12:$D$71,1)),""))</f>
        <v/>
      </c>
      <c r="C1704">
        <f>IF(A1704="","",DATE(YEAR(A1704),12,31)-DATE(YEAR(A1704),1,1)+1)</f>
        <v/>
      </c>
      <c r="D1704">
        <f>IF(A1704="","",SUMIFS(Акты!$D$5:$D$16,Акты!$E$5:$E$16,"&lt;="&amp;A1704)-SUMIFS(Оплаты!$B$6:$B$505,Оплаты!$A$6:$A$505,"&lt;"&amp;A1704,Оплаты!$D$6:$D$505,"&lt;&gt;"))</f>
        <v/>
      </c>
      <c r="E1704">
        <f>IF(A1704="","",IF(SUMPRODUCT((Ввод!$F$12:$F$31&lt;&gt;"")*(Ввод!$F$12:$F$31&lt;=A1704)*(Ввод!$G$12:$G$31&gt;=A1704))&gt;0,1,0))</f>
        <v/>
      </c>
      <c r="G1704">
        <f>IF(A1704="","",IF(OR(B1704&lt;&gt;B1703,C1704&lt;&gt;C1703,E1704&lt;&gt;E1703),G1703+1,G1703))</f>
        <v/>
      </c>
    </row>
    <row r="1705">
      <c r="A1705" s="20">
        <f>IF(A1704="","",IF(A1704+1&gt;Ввод!$B$4,"",A1704+1))</f>
        <v/>
      </c>
      <c r="B1705">
        <f>IF(A1705="","",IFERROR(INDEX(Ввод!$B$12:$B$71,MATCH(A1705,Ввод!$D$12:$D$71,1)),""))</f>
        <v/>
      </c>
      <c r="C1705">
        <f>IF(A1705="","",DATE(YEAR(A1705),12,31)-DATE(YEAR(A1705),1,1)+1)</f>
        <v/>
      </c>
      <c r="D1705">
        <f>IF(A1705="","",SUMIFS(Акты!$D$5:$D$16,Акты!$E$5:$E$16,"&lt;="&amp;A1705)-SUMIFS(Оплаты!$B$6:$B$505,Оплаты!$A$6:$A$505,"&lt;"&amp;A1705,Оплаты!$D$6:$D$505,"&lt;&gt;"))</f>
        <v/>
      </c>
      <c r="E1705">
        <f>IF(A1705="","",IF(SUMPRODUCT((Ввод!$F$12:$F$31&lt;&gt;"")*(Ввод!$F$12:$F$31&lt;=A1705)*(Ввод!$G$12:$G$31&gt;=A1705))&gt;0,1,0))</f>
        <v/>
      </c>
      <c r="G1705">
        <f>IF(A1705="","",IF(OR(B1705&lt;&gt;B1704,C1705&lt;&gt;C1704,E1705&lt;&gt;E1704),G1704+1,G1704))</f>
        <v/>
      </c>
    </row>
    <row r="1706">
      <c r="A1706" s="20">
        <f>IF(A1705="","",IF(A1705+1&gt;Ввод!$B$4,"",A1705+1))</f>
        <v/>
      </c>
      <c r="B1706">
        <f>IF(A1706="","",IFERROR(INDEX(Ввод!$B$12:$B$71,MATCH(A1706,Ввод!$D$12:$D$71,1)),""))</f>
        <v/>
      </c>
      <c r="C1706">
        <f>IF(A1706="","",DATE(YEAR(A1706),12,31)-DATE(YEAR(A1706),1,1)+1)</f>
        <v/>
      </c>
      <c r="D1706">
        <f>IF(A1706="","",SUMIFS(Акты!$D$5:$D$16,Акты!$E$5:$E$16,"&lt;="&amp;A1706)-SUMIFS(Оплаты!$B$6:$B$505,Оплаты!$A$6:$A$505,"&lt;"&amp;A1706,Оплаты!$D$6:$D$505,"&lt;&gt;"))</f>
        <v/>
      </c>
      <c r="E1706">
        <f>IF(A1706="","",IF(SUMPRODUCT((Ввод!$F$12:$F$31&lt;&gt;"")*(Ввод!$F$12:$F$31&lt;=A1706)*(Ввод!$G$12:$G$31&gt;=A1706))&gt;0,1,0))</f>
        <v/>
      </c>
      <c r="G1706">
        <f>IF(A1706="","",IF(OR(B1706&lt;&gt;B1705,C1706&lt;&gt;C1705,E1706&lt;&gt;E1705),G1705+1,G1705))</f>
        <v/>
      </c>
    </row>
    <row r="1707">
      <c r="A1707" s="20">
        <f>IF(A1706="","",IF(A1706+1&gt;Ввод!$B$4,"",A1706+1))</f>
        <v/>
      </c>
      <c r="B1707">
        <f>IF(A1707="","",IFERROR(INDEX(Ввод!$B$12:$B$71,MATCH(A1707,Ввод!$D$12:$D$71,1)),""))</f>
        <v/>
      </c>
      <c r="C1707">
        <f>IF(A1707="","",DATE(YEAR(A1707),12,31)-DATE(YEAR(A1707),1,1)+1)</f>
        <v/>
      </c>
      <c r="D1707">
        <f>IF(A1707="","",SUMIFS(Акты!$D$5:$D$16,Акты!$E$5:$E$16,"&lt;="&amp;A1707)-SUMIFS(Оплаты!$B$6:$B$505,Оплаты!$A$6:$A$505,"&lt;"&amp;A1707,Оплаты!$D$6:$D$505,"&lt;&gt;"))</f>
        <v/>
      </c>
      <c r="E1707">
        <f>IF(A1707="","",IF(SUMPRODUCT((Ввод!$F$12:$F$31&lt;&gt;"")*(Ввод!$F$12:$F$31&lt;=A1707)*(Ввод!$G$12:$G$31&gt;=A1707))&gt;0,1,0))</f>
        <v/>
      </c>
      <c r="G1707">
        <f>IF(A1707="","",IF(OR(B1707&lt;&gt;B1706,C1707&lt;&gt;C1706,E1707&lt;&gt;E1706),G1706+1,G1706))</f>
        <v/>
      </c>
    </row>
    <row r="1708">
      <c r="A1708" s="20">
        <f>IF(A1707="","",IF(A1707+1&gt;Ввод!$B$4,"",A1707+1))</f>
        <v/>
      </c>
      <c r="B1708">
        <f>IF(A1708="","",IFERROR(INDEX(Ввод!$B$12:$B$71,MATCH(A1708,Ввод!$D$12:$D$71,1)),""))</f>
        <v/>
      </c>
      <c r="C1708">
        <f>IF(A1708="","",DATE(YEAR(A1708),12,31)-DATE(YEAR(A1708),1,1)+1)</f>
        <v/>
      </c>
      <c r="D1708">
        <f>IF(A1708="","",SUMIFS(Акты!$D$5:$D$16,Акты!$E$5:$E$16,"&lt;="&amp;A1708)-SUMIFS(Оплаты!$B$6:$B$505,Оплаты!$A$6:$A$505,"&lt;"&amp;A1708,Оплаты!$D$6:$D$505,"&lt;&gt;"))</f>
        <v/>
      </c>
      <c r="E1708">
        <f>IF(A1708="","",IF(SUMPRODUCT((Ввод!$F$12:$F$31&lt;&gt;"")*(Ввод!$F$12:$F$31&lt;=A1708)*(Ввод!$G$12:$G$31&gt;=A1708))&gt;0,1,0))</f>
        <v/>
      </c>
      <c r="G1708">
        <f>IF(A1708="","",IF(OR(B1708&lt;&gt;B1707,C1708&lt;&gt;C1707,E1708&lt;&gt;E1707),G1707+1,G1707))</f>
        <v/>
      </c>
    </row>
    <row r="1709">
      <c r="A1709" s="20">
        <f>IF(A1708="","",IF(A1708+1&gt;Ввод!$B$4,"",A1708+1))</f>
        <v/>
      </c>
      <c r="B1709">
        <f>IF(A1709="","",IFERROR(INDEX(Ввод!$B$12:$B$71,MATCH(A1709,Ввод!$D$12:$D$71,1)),""))</f>
        <v/>
      </c>
      <c r="C1709">
        <f>IF(A1709="","",DATE(YEAR(A1709),12,31)-DATE(YEAR(A1709),1,1)+1)</f>
        <v/>
      </c>
      <c r="D1709">
        <f>IF(A1709="","",SUMIFS(Акты!$D$5:$D$16,Акты!$E$5:$E$16,"&lt;="&amp;A1709)-SUMIFS(Оплаты!$B$6:$B$505,Оплаты!$A$6:$A$505,"&lt;"&amp;A1709,Оплаты!$D$6:$D$505,"&lt;&gt;"))</f>
        <v/>
      </c>
      <c r="E1709">
        <f>IF(A1709="","",IF(SUMPRODUCT((Ввод!$F$12:$F$31&lt;&gt;"")*(Ввод!$F$12:$F$31&lt;=A1709)*(Ввод!$G$12:$G$31&gt;=A1709))&gt;0,1,0))</f>
        <v/>
      </c>
      <c r="G1709">
        <f>IF(A1709="","",IF(OR(B1709&lt;&gt;B1708,C1709&lt;&gt;C1708,E1709&lt;&gt;E1708),G1708+1,G1708))</f>
        <v/>
      </c>
    </row>
    <row r="1710">
      <c r="A1710" s="20">
        <f>IF(A1709="","",IF(A1709+1&gt;Ввод!$B$4,"",A1709+1))</f>
        <v/>
      </c>
      <c r="B1710">
        <f>IF(A1710="","",IFERROR(INDEX(Ввод!$B$12:$B$71,MATCH(A1710,Ввод!$D$12:$D$71,1)),""))</f>
        <v/>
      </c>
      <c r="C1710">
        <f>IF(A1710="","",DATE(YEAR(A1710),12,31)-DATE(YEAR(A1710),1,1)+1)</f>
        <v/>
      </c>
      <c r="D1710">
        <f>IF(A1710="","",SUMIFS(Акты!$D$5:$D$16,Акты!$E$5:$E$16,"&lt;="&amp;A1710)-SUMIFS(Оплаты!$B$6:$B$505,Оплаты!$A$6:$A$505,"&lt;"&amp;A1710,Оплаты!$D$6:$D$505,"&lt;&gt;"))</f>
        <v/>
      </c>
      <c r="E1710">
        <f>IF(A1710="","",IF(SUMPRODUCT((Ввод!$F$12:$F$31&lt;&gt;"")*(Ввод!$F$12:$F$31&lt;=A1710)*(Ввод!$G$12:$G$31&gt;=A1710))&gt;0,1,0))</f>
        <v/>
      </c>
      <c r="G1710">
        <f>IF(A1710="","",IF(OR(B1710&lt;&gt;B1709,C1710&lt;&gt;C1709,E1710&lt;&gt;E1709),G1709+1,G1709))</f>
        <v/>
      </c>
    </row>
    <row r="1711">
      <c r="A1711" s="20">
        <f>IF(A1710="","",IF(A1710+1&gt;Ввод!$B$4,"",A1710+1))</f>
        <v/>
      </c>
      <c r="B1711">
        <f>IF(A1711="","",IFERROR(INDEX(Ввод!$B$12:$B$71,MATCH(A1711,Ввод!$D$12:$D$71,1)),""))</f>
        <v/>
      </c>
      <c r="C1711">
        <f>IF(A1711="","",DATE(YEAR(A1711),12,31)-DATE(YEAR(A1711),1,1)+1)</f>
        <v/>
      </c>
      <c r="D1711">
        <f>IF(A1711="","",SUMIFS(Акты!$D$5:$D$16,Акты!$E$5:$E$16,"&lt;="&amp;A1711)-SUMIFS(Оплаты!$B$6:$B$505,Оплаты!$A$6:$A$505,"&lt;"&amp;A1711,Оплаты!$D$6:$D$505,"&lt;&gt;"))</f>
        <v/>
      </c>
      <c r="E1711">
        <f>IF(A1711="","",IF(SUMPRODUCT((Ввод!$F$12:$F$31&lt;&gt;"")*(Ввод!$F$12:$F$31&lt;=A1711)*(Ввод!$G$12:$G$31&gt;=A1711))&gt;0,1,0))</f>
        <v/>
      </c>
      <c r="G1711">
        <f>IF(A1711="","",IF(OR(B1711&lt;&gt;B1710,C1711&lt;&gt;C1710,E1711&lt;&gt;E1710),G1710+1,G1710))</f>
        <v/>
      </c>
    </row>
    <row r="1712">
      <c r="A1712" s="20">
        <f>IF(A1711="","",IF(A1711+1&gt;Ввод!$B$4,"",A1711+1))</f>
        <v/>
      </c>
      <c r="B1712">
        <f>IF(A1712="","",IFERROR(INDEX(Ввод!$B$12:$B$71,MATCH(A1712,Ввод!$D$12:$D$71,1)),""))</f>
        <v/>
      </c>
      <c r="C1712">
        <f>IF(A1712="","",DATE(YEAR(A1712),12,31)-DATE(YEAR(A1712),1,1)+1)</f>
        <v/>
      </c>
      <c r="D1712">
        <f>IF(A1712="","",SUMIFS(Акты!$D$5:$D$16,Акты!$E$5:$E$16,"&lt;="&amp;A1712)-SUMIFS(Оплаты!$B$6:$B$505,Оплаты!$A$6:$A$505,"&lt;"&amp;A1712,Оплаты!$D$6:$D$505,"&lt;&gt;"))</f>
        <v/>
      </c>
      <c r="E1712">
        <f>IF(A1712="","",IF(SUMPRODUCT((Ввод!$F$12:$F$31&lt;&gt;"")*(Ввод!$F$12:$F$31&lt;=A1712)*(Ввод!$G$12:$G$31&gt;=A1712))&gt;0,1,0))</f>
        <v/>
      </c>
      <c r="G1712">
        <f>IF(A1712="","",IF(OR(B1712&lt;&gt;B1711,C1712&lt;&gt;C1711,E1712&lt;&gt;E1711),G1711+1,G1711))</f>
        <v/>
      </c>
    </row>
    <row r="1713">
      <c r="A1713" s="20">
        <f>IF(A1712="","",IF(A1712+1&gt;Ввод!$B$4,"",A1712+1))</f>
        <v/>
      </c>
      <c r="B1713">
        <f>IF(A1713="","",IFERROR(INDEX(Ввод!$B$12:$B$71,MATCH(A1713,Ввод!$D$12:$D$71,1)),""))</f>
        <v/>
      </c>
      <c r="C1713">
        <f>IF(A1713="","",DATE(YEAR(A1713),12,31)-DATE(YEAR(A1713),1,1)+1)</f>
        <v/>
      </c>
      <c r="D1713">
        <f>IF(A1713="","",SUMIFS(Акты!$D$5:$D$16,Акты!$E$5:$E$16,"&lt;="&amp;A1713)-SUMIFS(Оплаты!$B$6:$B$505,Оплаты!$A$6:$A$505,"&lt;"&amp;A1713,Оплаты!$D$6:$D$505,"&lt;&gt;"))</f>
        <v/>
      </c>
      <c r="E1713">
        <f>IF(A1713="","",IF(SUMPRODUCT((Ввод!$F$12:$F$31&lt;&gt;"")*(Ввод!$F$12:$F$31&lt;=A1713)*(Ввод!$G$12:$G$31&gt;=A1713))&gt;0,1,0))</f>
        <v/>
      </c>
      <c r="G1713">
        <f>IF(A1713="","",IF(OR(B1713&lt;&gt;B1712,C1713&lt;&gt;C1712,E1713&lt;&gt;E1712),G1712+1,G1712))</f>
        <v/>
      </c>
    </row>
    <row r="1714">
      <c r="A1714" s="20">
        <f>IF(A1713="","",IF(A1713+1&gt;Ввод!$B$4,"",A1713+1))</f>
        <v/>
      </c>
      <c r="B1714">
        <f>IF(A1714="","",IFERROR(INDEX(Ввод!$B$12:$B$71,MATCH(A1714,Ввод!$D$12:$D$71,1)),""))</f>
        <v/>
      </c>
      <c r="C1714">
        <f>IF(A1714="","",DATE(YEAR(A1714),12,31)-DATE(YEAR(A1714),1,1)+1)</f>
        <v/>
      </c>
      <c r="D1714">
        <f>IF(A1714="","",SUMIFS(Акты!$D$5:$D$16,Акты!$E$5:$E$16,"&lt;="&amp;A1714)-SUMIFS(Оплаты!$B$6:$B$505,Оплаты!$A$6:$A$505,"&lt;"&amp;A1714,Оплаты!$D$6:$D$505,"&lt;&gt;"))</f>
        <v/>
      </c>
      <c r="E1714">
        <f>IF(A1714="","",IF(SUMPRODUCT((Ввод!$F$12:$F$31&lt;&gt;"")*(Ввод!$F$12:$F$31&lt;=A1714)*(Ввод!$G$12:$G$31&gt;=A1714))&gt;0,1,0))</f>
        <v/>
      </c>
      <c r="G1714">
        <f>IF(A1714="","",IF(OR(B1714&lt;&gt;B1713,C1714&lt;&gt;C1713,E1714&lt;&gt;E1713),G1713+1,G1713))</f>
        <v/>
      </c>
    </row>
    <row r="1715">
      <c r="A1715" s="20">
        <f>IF(A1714="","",IF(A1714+1&gt;Ввод!$B$4,"",A1714+1))</f>
        <v/>
      </c>
      <c r="B1715">
        <f>IF(A1715="","",IFERROR(INDEX(Ввод!$B$12:$B$71,MATCH(A1715,Ввод!$D$12:$D$71,1)),""))</f>
        <v/>
      </c>
      <c r="C1715">
        <f>IF(A1715="","",DATE(YEAR(A1715),12,31)-DATE(YEAR(A1715),1,1)+1)</f>
        <v/>
      </c>
      <c r="D1715">
        <f>IF(A1715="","",SUMIFS(Акты!$D$5:$D$16,Акты!$E$5:$E$16,"&lt;="&amp;A1715)-SUMIFS(Оплаты!$B$6:$B$505,Оплаты!$A$6:$A$505,"&lt;"&amp;A1715,Оплаты!$D$6:$D$505,"&lt;&gt;"))</f>
        <v/>
      </c>
      <c r="E1715">
        <f>IF(A1715="","",IF(SUMPRODUCT((Ввод!$F$12:$F$31&lt;&gt;"")*(Ввод!$F$12:$F$31&lt;=A1715)*(Ввод!$G$12:$G$31&gt;=A1715))&gt;0,1,0))</f>
        <v/>
      </c>
      <c r="G1715">
        <f>IF(A1715="","",IF(OR(B1715&lt;&gt;B1714,C1715&lt;&gt;C1714,E1715&lt;&gt;E1714),G1714+1,G1714))</f>
        <v/>
      </c>
    </row>
    <row r="1716">
      <c r="A1716" s="20">
        <f>IF(A1715="","",IF(A1715+1&gt;Ввод!$B$4,"",A1715+1))</f>
        <v/>
      </c>
      <c r="B1716">
        <f>IF(A1716="","",IFERROR(INDEX(Ввод!$B$12:$B$71,MATCH(A1716,Ввод!$D$12:$D$71,1)),""))</f>
        <v/>
      </c>
      <c r="C1716">
        <f>IF(A1716="","",DATE(YEAR(A1716),12,31)-DATE(YEAR(A1716),1,1)+1)</f>
        <v/>
      </c>
      <c r="D1716">
        <f>IF(A1716="","",SUMIFS(Акты!$D$5:$D$16,Акты!$E$5:$E$16,"&lt;="&amp;A1716)-SUMIFS(Оплаты!$B$6:$B$505,Оплаты!$A$6:$A$505,"&lt;"&amp;A1716,Оплаты!$D$6:$D$505,"&lt;&gt;"))</f>
        <v/>
      </c>
      <c r="E1716">
        <f>IF(A1716="","",IF(SUMPRODUCT((Ввод!$F$12:$F$31&lt;&gt;"")*(Ввод!$F$12:$F$31&lt;=A1716)*(Ввод!$G$12:$G$31&gt;=A1716))&gt;0,1,0))</f>
        <v/>
      </c>
      <c r="G1716">
        <f>IF(A1716="","",IF(OR(B1716&lt;&gt;B1715,C1716&lt;&gt;C1715,E1716&lt;&gt;E1715),G1715+1,G1715))</f>
        <v/>
      </c>
    </row>
    <row r="1717">
      <c r="A1717" s="20">
        <f>IF(A1716="","",IF(A1716+1&gt;Ввод!$B$4,"",A1716+1))</f>
        <v/>
      </c>
      <c r="B1717">
        <f>IF(A1717="","",IFERROR(INDEX(Ввод!$B$12:$B$71,MATCH(A1717,Ввод!$D$12:$D$71,1)),""))</f>
        <v/>
      </c>
      <c r="C1717">
        <f>IF(A1717="","",DATE(YEAR(A1717),12,31)-DATE(YEAR(A1717),1,1)+1)</f>
        <v/>
      </c>
      <c r="D1717">
        <f>IF(A1717="","",SUMIFS(Акты!$D$5:$D$16,Акты!$E$5:$E$16,"&lt;="&amp;A1717)-SUMIFS(Оплаты!$B$6:$B$505,Оплаты!$A$6:$A$505,"&lt;"&amp;A1717,Оплаты!$D$6:$D$505,"&lt;&gt;"))</f>
        <v/>
      </c>
      <c r="E1717">
        <f>IF(A1717="","",IF(SUMPRODUCT((Ввод!$F$12:$F$31&lt;&gt;"")*(Ввод!$F$12:$F$31&lt;=A1717)*(Ввод!$G$12:$G$31&gt;=A1717))&gt;0,1,0))</f>
        <v/>
      </c>
      <c r="G1717">
        <f>IF(A1717="","",IF(OR(B1717&lt;&gt;B1716,C1717&lt;&gt;C1716,E1717&lt;&gt;E1716),G1716+1,G1716))</f>
        <v/>
      </c>
    </row>
    <row r="1718">
      <c r="A1718" s="20">
        <f>IF(A1717="","",IF(A1717+1&gt;Ввод!$B$4,"",A1717+1))</f>
        <v/>
      </c>
      <c r="B1718">
        <f>IF(A1718="","",IFERROR(INDEX(Ввод!$B$12:$B$71,MATCH(A1718,Ввод!$D$12:$D$71,1)),""))</f>
        <v/>
      </c>
      <c r="C1718">
        <f>IF(A1718="","",DATE(YEAR(A1718),12,31)-DATE(YEAR(A1718),1,1)+1)</f>
        <v/>
      </c>
      <c r="D1718">
        <f>IF(A1718="","",SUMIFS(Акты!$D$5:$D$16,Акты!$E$5:$E$16,"&lt;="&amp;A1718)-SUMIFS(Оплаты!$B$6:$B$505,Оплаты!$A$6:$A$505,"&lt;"&amp;A1718,Оплаты!$D$6:$D$505,"&lt;&gt;"))</f>
        <v/>
      </c>
      <c r="E1718">
        <f>IF(A1718="","",IF(SUMPRODUCT((Ввод!$F$12:$F$31&lt;&gt;"")*(Ввод!$F$12:$F$31&lt;=A1718)*(Ввод!$G$12:$G$31&gt;=A1718))&gt;0,1,0))</f>
        <v/>
      </c>
      <c r="G1718">
        <f>IF(A1718="","",IF(OR(B1718&lt;&gt;B1717,C1718&lt;&gt;C1717,E1718&lt;&gt;E1717),G1717+1,G1717))</f>
        <v/>
      </c>
    </row>
    <row r="1719">
      <c r="A1719" s="20">
        <f>IF(A1718="","",IF(A1718+1&gt;Ввод!$B$4,"",A1718+1))</f>
        <v/>
      </c>
      <c r="B1719">
        <f>IF(A1719="","",IFERROR(INDEX(Ввод!$B$12:$B$71,MATCH(A1719,Ввод!$D$12:$D$71,1)),""))</f>
        <v/>
      </c>
      <c r="C1719">
        <f>IF(A1719="","",DATE(YEAR(A1719),12,31)-DATE(YEAR(A1719),1,1)+1)</f>
        <v/>
      </c>
      <c r="D1719">
        <f>IF(A1719="","",SUMIFS(Акты!$D$5:$D$16,Акты!$E$5:$E$16,"&lt;="&amp;A1719)-SUMIFS(Оплаты!$B$6:$B$505,Оплаты!$A$6:$A$505,"&lt;"&amp;A1719,Оплаты!$D$6:$D$505,"&lt;&gt;"))</f>
        <v/>
      </c>
      <c r="E1719">
        <f>IF(A1719="","",IF(SUMPRODUCT((Ввод!$F$12:$F$31&lt;&gt;"")*(Ввод!$F$12:$F$31&lt;=A1719)*(Ввод!$G$12:$G$31&gt;=A1719))&gt;0,1,0))</f>
        <v/>
      </c>
      <c r="G1719">
        <f>IF(A1719="","",IF(OR(B1719&lt;&gt;B1718,C1719&lt;&gt;C1718,E1719&lt;&gt;E1718),G1718+1,G1718))</f>
        <v/>
      </c>
    </row>
    <row r="1720">
      <c r="A1720" s="20">
        <f>IF(A1719="","",IF(A1719+1&gt;Ввод!$B$4,"",A1719+1))</f>
        <v/>
      </c>
      <c r="B1720">
        <f>IF(A1720="","",IFERROR(INDEX(Ввод!$B$12:$B$71,MATCH(A1720,Ввод!$D$12:$D$71,1)),""))</f>
        <v/>
      </c>
      <c r="C1720">
        <f>IF(A1720="","",DATE(YEAR(A1720),12,31)-DATE(YEAR(A1720),1,1)+1)</f>
        <v/>
      </c>
      <c r="D1720">
        <f>IF(A1720="","",SUMIFS(Акты!$D$5:$D$16,Акты!$E$5:$E$16,"&lt;="&amp;A1720)-SUMIFS(Оплаты!$B$6:$B$505,Оплаты!$A$6:$A$505,"&lt;"&amp;A1720,Оплаты!$D$6:$D$505,"&lt;&gt;"))</f>
        <v/>
      </c>
      <c r="E1720">
        <f>IF(A1720="","",IF(SUMPRODUCT((Ввод!$F$12:$F$31&lt;&gt;"")*(Ввод!$F$12:$F$31&lt;=A1720)*(Ввод!$G$12:$G$31&gt;=A1720))&gt;0,1,0))</f>
        <v/>
      </c>
      <c r="G1720">
        <f>IF(A1720="","",IF(OR(B1720&lt;&gt;B1719,C1720&lt;&gt;C1719,E1720&lt;&gt;E1719),G1719+1,G1719))</f>
        <v/>
      </c>
    </row>
    <row r="1721">
      <c r="A1721" s="20">
        <f>IF(A1720="","",IF(A1720+1&gt;Ввод!$B$4,"",A1720+1))</f>
        <v/>
      </c>
      <c r="B1721">
        <f>IF(A1721="","",IFERROR(INDEX(Ввод!$B$12:$B$71,MATCH(A1721,Ввод!$D$12:$D$71,1)),""))</f>
        <v/>
      </c>
      <c r="C1721">
        <f>IF(A1721="","",DATE(YEAR(A1721),12,31)-DATE(YEAR(A1721),1,1)+1)</f>
        <v/>
      </c>
      <c r="D1721">
        <f>IF(A1721="","",SUMIFS(Акты!$D$5:$D$16,Акты!$E$5:$E$16,"&lt;="&amp;A1721)-SUMIFS(Оплаты!$B$6:$B$505,Оплаты!$A$6:$A$505,"&lt;"&amp;A1721,Оплаты!$D$6:$D$505,"&lt;&gt;"))</f>
        <v/>
      </c>
      <c r="E1721">
        <f>IF(A1721="","",IF(SUMPRODUCT((Ввод!$F$12:$F$31&lt;&gt;"")*(Ввод!$F$12:$F$31&lt;=A1721)*(Ввод!$G$12:$G$31&gt;=A1721))&gt;0,1,0))</f>
        <v/>
      </c>
      <c r="G1721">
        <f>IF(A1721="","",IF(OR(B1721&lt;&gt;B1720,C1721&lt;&gt;C1720,E1721&lt;&gt;E1720),G1720+1,G1720))</f>
        <v/>
      </c>
    </row>
    <row r="1722">
      <c r="A1722" s="20">
        <f>IF(A1721="","",IF(A1721+1&gt;Ввод!$B$4,"",A1721+1))</f>
        <v/>
      </c>
      <c r="B1722">
        <f>IF(A1722="","",IFERROR(INDEX(Ввод!$B$12:$B$71,MATCH(A1722,Ввод!$D$12:$D$71,1)),""))</f>
        <v/>
      </c>
      <c r="C1722">
        <f>IF(A1722="","",DATE(YEAR(A1722),12,31)-DATE(YEAR(A1722),1,1)+1)</f>
        <v/>
      </c>
      <c r="D1722">
        <f>IF(A1722="","",SUMIFS(Акты!$D$5:$D$16,Акты!$E$5:$E$16,"&lt;="&amp;A1722)-SUMIFS(Оплаты!$B$6:$B$505,Оплаты!$A$6:$A$505,"&lt;"&amp;A1722,Оплаты!$D$6:$D$505,"&lt;&gt;"))</f>
        <v/>
      </c>
      <c r="E1722">
        <f>IF(A1722="","",IF(SUMPRODUCT((Ввод!$F$12:$F$31&lt;&gt;"")*(Ввод!$F$12:$F$31&lt;=A1722)*(Ввод!$G$12:$G$31&gt;=A1722))&gt;0,1,0))</f>
        <v/>
      </c>
      <c r="G1722">
        <f>IF(A1722="","",IF(OR(B1722&lt;&gt;B1721,C1722&lt;&gt;C1721,E1722&lt;&gt;E1721),G1721+1,G1721))</f>
        <v/>
      </c>
    </row>
    <row r="1723">
      <c r="A1723" s="20">
        <f>IF(A1722="","",IF(A1722+1&gt;Ввод!$B$4,"",A1722+1))</f>
        <v/>
      </c>
      <c r="B1723">
        <f>IF(A1723="","",IFERROR(INDEX(Ввод!$B$12:$B$71,MATCH(A1723,Ввод!$D$12:$D$71,1)),""))</f>
        <v/>
      </c>
      <c r="C1723">
        <f>IF(A1723="","",DATE(YEAR(A1723),12,31)-DATE(YEAR(A1723),1,1)+1)</f>
        <v/>
      </c>
      <c r="D1723">
        <f>IF(A1723="","",SUMIFS(Акты!$D$5:$D$16,Акты!$E$5:$E$16,"&lt;="&amp;A1723)-SUMIFS(Оплаты!$B$6:$B$505,Оплаты!$A$6:$A$505,"&lt;"&amp;A1723,Оплаты!$D$6:$D$505,"&lt;&gt;"))</f>
        <v/>
      </c>
      <c r="E1723">
        <f>IF(A1723="","",IF(SUMPRODUCT((Ввод!$F$12:$F$31&lt;&gt;"")*(Ввод!$F$12:$F$31&lt;=A1723)*(Ввод!$G$12:$G$31&gt;=A1723))&gt;0,1,0))</f>
        <v/>
      </c>
      <c r="G1723">
        <f>IF(A1723="","",IF(OR(B1723&lt;&gt;B1722,C1723&lt;&gt;C1722,E1723&lt;&gt;E1722),G1722+1,G1722))</f>
        <v/>
      </c>
    </row>
    <row r="1724">
      <c r="A1724" s="20">
        <f>IF(A1723="","",IF(A1723+1&gt;Ввод!$B$4,"",A1723+1))</f>
        <v/>
      </c>
      <c r="B1724">
        <f>IF(A1724="","",IFERROR(INDEX(Ввод!$B$12:$B$71,MATCH(A1724,Ввод!$D$12:$D$71,1)),""))</f>
        <v/>
      </c>
      <c r="C1724">
        <f>IF(A1724="","",DATE(YEAR(A1724),12,31)-DATE(YEAR(A1724),1,1)+1)</f>
        <v/>
      </c>
      <c r="D1724">
        <f>IF(A1724="","",SUMIFS(Акты!$D$5:$D$16,Акты!$E$5:$E$16,"&lt;="&amp;A1724)-SUMIFS(Оплаты!$B$6:$B$505,Оплаты!$A$6:$A$505,"&lt;"&amp;A1724,Оплаты!$D$6:$D$505,"&lt;&gt;"))</f>
        <v/>
      </c>
      <c r="E1724">
        <f>IF(A1724="","",IF(SUMPRODUCT((Ввод!$F$12:$F$31&lt;&gt;"")*(Ввод!$F$12:$F$31&lt;=A1724)*(Ввод!$G$12:$G$31&gt;=A1724))&gt;0,1,0))</f>
        <v/>
      </c>
      <c r="G1724">
        <f>IF(A1724="","",IF(OR(B1724&lt;&gt;B1723,C1724&lt;&gt;C1723,E1724&lt;&gt;E1723),G1723+1,G1723))</f>
        <v/>
      </c>
    </row>
    <row r="1725">
      <c r="A1725" s="20">
        <f>IF(A1724="","",IF(A1724+1&gt;Ввод!$B$4,"",A1724+1))</f>
        <v/>
      </c>
      <c r="B1725">
        <f>IF(A1725="","",IFERROR(INDEX(Ввод!$B$12:$B$71,MATCH(A1725,Ввод!$D$12:$D$71,1)),""))</f>
        <v/>
      </c>
      <c r="C1725">
        <f>IF(A1725="","",DATE(YEAR(A1725),12,31)-DATE(YEAR(A1725),1,1)+1)</f>
        <v/>
      </c>
      <c r="D1725">
        <f>IF(A1725="","",SUMIFS(Акты!$D$5:$D$16,Акты!$E$5:$E$16,"&lt;="&amp;A1725)-SUMIFS(Оплаты!$B$6:$B$505,Оплаты!$A$6:$A$505,"&lt;"&amp;A1725,Оплаты!$D$6:$D$505,"&lt;&gt;"))</f>
        <v/>
      </c>
      <c r="E1725">
        <f>IF(A1725="","",IF(SUMPRODUCT((Ввод!$F$12:$F$31&lt;&gt;"")*(Ввод!$F$12:$F$31&lt;=A1725)*(Ввод!$G$12:$G$31&gt;=A1725))&gt;0,1,0))</f>
        <v/>
      </c>
      <c r="G1725">
        <f>IF(A1725="","",IF(OR(B1725&lt;&gt;B1724,C1725&lt;&gt;C1724,E1725&lt;&gt;E1724),G1724+1,G1724))</f>
        <v/>
      </c>
    </row>
    <row r="1726">
      <c r="A1726" s="20">
        <f>IF(A1725="","",IF(A1725+1&gt;Ввод!$B$4,"",A1725+1))</f>
        <v/>
      </c>
      <c r="B1726">
        <f>IF(A1726="","",IFERROR(INDEX(Ввод!$B$12:$B$71,MATCH(A1726,Ввод!$D$12:$D$71,1)),""))</f>
        <v/>
      </c>
      <c r="C1726">
        <f>IF(A1726="","",DATE(YEAR(A1726),12,31)-DATE(YEAR(A1726),1,1)+1)</f>
        <v/>
      </c>
      <c r="D1726">
        <f>IF(A1726="","",SUMIFS(Акты!$D$5:$D$16,Акты!$E$5:$E$16,"&lt;="&amp;A1726)-SUMIFS(Оплаты!$B$6:$B$505,Оплаты!$A$6:$A$505,"&lt;"&amp;A1726,Оплаты!$D$6:$D$505,"&lt;&gt;"))</f>
        <v/>
      </c>
      <c r="E1726">
        <f>IF(A1726="","",IF(SUMPRODUCT((Ввод!$F$12:$F$31&lt;&gt;"")*(Ввод!$F$12:$F$31&lt;=A1726)*(Ввод!$G$12:$G$31&gt;=A1726))&gt;0,1,0))</f>
        <v/>
      </c>
      <c r="G1726">
        <f>IF(A1726="","",IF(OR(B1726&lt;&gt;B1725,C1726&lt;&gt;C1725,E1726&lt;&gt;E1725),G1725+1,G1725))</f>
        <v/>
      </c>
    </row>
    <row r="1727">
      <c r="A1727" s="20">
        <f>IF(A1726="","",IF(A1726+1&gt;Ввод!$B$4,"",A1726+1))</f>
        <v/>
      </c>
      <c r="B1727">
        <f>IF(A1727="","",IFERROR(INDEX(Ввод!$B$12:$B$71,MATCH(A1727,Ввод!$D$12:$D$71,1)),""))</f>
        <v/>
      </c>
      <c r="C1727">
        <f>IF(A1727="","",DATE(YEAR(A1727),12,31)-DATE(YEAR(A1727),1,1)+1)</f>
        <v/>
      </c>
      <c r="D1727">
        <f>IF(A1727="","",SUMIFS(Акты!$D$5:$D$16,Акты!$E$5:$E$16,"&lt;="&amp;A1727)-SUMIFS(Оплаты!$B$6:$B$505,Оплаты!$A$6:$A$505,"&lt;"&amp;A1727,Оплаты!$D$6:$D$505,"&lt;&gt;"))</f>
        <v/>
      </c>
      <c r="E1727">
        <f>IF(A1727="","",IF(SUMPRODUCT((Ввод!$F$12:$F$31&lt;&gt;"")*(Ввод!$F$12:$F$31&lt;=A1727)*(Ввод!$G$12:$G$31&gt;=A1727))&gt;0,1,0))</f>
        <v/>
      </c>
      <c r="G1727">
        <f>IF(A1727="","",IF(OR(B1727&lt;&gt;B1726,C1727&lt;&gt;C1726,E1727&lt;&gt;E1726),G1726+1,G1726))</f>
        <v/>
      </c>
    </row>
    <row r="1728">
      <c r="A1728" s="20">
        <f>IF(A1727="","",IF(A1727+1&gt;Ввод!$B$4,"",A1727+1))</f>
        <v/>
      </c>
      <c r="B1728">
        <f>IF(A1728="","",IFERROR(INDEX(Ввод!$B$12:$B$71,MATCH(A1728,Ввод!$D$12:$D$71,1)),""))</f>
        <v/>
      </c>
      <c r="C1728">
        <f>IF(A1728="","",DATE(YEAR(A1728),12,31)-DATE(YEAR(A1728),1,1)+1)</f>
        <v/>
      </c>
      <c r="D1728">
        <f>IF(A1728="","",SUMIFS(Акты!$D$5:$D$16,Акты!$E$5:$E$16,"&lt;="&amp;A1728)-SUMIFS(Оплаты!$B$6:$B$505,Оплаты!$A$6:$A$505,"&lt;"&amp;A1728,Оплаты!$D$6:$D$505,"&lt;&gt;"))</f>
        <v/>
      </c>
      <c r="E1728">
        <f>IF(A1728="","",IF(SUMPRODUCT((Ввод!$F$12:$F$31&lt;&gt;"")*(Ввод!$F$12:$F$31&lt;=A1728)*(Ввод!$G$12:$G$31&gt;=A1728))&gt;0,1,0))</f>
        <v/>
      </c>
      <c r="G1728">
        <f>IF(A1728="","",IF(OR(B1728&lt;&gt;B1727,C1728&lt;&gt;C1727,E1728&lt;&gt;E1727),G1727+1,G1727))</f>
        <v/>
      </c>
    </row>
    <row r="1729">
      <c r="A1729" s="20">
        <f>IF(A1728="","",IF(A1728+1&gt;Ввод!$B$4,"",A1728+1))</f>
        <v/>
      </c>
      <c r="B1729">
        <f>IF(A1729="","",IFERROR(INDEX(Ввод!$B$12:$B$71,MATCH(A1729,Ввод!$D$12:$D$71,1)),""))</f>
        <v/>
      </c>
      <c r="C1729">
        <f>IF(A1729="","",DATE(YEAR(A1729),12,31)-DATE(YEAR(A1729),1,1)+1)</f>
        <v/>
      </c>
      <c r="D1729">
        <f>IF(A1729="","",SUMIFS(Акты!$D$5:$D$16,Акты!$E$5:$E$16,"&lt;="&amp;A1729)-SUMIFS(Оплаты!$B$6:$B$505,Оплаты!$A$6:$A$505,"&lt;"&amp;A1729,Оплаты!$D$6:$D$505,"&lt;&gt;"))</f>
        <v/>
      </c>
      <c r="E1729">
        <f>IF(A1729="","",IF(SUMPRODUCT((Ввод!$F$12:$F$31&lt;&gt;"")*(Ввод!$F$12:$F$31&lt;=A1729)*(Ввод!$G$12:$G$31&gt;=A1729))&gt;0,1,0))</f>
        <v/>
      </c>
      <c r="G1729">
        <f>IF(A1729="","",IF(OR(B1729&lt;&gt;B1728,C1729&lt;&gt;C1728,E1729&lt;&gt;E1728),G1728+1,G1728))</f>
        <v/>
      </c>
    </row>
    <row r="1730">
      <c r="A1730" s="20">
        <f>IF(A1729="","",IF(A1729+1&gt;Ввод!$B$4,"",A1729+1))</f>
        <v/>
      </c>
      <c r="B1730">
        <f>IF(A1730="","",IFERROR(INDEX(Ввод!$B$12:$B$71,MATCH(A1730,Ввод!$D$12:$D$71,1)),""))</f>
        <v/>
      </c>
      <c r="C1730">
        <f>IF(A1730="","",DATE(YEAR(A1730),12,31)-DATE(YEAR(A1730),1,1)+1)</f>
        <v/>
      </c>
      <c r="D1730">
        <f>IF(A1730="","",SUMIFS(Акты!$D$5:$D$16,Акты!$E$5:$E$16,"&lt;="&amp;A1730)-SUMIFS(Оплаты!$B$6:$B$505,Оплаты!$A$6:$A$505,"&lt;"&amp;A1730,Оплаты!$D$6:$D$505,"&lt;&gt;"))</f>
        <v/>
      </c>
      <c r="E1730">
        <f>IF(A1730="","",IF(SUMPRODUCT((Ввод!$F$12:$F$31&lt;&gt;"")*(Ввод!$F$12:$F$31&lt;=A1730)*(Ввод!$G$12:$G$31&gt;=A1730))&gt;0,1,0))</f>
        <v/>
      </c>
      <c r="G1730">
        <f>IF(A1730="","",IF(OR(B1730&lt;&gt;B1729,C1730&lt;&gt;C1729,E1730&lt;&gt;E1729),G1729+1,G1729))</f>
        <v/>
      </c>
    </row>
    <row r="1731">
      <c r="A1731" s="20">
        <f>IF(A1730="","",IF(A1730+1&gt;Ввод!$B$4,"",A1730+1))</f>
        <v/>
      </c>
      <c r="B1731">
        <f>IF(A1731="","",IFERROR(INDEX(Ввод!$B$12:$B$71,MATCH(A1731,Ввод!$D$12:$D$71,1)),""))</f>
        <v/>
      </c>
      <c r="C1731">
        <f>IF(A1731="","",DATE(YEAR(A1731),12,31)-DATE(YEAR(A1731),1,1)+1)</f>
        <v/>
      </c>
      <c r="D1731">
        <f>IF(A1731="","",SUMIFS(Акты!$D$5:$D$16,Акты!$E$5:$E$16,"&lt;="&amp;A1731)-SUMIFS(Оплаты!$B$6:$B$505,Оплаты!$A$6:$A$505,"&lt;"&amp;A1731,Оплаты!$D$6:$D$505,"&lt;&gt;"))</f>
        <v/>
      </c>
      <c r="E1731">
        <f>IF(A1731="","",IF(SUMPRODUCT((Ввод!$F$12:$F$31&lt;&gt;"")*(Ввод!$F$12:$F$31&lt;=A1731)*(Ввод!$G$12:$G$31&gt;=A1731))&gt;0,1,0))</f>
        <v/>
      </c>
      <c r="G1731">
        <f>IF(A1731="","",IF(OR(B1731&lt;&gt;B1730,C1731&lt;&gt;C1730,E1731&lt;&gt;E1730),G1730+1,G1730))</f>
        <v/>
      </c>
    </row>
    <row r="1732">
      <c r="A1732" s="20">
        <f>IF(A1731="","",IF(A1731+1&gt;Ввод!$B$4,"",A1731+1))</f>
        <v/>
      </c>
      <c r="B1732">
        <f>IF(A1732="","",IFERROR(INDEX(Ввод!$B$12:$B$71,MATCH(A1732,Ввод!$D$12:$D$71,1)),""))</f>
        <v/>
      </c>
      <c r="C1732">
        <f>IF(A1732="","",DATE(YEAR(A1732),12,31)-DATE(YEAR(A1732),1,1)+1)</f>
        <v/>
      </c>
      <c r="D1732">
        <f>IF(A1732="","",SUMIFS(Акты!$D$5:$D$16,Акты!$E$5:$E$16,"&lt;="&amp;A1732)-SUMIFS(Оплаты!$B$6:$B$505,Оплаты!$A$6:$A$505,"&lt;"&amp;A1732,Оплаты!$D$6:$D$505,"&lt;&gt;"))</f>
        <v/>
      </c>
      <c r="E1732">
        <f>IF(A1732="","",IF(SUMPRODUCT((Ввод!$F$12:$F$31&lt;&gt;"")*(Ввод!$F$12:$F$31&lt;=A1732)*(Ввод!$G$12:$G$31&gt;=A1732))&gt;0,1,0))</f>
        <v/>
      </c>
      <c r="G1732">
        <f>IF(A1732="","",IF(OR(B1732&lt;&gt;B1731,C1732&lt;&gt;C1731,E1732&lt;&gt;E1731),G1731+1,G1731))</f>
        <v/>
      </c>
    </row>
    <row r="1733">
      <c r="A1733" s="20">
        <f>IF(A1732="","",IF(A1732+1&gt;Ввод!$B$4,"",A1732+1))</f>
        <v/>
      </c>
      <c r="B1733">
        <f>IF(A1733="","",IFERROR(INDEX(Ввод!$B$12:$B$71,MATCH(A1733,Ввод!$D$12:$D$71,1)),""))</f>
        <v/>
      </c>
      <c r="C1733">
        <f>IF(A1733="","",DATE(YEAR(A1733),12,31)-DATE(YEAR(A1733),1,1)+1)</f>
        <v/>
      </c>
      <c r="D1733">
        <f>IF(A1733="","",SUMIFS(Акты!$D$5:$D$16,Акты!$E$5:$E$16,"&lt;="&amp;A1733)-SUMIFS(Оплаты!$B$6:$B$505,Оплаты!$A$6:$A$505,"&lt;"&amp;A1733,Оплаты!$D$6:$D$505,"&lt;&gt;"))</f>
        <v/>
      </c>
      <c r="E1733">
        <f>IF(A1733="","",IF(SUMPRODUCT((Ввод!$F$12:$F$31&lt;&gt;"")*(Ввод!$F$12:$F$31&lt;=A1733)*(Ввод!$G$12:$G$31&gt;=A1733))&gt;0,1,0))</f>
        <v/>
      </c>
      <c r="G1733">
        <f>IF(A1733="","",IF(OR(B1733&lt;&gt;B1732,C1733&lt;&gt;C1732,E1733&lt;&gt;E1732),G1732+1,G1732))</f>
        <v/>
      </c>
    </row>
    <row r="1734">
      <c r="A1734" s="20">
        <f>IF(A1733="","",IF(A1733+1&gt;Ввод!$B$4,"",A1733+1))</f>
        <v/>
      </c>
      <c r="B1734">
        <f>IF(A1734="","",IFERROR(INDEX(Ввод!$B$12:$B$71,MATCH(A1734,Ввод!$D$12:$D$71,1)),""))</f>
        <v/>
      </c>
      <c r="C1734">
        <f>IF(A1734="","",DATE(YEAR(A1734),12,31)-DATE(YEAR(A1734),1,1)+1)</f>
        <v/>
      </c>
      <c r="D1734">
        <f>IF(A1734="","",SUMIFS(Акты!$D$5:$D$16,Акты!$E$5:$E$16,"&lt;="&amp;A1734)-SUMIFS(Оплаты!$B$6:$B$505,Оплаты!$A$6:$A$505,"&lt;"&amp;A1734,Оплаты!$D$6:$D$505,"&lt;&gt;"))</f>
        <v/>
      </c>
      <c r="E1734">
        <f>IF(A1734="","",IF(SUMPRODUCT((Ввод!$F$12:$F$31&lt;&gt;"")*(Ввод!$F$12:$F$31&lt;=A1734)*(Ввод!$G$12:$G$31&gt;=A1734))&gt;0,1,0))</f>
        <v/>
      </c>
      <c r="G1734">
        <f>IF(A1734="","",IF(OR(B1734&lt;&gt;B1733,C1734&lt;&gt;C1733,E1734&lt;&gt;E1733),G1733+1,G1733))</f>
        <v/>
      </c>
    </row>
    <row r="1735">
      <c r="A1735" s="20">
        <f>IF(A1734="","",IF(A1734+1&gt;Ввод!$B$4,"",A1734+1))</f>
        <v/>
      </c>
      <c r="B1735">
        <f>IF(A1735="","",IFERROR(INDEX(Ввод!$B$12:$B$71,MATCH(A1735,Ввод!$D$12:$D$71,1)),""))</f>
        <v/>
      </c>
      <c r="C1735">
        <f>IF(A1735="","",DATE(YEAR(A1735),12,31)-DATE(YEAR(A1735),1,1)+1)</f>
        <v/>
      </c>
      <c r="D1735">
        <f>IF(A1735="","",SUMIFS(Акты!$D$5:$D$16,Акты!$E$5:$E$16,"&lt;="&amp;A1735)-SUMIFS(Оплаты!$B$6:$B$505,Оплаты!$A$6:$A$505,"&lt;"&amp;A1735,Оплаты!$D$6:$D$505,"&lt;&gt;"))</f>
        <v/>
      </c>
      <c r="E1735">
        <f>IF(A1735="","",IF(SUMPRODUCT((Ввод!$F$12:$F$31&lt;&gt;"")*(Ввод!$F$12:$F$31&lt;=A1735)*(Ввод!$G$12:$G$31&gt;=A1735))&gt;0,1,0))</f>
        <v/>
      </c>
      <c r="G1735">
        <f>IF(A1735="","",IF(OR(B1735&lt;&gt;B1734,C1735&lt;&gt;C1734,E1735&lt;&gt;E1734),G1734+1,G1734))</f>
        <v/>
      </c>
    </row>
    <row r="1736">
      <c r="A1736" s="20">
        <f>IF(A1735="","",IF(A1735+1&gt;Ввод!$B$4,"",A1735+1))</f>
        <v/>
      </c>
      <c r="B1736">
        <f>IF(A1736="","",IFERROR(INDEX(Ввод!$B$12:$B$71,MATCH(A1736,Ввод!$D$12:$D$71,1)),""))</f>
        <v/>
      </c>
      <c r="C1736">
        <f>IF(A1736="","",DATE(YEAR(A1736),12,31)-DATE(YEAR(A1736),1,1)+1)</f>
        <v/>
      </c>
      <c r="D1736">
        <f>IF(A1736="","",SUMIFS(Акты!$D$5:$D$16,Акты!$E$5:$E$16,"&lt;="&amp;A1736)-SUMIFS(Оплаты!$B$6:$B$505,Оплаты!$A$6:$A$505,"&lt;"&amp;A1736,Оплаты!$D$6:$D$505,"&lt;&gt;"))</f>
        <v/>
      </c>
      <c r="E1736">
        <f>IF(A1736="","",IF(SUMPRODUCT((Ввод!$F$12:$F$31&lt;&gt;"")*(Ввод!$F$12:$F$31&lt;=A1736)*(Ввод!$G$12:$G$31&gt;=A1736))&gt;0,1,0))</f>
        <v/>
      </c>
      <c r="G1736">
        <f>IF(A1736="","",IF(OR(B1736&lt;&gt;B1735,C1736&lt;&gt;C1735,E1736&lt;&gt;E1735),G1735+1,G1735))</f>
        <v/>
      </c>
    </row>
    <row r="1737">
      <c r="A1737" s="20">
        <f>IF(A1736="","",IF(A1736+1&gt;Ввод!$B$4,"",A1736+1))</f>
        <v/>
      </c>
      <c r="B1737">
        <f>IF(A1737="","",IFERROR(INDEX(Ввод!$B$12:$B$71,MATCH(A1737,Ввод!$D$12:$D$71,1)),""))</f>
        <v/>
      </c>
      <c r="C1737">
        <f>IF(A1737="","",DATE(YEAR(A1737),12,31)-DATE(YEAR(A1737),1,1)+1)</f>
        <v/>
      </c>
      <c r="D1737">
        <f>IF(A1737="","",SUMIFS(Акты!$D$5:$D$16,Акты!$E$5:$E$16,"&lt;="&amp;A1737)-SUMIFS(Оплаты!$B$6:$B$505,Оплаты!$A$6:$A$505,"&lt;"&amp;A1737,Оплаты!$D$6:$D$505,"&lt;&gt;"))</f>
        <v/>
      </c>
      <c r="E1737">
        <f>IF(A1737="","",IF(SUMPRODUCT((Ввод!$F$12:$F$31&lt;&gt;"")*(Ввод!$F$12:$F$31&lt;=A1737)*(Ввод!$G$12:$G$31&gt;=A1737))&gt;0,1,0))</f>
        <v/>
      </c>
      <c r="G1737">
        <f>IF(A1737="","",IF(OR(B1737&lt;&gt;B1736,C1737&lt;&gt;C1736,E1737&lt;&gt;E1736),G1736+1,G1736))</f>
        <v/>
      </c>
    </row>
    <row r="1738">
      <c r="A1738" s="20">
        <f>IF(A1737="","",IF(A1737+1&gt;Ввод!$B$4,"",A1737+1))</f>
        <v/>
      </c>
      <c r="B1738">
        <f>IF(A1738="","",IFERROR(INDEX(Ввод!$B$12:$B$71,MATCH(A1738,Ввод!$D$12:$D$71,1)),""))</f>
        <v/>
      </c>
      <c r="C1738">
        <f>IF(A1738="","",DATE(YEAR(A1738),12,31)-DATE(YEAR(A1738),1,1)+1)</f>
        <v/>
      </c>
      <c r="D1738">
        <f>IF(A1738="","",SUMIFS(Акты!$D$5:$D$16,Акты!$E$5:$E$16,"&lt;="&amp;A1738)-SUMIFS(Оплаты!$B$6:$B$505,Оплаты!$A$6:$A$505,"&lt;"&amp;A1738,Оплаты!$D$6:$D$505,"&lt;&gt;"))</f>
        <v/>
      </c>
      <c r="E1738">
        <f>IF(A1738="","",IF(SUMPRODUCT((Ввод!$F$12:$F$31&lt;&gt;"")*(Ввод!$F$12:$F$31&lt;=A1738)*(Ввод!$G$12:$G$31&gt;=A1738))&gt;0,1,0))</f>
        <v/>
      </c>
      <c r="G1738">
        <f>IF(A1738="","",IF(OR(B1738&lt;&gt;B1737,C1738&lt;&gt;C1737,E1738&lt;&gt;E1737),G1737+1,G1737))</f>
        <v/>
      </c>
    </row>
    <row r="1739">
      <c r="A1739" s="20">
        <f>IF(A1738="","",IF(A1738+1&gt;Ввод!$B$4,"",A1738+1))</f>
        <v/>
      </c>
      <c r="B1739">
        <f>IF(A1739="","",IFERROR(INDEX(Ввод!$B$12:$B$71,MATCH(A1739,Ввод!$D$12:$D$71,1)),""))</f>
        <v/>
      </c>
      <c r="C1739">
        <f>IF(A1739="","",DATE(YEAR(A1739),12,31)-DATE(YEAR(A1739),1,1)+1)</f>
        <v/>
      </c>
      <c r="D1739">
        <f>IF(A1739="","",SUMIFS(Акты!$D$5:$D$16,Акты!$E$5:$E$16,"&lt;="&amp;A1739)-SUMIFS(Оплаты!$B$6:$B$505,Оплаты!$A$6:$A$505,"&lt;"&amp;A1739,Оплаты!$D$6:$D$505,"&lt;&gt;"))</f>
        <v/>
      </c>
      <c r="E1739">
        <f>IF(A1739="","",IF(SUMPRODUCT((Ввод!$F$12:$F$31&lt;&gt;"")*(Ввод!$F$12:$F$31&lt;=A1739)*(Ввод!$G$12:$G$31&gt;=A1739))&gt;0,1,0))</f>
        <v/>
      </c>
      <c r="G1739">
        <f>IF(A1739="","",IF(OR(B1739&lt;&gt;B1738,C1739&lt;&gt;C1738,E1739&lt;&gt;E1738),G1738+1,G1738))</f>
        <v/>
      </c>
    </row>
    <row r="1740">
      <c r="A1740" s="20">
        <f>IF(A1739="","",IF(A1739+1&gt;Ввод!$B$4,"",A1739+1))</f>
        <v/>
      </c>
      <c r="B1740">
        <f>IF(A1740="","",IFERROR(INDEX(Ввод!$B$12:$B$71,MATCH(A1740,Ввод!$D$12:$D$71,1)),""))</f>
        <v/>
      </c>
      <c r="C1740">
        <f>IF(A1740="","",DATE(YEAR(A1740),12,31)-DATE(YEAR(A1740),1,1)+1)</f>
        <v/>
      </c>
      <c r="D1740">
        <f>IF(A1740="","",SUMIFS(Акты!$D$5:$D$16,Акты!$E$5:$E$16,"&lt;="&amp;A1740)-SUMIFS(Оплаты!$B$6:$B$505,Оплаты!$A$6:$A$505,"&lt;"&amp;A1740,Оплаты!$D$6:$D$505,"&lt;&gt;"))</f>
        <v/>
      </c>
      <c r="E1740">
        <f>IF(A1740="","",IF(SUMPRODUCT((Ввод!$F$12:$F$31&lt;&gt;"")*(Ввод!$F$12:$F$31&lt;=A1740)*(Ввод!$G$12:$G$31&gt;=A1740))&gt;0,1,0))</f>
        <v/>
      </c>
      <c r="G1740">
        <f>IF(A1740="","",IF(OR(B1740&lt;&gt;B1739,C1740&lt;&gt;C1739,E1740&lt;&gt;E1739),G1739+1,G1739))</f>
        <v/>
      </c>
    </row>
    <row r="1741">
      <c r="A1741" s="20">
        <f>IF(A1740="","",IF(A1740+1&gt;Ввод!$B$4,"",A1740+1))</f>
        <v/>
      </c>
      <c r="B1741">
        <f>IF(A1741="","",IFERROR(INDEX(Ввод!$B$12:$B$71,MATCH(A1741,Ввод!$D$12:$D$71,1)),""))</f>
        <v/>
      </c>
      <c r="C1741">
        <f>IF(A1741="","",DATE(YEAR(A1741),12,31)-DATE(YEAR(A1741),1,1)+1)</f>
        <v/>
      </c>
      <c r="D1741">
        <f>IF(A1741="","",SUMIFS(Акты!$D$5:$D$16,Акты!$E$5:$E$16,"&lt;="&amp;A1741)-SUMIFS(Оплаты!$B$6:$B$505,Оплаты!$A$6:$A$505,"&lt;"&amp;A1741,Оплаты!$D$6:$D$505,"&lt;&gt;"))</f>
        <v/>
      </c>
      <c r="E1741">
        <f>IF(A1741="","",IF(SUMPRODUCT((Ввод!$F$12:$F$31&lt;&gt;"")*(Ввод!$F$12:$F$31&lt;=A1741)*(Ввод!$G$12:$G$31&gt;=A1741))&gt;0,1,0))</f>
        <v/>
      </c>
      <c r="G1741">
        <f>IF(A1741="","",IF(OR(B1741&lt;&gt;B1740,C1741&lt;&gt;C1740,E1741&lt;&gt;E1740),G1740+1,G1740))</f>
        <v/>
      </c>
    </row>
    <row r="1742">
      <c r="A1742" s="20">
        <f>IF(A1741="","",IF(A1741+1&gt;Ввод!$B$4,"",A1741+1))</f>
        <v/>
      </c>
      <c r="B1742">
        <f>IF(A1742="","",IFERROR(INDEX(Ввод!$B$12:$B$71,MATCH(A1742,Ввод!$D$12:$D$71,1)),""))</f>
        <v/>
      </c>
      <c r="C1742">
        <f>IF(A1742="","",DATE(YEAR(A1742),12,31)-DATE(YEAR(A1742),1,1)+1)</f>
        <v/>
      </c>
      <c r="D1742">
        <f>IF(A1742="","",SUMIFS(Акты!$D$5:$D$16,Акты!$E$5:$E$16,"&lt;="&amp;A1742)-SUMIFS(Оплаты!$B$6:$B$505,Оплаты!$A$6:$A$505,"&lt;"&amp;A1742,Оплаты!$D$6:$D$505,"&lt;&gt;"))</f>
        <v/>
      </c>
      <c r="E1742">
        <f>IF(A1742="","",IF(SUMPRODUCT((Ввод!$F$12:$F$31&lt;&gt;"")*(Ввод!$F$12:$F$31&lt;=A1742)*(Ввод!$G$12:$G$31&gt;=A1742))&gt;0,1,0))</f>
        <v/>
      </c>
      <c r="G1742">
        <f>IF(A1742="","",IF(OR(B1742&lt;&gt;B1741,C1742&lt;&gt;C1741,E1742&lt;&gt;E1741),G1741+1,G1741))</f>
        <v/>
      </c>
    </row>
    <row r="1743">
      <c r="A1743" s="20">
        <f>IF(A1742="","",IF(A1742+1&gt;Ввод!$B$4,"",A1742+1))</f>
        <v/>
      </c>
      <c r="B1743">
        <f>IF(A1743="","",IFERROR(INDEX(Ввод!$B$12:$B$71,MATCH(A1743,Ввод!$D$12:$D$71,1)),""))</f>
        <v/>
      </c>
      <c r="C1743">
        <f>IF(A1743="","",DATE(YEAR(A1743),12,31)-DATE(YEAR(A1743),1,1)+1)</f>
        <v/>
      </c>
      <c r="D1743">
        <f>IF(A1743="","",SUMIFS(Акты!$D$5:$D$16,Акты!$E$5:$E$16,"&lt;="&amp;A1743)-SUMIFS(Оплаты!$B$6:$B$505,Оплаты!$A$6:$A$505,"&lt;"&amp;A1743,Оплаты!$D$6:$D$505,"&lt;&gt;"))</f>
        <v/>
      </c>
      <c r="E1743">
        <f>IF(A1743="","",IF(SUMPRODUCT((Ввод!$F$12:$F$31&lt;&gt;"")*(Ввод!$F$12:$F$31&lt;=A1743)*(Ввод!$G$12:$G$31&gt;=A1743))&gt;0,1,0))</f>
        <v/>
      </c>
      <c r="G1743">
        <f>IF(A1743="","",IF(OR(B1743&lt;&gt;B1742,C1743&lt;&gt;C1742,E1743&lt;&gt;E1742),G1742+1,G1742))</f>
        <v/>
      </c>
    </row>
    <row r="1744">
      <c r="A1744" s="20">
        <f>IF(A1743="","",IF(A1743+1&gt;Ввод!$B$4,"",A1743+1))</f>
        <v/>
      </c>
      <c r="B1744">
        <f>IF(A1744="","",IFERROR(INDEX(Ввод!$B$12:$B$71,MATCH(A1744,Ввод!$D$12:$D$71,1)),""))</f>
        <v/>
      </c>
      <c r="C1744">
        <f>IF(A1744="","",DATE(YEAR(A1744),12,31)-DATE(YEAR(A1744),1,1)+1)</f>
        <v/>
      </c>
      <c r="D1744">
        <f>IF(A1744="","",SUMIFS(Акты!$D$5:$D$16,Акты!$E$5:$E$16,"&lt;="&amp;A1744)-SUMIFS(Оплаты!$B$6:$B$505,Оплаты!$A$6:$A$505,"&lt;"&amp;A1744,Оплаты!$D$6:$D$505,"&lt;&gt;"))</f>
        <v/>
      </c>
      <c r="E1744">
        <f>IF(A1744="","",IF(SUMPRODUCT((Ввод!$F$12:$F$31&lt;&gt;"")*(Ввод!$F$12:$F$31&lt;=A1744)*(Ввод!$G$12:$G$31&gt;=A1744))&gt;0,1,0))</f>
        <v/>
      </c>
      <c r="G1744">
        <f>IF(A1744="","",IF(OR(B1744&lt;&gt;B1743,C1744&lt;&gt;C1743,E1744&lt;&gt;E1743),G1743+1,G1743))</f>
        <v/>
      </c>
    </row>
    <row r="1745">
      <c r="A1745" s="20">
        <f>IF(A1744="","",IF(A1744+1&gt;Ввод!$B$4,"",A1744+1))</f>
        <v/>
      </c>
      <c r="B1745">
        <f>IF(A1745="","",IFERROR(INDEX(Ввод!$B$12:$B$71,MATCH(A1745,Ввод!$D$12:$D$71,1)),""))</f>
        <v/>
      </c>
      <c r="C1745">
        <f>IF(A1745="","",DATE(YEAR(A1745),12,31)-DATE(YEAR(A1745),1,1)+1)</f>
        <v/>
      </c>
      <c r="D1745">
        <f>IF(A1745="","",SUMIFS(Акты!$D$5:$D$16,Акты!$E$5:$E$16,"&lt;="&amp;A1745)-SUMIFS(Оплаты!$B$6:$B$505,Оплаты!$A$6:$A$505,"&lt;"&amp;A1745,Оплаты!$D$6:$D$505,"&lt;&gt;"))</f>
        <v/>
      </c>
      <c r="E1745">
        <f>IF(A1745="","",IF(SUMPRODUCT((Ввод!$F$12:$F$31&lt;&gt;"")*(Ввод!$F$12:$F$31&lt;=A1745)*(Ввод!$G$12:$G$31&gt;=A1745))&gt;0,1,0))</f>
        <v/>
      </c>
      <c r="G1745">
        <f>IF(A1745="","",IF(OR(B1745&lt;&gt;B1744,C1745&lt;&gt;C1744,E1745&lt;&gt;E1744),G1744+1,G1744))</f>
        <v/>
      </c>
    </row>
    <row r="1746">
      <c r="A1746" s="20">
        <f>IF(A1745="","",IF(A1745+1&gt;Ввод!$B$4,"",A1745+1))</f>
        <v/>
      </c>
      <c r="B1746">
        <f>IF(A1746="","",IFERROR(INDEX(Ввод!$B$12:$B$71,MATCH(A1746,Ввод!$D$12:$D$71,1)),""))</f>
        <v/>
      </c>
      <c r="C1746">
        <f>IF(A1746="","",DATE(YEAR(A1746),12,31)-DATE(YEAR(A1746),1,1)+1)</f>
        <v/>
      </c>
      <c r="D1746">
        <f>IF(A1746="","",SUMIFS(Акты!$D$5:$D$16,Акты!$E$5:$E$16,"&lt;="&amp;A1746)-SUMIFS(Оплаты!$B$6:$B$505,Оплаты!$A$6:$A$505,"&lt;"&amp;A1746,Оплаты!$D$6:$D$505,"&lt;&gt;"))</f>
        <v/>
      </c>
      <c r="E1746">
        <f>IF(A1746="","",IF(SUMPRODUCT((Ввод!$F$12:$F$31&lt;&gt;"")*(Ввод!$F$12:$F$31&lt;=A1746)*(Ввод!$G$12:$G$31&gt;=A1746))&gt;0,1,0))</f>
        <v/>
      </c>
      <c r="G1746">
        <f>IF(A1746="","",IF(OR(B1746&lt;&gt;B1745,C1746&lt;&gt;C1745,E1746&lt;&gt;E1745),G1745+1,G1745))</f>
        <v/>
      </c>
    </row>
    <row r="1747">
      <c r="A1747" s="20">
        <f>IF(A1746="","",IF(A1746+1&gt;Ввод!$B$4,"",A1746+1))</f>
        <v/>
      </c>
      <c r="B1747">
        <f>IF(A1747="","",IFERROR(INDEX(Ввод!$B$12:$B$71,MATCH(A1747,Ввод!$D$12:$D$71,1)),""))</f>
        <v/>
      </c>
      <c r="C1747">
        <f>IF(A1747="","",DATE(YEAR(A1747),12,31)-DATE(YEAR(A1747),1,1)+1)</f>
        <v/>
      </c>
      <c r="D1747">
        <f>IF(A1747="","",SUMIFS(Акты!$D$5:$D$16,Акты!$E$5:$E$16,"&lt;="&amp;A1747)-SUMIFS(Оплаты!$B$6:$B$505,Оплаты!$A$6:$A$505,"&lt;"&amp;A1747,Оплаты!$D$6:$D$505,"&lt;&gt;"))</f>
        <v/>
      </c>
      <c r="E1747">
        <f>IF(A1747="","",IF(SUMPRODUCT((Ввод!$F$12:$F$31&lt;&gt;"")*(Ввод!$F$12:$F$31&lt;=A1747)*(Ввод!$G$12:$G$31&gt;=A1747))&gt;0,1,0))</f>
        <v/>
      </c>
      <c r="G1747">
        <f>IF(A1747="","",IF(OR(B1747&lt;&gt;B1746,C1747&lt;&gt;C1746,E1747&lt;&gt;E1746),G1746+1,G1746))</f>
        <v/>
      </c>
    </row>
    <row r="1748">
      <c r="A1748" s="20">
        <f>IF(A1747="","",IF(A1747+1&gt;Ввод!$B$4,"",A1747+1))</f>
        <v/>
      </c>
      <c r="B1748">
        <f>IF(A1748="","",IFERROR(INDEX(Ввод!$B$12:$B$71,MATCH(A1748,Ввод!$D$12:$D$71,1)),""))</f>
        <v/>
      </c>
      <c r="C1748">
        <f>IF(A1748="","",DATE(YEAR(A1748),12,31)-DATE(YEAR(A1748),1,1)+1)</f>
        <v/>
      </c>
      <c r="D1748">
        <f>IF(A1748="","",SUMIFS(Акты!$D$5:$D$16,Акты!$E$5:$E$16,"&lt;="&amp;A1748)-SUMIFS(Оплаты!$B$6:$B$505,Оплаты!$A$6:$A$505,"&lt;"&amp;A1748,Оплаты!$D$6:$D$505,"&lt;&gt;"))</f>
        <v/>
      </c>
      <c r="E1748">
        <f>IF(A1748="","",IF(SUMPRODUCT((Ввод!$F$12:$F$31&lt;&gt;"")*(Ввод!$F$12:$F$31&lt;=A1748)*(Ввод!$G$12:$G$31&gt;=A1748))&gt;0,1,0))</f>
        <v/>
      </c>
      <c r="G1748">
        <f>IF(A1748="","",IF(OR(B1748&lt;&gt;B1747,C1748&lt;&gt;C1747,E1748&lt;&gt;E1747),G1747+1,G1747))</f>
        <v/>
      </c>
    </row>
    <row r="1749">
      <c r="A1749" s="20">
        <f>IF(A1748="","",IF(A1748+1&gt;Ввод!$B$4,"",A1748+1))</f>
        <v/>
      </c>
      <c r="B1749">
        <f>IF(A1749="","",IFERROR(INDEX(Ввод!$B$12:$B$71,MATCH(A1749,Ввод!$D$12:$D$71,1)),""))</f>
        <v/>
      </c>
      <c r="C1749">
        <f>IF(A1749="","",DATE(YEAR(A1749),12,31)-DATE(YEAR(A1749),1,1)+1)</f>
        <v/>
      </c>
      <c r="D1749">
        <f>IF(A1749="","",SUMIFS(Акты!$D$5:$D$16,Акты!$E$5:$E$16,"&lt;="&amp;A1749)-SUMIFS(Оплаты!$B$6:$B$505,Оплаты!$A$6:$A$505,"&lt;"&amp;A1749,Оплаты!$D$6:$D$505,"&lt;&gt;"))</f>
        <v/>
      </c>
      <c r="E1749">
        <f>IF(A1749="","",IF(SUMPRODUCT((Ввод!$F$12:$F$31&lt;&gt;"")*(Ввод!$F$12:$F$31&lt;=A1749)*(Ввод!$G$12:$G$31&gt;=A1749))&gt;0,1,0))</f>
        <v/>
      </c>
      <c r="G1749">
        <f>IF(A1749="","",IF(OR(B1749&lt;&gt;B1748,C1749&lt;&gt;C1748,E1749&lt;&gt;E1748),G1748+1,G1748))</f>
        <v/>
      </c>
    </row>
    <row r="1750">
      <c r="A1750" s="20">
        <f>IF(A1749="","",IF(A1749+1&gt;Ввод!$B$4,"",A1749+1))</f>
        <v/>
      </c>
      <c r="B1750">
        <f>IF(A1750="","",IFERROR(INDEX(Ввод!$B$12:$B$71,MATCH(A1750,Ввод!$D$12:$D$71,1)),""))</f>
        <v/>
      </c>
      <c r="C1750">
        <f>IF(A1750="","",DATE(YEAR(A1750),12,31)-DATE(YEAR(A1750),1,1)+1)</f>
        <v/>
      </c>
      <c r="D1750">
        <f>IF(A1750="","",SUMIFS(Акты!$D$5:$D$16,Акты!$E$5:$E$16,"&lt;="&amp;A1750)-SUMIFS(Оплаты!$B$6:$B$505,Оплаты!$A$6:$A$505,"&lt;"&amp;A1750,Оплаты!$D$6:$D$505,"&lt;&gt;"))</f>
        <v/>
      </c>
      <c r="E1750">
        <f>IF(A1750="","",IF(SUMPRODUCT((Ввод!$F$12:$F$31&lt;&gt;"")*(Ввод!$F$12:$F$31&lt;=A1750)*(Ввод!$G$12:$G$31&gt;=A1750))&gt;0,1,0))</f>
        <v/>
      </c>
      <c r="G1750">
        <f>IF(A1750="","",IF(OR(B1750&lt;&gt;B1749,C1750&lt;&gt;C1749,E1750&lt;&gt;E1749),G1749+1,G1749))</f>
        <v/>
      </c>
    </row>
    <row r="1751">
      <c r="A1751" s="20">
        <f>IF(A1750="","",IF(A1750+1&gt;Ввод!$B$4,"",A1750+1))</f>
        <v/>
      </c>
      <c r="B1751">
        <f>IF(A1751="","",IFERROR(INDEX(Ввод!$B$12:$B$71,MATCH(A1751,Ввод!$D$12:$D$71,1)),""))</f>
        <v/>
      </c>
      <c r="C1751">
        <f>IF(A1751="","",DATE(YEAR(A1751),12,31)-DATE(YEAR(A1751),1,1)+1)</f>
        <v/>
      </c>
      <c r="D1751">
        <f>IF(A1751="","",SUMIFS(Акты!$D$5:$D$16,Акты!$E$5:$E$16,"&lt;="&amp;A1751)-SUMIFS(Оплаты!$B$6:$B$505,Оплаты!$A$6:$A$505,"&lt;"&amp;A1751,Оплаты!$D$6:$D$505,"&lt;&gt;"))</f>
        <v/>
      </c>
      <c r="E1751">
        <f>IF(A1751="","",IF(SUMPRODUCT((Ввод!$F$12:$F$31&lt;&gt;"")*(Ввод!$F$12:$F$31&lt;=A1751)*(Ввод!$G$12:$G$31&gt;=A1751))&gt;0,1,0))</f>
        <v/>
      </c>
      <c r="G1751">
        <f>IF(A1751="","",IF(OR(B1751&lt;&gt;B1750,C1751&lt;&gt;C1750,E1751&lt;&gt;E1750),G1750+1,G1750))</f>
        <v/>
      </c>
    </row>
    <row r="1752">
      <c r="A1752" s="20">
        <f>IF(A1751="","",IF(A1751+1&gt;Ввод!$B$4,"",A1751+1))</f>
        <v/>
      </c>
      <c r="B1752">
        <f>IF(A1752="","",IFERROR(INDEX(Ввод!$B$12:$B$71,MATCH(A1752,Ввод!$D$12:$D$71,1)),""))</f>
        <v/>
      </c>
      <c r="C1752">
        <f>IF(A1752="","",DATE(YEAR(A1752),12,31)-DATE(YEAR(A1752),1,1)+1)</f>
        <v/>
      </c>
      <c r="D1752">
        <f>IF(A1752="","",SUMIFS(Акты!$D$5:$D$16,Акты!$E$5:$E$16,"&lt;="&amp;A1752)-SUMIFS(Оплаты!$B$6:$B$505,Оплаты!$A$6:$A$505,"&lt;"&amp;A1752,Оплаты!$D$6:$D$505,"&lt;&gt;"))</f>
        <v/>
      </c>
      <c r="E1752">
        <f>IF(A1752="","",IF(SUMPRODUCT((Ввод!$F$12:$F$31&lt;&gt;"")*(Ввод!$F$12:$F$31&lt;=A1752)*(Ввод!$G$12:$G$31&gt;=A1752))&gt;0,1,0))</f>
        <v/>
      </c>
      <c r="G1752">
        <f>IF(A1752="","",IF(OR(B1752&lt;&gt;B1751,C1752&lt;&gt;C1751,E1752&lt;&gt;E1751),G1751+1,G1751))</f>
        <v/>
      </c>
    </row>
    <row r="1753">
      <c r="A1753" s="20">
        <f>IF(A1752="","",IF(A1752+1&gt;Ввод!$B$4,"",A1752+1))</f>
        <v/>
      </c>
      <c r="B1753">
        <f>IF(A1753="","",IFERROR(INDEX(Ввод!$B$12:$B$71,MATCH(A1753,Ввод!$D$12:$D$71,1)),""))</f>
        <v/>
      </c>
      <c r="C1753">
        <f>IF(A1753="","",DATE(YEAR(A1753),12,31)-DATE(YEAR(A1753),1,1)+1)</f>
        <v/>
      </c>
      <c r="D1753">
        <f>IF(A1753="","",SUMIFS(Акты!$D$5:$D$16,Акты!$E$5:$E$16,"&lt;="&amp;A1753)-SUMIFS(Оплаты!$B$6:$B$505,Оплаты!$A$6:$A$505,"&lt;"&amp;A1753,Оплаты!$D$6:$D$505,"&lt;&gt;"))</f>
        <v/>
      </c>
      <c r="E1753">
        <f>IF(A1753="","",IF(SUMPRODUCT((Ввод!$F$12:$F$31&lt;&gt;"")*(Ввод!$F$12:$F$31&lt;=A1753)*(Ввод!$G$12:$G$31&gt;=A1753))&gt;0,1,0))</f>
        <v/>
      </c>
      <c r="G1753">
        <f>IF(A1753="","",IF(OR(B1753&lt;&gt;B1752,C1753&lt;&gt;C1752,E1753&lt;&gt;E1752),G1752+1,G1752))</f>
        <v/>
      </c>
    </row>
    <row r="1754">
      <c r="A1754" s="20">
        <f>IF(A1753="","",IF(A1753+1&gt;Ввод!$B$4,"",A1753+1))</f>
        <v/>
      </c>
      <c r="B1754">
        <f>IF(A1754="","",IFERROR(INDEX(Ввод!$B$12:$B$71,MATCH(A1754,Ввод!$D$12:$D$71,1)),""))</f>
        <v/>
      </c>
      <c r="C1754">
        <f>IF(A1754="","",DATE(YEAR(A1754),12,31)-DATE(YEAR(A1754),1,1)+1)</f>
        <v/>
      </c>
      <c r="D1754">
        <f>IF(A1754="","",SUMIFS(Акты!$D$5:$D$16,Акты!$E$5:$E$16,"&lt;="&amp;A1754)-SUMIFS(Оплаты!$B$6:$B$505,Оплаты!$A$6:$A$505,"&lt;"&amp;A1754,Оплаты!$D$6:$D$505,"&lt;&gt;"))</f>
        <v/>
      </c>
      <c r="E1754">
        <f>IF(A1754="","",IF(SUMPRODUCT((Ввод!$F$12:$F$31&lt;&gt;"")*(Ввод!$F$12:$F$31&lt;=A1754)*(Ввод!$G$12:$G$31&gt;=A1754))&gt;0,1,0))</f>
        <v/>
      </c>
      <c r="G1754">
        <f>IF(A1754="","",IF(OR(B1754&lt;&gt;B1753,C1754&lt;&gt;C1753,E1754&lt;&gt;E1753),G1753+1,G1753))</f>
        <v/>
      </c>
    </row>
    <row r="1755">
      <c r="A1755" s="20">
        <f>IF(A1754="","",IF(A1754+1&gt;Ввод!$B$4,"",A1754+1))</f>
        <v/>
      </c>
      <c r="B1755">
        <f>IF(A1755="","",IFERROR(INDEX(Ввод!$B$12:$B$71,MATCH(A1755,Ввод!$D$12:$D$71,1)),""))</f>
        <v/>
      </c>
      <c r="C1755">
        <f>IF(A1755="","",DATE(YEAR(A1755),12,31)-DATE(YEAR(A1755),1,1)+1)</f>
        <v/>
      </c>
      <c r="D1755">
        <f>IF(A1755="","",SUMIFS(Акты!$D$5:$D$16,Акты!$E$5:$E$16,"&lt;="&amp;A1755)-SUMIFS(Оплаты!$B$6:$B$505,Оплаты!$A$6:$A$505,"&lt;"&amp;A1755,Оплаты!$D$6:$D$505,"&lt;&gt;"))</f>
        <v/>
      </c>
      <c r="E1755">
        <f>IF(A1755="","",IF(SUMPRODUCT((Ввод!$F$12:$F$31&lt;&gt;"")*(Ввод!$F$12:$F$31&lt;=A1755)*(Ввод!$G$12:$G$31&gt;=A1755))&gt;0,1,0))</f>
        <v/>
      </c>
      <c r="G1755">
        <f>IF(A1755="","",IF(OR(B1755&lt;&gt;B1754,C1755&lt;&gt;C1754,E1755&lt;&gt;E1754),G1754+1,G1754))</f>
        <v/>
      </c>
    </row>
    <row r="1756">
      <c r="A1756" s="20">
        <f>IF(A1755="","",IF(A1755+1&gt;Ввод!$B$4,"",A1755+1))</f>
        <v/>
      </c>
      <c r="B1756">
        <f>IF(A1756="","",IFERROR(INDEX(Ввод!$B$12:$B$71,MATCH(A1756,Ввод!$D$12:$D$71,1)),""))</f>
        <v/>
      </c>
      <c r="C1756">
        <f>IF(A1756="","",DATE(YEAR(A1756),12,31)-DATE(YEAR(A1756),1,1)+1)</f>
        <v/>
      </c>
      <c r="D1756">
        <f>IF(A1756="","",SUMIFS(Акты!$D$5:$D$16,Акты!$E$5:$E$16,"&lt;="&amp;A1756)-SUMIFS(Оплаты!$B$6:$B$505,Оплаты!$A$6:$A$505,"&lt;"&amp;A1756,Оплаты!$D$6:$D$505,"&lt;&gt;"))</f>
        <v/>
      </c>
      <c r="E1756">
        <f>IF(A1756="","",IF(SUMPRODUCT((Ввод!$F$12:$F$31&lt;&gt;"")*(Ввод!$F$12:$F$31&lt;=A1756)*(Ввод!$G$12:$G$31&gt;=A1756))&gt;0,1,0))</f>
        <v/>
      </c>
      <c r="G1756">
        <f>IF(A1756="","",IF(OR(B1756&lt;&gt;B1755,C1756&lt;&gt;C1755,E1756&lt;&gt;E1755),G1755+1,G1755))</f>
        <v/>
      </c>
    </row>
    <row r="1757">
      <c r="A1757" s="20">
        <f>IF(A1756="","",IF(A1756+1&gt;Ввод!$B$4,"",A1756+1))</f>
        <v/>
      </c>
      <c r="B1757">
        <f>IF(A1757="","",IFERROR(INDEX(Ввод!$B$12:$B$71,MATCH(A1757,Ввод!$D$12:$D$71,1)),""))</f>
        <v/>
      </c>
      <c r="C1757">
        <f>IF(A1757="","",DATE(YEAR(A1757),12,31)-DATE(YEAR(A1757),1,1)+1)</f>
        <v/>
      </c>
      <c r="D1757">
        <f>IF(A1757="","",SUMIFS(Акты!$D$5:$D$16,Акты!$E$5:$E$16,"&lt;="&amp;A1757)-SUMIFS(Оплаты!$B$6:$B$505,Оплаты!$A$6:$A$505,"&lt;"&amp;A1757,Оплаты!$D$6:$D$505,"&lt;&gt;"))</f>
        <v/>
      </c>
      <c r="E1757">
        <f>IF(A1757="","",IF(SUMPRODUCT((Ввод!$F$12:$F$31&lt;&gt;"")*(Ввод!$F$12:$F$31&lt;=A1757)*(Ввод!$G$12:$G$31&gt;=A1757))&gt;0,1,0))</f>
        <v/>
      </c>
      <c r="G1757">
        <f>IF(A1757="","",IF(OR(B1757&lt;&gt;B1756,C1757&lt;&gt;C1756,E1757&lt;&gt;E1756),G1756+1,G1756))</f>
        <v/>
      </c>
    </row>
    <row r="1758">
      <c r="A1758" s="20">
        <f>IF(A1757="","",IF(A1757+1&gt;Ввод!$B$4,"",A1757+1))</f>
        <v/>
      </c>
      <c r="B1758">
        <f>IF(A1758="","",IFERROR(INDEX(Ввод!$B$12:$B$71,MATCH(A1758,Ввод!$D$12:$D$71,1)),""))</f>
        <v/>
      </c>
      <c r="C1758">
        <f>IF(A1758="","",DATE(YEAR(A1758),12,31)-DATE(YEAR(A1758),1,1)+1)</f>
        <v/>
      </c>
      <c r="D1758">
        <f>IF(A1758="","",SUMIFS(Акты!$D$5:$D$16,Акты!$E$5:$E$16,"&lt;="&amp;A1758)-SUMIFS(Оплаты!$B$6:$B$505,Оплаты!$A$6:$A$505,"&lt;"&amp;A1758,Оплаты!$D$6:$D$505,"&lt;&gt;"))</f>
        <v/>
      </c>
      <c r="E1758">
        <f>IF(A1758="","",IF(SUMPRODUCT((Ввод!$F$12:$F$31&lt;&gt;"")*(Ввод!$F$12:$F$31&lt;=A1758)*(Ввод!$G$12:$G$31&gt;=A1758))&gt;0,1,0))</f>
        <v/>
      </c>
      <c r="G1758">
        <f>IF(A1758="","",IF(OR(B1758&lt;&gt;B1757,C1758&lt;&gt;C1757,E1758&lt;&gt;E1757),G1757+1,G1757))</f>
        <v/>
      </c>
    </row>
    <row r="1759">
      <c r="A1759" s="20">
        <f>IF(A1758="","",IF(A1758+1&gt;Ввод!$B$4,"",A1758+1))</f>
        <v/>
      </c>
      <c r="B1759">
        <f>IF(A1759="","",IFERROR(INDEX(Ввод!$B$12:$B$71,MATCH(A1759,Ввод!$D$12:$D$71,1)),""))</f>
        <v/>
      </c>
      <c r="C1759">
        <f>IF(A1759="","",DATE(YEAR(A1759),12,31)-DATE(YEAR(A1759),1,1)+1)</f>
        <v/>
      </c>
      <c r="D1759">
        <f>IF(A1759="","",SUMIFS(Акты!$D$5:$D$16,Акты!$E$5:$E$16,"&lt;="&amp;A1759)-SUMIFS(Оплаты!$B$6:$B$505,Оплаты!$A$6:$A$505,"&lt;"&amp;A1759,Оплаты!$D$6:$D$505,"&lt;&gt;"))</f>
        <v/>
      </c>
      <c r="E1759">
        <f>IF(A1759="","",IF(SUMPRODUCT((Ввод!$F$12:$F$31&lt;&gt;"")*(Ввод!$F$12:$F$31&lt;=A1759)*(Ввод!$G$12:$G$31&gt;=A1759))&gt;0,1,0))</f>
        <v/>
      </c>
      <c r="G1759">
        <f>IF(A1759="","",IF(OR(B1759&lt;&gt;B1758,C1759&lt;&gt;C1758,E1759&lt;&gt;E1758),G1758+1,G1758))</f>
        <v/>
      </c>
    </row>
    <row r="1760">
      <c r="A1760" s="20">
        <f>IF(A1759="","",IF(A1759+1&gt;Ввод!$B$4,"",A1759+1))</f>
        <v/>
      </c>
      <c r="B1760">
        <f>IF(A1760="","",IFERROR(INDEX(Ввод!$B$12:$B$71,MATCH(A1760,Ввод!$D$12:$D$71,1)),""))</f>
        <v/>
      </c>
      <c r="C1760">
        <f>IF(A1760="","",DATE(YEAR(A1760),12,31)-DATE(YEAR(A1760),1,1)+1)</f>
        <v/>
      </c>
      <c r="D1760">
        <f>IF(A1760="","",SUMIFS(Акты!$D$5:$D$16,Акты!$E$5:$E$16,"&lt;="&amp;A1760)-SUMIFS(Оплаты!$B$6:$B$505,Оплаты!$A$6:$A$505,"&lt;"&amp;A1760,Оплаты!$D$6:$D$505,"&lt;&gt;"))</f>
        <v/>
      </c>
      <c r="E1760">
        <f>IF(A1760="","",IF(SUMPRODUCT((Ввод!$F$12:$F$31&lt;&gt;"")*(Ввод!$F$12:$F$31&lt;=A1760)*(Ввод!$G$12:$G$31&gt;=A1760))&gt;0,1,0))</f>
        <v/>
      </c>
      <c r="G1760">
        <f>IF(A1760="","",IF(OR(B1760&lt;&gt;B1759,C1760&lt;&gt;C1759,E1760&lt;&gt;E1759),G1759+1,G1759))</f>
        <v/>
      </c>
    </row>
    <row r="1761">
      <c r="A1761" s="20">
        <f>IF(A1760="","",IF(A1760+1&gt;Ввод!$B$4,"",A1760+1))</f>
        <v/>
      </c>
      <c r="B1761">
        <f>IF(A1761="","",IFERROR(INDEX(Ввод!$B$12:$B$71,MATCH(A1761,Ввод!$D$12:$D$71,1)),""))</f>
        <v/>
      </c>
      <c r="C1761">
        <f>IF(A1761="","",DATE(YEAR(A1761),12,31)-DATE(YEAR(A1761),1,1)+1)</f>
        <v/>
      </c>
      <c r="D1761">
        <f>IF(A1761="","",SUMIFS(Акты!$D$5:$D$16,Акты!$E$5:$E$16,"&lt;="&amp;A1761)-SUMIFS(Оплаты!$B$6:$B$505,Оплаты!$A$6:$A$505,"&lt;"&amp;A1761,Оплаты!$D$6:$D$505,"&lt;&gt;"))</f>
        <v/>
      </c>
      <c r="E1761">
        <f>IF(A1761="","",IF(SUMPRODUCT((Ввод!$F$12:$F$31&lt;&gt;"")*(Ввод!$F$12:$F$31&lt;=A1761)*(Ввод!$G$12:$G$31&gt;=A1761))&gt;0,1,0))</f>
        <v/>
      </c>
      <c r="G1761">
        <f>IF(A1761="","",IF(OR(B1761&lt;&gt;B1760,C1761&lt;&gt;C1760,E1761&lt;&gt;E1760),G1760+1,G1760))</f>
        <v/>
      </c>
    </row>
    <row r="1762">
      <c r="A1762" s="20">
        <f>IF(A1761="","",IF(A1761+1&gt;Ввод!$B$4,"",A1761+1))</f>
        <v/>
      </c>
      <c r="B1762">
        <f>IF(A1762="","",IFERROR(INDEX(Ввод!$B$12:$B$71,MATCH(A1762,Ввод!$D$12:$D$71,1)),""))</f>
        <v/>
      </c>
      <c r="C1762">
        <f>IF(A1762="","",DATE(YEAR(A1762),12,31)-DATE(YEAR(A1762),1,1)+1)</f>
        <v/>
      </c>
      <c r="D1762">
        <f>IF(A1762="","",SUMIFS(Акты!$D$5:$D$16,Акты!$E$5:$E$16,"&lt;="&amp;A1762)-SUMIFS(Оплаты!$B$6:$B$505,Оплаты!$A$6:$A$505,"&lt;"&amp;A1762,Оплаты!$D$6:$D$505,"&lt;&gt;"))</f>
        <v/>
      </c>
      <c r="E1762">
        <f>IF(A1762="","",IF(SUMPRODUCT((Ввод!$F$12:$F$31&lt;&gt;"")*(Ввод!$F$12:$F$31&lt;=A1762)*(Ввод!$G$12:$G$31&gt;=A1762))&gt;0,1,0))</f>
        <v/>
      </c>
      <c r="G1762">
        <f>IF(A1762="","",IF(OR(B1762&lt;&gt;B1761,C1762&lt;&gt;C1761,E1762&lt;&gt;E1761),G1761+1,G1761))</f>
        <v/>
      </c>
    </row>
    <row r="1763">
      <c r="A1763" s="20">
        <f>IF(A1762="","",IF(A1762+1&gt;Ввод!$B$4,"",A1762+1))</f>
        <v/>
      </c>
      <c r="B1763">
        <f>IF(A1763="","",IFERROR(INDEX(Ввод!$B$12:$B$71,MATCH(A1763,Ввод!$D$12:$D$71,1)),""))</f>
        <v/>
      </c>
      <c r="C1763">
        <f>IF(A1763="","",DATE(YEAR(A1763),12,31)-DATE(YEAR(A1763),1,1)+1)</f>
        <v/>
      </c>
      <c r="D1763">
        <f>IF(A1763="","",SUMIFS(Акты!$D$5:$D$16,Акты!$E$5:$E$16,"&lt;="&amp;A1763)-SUMIFS(Оплаты!$B$6:$B$505,Оплаты!$A$6:$A$505,"&lt;"&amp;A1763,Оплаты!$D$6:$D$505,"&lt;&gt;"))</f>
        <v/>
      </c>
      <c r="E1763">
        <f>IF(A1763="","",IF(SUMPRODUCT((Ввод!$F$12:$F$31&lt;&gt;"")*(Ввод!$F$12:$F$31&lt;=A1763)*(Ввод!$G$12:$G$31&gt;=A1763))&gt;0,1,0))</f>
        <v/>
      </c>
      <c r="G1763">
        <f>IF(A1763="","",IF(OR(B1763&lt;&gt;B1762,C1763&lt;&gt;C1762,E1763&lt;&gt;E1762),G1762+1,G1762))</f>
        <v/>
      </c>
    </row>
    <row r="1764">
      <c r="A1764" s="20">
        <f>IF(A1763="","",IF(A1763+1&gt;Ввод!$B$4,"",A1763+1))</f>
        <v/>
      </c>
      <c r="B1764">
        <f>IF(A1764="","",IFERROR(INDEX(Ввод!$B$12:$B$71,MATCH(A1764,Ввод!$D$12:$D$71,1)),""))</f>
        <v/>
      </c>
      <c r="C1764">
        <f>IF(A1764="","",DATE(YEAR(A1764),12,31)-DATE(YEAR(A1764),1,1)+1)</f>
        <v/>
      </c>
      <c r="D1764">
        <f>IF(A1764="","",SUMIFS(Акты!$D$5:$D$16,Акты!$E$5:$E$16,"&lt;="&amp;A1764)-SUMIFS(Оплаты!$B$6:$B$505,Оплаты!$A$6:$A$505,"&lt;"&amp;A1764,Оплаты!$D$6:$D$505,"&lt;&gt;"))</f>
        <v/>
      </c>
      <c r="E1764">
        <f>IF(A1764="","",IF(SUMPRODUCT((Ввод!$F$12:$F$31&lt;&gt;"")*(Ввод!$F$12:$F$31&lt;=A1764)*(Ввод!$G$12:$G$31&gt;=A1764))&gt;0,1,0))</f>
        <v/>
      </c>
      <c r="G1764">
        <f>IF(A1764="","",IF(OR(B1764&lt;&gt;B1763,C1764&lt;&gt;C1763,E1764&lt;&gt;E1763),G1763+1,G1763))</f>
        <v/>
      </c>
    </row>
    <row r="1765">
      <c r="A1765" s="20">
        <f>IF(A1764="","",IF(A1764+1&gt;Ввод!$B$4,"",A1764+1))</f>
        <v/>
      </c>
      <c r="B1765">
        <f>IF(A1765="","",IFERROR(INDEX(Ввод!$B$12:$B$71,MATCH(A1765,Ввод!$D$12:$D$71,1)),""))</f>
        <v/>
      </c>
      <c r="C1765">
        <f>IF(A1765="","",DATE(YEAR(A1765),12,31)-DATE(YEAR(A1765),1,1)+1)</f>
        <v/>
      </c>
      <c r="D1765">
        <f>IF(A1765="","",SUMIFS(Акты!$D$5:$D$16,Акты!$E$5:$E$16,"&lt;="&amp;A1765)-SUMIFS(Оплаты!$B$6:$B$505,Оплаты!$A$6:$A$505,"&lt;"&amp;A1765,Оплаты!$D$6:$D$505,"&lt;&gt;"))</f>
        <v/>
      </c>
      <c r="E1765">
        <f>IF(A1765="","",IF(SUMPRODUCT((Ввод!$F$12:$F$31&lt;&gt;"")*(Ввод!$F$12:$F$31&lt;=A1765)*(Ввод!$G$12:$G$31&gt;=A1765))&gt;0,1,0))</f>
        <v/>
      </c>
      <c r="G1765">
        <f>IF(A1765="","",IF(OR(B1765&lt;&gt;B1764,C1765&lt;&gt;C1764,E1765&lt;&gt;E1764),G1764+1,G1764))</f>
        <v/>
      </c>
    </row>
    <row r="1766">
      <c r="A1766" s="20">
        <f>IF(A1765="","",IF(A1765+1&gt;Ввод!$B$4,"",A1765+1))</f>
        <v/>
      </c>
      <c r="B1766">
        <f>IF(A1766="","",IFERROR(INDEX(Ввод!$B$12:$B$71,MATCH(A1766,Ввод!$D$12:$D$71,1)),""))</f>
        <v/>
      </c>
      <c r="C1766">
        <f>IF(A1766="","",DATE(YEAR(A1766),12,31)-DATE(YEAR(A1766),1,1)+1)</f>
        <v/>
      </c>
      <c r="D1766">
        <f>IF(A1766="","",SUMIFS(Акты!$D$5:$D$16,Акты!$E$5:$E$16,"&lt;="&amp;A1766)-SUMIFS(Оплаты!$B$6:$B$505,Оплаты!$A$6:$A$505,"&lt;"&amp;A1766,Оплаты!$D$6:$D$505,"&lt;&gt;"))</f>
        <v/>
      </c>
      <c r="E1766">
        <f>IF(A1766="","",IF(SUMPRODUCT((Ввод!$F$12:$F$31&lt;&gt;"")*(Ввод!$F$12:$F$31&lt;=A1766)*(Ввод!$G$12:$G$31&gt;=A1766))&gt;0,1,0))</f>
        <v/>
      </c>
      <c r="G1766">
        <f>IF(A1766="","",IF(OR(B1766&lt;&gt;B1765,C1766&lt;&gt;C1765,E1766&lt;&gt;E1765),G1765+1,G1765))</f>
        <v/>
      </c>
    </row>
    <row r="1767">
      <c r="A1767" s="20">
        <f>IF(A1766="","",IF(A1766+1&gt;Ввод!$B$4,"",A1766+1))</f>
        <v/>
      </c>
      <c r="B1767">
        <f>IF(A1767="","",IFERROR(INDEX(Ввод!$B$12:$B$71,MATCH(A1767,Ввод!$D$12:$D$71,1)),""))</f>
        <v/>
      </c>
      <c r="C1767">
        <f>IF(A1767="","",DATE(YEAR(A1767),12,31)-DATE(YEAR(A1767),1,1)+1)</f>
        <v/>
      </c>
      <c r="D1767">
        <f>IF(A1767="","",SUMIFS(Акты!$D$5:$D$16,Акты!$E$5:$E$16,"&lt;="&amp;A1767)-SUMIFS(Оплаты!$B$6:$B$505,Оплаты!$A$6:$A$505,"&lt;"&amp;A1767,Оплаты!$D$6:$D$505,"&lt;&gt;"))</f>
        <v/>
      </c>
      <c r="E1767">
        <f>IF(A1767="","",IF(SUMPRODUCT((Ввод!$F$12:$F$31&lt;&gt;"")*(Ввод!$F$12:$F$31&lt;=A1767)*(Ввод!$G$12:$G$31&gt;=A1767))&gt;0,1,0))</f>
        <v/>
      </c>
      <c r="G1767">
        <f>IF(A1767="","",IF(OR(B1767&lt;&gt;B1766,C1767&lt;&gt;C1766,E1767&lt;&gt;E1766),G1766+1,G1766))</f>
        <v/>
      </c>
    </row>
    <row r="1768">
      <c r="A1768" s="20">
        <f>IF(A1767="","",IF(A1767+1&gt;Ввод!$B$4,"",A1767+1))</f>
        <v/>
      </c>
      <c r="B1768">
        <f>IF(A1768="","",IFERROR(INDEX(Ввод!$B$12:$B$71,MATCH(A1768,Ввод!$D$12:$D$71,1)),""))</f>
        <v/>
      </c>
      <c r="C1768">
        <f>IF(A1768="","",DATE(YEAR(A1768),12,31)-DATE(YEAR(A1768),1,1)+1)</f>
        <v/>
      </c>
      <c r="D1768">
        <f>IF(A1768="","",SUMIFS(Акты!$D$5:$D$16,Акты!$E$5:$E$16,"&lt;="&amp;A1768)-SUMIFS(Оплаты!$B$6:$B$505,Оплаты!$A$6:$A$505,"&lt;"&amp;A1768,Оплаты!$D$6:$D$505,"&lt;&gt;"))</f>
        <v/>
      </c>
      <c r="E1768">
        <f>IF(A1768="","",IF(SUMPRODUCT((Ввод!$F$12:$F$31&lt;&gt;"")*(Ввод!$F$12:$F$31&lt;=A1768)*(Ввод!$G$12:$G$31&gt;=A1768))&gt;0,1,0))</f>
        <v/>
      </c>
      <c r="G1768">
        <f>IF(A1768="","",IF(OR(B1768&lt;&gt;B1767,C1768&lt;&gt;C1767,E1768&lt;&gt;E1767),G1767+1,G1767))</f>
        <v/>
      </c>
    </row>
    <row r="1769">
      <c r="A1769" s="20">
        <f>IF(A1768="","",IF(A1768+1&gt;Ввод!$B$4,"",A1768+1))</f>
        <v/>
      </c>
      <c r="B1769">
        <f>IF(A1769="","",IFERROR(INDEX(Ввод!$B$12:$B$71,MATCH(A1769,Ввод!$D$12:$D$71,1)),""))</f>
        <v/>
      </c>
      <c r="C1769">
        <f>IF(A1769="","",DATE(YEAR(A1769),12,31)-DATE(YEAR(A1769),1,1)+1)</f>
        <v/>
      </c>
      <c r="D1769">
        <f>IF(A1769="","",SUMIFS(Акты!$D$5:$D$16,Акты!$E$5:$E$16,"&lt;="&amp;A1769)-SUMIFS(Оплаты!$B$6:$B$505,Оплаты!$A$6:$A$505,"&lt;"&amp;A1769,Оплаты!$D$6:$D$505,"&lt;&gt;"))</f>
        <v/>
      </c>
      <c r="E1769">
        <f>IF(A1769="","",IF(SUMPRODUCT((Ввод!$F$12:$F$31&lt;&gt;"")*(Ввод!$F$12:$F$31&lt;=A1769)*(Ввод!$G$12:$G$31&gt;=A1769))&gt;0,1,0))</f>
        <v/>
      </c>
      <c r="G1769">
        <f>IF(A1769="","",IF(OR(B1769&lt;&gt;B1768,C1769&lt;&gt;C1768,E1769&lt;&gt;E1768),G1768+1,G1768))</f>
        <v/>
      </c>
    </row>
    <row r="1770">
      <c r="A1770" s="20">
        <f>IF(A1769="","",IF(A1769+1&gt;Ввод!$B$4,"",A1769+1))</f>
        <v/>
      </c>
      <c r="B1770">
        <f>IF(A1770="","",IFERROR(INDEX(Ввод!$B$12:$B$71,MATCH(A1770,Ввод!$D$12:$D$71,1)),""))</f>
        <v/>
      </c>
      <c r="C1770">
        <f>IF(A1770="","",DATE(YEAR(A1770),12,31)-DATE(YEAR(A1770),1,1)+1)</f>
        <v/>
      </c>
      <c r="D1770">
        <f>IF(A1770="","",SUMIFS(Акты!$D$5:$D$16,Акты!$E$5:$E$16,"&lt;="&amp;A1770)-SUMIFS(Оплаты!$B$6:$B$505,Оплаты!$A$6:$A$505,"&lt;"&amp;A1770,Оплаты!$D$6:$D$505,"&lt;&gt;"))</f>
        <v/>
      </c>
      <c r="E1770">
        <f>IF(A1770="","",IF(SUMPRODUCT((Ввод!$F$12:$F$31&lt;&gt;"")*(Ввод!$F$12:$F$31&lt;=A1770)*(Ввод!$G$12:$G$31&gt;=A1770))&gt;0,1,0))</f>
        <v/>
      </c>
      <c r="G1770">
        <f>IF(A1770="","",IF(OR(B1770&lt;&gt;B1769,C1770&lt;&gt;C1769,E1770&lt;&gt;E1769),G1769+1,G1769))</f>
        <v/>
      </c>
    </row>
    <row r="1771">
      <c r="A1771" s="20">
        <f>IF(A1770="","",IF(A1770+1&gt;Ввод!$B$4,"",A1770+1))</f>
        <v/>
      </c>
      <c r="B1771">
        <f>IF(A1771="","",IFERROR(INDEX(Ввод!$B$12:$B$71,MATCH(A1771,Ввод!$D$12:$D$71,1)),""))</f>
        <v/>
      </c>
      <c r="C1771">
        <f>IF(A1771="","",DATE(YEAR(A1771),12,31)-DATE(YEAR(A1771),1,1)+1)</f>
        <v/>
      </c>
      <c r="D1771">
        <f>IF(A1771="","",SUMIFS(Акты!$D$5:$D$16,Акты!$E$5:$E$16,"&lt;="&amp;A1771)-SUMIFS(Оплаты!$B$6:$B$505,Оплаты!$A$6:$A$505,"&lt;"&amp;A1771,Оплаты!$D$6:$D$505,"&lt;&gt;"))</f>
        <v/>
      </c>
      <c r="E1771">
        <f>IF(A1771="","",IF(SUMPRODUCT((Ввод!$F$12:$F$31&lt;&gt;"")*(Ввод!$F$12:$F$31&lt;=A1771)*(Ввод!$G$12:$G$31&gt;=A1771))&gt;0,1,0))</f>
        <v/>
      </c>
      <c r="G1771">
        <f>IF(A1771="","",IF(OR(B1771&lt;&gt;B1770,C1771&lt;&gt;C1770,E1771&lt;&gt;E1770),G1770+1,G1770))</f>
        <v/>
      </c>
    </row>
    <row r="1772">
      <c r="A1772" s="20">
        <f>IF(A1771="","",IF(A1771+1&gt;Ввод!$B$4,"",A1771+1))</f>
        <v/>
      </c>
      <c r="B1772">
        <f>IF(A1772="","",IFERROR(INDEX(Ввод!$B$12:$B$71,MATCH(A1772,Ввод!$D$12:$D$71,1)),""))</f>
        <v/>
      </c>
      <c r="C1772">
        <f>IF(A1772="","",DATE(YEAR(A1772),12,31)-DATE(YEAR(A1772),1,1)+1)</f>
        <v/>
      </c>
      <c r="D1772">
        <f>IF(A1772="","",SUMIFS(Акты!$D$5:$D$16,Акты!$E$5:$E$16,"&lt;="&amp;A1772)-SUMIFS(Оплаты!$B$6:$B$505,Оплаты!$A$6:$A$505,"&lt;"&amp;A1772,Оплаты!$D$6:$D$505,"&lt;&gt;"))</f>
        <v/>
      </c>
      <c r="E1772">
        <f>IF(A1772="","",IF(SUMPRODUCT((Ввод!$F$12:$F$31&lt;&gt;"")*(Ввод!$F$12:$F$31&lt;=A1772)*(Ввод!$G$12:$G$31&gt;=A1772))&gt;0,1,0))</f>
        <v/>
      </c>
      <c r="G1772">
        <f>IF(A1772="","",IF(OR(B1772&lt;&gt;B1771,C1772&lt;&gt;C1771,E1772&lt;&gt;E1771),G1771+1,G1771))</f>
        <v/>
      </c>
    </row>
    <row r="1773">
      <c r="A1773" s="20">
        <f>IF(A1772="","",IF(A1772+1&gt;Ввод!$B$4,"",A1772+1))</f>
        <v/>
      </c>
      <c r="B1773">
        <f>IF(A1773="","",IFERROR(INDEX(Ввод!$B$12:$B$71,MATCH(A1773,Ввод!$D$12:$D$71,1)),""))</f>
        <v/>
      </c>
      <c r="C1773">
        <f>IF(A1773="","",DATE(YEAR(A1773),12,31)-DATE(YEAR(A1773),1,1)+1)</f>
        <v/>
      </c>
      <c r="D1773">
        <f>IF(A1773="","",SUMIFS(Акты!$D$5:$D$16,Акты!$E$5:$E$16,"&lt;="&amp;A1773)-SUMIFS(Оплаты!$B$6:$B$505,Оплаты!$A$6:$A$505,"&lt;"&amp;A1773,Оплаты!$D$6:$D$505,"&lt;&gt;"))</f>
        <v/>
      </c>
      <c r="E1773">
        <f>IF(A1773="","",IF(SUMPRODUCT((Ввод!$F$12:$F$31&lt;&gt;"")*(Ввод!$F$12:$F$31&lt;=A1773)*(Ввод!$G$12:$G$31&gt;=A1773))&gt;0,1,0))</f>
        <v/>
      </c>
      <c r="G1773">
        <f>IF(A1773="","",IF(OR(B1773&lt;&gt;B1772,C1773&lt;&gt;C1772,E1773&lt;&gt;E1772),G1772+1,G1772))</f>
        <v/>
      </c>
    </row>
    <row r="1774">
      <c r="A1774" s="20">
        <f>IF(A1773="","",IF(A1773+1&gt;Ввод!$B$4,"",A1773+1))</f>
        <v/>
      </c>
      <c r="B1774">
        <f>IF(A1774="","",IFERROR(INDEX(Ввод!$B$12:$B$71,MATCH(A1774,Ввод!$D$12:$D$71,1)),""))</f>
        <v/>
      </c>
      <c r="C1774">
        <f>IF(A1774="","",DATE(YEAR(A1774),12,31)-DATE(YEAR(A1774),1,1)+1)</f>
        <v/>
      </c>
      <c r="D1774">
        <f>IF(A1774="","",SUMIFS(Акты!$D$5:$D$16,Акты!$E$5:$E$16,"&lt;="&amp;A1774)-SUMIFS(Оплаты!$B$6:$B$505,Оплаты!$A$6:$A$505,"&lt;"&amp;A1774,Оплаты!$D$6:$D$505,"&lt;&gt;"))</f>
        <v/>
      </c>
      <c r="E1774">
        <f>IF(A1774="","",IF(SUMPRODUCT((Ввод!$F$12:$F$31&lt;&gt;"")*(Ввод!$F$12:$F$31&lt;=A1774)*(Ввод!$G$12:$G$31&gt;=A1774))&gt;0,1,0))</f>
        <v/>
      </c>
      <c r="G1774">
        <f>IF(A1774="","",IF(OR(B1774&lt;&gt;B1773,C1774&lt;&gt;C1773,E1774&lt;&gt;E1773),G1773+1,G1773))</f>
        <v/>
      </c>
    </row>
    <row r="1775">
      <c r="A1775" s="20">
        <f>IF(A1774="","",IF(A1774+1&gt;Ввод!$B$4,"",A1774+1))</f>
        <v/>
      </c>
      <c r="B1775">
        <f>IF(A1775="","",IFERROR(INDEX(Ввод!$B$12:$B$71,MATCH(A1775,Ввод!$D$12:$D$71,1)),""))</f>
        <v/>
      </c>
      <c r="C1775">
        <f>IF(A1775="","",DATE(YEAR(A1775),12,31)-DATE(YEAR(A1775),1,1)+1)</f>
        <v/>
      </c>
      <c r="D1775">
        <f>IF(A1775="","",SUMIFS(Акты!$D$5:$D$16,Акты!$E$5:$E$16,"&lt;="&amp;A1775)-SUMIFS(Оплаты!$B$6:$B$505,Оплаты!$A$6:$A$505,"&lt;"&amp;A1775,Оплаты!$D$6:$D$505,"&lt;&gt;"))</f>
        <v/>
      </c>
      <c r="E1775">
        <f>IF(A1775="","",IF(SUMPRODUCT((Ввод!$F$12:$F$31&lt;&gt;"")*(Ввод!$F$12:$F$31&lt;=A1775)*(Ввод!$G$12:$G$31&gt;=A1775))&gt;0,1,0))</f>
        <v/>
      </c>
      <c r="G1775">
        <f>IF(A1775="","",IF(OR(B1775&lt;&gt;B1774,C1775&lt;&gt;C1774,E1775&lt;&gt;E1774),G1774+1,G1774))</f>
        <v/>
      </c>
    </row>
    <row r="1776">
      <c r="A1776" s="20">
        <f>IF(A1775="","",IF(A1775+1&gt;Ввод!$B$4,"",A1775+1))</f>
        <v/>
      </c>
      <c r="B1776">
        <f>IF(A1776="","",IFERROR(INDEX(Ввод!$B$12:$B$71,MATCH(A1776,Ввод!$D$12:$D$71,1)),""))</f>
        <v/>
      </c>
      <c r="C1776">
        <f>IF(A1776="","",DATE(YEAR(A1776),12,31)-DATE(YEAR(A1776),1,1)+1)</f>
        <v/>
      </c>
      <c r="D1776">
        <f>IF(A1776="","",SUMIFS(Акты!$D$5:$D$16,Акты!$E$5:$E$16,"&lt;="&amp;A1776)-SUMIFS(Оплаты!$B$6:$B$505,Оплаты!$A$6:$A$505,"&lt;"&amp;A1776,Оплаты!$D$6:$D$505,"&lt;&gt;"))</f>
        <v/>
      </c>
      <c r="E1776">
        <f>IF(A1776="","",IF(SUMPRODUCT((Ввод!$F$12:$F$31&lt;&gt;"")*(Ввод!$F$12:$F$31&lt;=A1776)*(Ввод!$G$12:$G$31&gt;=A1776))&gt;0,1,0))</f>
        <v/>
      </c>
      <c r="G1776">
        <f>IF(A1776="","",IF(OR(B1776&lt;&gt;B1775,C1776&lt;&gt;C1775,E1776&lt;&gt;E1775),G1775+1,G1775))</f>
        <v/>
      </c>
    </row>
    <row r="1777">
      <c r="A1777" s="20">
        <f>IF(A1776="","",IF(A1776+1&gt;Ввод!$B$4,"",A1776+1))</f>
        <v/>
      </c>
      <c r="B1777">
        <f>IF(A1777="","",IFERROR(INDEX(Ввод!$B$12:$B$71,MATCH(A1777,Ввод!$D$12:$D$71,1)),""))</f>
        <v/>
      </c>
      <c r="C1777">
        <f>IF(A1777="","",DATE(YEAR(A1777),12,31)-DATE(YEAR(A1777),1,1)+1)</f>
        <v/>
      </c>
      <c r="D1777">
        <f>IF(A1777="","",SUMIFS(Акты!$D$5:$D$16,Акты!$E$5:$E$16,"&lt;="&amp;A1777)-SUMIFS(Оплаты!$B$6:$B$505,Оплаты!$A$6:$A$505,"&lt;"&amp;A1777,Оплаты!$D$6:$D$505,"&lt;&gt;"))</f>
        <v/>
      </c>
      <c r="E1777">
        <f>IF(A1777="","",IF(SUMPRODUCT((Ввод!$F$12:$F$31&lt;&gt;"")*(Ввод!$F$12:$F$31&lt;=A1777)*(Ввод!$G$12:$G$31&gt;=A1777))&gt;0,1,0))</f>
        <v/>
      </c>
      <c r="G1777">
        <f>IF(A1777="","",IF(OR(B1777&lt;&gt;B1776,C1777&lt;&gt;C1776,E1777&lt;&gt;E1776),G1776+1,G1776))</f>
        <v/>
      </c>
    </row>
    <row r="1778">
      <c r="A1778" s="20">
        <f>IF(A1777="","",IF(A1777+1&gt;Ввод!$B$4,"",A1777+1))</f>
        <v/>
      </c>
      <c r="B1778">
        <f>IF(A1778="","",IFERROR(INDEX(Ввод!$B$12:$B$71,MATCH(A1778,Ввод!$D$12:$D$71,1)),""))</f>
        <v/>
      </c>
      <c r="C1778">
        <f>IF(A1778="","",DATE(YEAR(A1778),12,31)-DATE(YEAR(A1778),1,1)+1)</f>
        <v/>
      </c>
      <c r="D1778">
        <f>IF(A1778="","",SUMIFS(Акты!$D$5:$D$16,Акты!$E$5:$E$16,"&lt;="&amp;A1778)-SUMIFS(Оплаты!$B$6:$B$505,Оплаты!$A$6:$A$505,"&lt;"&amp;A1778,Оплаты!$D$6:$D$505,"&lt;&gt;"))</f>
        <v/>
      </c>
      <c r="E1778">
        <f>IF(A1778="","",IF(SUMPRODUCT((Ввод!$F$12:$F$31&lt;&gt;"")*(Ввод!$F$12:$F$31&lt;=A1778)*(Ввод!$G$12:$G$31&gt;=A1778))&gt;0,1,0))</f>
        <v/>
      </c>
      <c r="G1778">
        <f>IF(A1778="","",IF(OR(B1778&lt;&gt;B1777,C1778&lt;&gt;C1777,E1778&lt;&gt;E1777),G1777+1,G1777))</f>
        <v/>
      </c>
    </row>
    <row r="1779">
      <c r="A1779" s="20">
        <f>IF(A1778="","",IF(A1778+1&gt;Ввод!$B$4,"",A1778+1))</f>
        <v/>
      </c>
      <c r="B1779">
        <f>IF(A1779="","",IFERROR(INDEX(Ввод!$B$12:$B$71,MATCH(A1779,Ввод!$D$12:$D$71,1)),""))</f>
        <v/>
      </c>
      <c r="C1779">
        <f>IF(A1779="","",DATE(YEAR(A1779),12,31)-DATE(YEAR(A1779),1,1)+1)</f>
        <v/>
      </c>
      <c r="D1779">
        <f>IF(A1779="","",SUMIFS(Акты!$D$5:$D$16,Акты!$E$5:$E$16,"&lt;="&amp;A1779)-SUMIFS(Оплаты!$B$6:$B$505,Оплаты!$A$6:$A$505,"&lt;"&amp;A1779,Оплаты!$D$6:$D$505,"&lt;&gt;"))</f>
        <v/>
      </c>
      <c r="E1779">
        <f>IF(A1779="","",IF(SUMPRODUCT((Ввод!$F$12:$F$31&lt;&gt;"")*(Ввод!$F$12:$F$31&lt;=A1779)*(Ввод!$G$12:$G$31&gt;=A1779))&gt;0,1,0))</f>
        <v/>
      </c>
      <c r="G1779">
        <f>IF(A1779="","",IF(OR(B1779&lt;&gt;B1778,C1779&lt;&gt;C1778,E1779&lt;&gt;E1778),G1778+1,G1778))</f>
        <v/>
      </c>
    </row>
    <row r="1780">
      <c r="A1780" s="20">
        <f>IF(A1779="","",IF(A1779+1&gt;Ввод!$B$4,"",A1779+1))</f>
        <v/>
      </c>
      <c r="B1780">
        <f>IF(A1780="","",IFERROR(INDEX(Ввод!$B$12:$B$71,MATCH(A1780,Ввод!$D$12:$D$71,1)),""))</f>
        <v/>
      </c>
      <c r="C1780">
        <f>IF(A1780="","",DATE(YEAR(A1780),12,31)-DATE(YEAR(A1780),1,1)+1)</f>
        <v/>
      </c>
      <c r="D1780">
        <f>IF(A1780="","",SUMIFS(Акты!$D$5:$D$16,Акты!$E$5:$E$16,"&lt;="&amp;A1780)-SUMIFS(Оплаты!$B$6:$B$505,Оплаты!$A$6:$A$505,"&lt;"&amp;A1780,Оплаты!$D$6:$D$505,"&lt;&gt;"))</f>
        <v/>
      </c>
      <c r="E1780">
        <f>IF(A1780="","",IF(SUMPRODUCT((Ввод!$F$12:$F$31&lt;&gt;"")*(Ввод!$F$12:$F$31&lt;=A1780)*(Ввод!$G$12:$G$31&gt;=A1780))&gt;0,1,0))</f>
        <v/>
      </c>
      <c r="G1780">
        <f>IF(A1780="","",IF(OR(B1780&lt;&gt;B1779,C1780&lt;&gt;C1779,E1780&lt;&gt;E1779),G1779+1,G1779))</f>
        <v/>
      </c>
    </row>
    <row r="1781">
      <c r="A1781" s="20">
        <f>IF(A1780="","",IF(A1780+1&gt;Ввод!$B$4,"",A1780+1))</f>
        <v/>
      </c>
      <c r="B1781">
        <f>IF(A1781="","",IFERROR(INDEX(Ввод!$B$12:$B$71,MATCH(A1781,Ввод!$D$12:$D$71,1)),""))</f>
        <v/>
      </c>
      <c r="C1781">
        <f>IF(A1781="","",DATE(YEAR(A1781),12,31)-DATE(YEAR(A1781),1,1)+1)</f>
        <v/>
      </c>
      <c r="D1781">
        <f>IF(A1781="","",SUMIFS(Акты!$D$5:$D$16,Акты!$E$5:$E$16,"&lt;="&amp;A1781)-SUMIFS(Оплаты!$B$6:$B$505,Оплаты!$A$6:$A$505,"&lt;"&amp;A1781,Оплаты!$D$6:$D$505,"&lt;&gt;"))</f>
        <v/>
      </c>
      <c r="E1781">
        <f>IF(A1781="","",IF(SUMPRODUCT((Ввод!$F$12:$F$31&lt;&gt;"")*(Ввод!$F$12:$F$31&lt;=A1781)*(Ввод!$G$12:$G$31&gt;=A1781))&gt;0,1,0))</f>
        <v/>
      </c>
      <c r="G1781">
        <f>IF(A1781="","",IF(OR(B1781&lt;&gt;B1780,C1781&lt;&gt;C1780,E1781&lt;&gt;E1780),G1780+1,G1780))</f>
        <v/>
      </c>
    </row>
    <row r="1782">
      <c r="A1782" s="20">
        <f>IF(A1781="","",IF(A1781+1&gt;Ввод!$B$4,"",A1781+1))</f>
        <v/>
      </c>
      <c r="B1782">
        <f>IF(A1782="","",IFERROR(INDEX(Ввод!$B$12:$B$71,MATCH(A1782,Ввод!$D$12:$D$71,1)),""))</f>
        <v/>
      </c>
      <c r="C1782">
        <f>IF(A1782="","",DATE(YEAR(A1782),12,31)-DATE(YEAR(A1782),1,1)+1)</f>
        <v/>
      </c>
      <c r="D1782">
        <f>IF(A1782="","",SUMIFS(Акты!$D$5:$D$16,Акты!$E$5:$E$16,"&lt;="&amp;A1782)-SUMIFS(Оплаты!$B$6:$B$505,Оплаты!$A$6:$A$505,"&lt;"&amp;A1782,Оплаты!$D$6:$D$505,"&lt;&gt;"))</f>
        <v/>
      </c>
      <c r="E1782">
        <f>IF(A1782="","",IF(SUMPRODUCT((Ввод!$F$12:$F$31&lt;&gt;"")*(Ввод!$F$12:$F$31&lt;=A1782)*(Ввод!$G$12:$G$31&gt;=A1782))&gt;0,1,0))</f>
        <v/>
      </c>
      <c r="G1782">
        <f>IF(A1782="","",IF(OR(B1782&lt;&gt;B1781,C1782&lt;&gt;C1781,E1782&lt;&gt;E1781),G1781+1,G1781))</f>
        <v/>
      </c>
    </row>
    <row r="1783">
      <c r="A1783" s="20">
        <f>IF(A1782="","",IF(A1782+1&gt;Ввод!$B$4,"",A1782+1))</f>
        <v/>
      </c>
      <c r="B1783">
        <f>IF(A1783="","",IFERROR(INDEX(Ввод!$B$12:$B$71,MATCH(A1783,Ввод!$D$12:$D$71,1)),""))</f>
        <v/>
      </c>
      <c r="C1783">
        <f>IF(A1783="","",DATE(YEAR(A1783),12,31)-DATE(YEAR(A1783),1,1)+1)</f>
        <v/>
      </c>
      <c r="D1783">
        <f>IF(A1783="","",SUMIFS(Акты!$D$5:$D$16,Акты!$E$5:$E$16,"&lt;="&amp;A1783)-SUMIFS(Оплаты!$B$6:$B$505,Оплаты!$A$6:$A$505,"&lt;"&amp;A1783,Оплаты!$D$6:$D$505,"&lt;&gt;"))</f>
        <v/>
      </c>
      <c r="E1783">
        <f>IF(A1783="","",IF(SUMPRODUCT((Ввод!$F$12:$F$31&lt;&gt;"")*(Ввод!$F$12:$F$31&lt;=A1783)*(Ввод!$G$12:$G$31&gt;=A1783))&gt;0,1,0))</f>
        <v/>
      </c>
      <c r="G1783">
        <f>IF(A1783="","",IF(OR(B1783&lt;&gt;B1782,C1783&lt;&gt;C1782,E1783&lt;&gt;E1782),G1782+1,G1782))</f>
        <v/>
      </c>
    </row>
    <row r="1784">
      <c r="A1784" s="20">
        <f>IF(A1783="","",IF(A1783+1&gt;Ввод!$B$4,"",A1783+1))</f>
        <v/>
      </c>
      <c r="B1784">
        <f>IF(A1784="","",IFERROR(INDEX(Ввод!$B$12:$B$71,MATCH(A1784,Ввод!$D$12:$D$71,1)),""))</f>
        <v/>
      </c>
      <c r="C1784">
        <f>IF(A1784="","",DATE(YEAR(A1784),12,31)-DATE(YEAR(A1784),1,1)+1)</f>
        <v/>
      </c>
      <c r="D1784">
        <f>IF(A1784="","",SUMIFS(Акты!$D$5:$D$16,Акты!$E$5:$E$16,"&lt;="&amp;A1784)-SUMIFS(Оплаты!$B$6:$B$505,Оплаты!$A$6:$A$505,"&lt;"&amp;A1784,Оплаты!$D$6:$D$505,"&lt;&gt;"))</f>
        <v/>
      </c>
      <c r="E1784">
        <f>IF(A1784="","",IF(SUMPRODUCT((Ввод!$F$12:$F$31&lt;&gt;"")*(Ввод!$F$12:$F$31&lt;=A1784)*(Ввод!$G$12:$G$31&gt;=A1784))&gt;0,1,0))</f>
        <v/>
      </c>
      <c r="G1784">
        <f>IF(A1784="","",IF(OR(B1784&lt;&gt;B1783,C1784&lt;&gt;C1783,E1784&lt;&gt;E1783),G1783+1,G1783))</f>
        <v/>
      </c>
    </row>
    <row r="1785">
      <c r="A1785" s="20">
        <f>IF(A1784="","",IF(A1784+1&gt;Ввод!$B$4,"",A1784+1))</f>
        <v/>
      </c>
      <c r="B1785">
        <f>IF(A1785="","",IFERROR(INDEX(Ввод!$B$12:$B$71,MATCH(A1785,Ввод!$D$12:$D$71,1)),""))</f>
        <v/>
      </c>
      <c r="C1785">
        <f>IF(A1785="","",DATE(YEAR(A1785),12,31)-DATE(YEAR(A1785),1,1)+1)</f>
        <v/>
      </c>
      <c r="D1785">
        <f>IF(A1785="","",SUMIFS(Акты!$D$5:$D$16,Акты!$E$5:$E$16,"&lt;="&amp;A1785)-SUMIFS(Оплаты!$B$6:$B$505,Оплаты!$A$6:$A$505,"&lt;"&amp;A1785,Оплаты!$D$6:$D$505,"&lt;&gt;"))</f>
        <v/>
      </c>
      <c r="E1785">
        <f>IF(A1785="","",IF(SUMPRODUCT((Ввод!$F$12:$F$31&lt;&gt;"")*(Ввод!$F$12:$F$31&lt;=A1785)*(Ввод!$G$12:$G$31&gt;=A1785))&gt;0,1,0))</f>
        <v/>
      </c>
      <c r="G1785">
        <f>IF(A1785="","",IF(OR(B1785&lt;&gt;B1784,C1785&lt;&gt;C1784,E1785&lt;&gt;E1784),G1784+1,G1784))</f>
        <v/>
      </c>
    </row>
    <row r="1786">
      <c r="A1786" s="20">
        <f>IF(A1785="","",IF(A1785+1&gt;Ввод!$B$4,"",A1785+1))</f>
        <v/>
      </c>
      <c r="B1786">
        <f>IF(A1786="","",IFERROR(INDEX(Ввод!$B$12:$B$71,MATCH(A1786,Ввод!$D$12:$D$71,1)),""))</f>
        <v/>
      </c>
      <c r="C1786">
        <f>IF(A1786="","",DATE(YEAR(A1786),12,31)-DATE(YEAR(A1786),1,1)+1)</f>
        <v/>
      </c>
      <c r="D1786">
        <f>IF(A1786="","",SUMIFS(Акты!$D$5:$D$16,Акты!$E$5:$E$16,"&lt;="&amp;A1786)-SUMIFS(Оплаты!$B$6:$B$505,Оплаты!$A$6:$A$505,"&lt;"&amp;A1786,Оплаты!$D$6:$D$505,"&lt;&gt;"))</f>
        <v/>
      </c>
      <c r="E1786">
        <f>IF(A1786="","",IF(SUMPRODUCT((Ввод!$F$12:$F$31&lt;&gt;"")*(Ввод!$F$12:$F$31&lt;=A1786)*(Ввод!$G$12:$G$31&gt;=A1786))&gt;0,1,0))</f>
        <v/>
      </c>
      <c r="G1786">
        <f>IF(A1786="","",IF(OR(B1786&lt;&gt;B1785,C1786&lt;&gt;C1785,E1786&lt;&gt;E1785),G1785+1,G1785))</f>
        <v/>
      </c>
    </row>
    <row r="1787">
      <c r="A1787" s="20">
        <f>IF(A1786="","",IF(A1786+1&gt;Ввод!$B$4,"",A1786+1))</f>
        <v/>
      </c>
      <c r="B1787">
        <f>IF(A1787="","",IFERROR(INDEX(Ввод!$B$12:$B$71,MATCH(A1787,Ввод!$D$12:$D$71,1)),""))</f>
        <v/>
      </c>
      <c r="C1787">
        <f>IF(A1787="","",DATE(YEAR(A1787),12,31)-DATE(YEAR(A1787),1,1)+1)</f>
        <v/>
      </c>
      <c r="D1787">
        <f>IF(A1787="","",SUMIFS(Акты!$D$5:$D$16,Акты!$E$5:$E$16,"&lt;="&amp;A1787)-SUMIFS(Оплаты!$B$6:$B$505,Оплаты!$A$6:$A$505,"&lt;"&amp;A1787,Оплаты!$D$6:$D$505,"&lt;&gt;"))</f>
        <v/>
      </c>
      <c r="E1787">
        <f>IF(A1787="","",IF(SUMPRODUCT((Ввод!$F$12:$F$31&lt;&gt;"")*(Ввод!$F$12:$F$31&lt;=A1787)*(Ввод!$G$12:$G$31&gt;=A1787))&gt;0,1,0))</f>
        <v/>
      </c>
      <c r="G1787">
        <f>IF(A1787="","",IF(OR(B1787&lt;&gt;B1786,C1787&lt;&gt;C1786,E1787&lt;&gt;E1786),G1786+1,G1786))</f>
        <v/>
      </c>
    </row>
    <row r="1788">
      <c r="A1788" s="20">
        <f>IF(A1787="","",IF(A1787+1&gt;Ввод!$B$4,"",A1787+1))</f>
        <v/>
      </c>
      <c r="B1788">
        <f>IF(A1788="","",IFERROR(INDEX(Ввод!$B$12:$B$71,MATCH(A1788,Ввод!$D$12:$D$71,1)),""))</f>
        <v/>
      </c>
      <c r="C1788">
        <f>IF(A1788="","",DATE(YEAR(A1788),12,31)-DATE(YEAR(A1788),1,1)+1)</f>
        <v/>
      </c>
      <c r="D1788">
        <f>IF(A1788="","",SUMIFS(Акты!$D$5:$D$16,Акты!$E$5:$E$16,"&lt;="&amp;A1788)-SUMIFS(Оплаты!$B$6:$B$505,Оплаты!$A$6:$A$505,"&lt;"&amp;A1788,Оплаты!$D$6:$D$505,"&lt;&gt;"))</f>
        <v/>
      </c>
      <c r="E1788">
        <f>IF(A1788="","",IF(SUMPRODUCT((Ввод!$F$12:$F$31&lt;&gt;"")*(Ввод!$F$12:$F$31&lt;=A1788)*(Ввод!$G$12:$G$31&gt;=A1788))&gt;0,1,0))</f>
        <v/>
      </c>
      <c r="G1788">
        <f>IF(A1788="","",IF(OR(B1788&lt;&gt;B1787,C1788&lt;&gt;C1787,E1788&lt;&gt;E1787),G1787+1,G1787))</f>
        <v/>
      </c>
    </row>
    <row r="1789">
      <c r="A1789" s="20">
        <f>IF(A1788="","",IF(A1788+1&gt;Ввод!$B$4,"",A1788+1))</f>
        <v/>
      </c>
      <c r="B1789">
        <f>IF(A1789="","",IFERROR(INDEX(Ввод!$B$12:$B$71,MATCH(A1789,Ввод!$D$12:$D$71,1)),""))</f>
        <v/>
      </c>
      <c r="C1789">
        <f>IF(A1789="","",DATE(YEAR(A1789),12,31)-DATE(YEAR(A1789),1,1)+1)</f>
        <v/>
      </c>
      <c r="D1789">
        <f>IF(A1789="","",SUMIFS(Акты!$D$5:$D$16,Акты!$E$5:$E$16,"&lt;="&amp;A1789)-SUMIFS(Оплаты!$B$6:$B$505,Оплаты!$A$6:$A$505,"&lt;"&amp;A1789,Оплаты!$D$6:$D$505,"&lt;&gt;"))</f>
        <v/>
      </c>
      <c r="E1789">
        <f>IF(A1789="","",IF(SUMPRODUCT((Ввод!$F$12:$F$31&lt;&gt;"")*(Ввод!$F$12:$F$31&lt;=A1789)*(Ввод!$G$12:$G$31&gt;=A1789))&gt;0,1,0))</f>
        <v/>
      </c>
      <c r="G1789">
        <f>IF(A1789="","",IF(OR(B1789&lt;&gt;B1788,C1789&lt;&gt;C1788,E1789&lt;&gt;E1788),G1788+1,G1788))</f>
        <v/>
      </c>
    </row>
    <row r="1790">
      <c r="A1790" s="20">
        <f>IF(A1789="","",IF(A1789+1&gt;Ввод!$B$4,"",A1789+1))</f>
        <v/>
      </c>
      <c r="B1790">
        <f>IF(A1790="","",IFERROR(INDEX(Ввод!$B$12:$B$71,MATCH(A1790,Ввод!$D$12:$D$71,1)),""))</f>
        <v/>
      </c>
      <c r="C1790">
        <f>IF(A1790="","",DATE(YEAR(A1790),12,31)-DATE(YEAR(A1790),1,1)+1)</f>
        <v/>
      </c>
      <c r="D1790">
        <f>IF(A1790="","",SUMIFS(Акты!$D$5:$D$16,Акты!$E$5:$E$16,"&lt;="&amp;A1790)-SUMIFS(Оплаты!$B$6:$B$505,Оплаты!$A$6:$A$505,"&lt;"&amp;A1790,Оплаты!$D$6:$D$505,"&lt;&gt;"))</f>
        <v/>
      </c>
      <c r="E1790">
        <f>IF(A1790="","",IF(SUMPRODUCT((Ввод!$F$12:$F$31&lt;&gt;"")*(Ввод!$F$12:$F$31&lt;=A1790)*(Ввод!$G$12:$G$31&gt;=A1790))&gt;0,1,0))</f>
        <v/>
      </c>
      <c r="G1790">
        <f>IF(A1790="","",IF(OR(B1790&lt;&gt;B1789,C1790&lt;&gt;C1789,E1790&lt;&gt;E1789),G1789+1,G1789))</f>
        <v/>
      </c>
    </row>
    <row r="1791">
      <c r="A1791" s="20">
        <f>IF(A1790="","",IF(A1790+1&gt;Ввод!$B$4,"",A1790+1))</f>
        <v/>
      </c>
      <c r="B1791">
        <f>IF(A1791="","",IFERROR(INDEX(Ввод!$B$12:$B$71,MATCH(A1791,Ввод!$D$12:$D$71,1)),""))</f>
        <v/>
      </c>
      <c r="C1791">
        <f>IF(A1791="","",DATE(YEAR(A1791),12,31)-DATE(YEAR(A1791),1,1)+1)</f>
        <v/>
      </c>
      <c r="D1791">
        <f>IF(A1791="","",SUMIFS(Акты!$D$5:$D$16,Акты!$E$5:$E$16,"&lt;="&amp;A1791)-SUMIFS(Оплаты!$B$6:$B$505,Оплаты!$A$6:$A$505,"&lt;"&amp;A1791,Оплаты!$D$6:$D$505,"&lt;&gt;"))</f>
        <v/>
      </c>
      <c r="E1791">
        <f>IF(A1791="","",IF(SUMPRODUCT((Ввод!$F$12:$F$31&lt;&gt;"")*(Ввод!$F$12:$F$31&lt;=A1791)*(Ввод!$G$12:$G$31&gt;=A1791))&gt;0,1,0))</f>
        <v/>
      </c>
      <c r="G1791">
        <f>IF(A1791="","",IF(OR(B1791&lt;&gt;B1790,C1791&lt;&gt;C1790,E1791&lt;&gt;E1790),G1790+1,G1790))</f>
        <v/>
      </c>
    </row>
    <row r="1792">
      <c r="A1792" s="20">
        <f>IF(A1791="","",IF(A1791+1&gt;Ввод!$B$4,"",A1791+1))</f>
        <v/>
      </c>
      <c r="B1792">
        <f>IF(A1792="","",IFERROR(INDEX(Ввод!$B$12:$B$71,MATCH(A1792,Ввод!$D$12:$D$71,1)),""))</f>
        <v/>
      </c>
      <c r="C1792">
        <f>IF(A1792="","",DATE(YEAR(A1792),12,31)-DATE(YEAR(A1792),1,1)+1)</f>
        <v/>
      </c>
      <c r="D1792">
        <f>IF(A1792="","",SUMIFS(Акты!$D$5:$D$16,Акты!$E$5:$E$16,"&lt;="&amp;A1792)-SUMIFS(Оплаты!$B$6:$B$505,Оплаты!$A$6:$A$505,"&lt;"&amp;A1792,Оплаты!$D$6:$D$505,"&lt;&gt;"))</f>
        <v/>
      </c>
      <c r="E1792">
        <f>IF(A1792="","",IF(SUMPRODUCT((Ввод!$F$12:$F$31&lt;&gt;"")*(Ввод!$F$12:$F$31&lt;=A1792)*(Ввод!$G$12:$G$31&gt;=A1792))&gt;0,1,0))</f>
        <v/>
      </c>
      <c r="G1792">
        <f>IF(A1792="","",IF(OR(B1792&lt;&gt;B1791,C1792&lt;&gt;C1791,E1792&lt;&gt;E1791),G1791+1,G1791))</f>
        <v/>
      </c>
    </row>
    <row r="1793">
      <c r="A1793" s="20">
        <f>IF(A1792="","",IF(A1792+1&gt;Ввод!$B$4,"",A1792+1))</f>
        <v/>
      </c>
      <c r="B1793">
        <f>IF(A1793="","",IFERROR(INDEX(Ввод!$B$12:$B$71,MATCH(A1793,Ввод!$D$12:$D$71,1)),""))</f>
        <v/>
      </c>
      <c r="C1793">
        <f>IF(A1793="","",DATE(YEAR(A1793),12,31)-DATE(YEAR(A1793),1,1)+1)</f>
        <v/>
      </c>
      <c r="D1793">
        <f>IF(A1793="","",SUMIFS(Акты!$D$5:$D$16,Акты!$E$5:$E$16,"&lt;="&amp;A1793)-SUMIFS(Оплаты!$B$6:$B$505,Оплаты!$A$6:$A$505,"&lt;"&amp;A1793,Оплаты!$D$6:$D$505,"&lt;&gt;"))</f>
        <v/>
      </c>
      <c r="E1793">
        <f>IF(A1793="","",IF(SUMPRODUCT((Ввод!$F$12:$F$31&lt;&gt;"")*(Ввод!$F$12:$F$31&lt;=A1793)*(Ввод!$G$12:$G$31&gt;=A1793))&gt;0,1,0))</f>
        <v/>
      </c>
      <c r="G1793">
        <f>IF(A1793="","",IF(OR(B1793&lt;&gt;B1792,C1793&lt;&gt;C1792,E1793&lt;&gt;E1792),G1792+1,G1792))</f>
        <v/>
      </c>
    </row>
    <row r="1794">
      <c r="A1794" s="20">
        <f>IF(A1793="","",IF(A1793+1&gt;Ввод!$B$4,"",A1793+1))</f>
        <v/>
      </c>
      <c r="B1794">
        <f>IF(A1794="","",IFERROR(INDEX(Ввод!$B$12:$B$71,MATCH(A1794,Ввод!$D$12:$D$71,1)),""))</f>
        <v/>
      </c>
      <c r="C1794">
        <f>IF(A1794="","",DATE(YEAR(A1794),12,31)-DATE(YEAR(A1794),1,1)+1)</f>
        <v/>
      </c>
      <c r="D1794">
        <f>IF(A1794="","",SUMIFS(Акты!$D$5:$D$16,Акты!$E$5:$E$16,"&lt;="&amp;A1794)-SUMIFS(Оплаты!$B$6:$B$505,Оплаты!$A$6:$A$505,"&lt;"&amp;A1794,Оплаты!$D$6:$D$505,"&lt;&gt;"))</f>
        <v/>
      </c>
      <c r="E1794">
        <f>IF(A1794="","",IF(SUMPRODUCT((Ввод!$F$12:$F$31&lt;&gt;"")*(Ввод!$F$12:$F$31&lt;=A1794)*(Ввод!$G$12:$G$31&gt;=A1794))&gt;0,1,0))</f>
        <v/>
      </c>
      <c r="G1794">
        <f>IF(A1794="","",IF(OR(B1794&lt;&gt;B1793,C1794&lt;&gt;C1793,E1794&lt;&gt;E1793),G1793+1,G1793))</f>
        <v/>
      </c>
    </row>
    <row r="1795">
      <c r="A1795" s="20">
        <f>IF(A1794="","",IF(A1794+1&gt;Ввод!$B$4,"",A1794+1))</f>
        <v/>
      </c>
      <c r="B1795">
        <f>IF(A1795="","",IFERROR(INDEX(Ввод!$B$12:$B$71,MATCH(A1795,Ввод!$D$12:$D$71,1)),""))</f>
        <v/>
      </c>
      <c r="C1795">
        <f>IF(A1795="","",DATE(YEAR(A1795),12,31)-DATE(YEAR(A1795),1,1)+1)</f>
        <v/>
      </c>
      <c r="D1795">
        <f>IF(A1795="","",SUMIFS(Акты!$D$5:$D$16,Акты!$E$5:$E$16,"&lt;="&amp;A1795)-SUMIFS(Оплаты!$B$6:$B$505,Оплаты!$A$6:$A$505,"&lt;"&amp;A1795,Оплаты!$D$6:$D$505,"&lt;&gt;"))</f>
        <v/>
      </c>
      <c r="E1795">
        <f>IF(A1795="","",IF(SUMPRODUCT((Ввод!$F$12:$F$31&lt;&gt;"")*(Ввод!$F$12:$F$31&lt;=A1795)*(Ввод!$G$12:$G$31&gt;=A1795))&gt;0,1,0))</f>
        <v/>
      </c>
      <c r="G1795">
        <f>IF(A1795="","",IF(OR(B1795&lt;&gt;B1794,C1795&lt;&gt;C1794,E1795&lt;&gt;E1794),G1794+1,G1794))</f>
        <v/>
      </c>
    </row>
    <row r="1796">
      <c r="A1796" s="20">
        <f>IF(A1795="","",IF(A1795+1&gt;Ввод!$B$4,"",A1795+1))</f>
        <v/>
      </c>
      <c r="B1796">
        <f>IF(A1796="","",IFERROR(INDEX(Ввод!$B$12:$B$71,MATCH(A1796,Ввод!$D$12:$D$71,1)),""))</f>
        <v/>
      </c>
      <c r="C1796">
        <f>IF(A1796="","",DATE(YEAR(A1796),12,31)-DATE(YEAR(A1796),1,1)+1)</f>
        <v/>
      </c>
      <c r="D1796">
        <f>IF(A1796="","",SUMIFS(Акты!$D$5:$D$16,Акты!$E$5:$E$16,"&lt;="&amp;A1796)-SUMIFS(Оплаты!$B$6:$B$505,Оплаты!$A$6:$A$505,"&lt;"&amp;A1796,Оплаты!$D$6:$D$505,"&lt;&gt;"))</f>
        <v/>
      </c>
      <c r="E1796">
        <f>IF(A1796="","",IF(SUMPRODUCT((Ввод!$F$12:$F$31&lt;&gt;"")*(Ввод!$F$12:$F$31&lt;=A1796)*(Ввод!$G$12:$G$31&gt;=A1796))&gt;0,1,0))</f>
        <v/>
      </c>
      <c r="G1796">
        <f>IF(A1796="","",IF(OR(B1796&lt;&gt;B1795,C1796&lt;&gt;C1795,E1796&lt;&gt;E1795),G1795+1,G1795))</f>
        <v/>
      </c>
    </row>
    <row r="1797">
      <c r="A1797" s="20">
        <f>IF(A1796="","",IF(A1796+1&gt;Ввод!$B$4,"",A1796+1))</f>
        <v/>
      </c>
      <c r="B1797">
        <f>IF(A1797="","",IFERROR(INDEX(Ввод!$B$12:$B$71,MATCH(A1797,Ввод!$D$12:$D$71,1)),""))</f>
        <v/>
      </c>
      <c r="C1797">
        <f>IF(A1797="","",DATE(YEAR(A1797),12,31)-DATE(YEAR(A1797),1,1)+1)</f>
        <v/>
      </c>
      <c r="D1797">
        <f>IF(A1797="","",SUMIFS(Акты!$D$5:$D$16,Акты!$E$5:$E$16,"&lt;="&amp;A1797)-SUMIFS(Оплаты!$B$6:$B$505,Оплаты!$A$6:$A$505,"&lt;"&amp;A1797,Оплаты!$D$6:$D$505,"&lt;&gt;"))</f>
        <v/>
      </c>
      <c r="E1797">
        <f>IF(A1797="","",IF(SUMPRODUCT((Ввод!$F$12:$F$31&lt;&gt;"")*(Ввод!$F$12:$F$31&lt;=A1797)*(Ввод!$G$12:$G$31&gt;=A1797))&gt;0,1,0))</f>
        <v/>
      </c>
      <c r="G1797">
        <f>IF(A1797="","",IF(OR(B1797&lt;&gt;B1796,C1797&lt;&gt;C1796,E1797&lt;&gt;E1796),G1796+1,G1796))</f>
        <v/>
      </c>
    </row>
    <row r="1798">
      <c r="A1798" s="20">
        <f>IF(A1797="","",IF(A1797+1&gt;Ввод!$B$4,"",A1797+1))</f>
        <v/>
      </c>
      <c r="B1798">
        <f>IF(A1798="","",IFERROR(INDEX(Ввод!$B$12:$B$71,MATCH(A1798,Ввод!$D$12:$D$71,1)),""))</f>
        <v/>
      </c>
      <c r="C1798">
        <f>IF(A1798="","",DATE(YEAR(A1798),12,31)-DATE(YEAR(A1798),1,1)+1)</f>
        <v/>
      </c>
      <c r="D1798">
        <f>IF(A1798="","",SUMIFS(Акты!$D$5:$D$16,Акты!$E$5:$E$16,"&lt;="&amp;A1798)-SUMIFS(Оплаты!$B$6:$B$505,Оплаты!$A$6:$A$505,"&lt;"&amp;A1798,Оплаты!$D$6:$D$505,"&lt;&gt;"))</f>
        <v/>
      </c>
      <c r="E1798">
        <f>IF(A1798="","",IF(SUMPRODUCT((Ввод!$F$12:$F$31&lt;&gt;"")*(Ввод!$F$12:$F$31&lt;=A1798)*(Ввод!$G$12:$G$31&gt;=A1798))&gt;0,1,0))</f>
        <v/>
      </c>
      <c r="G1798">
        <f>IF(A1798="","",IF(OR(B1798&lt;&gt;B1797,C1798&lt;&gt;C1797,E1798&lt;&gt;E1797),G1797+1,G1797))</f>
        <v/>
      </c>
    </row>
    <row r="1799">
      <c r="A1799" s="20">
        <f>IF(A1798="","",IF(A1798+1&gt;Ввод!$B$4,"",A1798+1))</f>
        <v/>
      </c>
      <c r="B1799">
        <f>IF(A1799="","",IFERROR(INDEX(Ввод!$B$12:$B$71,MATCH(A1799,Ввод!$D$12:$D$71,1)),""))</f>
        <v/>
      </c>
      <c r="C1799">
        <f>IF(A1799="","",DATE(YEAR(A1799),12,31)-DATE(YEAR(A1799),1,1)+1)</f>
        <v/>
      </c>
      <c r="D1799">
        <f>IF(A1799="","",SUMIFS(Акты!$D$5:$D$16,Акты!$E$5:$E$16,"&lt;="&amp;A1799)-SUMIFS(Оплаты!$B$6:$B$505,Оплаты!$A$6:$A$505,"&lt;"&amp;A1799,Оплаты!$D$6:$D$505,"&lt;&gt;"))</f>
        <v/>
      </c>
      <c r="E1799">
        <f>IF(A1799="","",IF(SUMPRODUCT((Ввод!$F$12:$F$31&lt;&gt;"")*(Ввод!$F$12:$F$31&lt;=A1799)*(Ввод!$G$12:$G$31&gt;=A1799))&gt;0,1,0))</f>
        <v/>
      </c>
      <c r="G1799">
        <f>IF(A1799="","",IF(OR(B1799&lt;&gt;B1798,C1799&lt;&gt;C1798,E1799&lt;&gt;E1798),G1798+1,G1798))</f>
        <v/>
      </c>
    </row>
    <row r="1800">
      <c r="A1800" s="20">
        <f>IF(A1799="","",IF(A1799+1&gt;Ввод!$B$4,"",A1799+1))</f>
        <v/>
      </c>
      <c r="B1800">
        <f>IF(A1800="","",IFERROR(INDEX(Ввод!$B$12:$B$71,MATCH(A1800,Ввод!$D$12:$D$71,1)),""))</f>
        <v/>
      </c>
      <c r="C1800">
        <f>IF(A1800="","",DATE(YEAR(A1800),12,31)-DATE(YEAR(A1800),1,1)+1)</f>
        <v/>
      </c>
      <c r="D1800">
        <f>IF(A1800="","",SUMIFS(Акты!$D$5:$D$16,Акты!$E$5:$E$16,"&lt;="&amp;A1800)-SUMIFS(Оплаты!$B$6:$B$505,Оплаты!$A$6:$A$505,"&lt;"&amp;A1800,Оплаты!$D$6:$D$505,"&lt;&gt;"))</f>
        <v/>
      </c>
      <c r="E1800">
        <f>IF(A1800="","",IF(SUMPRODUCT((Ввод!$F$12:$F$31&lt;&gt;"")*(Ввод!$F$12:$F$31&lt;=A1800)*(Ввод!$G$12:$G$31&gt;=A1800))&gt;0,1,0))</f>
        <v/>
      </c>
      <c r="G1800">
        <f>IF(A1800="","",IF(OR(B1800&lt;&gt;B1799,C1800&lt;&gt;C1799,E1800&lt;&gt;E1799),G1799+1,G1799))</f>
        <v/>
      </c>
    </row>
    <row r="1801">
      <c r="A1801" s="20">
        <f>IF(A1800="","",IF(A1800+1&gt;Ввод!$B$4,"",A1800+1))</f>
        <v/>
      </c>
      <c r="B1801">
        <f>IF(A1801="","",IFERROR(INDEX(Ввод!$B$12:$B$71,MATCH(A1801,Ввод!$D$12:$D$71,1)),""))</f>
        <v/>
      </c>
      <c r="C1801">
        <f>IF(A1801="","",DATE(YEAR(A1801),12,31)-DATE(YEAR(A1801),1,1)+1)</f>
        <v/>
      </c>
      <c r="D1801">
        <f>IF(A1801="","",SUMIFS(Акты!$D$5:$D$16,Акты!$E$5:$E$16,"&lt;="&amp;A1801)-SUMIFS(Оплаты!$B$6:$B$505,Оплаты!$A$6:$A$505,"&lt;"&amp;A1801,Оплаты!$D$6:$D$505,"&lt;&gt;"))</f>
        <v/>
      </c>
      <c r="E1801">
        <f>IF(A1801="","",IF(SUMPRODUCT((Ввод!$F$12:$F$31&lt;&gt;"")*(Ввод!$F$12:$F$31&lt;=A1801)*(Ввод!$G$12:$G$31&gt;=A1801))&gt;0,1,0))</f>
        <v/>
      </c>
      <c r="G1801">
        <f>IF(A1801="","",IF(OR(B1801&lt;&gt;B1800,C1801&lt;&gt;C1800,E1801&lt;&gt;E1800),G1800+1,G1800))</f>
        <v/>
      </c>
    </row>
    <row r="1802">
      <c r="A1802" s="20">
        <f>IF(A1801="","",IF(A1801+1&gt;Ввод!$B$4,"",A1801+1))</f>
        <v/>
      </c>
      <c r="B1802">
        <f>IF(A1802="","",IFERROR(INDEX(Ввод!$B$12:$B$71,MATCH(A1802,Ввод!$D$12:$D$71,1)),""))</f>
        <v/>
      </c>
      <c r="C1802">
        <f>IF(A1802="","",DATE(YEAR(A1802),12,31)-DATE(YEAR(A1802),1,1)+1)</f>
        <v/>
      </c>
      <c r="D1802">
        <f>IF(A1802="","",SUMIFS(Акты!$D$5:$D$16,Акты!$E$5:$E$16,"&lt;="&amp;A1802)-SUMIFS(Оплаты!$B$6:$B$505,Оплаты!$A$6:$A$505,"&lt;"&amp;A1802,Оплаты!$D$6:$D$505,"&lt;&gt;"))</f>
        <v/>
      </c>
      <c r="E1802">
        <f>IF(A1802="","",IF(SUMPRODUCT((Ввод!$F$12:$F$31&lt;&gt;"")*(Ввод!$F$12:$F$31&lt;=A1802)*(Ввод!$G$12:$G$31&gt;=A1802))&gt;0,1,0))</f>
        <v/>
      </c>
      <c r="G1802">
        <f>IF(A1802="","",IF(OR(B1802&lt;&gt;B1801,C1802&lt;&gt;C1801,E1802&lt;&gt;E1801),G1801+1,G1801))</f>
        <v/>
      </c>
    </row>
    <row r="1803">
      <c r="A1803" s="20">
        <f>IF(A1802="","",IF(A1802+1&gt;Ввод!$B$4,"",A1802+1))</f>
        <v/>
      </c>
      <c r="B1803">
        <f>IF(A1803="","",IFERROR(INDEX(Ввод!$B$12:$B$71,MATCH(A1803,Ввод!$D$12:$D$71,1)),""))</f>
        <v/>
      </c>
      <c r="C1803">
        <f>IF(A1803="","",DATE(YEAR(A1803),12,31)-DATE(YEAR(A1803),1,1)+1)</f>
        <v/>
      </c>
      <c r="D1803">
        <f>IF(A1803="","",SUMIFS(Акты!$D$5:$D$16,Акты!$E$5:$E$16,"&lt;="&amp;A1803)-SUMIFS(Оплаты!$B$6:$B$505,Оплаты!$A$6:$A$505,"&lt;"&amp;A1803,Оплаты!$D$6:$D$505,"&lt;&gt;"))</f>
        <v/>
      </c>
      <c r="E1803">
        <f>IF(A1803="","",IF(SUMPRODUCT((Ввод!$F$12:$F$31&lt;&gt;"")*(Ввод!$F$12:$F$31&lt;=A1803)*(Ввод!$G$12:$G$31&gt;=A1803))&gt;0,1,0))</f>
        <v/>
      </c>
      <c r="G1803">
        <f>IF(A1803="","",IF(OR(B1803&lt;&gt;B1802,C1803&lt;&gt;C1802,E1803&lt;&gt;E1802),G1802+1,G1802))</f>
        <v/>
      </c>
    </row>
    <row r="1804">
      <c r="A1804" s="20">
        <f>IF(A1803="","",IF(A1803+1&gt;Ввод!$B$4,"",A1803+1))</f>
        <v/>
      </c>
      <c r="B1804">
        <f>IF(A1804="","",IFERROR(INDEX(Ввод!$B$12:$B$71,MATCH(A1804,Ввод!$D$12:$D$71,1)),""))</f>
        <v/>
      </c>
      <c r="C1804">
        <f>IF(A1804="","",DATE(YEAR(A1804),12,31)-DATE(YEAR(A1804),1,1)+1)</f>
        <v/>
      </c>
      <c r="D1804">
        <f>IF(A1804="","",SUMIFS(Акты!$D$5:$D$16,Акты!$E$5:$E$16,"&lt;="&amp;A1804)-SUMIFS(Оплаты!$B$6:$B$505,Оплаты!$A$6:$A$505,"&lt;"&amp;A1804,Оплаты!$D$6:$D$505,"&lt;&gt;"))</f>
        <v/>
      </c>
      <c r="E1804">
        <f>IF(A1804="","",IF(SUMPRODUCT((Ввод!$F$12:$F$31&lt;&gt;"")*(Ввод!$F$12:$F$31&lt;=A1804)*(Ввод!$G$12:$G$31&gt;=A1804))&gt;0,1,0))</f>
        <v/>
      </c>
      <c r="G1804">
        <f>IF(A1804="","",IF(OR(B1804&lt;&gt;B1803,C1804&lt;&gt;C1803,E1804&lt;&gt;E1803),G1803+1,G1803))</f>
        <v/>
      </c>
    </row>
    <row r="1805">
      <c r="A1805" s="20">
        <f>IF(A1804="","",IF(A1804+1&gt;Ввод!$B$4,"",A1804+1))</f>
        <v/>
      </c>
      <c r="B1805">
        <f>IF(A1805="","",IFERROR(INDEX(Ввод!$B$12:$B$71,MATCH(A1805,Ввод!$D$12:$D$71,1)),""))</f>
        <v/>
      </c>
      <c r="C1805">
        <f>IF(A1805="","",DATE(YEAR(A1805),12,31)-DATE(YEAR(A1805),1,1)+1)</f>
        <v/>
      </c>
      <c r="D1805">
        <f>IF(A1805="","",SUMIFS(Акты!$D$5:$D$16,Акты!$E$5:$E$16,"&lt;="&amp;A1805)-SUMIFS(Оплаты!$B$6:$B$505,Оплаты!$A$6:$A$505,"&lt;"&amp;A1805,Оплаты!$D$6:$D$505,"&lt;&gt;"))</f>
        <v/>
      </c>
      <c r="E1805">
        <f>IF(A1805="","",IF(SUMPRODUCT((Ввод!$F$12:$F$31&lt;&gt;"")*(Ввод!$F$12:$F$31&lt;=A1805)*(Ввод!$G$12:$G$31&gt;=A1805))&gt;0,1,0))</f>
        <v/>
      </c>
      <c r="G1805">
        <f>IF(A1805="","",IF(OR(B1805&lt;&gt;B1804,C1805&lt;&gt;C1804,E1805&lt;&gt;E1804),G1804+1,G1804))</f>
        <v/>
      </c>
    </row>
    <row r="1806">
      <c r="A1806" s="20">
        <f>IF(A1805="","",IF(A1805+1&gt;Ввод!$B$4,"",A1805+1))</f>
        <v/>
      </c>
      <c r="B1806">
        <f>IF(A1806="","",IFERROR(INDEX(Ввод!$B$12:$B$71,MATCH(A1806,Ввод!$D$12:$D$71,1)),""))</f>
        <v/>
      </c>
      <c r="C1806">
        <f>IF(A1806="","",DATE(YEAR(A1806),12,31)-DATE(YEAR(A1806),1,1)+1)</f>
        <v/>
      </c>
      <c r="D1806">
        <f>IF(A1806="","",SUMIFS(Акты!$D$5:$D$16,Акты!$E$5:$E$16,"&lt;="&amp;A1806)-SUMIFS(Оплаты!$B$6:$B$505,Оплаты!$A$6:$A$505,"&lt;"&amp;A1806,Оплаты!$D$6:$D$505,"&lt;&gt;"))</f>
        <v/>
      </c>
      <c r="E1806">
        <f>IF(A1806="","",IF(SUMPRODUCT((Ввод!$F$12:$F$31&lt;&gt;"")*(Ввод!$F$12:$F$31&lt;=A1806)*(Ввод!$G$12:$G$31&gt;=A1806))&gt;0,1,0))</f>
        <v/>
      </c>
      <c r="G1806">
        <f>IF(A1806="","",IF(OR(B1806&lt;&gt;B1805,C1806&lt;&gt;C1805,E1806&lt;&gt;E1805),G1805+1,G1805))</f>
        <v/>
      </c>
    </row>
    <row r="1807">
      <c r="A1807" s="20">
        <f>IF(A1806="","",IF(A1806+1&gt;Ввод!$B$4,"",A1806+1))</f>
        <v/>
      </c>
      <c r="B1807">
        <f>IF(A1807="","",IFERROR(INDEX(Ввод!$B$12:$B$71,MATCH(A1807,Ввод!$D$12:$D$71,1)),""))</f>
        <v/>
      </c>
      <c r="C1807">
        <f>IF(A1807="","",DATE(YEAR(A1807),12,31)-DATE(YEAR(A1807),1,1)+1)</f>
        <v/>
      </c>
      <c r="D1807">
        <f>IF(A1807="","",SUMIFS(Акты!$D$5:$D$16,Акты!$E$5:$E$16,"&lt;="&amp;A1807)-SUMIFS(Оплаты!$B$6:$B$505,Оплаты!$A$6:$A$505,"&lt;"&amp;A1807,Оплаты!$D$6:$D$505,"&lt;&gt;"))</f>
        <v/>
      </c>
      <c r="E1807">
        <f>IF(A1807="","",IF(SUMPRODUCT((Ввод!$F$12:$F$31&lt;&gt;"")*(Ввод!$F$12:$F$31&lt;=A1807)*(Ввод!$G$12:$G$31&gt;=A1807))&gt;0,1,0))</f>
        <v/>
      </c>
      <c r="G1807">
        <f>IF(A1807="","",IF(OR(B1807&lt;&gt;B1806,C1807&lt;&gt;C1806,E1807&lt;&gt;E1806),G1806+1,G1806))</f>
        <v/>
      </c>
    </row>
    <row r="1808">
      <c r="A1808" s="20">
        <f>IF(A1807="","",IF(A1807+1&gt;Ввод!$B$4,"",A1807+1))</f>
        <v/>
      </c>
      <c r="B1808">
        <f>IF(A1808="","",IFERROR(INDEX(Ввод!$B$12:$B$71,MATCH(A1808,Ввод!$D$12:$D$71,1)),""))</f>
        <v/>
      </c>
      <c r="C1808">
        <f>IF(A1808="","",DATE(YEAR(A1808),12,31)-DATE(YEAR(A1808),1,1)+1)</f>
        <v/>
      </c>
      <c r="D1808">
        <f>IF(A1808="","",SUMIFS(Акты!$D$5:$D$16,Акты!$E$5:$E$16,"&lt;="&amp;A1808)-SUMIFS(Оплаты!$B$6:$B$505,Оплаты!$A$6:$A$505,"&lt;"&amp;A1808,Оплаты!$D$6:$D$505,"&lt;&gt;"))</f>
        <v/>
      </c>
      <c r="E1808">
        <f>IF(A1808="","",IF(SUMPRODUCT((Ввод!$F$12:$F$31&lt;&gt;"")*(Ввод!$F$12:$F$31&lt;=A1808)*(Ввод!$G$12:$G$31&gt;=A1808))&gt;0,1,0))</f>
        <v/>
      </c>
      <c r="G1808">
        <f>IF(A1808="","",IF(OR(B1808&lt;&gt;B1807,C1808&lt;&gt;C1807,E1808&lt;&gt;E1807),G1807+1,G1807))</f>
        <v/>
      </c>
    </row>
    <row r="1809">
      <c r="A1809" s="20">
        <f>IF(A1808="","",IF(A1808+1&gt;Ввод!$B$4,"",A1808+1))</f>
        <v/>
      </c>
      <c r="B1809">
        <f>IF(A1809="","",IFERROR(INDEX(Ввод!$B$12:$B$71,MATCH(A1809,Ввод!$D$12:$D$71,1)),""))</f>
        <v/>
      </c>
      <c r="C1809">
        <f>IF(A1809="","",DATE(YEAR(A1809),12,31)-DATE(YEAR(A1809),1,1)+1)</f>
        <v/>
      </c>
      <c r="D1809">
        <f>IF(A1809="","",SUMIFS(Акты!$D$5:$D$16,Акты!$E$5:$E$16,"&lt;="&amp;A1809)-SUMIFS(Оплаты!$B$6:$B$505,Оплаты!$A$6:$A$505,"&lt;"&amp;A1809,Оплаты!$D$6:$D$505,"&lt;&gt;"))</f>
        <v/>
      </c>
      <c r="E1809">
        <f>IF(A1809="","",IF(SUMPRODUCT((Ввод!$F$12:$F$31&lt;&gt;"")*(Ввод!$F$12:$F$31&lt;=A1809)*(Ввод!$G$12:$G$31&gt;=A1809))&gt;0,1,0))</f>
        <v/>
      </c>
      <c r="G1809">
        <f>IF(A1809="","",IF(OR(B1809&lt;&gt;B1808,C1809&lt;&gt;C1808,E1809&lt;&gt;E1808),G1808+1,G1808))</f>
        <v/>
      </c>
    </row>
    <row r="1810">
      <c r="A1810" s="20">
        <f>IF(A1809="","",IF(A1809+1&gt;Ввод!$B$4,"",A1809+1))</f>
        <v/>
      </c>
      <c r="B1810">
        <f>IF(A1810="","",IFERROR(INDEX(Ввод!$B$12:$B$71,MATCH(A1810,Ввод!$D$12:$D$71,1)),""))</f>
        <v/>
      </c>
      <c r="C1810">
        <f>IF(A1810="","",DATE(YEAR(A1810),12,31)-DATE(YEAR(A1810),1,1)+1)</f>
        <v/>
      </c>
      <c r="D1810">
        <f>IF(A1810="","",SUMIFS(Акты!$D$5:$D$16,Акты!$E$5:$E$16,"&lt;="&amp;A1810)-SUMIFS(Оплаты!$B$6:$B$505,Оплаты!$A$6:$A$505,"&lt;"&amp;A1810,Оплаты!$D$6:$D$505,"&lt;&gt;"))</f>
        <v/>
      </c>
      <c r="E1810">
        <f>IF(A1810="","",IF(SUMPRODUCT((Ввод!$F$12:$F$31&lt;&gt;"")*(Ввод!$F$12:$F$31&lt;=A1810)*(Ввод!$G$12:$G$31&gt;=A1810))&gt;0,1,0))</f>
        <v/>
      </c>
      <c r="G1810">
        <f>IF(A1810="","",IF(OR(B1810&lt;&gt;B1809,C1810&lt;&gt;C1809,E1810&lt;&gt;E1809),G1809+1,G1809))</f>
        <v/>
      </c>
    </row>
    <row r="1811">
      <c r="A1811" s="20">
        <f>IF(A1810="","",IF(A1810+1&gt;Ввод!$B$4,"",A1810+1))</f>
        <v/>
      </c>
      <c r="B1811">
        <f>IF(A1811="","",IFERROR(INDEX(Ввод!$B$12:$B$71,MATCH(A1811,Ввод!$D$12:$D$71,1)),""))</f>
        <v/>
      </c>
      <c r="C1811">
        <f>IF(A1811="","",DATE(YEAR(A1811),12,31)-DATE(YEAR(A1811),1,1)+1)</f>
        <v/>
      </c>
      <c r="D1811">
        <f>IF(A1811="","",SUMIFS(Акты!$D$5:$D$16,Акты!$E$5:$E$16,"&lt;="&amp;A1811)-SUMIFS(Оплаты!$B$6:$B$505,Оплаты!$A$6:$A$505,"&lt;"&amp;A1811,Оплаты!$D$6:$D$505,"&lt;&gt;"))</f>
        <v/>
      </c>
      <c r="E1811">
        <f>IF(A1811="","",IF(SUMPRODUCT((Ввод!$F$12:$F$31&lt;&gt;"")*(Ввод!$F$12:$F$31&lt;=A1811)*(Ввод!$G$12:$G$31&gt;=A1811))&gt;0,1,0))</f>
        <v/>
      </c>
      <c r="G1811">
        <f>IF(A1811="","",IF(OR(B1811&lt;&gt;B1810,C1811&lt;&gt;C1810,E1811&lt;&gt;E1810),G1810+1,G1810))</f>
        <v/>
      </c>
    </row>
    <row r="1812">
      <c r="A1812" s="20">
        <f>IF(A1811="","",IF(A1811+1&gt;Ввод!$B$4,"",A1811+1))</f>
        <v/>
      </c>
      <c r="B1812">
        <f>IF(A1812="","",IFERROR(INDEX(Ввод!$B$12:$B$71,MATCH(A1812,Ввод!$D$12:$D$71,1)),""))</f>
        <v/>
      </c>
      <c r="C1812">
        <f>IF(A1812="","",DATE(YEAR(A1812),12,31)-DATE(YEAR(A1812),1,1)+1)</f>
        <v/>
      </c>
      <c r="D1812">
        <f>IF(A1812="","",SUMIFS(Акты!$D$5:$D$16,Акты!$E$5:$E$16,"&lt;="&amp;A1812)-SUMIFS(Оплаты!$B$6:$B$505,Оплаты!$A$6:$A$505,"&lt;"&amp;A1812,Оплаты!$D$6:$D$505,"&lt;&gt;"))</f>
        <v/>
      </c>
      <c r="E1812">
        <f>IF(A1812="","",IF(SUMPRODUCT((Ввод!$F$12:$F$31&lt;&gt;"")*(Ввод!$F$12:$F$31&lt;=A1812)*(Ввод!$G$12:$G$31&gt;=A1812))&gt;0,1,0))</f>
        <v/>
      </c>
      <c r="G1812">
        <f>IF(A1812="","",IF(OR(B1812&lt;&gt;B1811,C1812&lt;&gt;C1811,E1812&lt;&gt;E1811),G1811+1,G1811))</f>
        <v/>
      </c>
    </row>
    <row r="1813">
      <c r="A1813" s="20">
        <f>IF(A1812="","",IF(A1812+1&gt;Ввод!$B$4,"",A1812+1))</f>
        <v/>
      </c>
      <c r="B1813">
        <f>IF(A1813="","",IFERROR(INDEX(Ввод!$B$12:$B$71,MATCH(A1813,Ввод!$D$12:$D$71,1)),""))</f>
        <v/>
      </c>
      <c r="C1813">
        <f>IF(A1813="","",DATE(YEAR(A1813),12,31)-DATE(YEAR(A1813),1,1)+1)</f>
        <v/>
      </c>
      <c r="D1813">
        <f>IF(A1813="","",SUMIFS(Акты!$D$5:$D$16,Акты!$E$5:$E$16,"&lt;="&amp;A1813)-SUMIFS(Оплаты!$B$6:$B$505,Оплаты!$A$6:$A$505,"&lt;"&amp;A1813,Оплаты!$D$6:$D$505,"&lt;&gt;"))</f>
        <v/>
      </c>
      <c r="E1813">
        <f>IF(A1813="","",IF(SUMPRODUCT((Ввод!$F$12:$F$31&lt;&gt;"")*(Ввод!$F$12:$F$31&lt;=A1813)*(Ввод!$G$12:$G$31&gt;=A1813))&gt;0,1,0))</f>
        <v/>
      </c>
      <c r="G1813">
        <f>IF(A1813="","",IF(OR(B1813&lt;&gt;B1812,C1813&lt;&gt;C1812,E1813&lt;&gt;E1812),G1812+1,G1812))</f>
        <v/>
      </c>
    </row>
    <row r="1814">
      <c r="A1814" s="20">
        <f>IF(A1813="","",IF(A1813+1&gt;Ввод!$B$4,"",A1813+1))</f>
        <v/>
      </c>
      <c r="B1814">
        <f>IF(A1814="","",IFERROR(INDEX(Ввод!$B$12:$B$71,MATCH(A1814,Ввод!$D$12:$D$71,1)),""))</f>
        <v/>
      </c>
      <c r="C1814">
        <f>IF(A1814="","",DATE(YEAR(A1814),12,31)-DATE(YEAR(A1814),1,1)+1)</f>
        <v/>
      </c>
      <c r="D1814">
        <f>IF(A1814="","",SUMIFS(Акты!$D$5:$D$16,Акты!$E$5:$E$16,"&lt;="&amp;A1814)-SUMIFS(Оплаты!$B$6:$B$505,Оплаты!$A$6:$A$505,"&lt;"&amp;A1814,Оплаты!$D$6:$D$505,"&lt;&gt;"))</f>
        <v/>
      </c>
      <c r="E1814">
        <f>IF(A1814="","",IF(SUMPRODUCT((Ввод!$F$12:$F$31&lt;&gt;"")*(Ввод!$F$12:$F$31&lt;=A1814)*(Ввод!$G$12:$G$31&gt;=A1814))&gt;0,1,0))</f>
        <v/>
      </c>
      <c r="G1814">
        <f>IF(A1814="","",IF(OR(B1814&lt;&gt;B1813,C1814&lt;&gt;C1813,E1814&lt;&gt;E1813),G1813+1,G1813))</f>
        <v/>
      </c>
    </row>
    <row r="1815">
      <c r="A1815" s="20">
        <f>IF(A1814="","",IF(A1814+1&gt;Ввод!$B$4,"",A1814+1))</f>
        <v/>
      </c>
      <c r="B1815">
        <f>IF(A1815="","",IFERROR(INDEX(Ввод!$B$12:$B$71,MATCH(A1815,Ввод!$D$12:$D$71,1)),""))</f>
        <v/>
      </c>
      <c r="C1815">
        <f>IF(A1815="","",DATE(YEAR(A1815),12,31)-DATE(YEAR(A1815),1,1)+1)</f>
        <v/>
      </c>
      <c r="D1815">
        <f>IF(A1815="","",SUMIFS(Акты!$D$5:$D$16,Акты!$E$5:$E$16,"&lt;="&amp;A1815)-SUMIFS(Оплаты!$B$6:$B$505,Оплаты!$A$6:$A$505,"&lt;"&amp;A1815,Оплаты!$D$6:$D$505,"&lt;&gt;"))</f>
        <v/>
      </c>
      <c r="E1815">
        <f>IF(A1815="","",IF(SUMPRODUCT((Ввод!$F$12:$F$31&lt;&gt;"")*(Ввод!$F$12:$F$31&lt;=A1815)*(Ввод!$G$12:$G$31&gt;=A1815))&gt;0,1,0))</f>
        <v/>
      </c>
      <c r="G1815">
        <f>IF(A1815="","",IF(OR(B1815&lt;&gt;B1814,C1815&lt;&gt;C1814,E1815&lt;&gt;E1814),G1814+1,G1814))</f>
        <v/>
      </c>
    </row>
    <row r="1816">
      <c r="A1816" s="20">
        <f>IF(A1815="","",IF(A1815+1&gt;Ввод!$B$4,"",A1815+1))</f>
        <v/>
      </c>
      <c r="B1816">
        <f>IF(A1816="","",IFERROR(INDEX(Ввод!$B$12:$B$71,MATCH(A1816,Ввод!$D$12:$D$71,1)),""))</f>
        <v/>
      </c>
      <c r="C1816">
        <f>IF(A1816="","",DATE(YEAR(A1816),12,31)-DATE(YEAR(A1816),1,1)+1)</f>
        <v/>
      </c>
      <c r="D1816">
        <f>IF(A1816="","",SUMIFS(Акты!$D$5:$D$16,Акты!$E$5:$E$16,"&lt;="&amp;A1816)-SUMIFS(Оплаты!$B$6:$B$505,Оплаты!$A$6:$A$505,"&lt;"&amp;A1816,Оплаты!$D$6:$D$505,"&lt;&gt;"))</f>
        <v/>
      </c>
      <c r="E1816">
        <f>IF(A1816="","",IF(SUMPRODUCT((Ввод!$F$12:$F$31&lt;&gt;"")*(Ввод!$F$12:$F$31&lt;=A1816)*(Ввод!$G$12:$G$31&gt;=A1816))&gt;0,1,0))</f>
        <v/>
      </c>
      <c r="G1816">
        <f>IF(A1816="","",IF(OR(B1816&lt;&gt;B1815,C1816&lt;&gt;C1815,E1816&lt;&gt;E1815),G1815+1,G1815))</f>
        <v/>
      </c>
    </row>
    <row r="1817">
      <c r="A1817" s="20">
        <f>IF(A1816="","",IF(A1816+1&gt;Ввод!$B$4,"",A1816+1))</f>
        <v/>
      </c>
      <c r="B1817">
        <f>IF(A1817="","",IFERROR(INDEX(Ввод!$B$12:$B$71,MATCH(A1817,Ввод!$D$12:$D$71,1)),""))</f>
        <v/>
      </c>
      <c r="C1817">
        <f>IF(A1817="","",DATE(YEAR(A1817),12,31)-DATE(YEAR(A1817),1,1)+1)</f>
        <v/>
      </c>
      <c r="D1817">
        <f>IF(A1817="","",SUMIFS(Акты!$D$5:$D$16,Акты!$E$5:$E$16,"&lt;="&amp;A1817)-SUMIFS(Оплаты!$B$6:$B$505,Оплаты!$A$6:$A$505,"&lt;"&amp;A1817,Оплаты!$D$6:$D$505,"&lt;&gt;"))</f>
        <v/>
      </c>
      <c r="E1817">
        <f>IF(A1817="","",IF(SUMPRODUCT((Ввод!$F$12:$F$31&lt;&gt;"")*(Ввод!$F$12:$F$31&lt;=A1817)*(Ввод!$G$12:$G$31&gt;=A1817))&gt;0,1,0))</f>
        <v/>
      </c>
      <c r="G1817">
        <f>IF(A1817="","",IF(OR(B1817&lt;&gt;B1816,C1817&lt;&gt;C1816,E1817&lt;&gt;E1816),G1816+1,G1816))</f>
        <v/>
      </c>
    </row>
    <row r="1818">
      <c r="A1818" s="20">
        <f>IF(A1817="","",IF(A1817+1&gt;Ввод!$B$4,"",A1817+1))</f>
        <v/>
      </c>
      <c r="B1818">
        <f>IF(A1818="","",IFERROR(INDEX(Ввод!$B$12:$B$71,MATCH(A1818,Ввод!$D$12:$D$71,1)),""))</f>
        <v/>
      </c>
      <c r="C1818">
        <f>IF(A1818="","",DATE(YEAR(A1818),12,31)-DATE(YEAR(A1818),1,1)+1)</f>
        <v/>
      </c>
      <c r="D1818">
        <f>IF(A1818="","",SUMIFS(Акты!$D$5:$D$16,Акты!$E$5:$E$16,"&lt;="&amp;A1818)-SUMIFS(Оплаты!$B$6:$B$505,Оплаты!$A$6:$A$505,"&lt;"&amp;A1818,Оплаты!$D$6:$D$505,"&lt;&gt;"))</f>
        <v/>
      </c>
      <c r="E1818">
        <f>IF(A1818="","",IF(SUMPRODUCT((Ввод!$F$12:$F$31&lt;&gt;"")*(Ввод!$F$12:$F$31&lt;=A1818)*(Ввод!$G$12:$G$31&gt;=A1818))&gt;0,1,0))</f>
        <v/>
      </c>
      <c r="G1818">
        <f>IF(A1818="","",IF(OR(B1818&lt;&gt;B1817,C1818&lt;&gt;C1817,E1818&lt;&gt;E1817),G1817+1,G1817))</f>
        <v/>
      </c>
    </row>
    <row r="1819">
      <c r="A1819" s="20">
        <f>IF(A1818="","",IF(A1818+1&gt;Ввод!$B$4,"",A1818+1))</f>
        <v/>
      </c>
      <c r="B1819">
        <f>IF(A1819="","",IFERROR(INDEX(Ввод!$B$12:$B$71,MATCH(A1819,Ввод!$D$12:$D$71,1)),""))</f>
        <v/>
      </c>
      <c r="C1819">
        <f>IF(A1819="","",DATE(YEAR(A1819),12,31)-DATE(YEAR(A1819),1,1)+1)</f>
        <v/>
      </c>
      <c r="D1819">
        <f>IF(A1819="","",SUMIFS(Акты!$D$5:$D$16,Акты!$E$5:$E$16,"&lt;="&amp;A1819)-SUMIFS(Оплаты!$B$6:$B$505,Оплаты!$A$6:$A$505,"&lt;"&amp;A1819,Оплаты!$D$6:$D$505,"&lt;&gt;"))</f>
        <v/>
      </c>
      <c r="E1819">
        <f>IF(A1819="","",IF(SUMPRODUCT((Ввод!$F$12:$F$31&lt;&gt;"")*(Ввод!$F$12:$F$31&lt;=A1819)*(Ввод!$G$12:$G$31&gt;=A1819))&gt;0,1,0))</f>
        <v/>
      </c>
      <c r="G1819">
        <f>IF(A1819="","",IF(OR(B1819&lt;&gt;B1818,C1819&lt;&gt;C1818,E1819&lt;&gt;E1818),G1818+1,G1818))</f>
        <v/>
      </c>
    </row>
    <row r="1820">
      <c r="A1820" s="20">
        <f>IF(A1819="","",IF(A1819+1&gt;Ввод!$B$4,"",A1819+1))</f>
        <v/>
      </c>
      <c r="B1820">
        <f>IF(A1820="","",IFERROR(INDEX(Ввод!$B$12:$B$71,MATCH(A1820,Ввод!$D$12:$D$71,1)),""))</f>
        <v/>
      </c>
      <c r="C1820">
        <f>IF(A1820="","",DATE(YEAR(A1820),12,31)-DATE(YEAR(A1820),1,1)+1)</f>
        <v/>
      </c>
      <c r="D1820">
        <f>IF(A1820="","",SUMIFS(Акты!$D$5:$D$16,Акты!$E$5:$E$16,"&lt;="&amp;A1820)-SUMIFS(Оплаты!$B$6:$B$505,Оплаты!$A$6:$A$505,"&lt;"&amp;A1820,Оплаты!$D$6:$D$505,"&lt;&gt;"))</f>
        <v/>
      </c>
      <c r="E1820">
        <f>IF(A1820="","",IF(SUMPRODUCT((Ввод!$F$12:$F$31&lt;&gt;"")*(Ввод!$F$12:$F$31&lt;=A1820)*(Ввод!$G$12:$G$31&gt;=A1820))&gt;0,1,0))</f>
        <v/>
      </c>
      <c r="G1820">
        <f>IF(A1820="","",IF(OR(B1820&lt;&gt;B1819,C1820&lt;&gt;C1819,E1820&lt;&gt;E1819),G1819+1,G1819))</f>
        <v/>
      </c>
    </row>
    <row r="1821">
      <c r="A1821" s="20">
        <f>IF(A1820="","",IF(A1820+1&gt;Ввод!$B$4,"",A1820+1))</f>
        <v/>
      </c>
      <c r="B1821">
        <f>IF(A1821="","",IFERROR(INDEX(Ввод!$B$12:$B$71,MATCH(A1821,Ввод!$D$12:$D$71,1)),""))</f>
        <v/>
      </c>
      <c r="C1821">
        <f>IF(A1821="","",DATE(YEAR(A1821),12,31)-DATE(YEAR(A1821),1,1)+1)</f>
        <v/>
      </c>
      <c r="D1821">
        <f>IF(A1821="","",SUMIFS(Акты!$D$5:$D$16,Акты!$E$5:$E$16,"&lt;="&amp;A1821)-SUMIFS(Оплаты!$B$6:$B$505,Оплаты!$A$6:$A$505,"&lt;"&amp;A1821,Оплаты!$D$6:$D$505,"&lt;&gt;"))</f>
        <v/>
      </c>
      <c r="E1821">
        <f>IF(A1821="","",IF(SUMPRODUCT((Ввод!$F$12:$F$31&lt;&gt;"")*(Ввод!$F$12:$F$31&lt;=A1821)*(Ввод!$G$12:$G$31&gt;=A1821))&gt;0,1,0))</f>
        <v/>
      </c>
      <c r="G1821">
        <f>IF(A1821="","",IF(OR(B1821&lt;&gt;B1820,C1821&lt;&gt;C1820,E1821&lt;&gt;E1820),G1820+1,G1820))</f>
        <v/>
      </c>
    </row>
    <row r="1822">
      <c r="A1822" s="20">
        <f>IF(A1821="","",IF(A1821+1&gt;Ввод!$B$4,"",A1821+1))</f>
        <v/>
      </c>
      <c r="B1822">
        <f>IF(A1822="","",IFERROR(INDEX(Ввод!$B$12:$B$71,MATCH(A1822,Ввод!$D$12:$D$71,1)),""))</f>
        <v/>
      </c>
      <c r="C1822">
        <f>IF(A1822="","",DATE(YEAR(A1822),12,31)-DATE(YEAR(A1822),1,1)+1)</f>
        <v/>
      </c>
      <c r="D1822">
        <f>IF(A1822="","",SUMIFS(Акты!$D$5:$D$16,Акты!$E$5:$E$16,"&lt;="&amp;A1822)-SUMIFS(Оплаты!$B$6:$B$505,Оплаты!$A$6:$A$505,"&lt;"&amp;A1822,Оплаты!$D$6:$D$505,"&lt;&gt;"))</f>
        <v/>
      </c>
      <c r="E1822">
        <f>IF(A1822="","",IF(SUMPRODUCT((Ввод!$F$12:$F$31&lt;&gt;"")*(Ввод!$F$12:$F$31&lt;=A1822)*(Ввод!$G$12:$G$31&gt;=A1822))&gt;0,1,0))</f>
        <v/>
      </c>
      <c r="G1822">
        <f>IF(A1822="","",IF(OR(B1822&lt;&gt;B1821,C1822&lt;&gt;C1821,E1822&lt;&gt;E1821),G1821+1,G1821))</f>
        <v/>
      </c>
    </row>
    <row r="1823">
      <c r="A1823" s="20">
        <f>IF(A1822="","",IF(A1822+1&gt;Ввод!$B$4,"",A1822+1))</f>
        <v/>
      </c>
      <c r="B1823">
        <f>IF(A1823="","",IFERROR(INDEX(Ввод!$B$12:$B$71,MATCH(A1823,Ввод!$D$12:$D$71,1)),""))</f>
        <v/>
      </c>
      <c r="C1823">
        <f>IF(A1823="","",DATE(YEAR(A1823),12,31)-DATE(YEAR(A1823),1,1)+1)</f>
        <v/>
      </c>
      <c r="D1823">
        <f>IF(A1823="","",SUMIFS(Акты!$D$5:$D$16,Акты!$E$5:$E$16,"&lt;="&amp;A1823)-SUMIFS(Оплаты!$B$6:$B$505,Оплаты!$A$6:$A$505,"&lt;"&amp;A1823,Оплаты!$D$6:$D$505,"&lt;&gt;"))</f>
        <v/>
      </c>
      <c r="E1823">
        <f>IF(A1823="","",IF(SUMPRODUCT((Ввод!$F$12:$F$31&lt;&gt;"")*(Ввод!$F$12:$F$31&lt;=A1823)*(Ввод!$G$12:$G$31&gt;=A1823))&gt;0,1,0))</f>
        <v/>
      </c>
      <c r="G1823">
        <f>IF(A1823="","",IF(OR(B1823&lt;&gt;B1822,C1823&lt;&gt;C1822,E1823&lt;&gt;E1822),G1822+1,G1822))</f>
        <v/>
      </c>
    </row>
    <row r="1824">
      <c r="A1824" s="20">
        <f>IF(A1823="","",IF(A1823+1&gt;Ввод!$B$4,"",A1823+1))</f>
        <v/>
      </c>
      <c r="B1824">
        <f>IF(A1824="","",IFERROR(INDEX(Ввод!$B$12:$B$71,MATCH(A1824,Ввод!$D$12:$D$71,1)),""))</f>
        <v/>
      </c>
      <c r="C1824">
        <f>IF(A1824="","",DATE(YEAR(A1824),12,31)-DATE(YEAR(A1824),1,1)+1)</f>
        <v/>
      </c>
      <c r="D1824">
        <f>IF(A1824="","",SUMIFS(Акты!$D$5:$D$16,Акты!$E$5:$E$16,"&lt;="&amp;A1824)-SUMIFS(Оплаты!$B$6:$B$505,Оплаты!$A$6:$A$505,"&lt;"&amp;A1824,Оплаты!$D$6:$D$505,"&lt;&gt;"))</f>
        <v/>
      </c>
      <c r="E1824">
        <f>IF(A1824="","",IF(SUMPRODUCT((Ввод!$F$12:$F$31&lt;&gt;"")*(Ввод!$F$12:$F$31&lt;=A1824)*(Ввод!$G$12:$G$31&gt;=A1824))&gt;0,1,0))</f>
        <v/>
      </c>
      <c r="G1824">
        <f>IF(A1824="","",IF(OR(B1824&lt;&gt;B1823,C1824&lt;&gt;C1823,E1824&lt;&gt;E1823),G1823+1,G1823))</f>
        <v/>
      </c>
    </row>
    <row r="1825">
      <c r="A1825" s="20">
        <f>IF(A1824="","",IF(A1824+1&gt;Ввод!$B$4,"",A1824+1))</f>
        <v/>
      </c>
      <c r="B1825">
        <f>IF(A1825="","",IFERROR(INDEX(Ввод!$B$12:$B$71,MATCH(A1825,Ввод!$D$12:$D$71,1)),""))</f>
        <v/>
      </c>
      <c r="C1825">
        <f>IF(A1825="","",DATE(YEAR(A1825),12,31)-DATE(YEAR(A1825),1,1)+1)</f>
        <v/>
      </c>
      <c r="D1825">
        <f>IF(A1825="","",SUMIFS(Акты!$D$5:$D$16,Акты!$E$5:$E$16,"&lt;="&amp;A1825)-SUMIFS(Оплаты!$B$6:$B$505,Оплаты!$A$6:$A$505,"&lt;"&amp;A1825,Оплаты!$D$6:$D$505,"&lt;&gt;"))</f>
        <v/>
      </c>
      <c r="E1825">
        <f>IF(A1825="","",IF(SUMPRODUCT((Ввод!$F$12:$F$31&lt;&gt;"")*(Ввод!$F$12:$F$31&lt;=A1825)*(Ввод!$G$12:$G$31&gt;=A1825))&gt;0,1,0))</f>
        <v/>
      </c>
      <c r="G1825">
        <f>IF(A1825="","",IF(OR(B1825&lt;&gt;B1824,C1825&lt;&gt;C1824,E1825&lt;&gt;E1824),G1824+1,G1824))</f>
        <v/>
      </c>
    </row>
    <row r="1826">
      <c r="A1826" s="20">
        <f>IF(A1825="","",IF(A1825+1&gt;Ввод!$B$4,"",A1825+1))</f>
        <v/>
      </c>
      <c r="B1826">
        <f>IF(A1826="","",IFERROR(INDEX(Ввод!$B$12:$B$71,MATCH(A1826,Ввод!$D$12:$D$71,1)),""))</f>
        <v/>
      </c>
      <c r="C1826">
        <f>IF(A1826="","",DATE(YEAR(A1826),12,31)-DATE(YEAR(A1826),1,1)+1)</f>
        <v/>
      </c>
      <c r="D1826">
        <f>IF(A1826="","",SUMIFS(Акты!$D$5:$D$16,Акты!$E$5:$E$16,"&lt;="&amp;A1826)-SUMIFS(Оплаты!$B$6:$B$505,Оплаты!$A$6:$A$505,"&lt;"&amp;A1826,Оплаты!$D$6:$D$505,"&lt;&gt;"))</f>
        <v/>
      </c>
      <c r="E1826">
        <f>IF(A1826="","",IF(SUMPRODUCT((Ввод!$F$12:$F$31&lt;&gt;"")*(Ввод!$F$12:$F$31&lt;=A1826)*(Ввод!$G$12:$G$31&gt;=A1826))&gt;0,1,0))</f>
        <v/>
      </c>
      <c r="G1826">
        <f>IF(A1826="","",IF(OR(B1826&lt;&gt;B1825,C1826&lt;&gt;C1825,E1826&lt;&gt;E1825),G1825+1,G1825))</f>
        <v/>
      </c>
    </row>
    <row r="1827">
      <c r="A1827" s="20">
        <f>IF(A1826="","",IF(A1826+1&gt;Ввод!$B$4,"",A1826+1))</f>
        <v/>
      </c>
      <c r="B1827">
        <f>IF(A1827="","",IFERROR(INDEX(Ввод!$B$12:$B$71,MATCH(A1827,Ввод!$D$12:$D$71,1)),""))</f>
        <v/>
      </c>
      <c r="C1827">
        <f>IF(A1827="","",DATE(YEAR(A1827),12,31)-DATE(YEAR(A1827),1,1)+1)</f>
        <v/>
      </c>
      <c r="D1827">
        <f>IF(A1827="","",SUMIFS(Акты!$D$5:$D$16,Акты!$E$5:$E$16,"&lt;="&amp;A1827)-SUMIFS(Оплаты!$B$6:$B$505,Оплаты!$A$6:$A$505,"&lt;"&amp;A1827,Оплаты!$D$6:$D$505,"&lt;&gt;"))</f>
        <v/>
      </c>
      <c r="E1827">
        <f>IF(A1827="","",IF(SUMPRODUCT((Ввод!$F$12:$F$31&lt;&gt;"")*(Ввод!$F$12:$F$31&lt;=A1827)*(Ввод!$G$12:$G$31&gt;=A1827))&gt;0,1,0))</f>
        <v/>
      </c>
      <c r="G1827">
        <f>IF(A1827="","",IF(OR(B1827&lt;&gt;B1826,C1827&lt;&gt;C1826,E1827&lt;&gt;E1826),G1826+1,G1826))</f>
        <v/>
      </c>
    </row>
    <row r="1828">
      <c r="A1828" s="20">
        <f>IF(A1827="","",IF(A1827+1&gt;Ввод!$B$4,"",A1827+1))</f>
        <v/>
      </c>
      <c r="B1828">
        <f>IF(A1828="","",IFERROR(INDEX(Ввод!$B$12:$B$71,MATCH(A1828,Ввод!$D$12:$D$71,1)),""))</f>
        <v/>
      </c>
      <c r="C1828">
        <f>IF(A1828="","",DATE(YEAR(A1828),12,31)-DATE(YEAR(A1828),1,1)+1)</f>
        <v/>
      </c>
      <c r="D1828">
        <f>IF(A1828="","",SUMIFS(Акты!$D$5:$D$16,Акты!$E$5:$E$16,"&lt;="&amp;A1828)-SUMIFS(Оплаты!$B$6:$B$505,Оплаты!$A$6:$A$505,"&lt;"&amp;A1828,Оплаты!$D$6:$D$505,"&lt;&gt;"))</f>
        <v/>
      </c>
      <c r="E1828">
        <f>IF(A1828="","",IF(SUMPRODUCT((Ввод!$F$12:$F$31&lt;&gt;"")*(Ввод!$F$12:$F$31&lt;=A1828)*(Ввод!$G$12:$G$31&gt;=A1828))&gt;0,1,0))</f>
        <v/>
      </c>
      <c r="G1828">
        <f>IF(A1828="","",IF(OR(B1828&lt;&gt;B1827,C1828&lt;&gt;C1827,E1828&lt;&gt;E1827),G1827+1,G1827))</f>
        <v/>
      </c>
    </row>
    <row r="1829">
      <c r="A1829" s="20">
        <f>IF(A1828="","",IF(A1828+1&gt;Ввод!$B$4,"",A1828+1))</f>
        <v/>
      </c>
      <c r="B1829">
        <f>IF(A1829="","",IFERROR(INDEX(Ввод!$B$12:$B$71,MATCH(A1829,Ввод!$D$12:$D$71,1)),""))</f>
        <v/>
      </c>
      <c r="C1829">
        <f>IF(A1829="","",DATE(YEAR(A1829),12,31)-DATE(YEAR(A1829),1,1)+1)</f>
        <v/>
      </c>
      <c r="D1829">
        <f>IF(A1829="","",SUMIFS(Акты!$D$5:$D$16,Акты!$E$5:$E$16,"&lt;="&amp;A1829)-SUMIFS(Оплаты!$B$6:$B$505,Оплаты!$A$6:$A$505,"&lt;"&amp;A1829,Оплаты!$D$6:$D$505,"&lt;&gt;"))</f>
        <v/>
      </c>
      <c r="E1829">
        <f>IF(A1829="","",IF(SUMPRODUCT((Ввод!$F$12:$F$31&lt;&gt;"")*(Ввод!$F$12:$F$31&lt;=A1829)*(Ввод!$G$12:$G$31&gt;=A1829))&gt;0,1,0))</f>
        <v/>
      </c>
      <c r="G1829">
        <f>IF(A1829="","",IF(OR(B1829&lt;&gt;B1828,C1829&lt;&gt;C1828,E1829&lt;&gt;E1828),G1828+1,G1828))</f>
        <v/>
      </c>
    </row>
    <row r="1830">
      <c r="A1830" s="20">
        <f>IF(A1829="","",IF(A1829+1&gt;Ввод!$B$4,"",A1829+1))</f>
        <v/>
      </c>
      <c r="B1830">
        <f>IF(A1830="","",IFERROR(INDEX(Ввод!$B$12:$B$71,MATCH(A1830,Ввод!$D$12:$D$71,1)),""))</f>
        <v/>
      </c>
      <c r="C1830">
        <f>IF(A1830="","",DATE(YEAR(A1830),12,31)-DATE(YEAR(A1830),1,1)+1)</f>
        <v/>
      </c>
      <c r="D1830">
        <f>IF(A1830="","",SUMIFS(Акты!$D$5:$D$16,Акты!$E$5:$E$16,"&lt;="&amp;A1830)-SUMIFS(Оплаты!$B$6:$B$505,Оплаты!$A$6:$A$505,"&lt;"&amp;A1830,Оплаты!$D$6:$D$505,"&lt;&gt;"))</f>
        <v/>
      </c>
      <c r="E1830">
        <f>IF(A1830="","",IF(SUMPRODUCT((Ввод!$F$12:$F$31&lt;&gt;"")*(Ввод!$F$12:$F$31&lt;=A1830)*(Ввод!$G$12:$G$31&gt;=A1830))&gt;0,1,0))</f>
        <v/>
      </c>
      <c r="G1830">
        <f>IF(A1830="","",IF(OR(B1830&lt;&gt;B1829,C1830&lt;&gt;C1829,E1830&lt;&gt;E1829),G1829+1,G1829))</f>
        <v/>
      </c>
    </row>
    <row r="1831">
      <c r="A1831" s="20">
        <f>IF(A1830="","",IF(A1830+1&gt;Ввод!$B$4,"",A1830+1))</f>
        <v/>
      </c>
      <c r="B1831">
        <f>IF(A1831="","",IFERROR(INDEX(Ввод!$B$12:$B$71,MATCH(A1831,Ввод!$D$12:$D$71,1)),""))</f>
        <v/>
      </c>
      <c r="C1831">
        <f>IF(A1831="","",DATE(YEAR(A1831),12,31)-DATE(YEAR(A1831),1,1)+1)</f>
        <v/>
      </c>
      <c r="D1831">
        <f>IF(A1831="","",SUMIFS(Акты!$D$5:$D$16,Акты!$E$5:$E$16,"&lt;="&amp;A1831)-SUMIFS(Оплаты!$B$6:$B$505,Оплаты!$A$6:$A$505,"&lt;"&amp;A1831,Оплаты!$D$6:$D$505,"&lt;&gt;"))</f>
        <v/>
      </c>
      <c r="E1831">
        <f>IF(A1831="","",IF(SUMPRODUCT((Ввод!$F$12:$F$31&lt;&gt;"")*(Ввод!$F$12:$F$31&lt;=A1831)*(Ввод!$G$12:$G$31&gt;=A1831))&gt;0,1,0))</f>
        <v/>
      </c>
      <c r="G1831">
        <f>IF(A1831="","",IF(OR(B1831&lt;&gt;B1830,C1831&lt;&gt;C1830,E1831&lt;&gt;E1830),G1830+1,G1830))</f>
        <v/>
      </c>
    </row>
    <row r="1832">
      <c r="A1832" s="20">
        <f>IF(A1831="","",IF(A1831+1&gt;Ввод!$B$4,"",A1831+1))</f>
        <v/>
      </c>
      <c r="B1832">
        <f>IF(A1832="","",IFERROR(INDEX(Ввод!$B$12:$B$71,MATCH(A1832,Ввод!$D$12:$D$71,1)),""))</f>
        <v/>
      </c>
      <c r="C1832">
        <f>IF(A1832="","",DATE(YEAR(A1832),12,31)-DATE(YEAR(A1832),1,1)+1)</f>
        <v/>
      </c>
      <c r="D1832">
        <f>IF(A1832="","",SUMIFS(Акты!$D$5:$D$16,Акты!$E$5:$E$16,"&lt;="&amp;A1832)-SUMIFS(Оплаты!$B$6:$B$505,Оплаты!$A$6:$A$505,"&lt;"&amp;A1832,Оплаты!$D$6:$D$505,"&lt;&gt;"))</f>
        <v/>
      </c>
      <c r="E1832">
        <f>IF(A1832="","",IF(SUMPRODUCT((Ввод!$F$12:$F$31&lt;&gt;"")*(Ввод!$F$12:$F$31&lt;=A1832)*(Ввод!$G$12:$G$31&gt;=A1832))&gt;0,1,0))</f>
        <v/>
      </c>
      <c r="G1832">
        <f>IF(A1832="","",IF(OR(B1832&lt;&gt;B1831,C1832&lt;&gt;C1831,E1832&lt;&gt;E1831),G1831+1,G1831))</f>
        <v/>
      </c>
    </row>
    <row r="1833">
      <c r="A1833" s="20">
        <f>IF(A1832="","",IF(A1832+1&gt;Ввод!$B$4,"",A1832+1))</f>
        <v/>
      </c>
      <c r="B1833">
        <f>IF(A1833="","",IFERROR(INDEX(Ввод!$B$12:$B$71,MATCH(A1833,Ввод!$D$12:$D$71,1)),""))</f>
        <v/>
      </c>
      <c r="C1833">
        <f>IF(A1833="","",DATE(YEAR(A1833),12,31)-DATE(YEAR(A1833),1,1)+1)</f>
        <v/>
      </c>
      <c r="D1833">
        <f>IF(A1833="","",SUMIFS(Акты!$D$5:$D$16,Акты!$E$5:$E$16,"&lt;="&amp;A1833)-SUMIFS(Оплаты!$B$6:$B$505,Оплаты!$A$6:$A$505,"&lt;"&amp;A1833,Оплаты!$D$6:$D$505,"&lt;&gt;"))</f>
        <v/>
      </c>
      <c r="E1833">
        <f>IF(A1833="","",IF(SUMPRODUCT((Ввод!$F$12:$F$31&lt;&gt;"")*(Ввод!$F$12:$F$31&lt;=A1833)*(Ввод!$G$12:$G$31&gt;=A1833))&gt;0,1,0))</f>
        <v/>
      </c>
      <c r="G1833">
        <f>IF(A1833="","",IF(OR(B1833&lt;&gt;B1832,C1833&lt;&gt;C1832,E1833&lt;&gt;E1832),G1832+1,G1832))</f>
        <v/>
      </c>
    </row>
    <row r="1834">
      <c r="A1834" s="20">
        <f>IF(A1833="","",IF(A1833+1&gt;Ввод!$B$4,"",A1833+1))</f>
        <v/>
      </c>
      <c r="B1834">
        <f>IF(A1834="","",IFERROR(INDEX(Ввод!$B$12:$B$71,MATCH(A1834,Ввод!$D$12:$D$71,1)),""))</f>
        <v/>
      </c>
      <c r="C1834">
        <f>IF(A1834="","",DATE(YEAR(A1834),12,31)-DATE(YEAR(A1834),1,1)+1)</f>
        <v/>
      </c>
      <c r="D1834">
        <f>IF(A1834="","",SUMIFS(Акты!$D$5:$D$16,Акты!$E$5:$E$16,"&lt;="&amp;A1834)-SUMIFS(Оплаты!$B$6:$B$505,Оплаты!$A$6:$A$505,"&lt;"&amp;A1834,Оплаты!$D$6:$D$505,"&lt;&gt;"))</f>
        <v/>
      </c>
      <c r="E1834">
        <f>IF(A1834="","",IF(SUMPRODUCT((Ввод!$F$12:$F$31&lt;&gt;"")*(Ввод!$F$12:$F$31&lt;=A1834)*(Ввод!$G$12:$G$31&gt;=A1834))&gt;0,1,0))</f>
        <v/>
      </c>
      <c r="G1834">
        <f>IF(A1834="","",IF(OR(B1834&lt;&gt;B1833,C1834&lt;&gt;C1833,E1834&lt;&gt;E1833),G1833+1,G1833))</f>
        <v/>
      </c>
    </row>
    <row r="1835">
      <c r="A1835" s="20">
        <f>IF(A1834="","",IF(A1834+1&gt;Ввод!$B$4,"",A1834+1))</f>
        <v/>
      </c>
      <c r="B1835">
        <f>IF(A1835="","",IFERROR(INDEX(Ввод!$B$12:$B$71,MATCH(A1835,Ввод!$D$12:$D$71,1)),""))</f>
        <v/>
      </c>
      <c r="C1835">
        <f>IF(A1835="","",DATE(YEAR(A1835),12,31)-DATE(YEAR(A1835),1,1)+1)</f>
        <v/>
      </c>
      <c r="D1835">
        <f>IF(A1835="","",SUMIFS(Акты!$D$5:$D$16,Акты!$E$5:$E$16,"&lt;="&amp;A1835)-SUMIFS(Оплаты!$B$6:$B$505,Оплаты!$A$6:$A$505,"&lt;"&amp;A1835,Оплаты!$D$6:$D$505,"&lt;&gt;"))</f>
        <v/>
      </c>
      <c r="E1835">
        <f>IF(A1835="","",IF(SUMPRODUCT((Ввод!$F$12:$F$31&lt;&gt;"")*(Ввод!$F$12:$F$31&lt;=A1835)*(Ввод!$G$12:$G$31&gt;=A1835))&gt;0,1,0))</f>
        <v/>
      </c>
      <c r="G1835">
        <f>IF(A1835="","",IF(OR(B1835&lt;&gt;B1834,C1835&lt;&gt;C1834,E1835&lt;&gt;E1834),G1834+1,G1834))</f>
        <v/>
      </c>
    </row>
    <row r="1836">
      <c r="A1836" s="20">
        <f>IF(A1835="","",IF(A1835+1&gt;Ввод!$B$4,"",A1835+1))</f>
        <v/>
      </c>
      <c r="B1836">
        <f>IF(A1836="","",IFERROR(INDEX(Ввод!$B$12:$B$71,MATCH(A1836,Ввод!$D$12:$D$71,1)),""))</f>
        <v/>
      </c>
      <c r="C1836">
        <f>IF(A1836="","",DATE(YEAR(A1836),12,31)-DATE(YEAR(A1836),1,1)+1)</f>
        <v/>
      </c>
      <c r="D1836">
        <f>IF(A1836="","",SUMIFS(Акты!$D$5:$D$16,Акты!$E$5:$E$16,"&lt;="&amp;A1836)-SUMIFS(Оплаты!$B$6:$B$505,Оплаты!$A$6:$A$505,"&lt;"&amp;A1836,Оплаты!$D$6:$D$505,"&lt;&gt;"))</f>
        <v/>
      </c>
      <c r="E1836">
        <f>IF(A1836="","",IF(SUMPRODUCT((Ввод!$F$12:$F$31&lt;&gt;"")*(Ввод!$F$12:$F$31&lt;=A1836)*(Ввод!$G$12:$G$31&gt;=A1836))&gt;0,1,0))</f>
        <v/>
      </c>
      <c r="G1836">
        <f>IF(A1836="","",IF(OR(B1836&lt;&gt;B1835,C1836&lt;&gt;C1835,E1836&lt;&gt;E1835),G1835+1,G1835))</f>
        <v/>
      </c>
    </row>
    <row r="1837">
      <c r="A1837" s="20">
        <f>IF(A1836="","",IF(A1836+1&gt;Ввод!$B$4,"",A1836+1))</f>
        <v/>
      </c>
      <c r="B1837">
        <f>IF(A1837="","",IFERROR(INDEX(Ввод!$B$12:$B$71,MATCH(A1837,Ввод!$D$12:$D$71,1)),""))</f>
        <v/>
      </c>
      <c r="C1837">
        <f>IF(A1837="","",DATE(YEAR(A1837),12,31)-DATE(YEAR(A1837),1,1)+1)</f>
        <v/>
      </c>
      <c r="D1837">
        <f>IF(A1837="","",SUMIFS(Акты!$D$5:$D$16,Акты!$E$5:$E$16,"&lt;="&amp;A1837)-SUMIFS(Оплаты!$B$6:$B$505,Оплаты!$A$6:$A$505,"&lt;"&amp;A1837,Оплаты!$D$6:$D$505,"&lt;&gt;"))</f>
        <v/>
      </c>
      <c r="E1837">
        <f>IF(A1837="","",IF(SUMPRODUCT((Ввод!$F$12:$F$31&lt;&gt;"")*(Ввод!$F$12:$F$31&lt;=A1837)*(Ввод!$G$12:$G$31&gt;=A1837))&gt;0,1,0))</f>
        <v/>
      </c>
      <c r="G1837">
        <f>IF(A1837="","",IF(OR(B1837&lt;&gt;B1836,C1837&lt;&gt;C1836,E1837&lt;&gt;E1836),G1836+1,G1836))</f>
        <v/>
      </c>
    </row>
    <row r="1838">
      <c r="A1838" s="20">
        <f>IF(A1837="","",IF(A1837+1&gt;Ввод!$B$4,"",A1837+1))</f>
        <v/>
      </c>
      <c r="B1838">
        <f>IF(A1838="","",IFERROR(INDEX(Ввод!$B$12:$B$71,MATCH(A1838,Ввод!$D$12:$D$71,1)),""))</f>
        <v/>
      </c>
      <c r="C1838">
        <f>IF(A1838="","",DATE(YEAR(A1838),12,31)-DATE(YEAR(A1838),1,1)+1)</f>
        <v/>
      </c>
      <c r="D1838">
        <f>IF(A1838="","",SUMIFS(Акты!$D$5:$D$16,Акты!$E$5:$E$16,"&lt;="&amp;A1838)-SUMIFS(Оплаты!$B$6:$B$505,Оплаты!$A$6:$A$505,"&lt;"&amp;A1838,Оплаты!$D$6:$D$505,"&lt;&gt;"))</f>
        <v/>
      </c>
      <c r="E1838">
        <f>IF(A1838="","",IF(SUMPRODUCT((Ввод!$F$12:$F$31&lt;&gt;"")*(Ввод!$F$12:$F$31&lt;=A1838)*(Ввод!$G$12:$G$31&gt;=A1838))&gt;0,1,0))</f>
        <v/>
      </c>
      <c r="G1838">
        <f>IF(A1838="","",IF(OR(B1838&lt;&gt;B1837,C1838&lt;&gt;C1837,E1838&lt;&gt;E1837),G1837+1,G1837))</f>
        <v/>
      </c>
    </row>
    <row r="1839">
      <c r="A1839" s="20">
        <f>IF(A1838="","",IF(A1838+1&gt;Ввод!$B$4,"",A1838+1))</f>
        <v/>
      </c>
      <c r="B1839">
        <f>IF(A1839="","",IFERROR(INDEX(Ввод!$B$12:$B$71,MATCH(A1839,Ввод!$D$12:$D$71,1)),""))</f>
        <v/>
      </c>
      <c r="C1839">
        <f>IF(A1839="","",DATE(YEAR(A1839),12,31)-DATE(YEAR(A1839),1,1)+1)</f>
        <v/>
      </c>
      <c r="D1839">
        <f>IF(A1839="","",SUMIFS(Акты!$D$5:$D$16,Акты!$E$5:$E$16,"&lt;="&amp;A1839)-SUMIFS(Оплаты!$B$6:$B$505,Оплаты!$A$6:$A$505,"&lt;"&amp;A1839,Оплаты!$D$6:$D$505,"&lt;&gt;"))</f>
        <v/>
      </c>
      <c r="E1839">
        <f>IF(A1839="","",IF(SUMPRODUCT((Ввод!$F$12:$F$31&lt;&gt;"")*(Ввод!$F$12:$F$31&lt;=A1839)*(Ввод!$G$12:$G$31&gt;=A1839))&gt;0,1,0))</f>
        <v/>
      </c>
      <c r="G1839">
        <f>IF(A1839="","",IF(OR(B1839&lt;&gt;B1838,C1839&lt;&gt;C1838,E1839&lt;&gt;E1838),G1838+1,G1838))</f>
        <v/>
      </c>
    </row>
    <row r="1840">
      <c r="A1840" s="20">
        <f>IF(A1839="","",IF(A1839+1&gt;Ввод!$B$4,"",A1839+1))</f>
        <v/>
      </c>
      <c r="B1840">
        <f>IF(A1840="","",IFERROR(INDEX(Ввод!$B$12:$B$71,MATCH(A1840,Ввод!$D$12:$D$71,1)),""))</f>
        <v/>
      </c>
      <c r="C1840">
        <f>IF(A1840="","",DATE(YEAR(A1840),12,31)-DATE(YEAR(A1840),1,1)+1)</f>
        <v/>
      </c>
      <c r="D1840">
        <f>IF(A1840="","",SUMIFS(Акты!$D$5:$D$16,Акты!$E$5:$E$16,"&lt;="&amp;A1840)-SUMIFS(Оплаты!$B$6:$B$505,Оплаты!$A$6:$A$505,"&lt;"&amp;A1840,Оплаты!$D$6:$D$505,"&lt;&gt;"))</f>
        <v/>
      </c>
      <c r="E1840">
        <f>IF(A1840="","",IF(SUMPRODUCT((Ввод!$F$12:$F$31&lt;&gt;"")*(Ввод!$F$12:$F$31&lt;=A1840)*(Ввод!$G$12:$G$31&gt;=A1840))&gt;0,1,0))</f>
        <v/>
      </c>
      <c r="G1840">
        <f>IF(A1840="","",IF(OR(B1840&lt;&gt;B1839,C1840&lt;&gt;C1839,E1840&lt;&gt;E1839),G1839+1,G1839))</f>
        <v/>
      </c>
    </row>
    <row r="1841">
      <c r="A1841" s="20">
        <f>IF(A1840="","",IF(A1840+1&gt;Ввод!$B$4,"",A1840+1))</f>
        <v/>
      </c>
      <c r="B1841">
        <f>IF(A1841="","",IFERROR(INDEX(Ввод!$B$12:$B$71,MATCH(A1841,Ввод!$D$12:$D$71,1)),""))</f>
        <v/>
      </c>
      <c r="C1841">
        <f>IF(A1841="","",DATE(YEAR(A1841),12,31)-DATE(YEAR(A1841),1,1)+1)</f>
        <v/>
      </c>
      <c r="D1841">
        <f>IF(A1841="","",SUMIFS(Акты!$D$5:$D$16,Акты!$E$5:$E$16,"&lt;="&amp;A1841)-SUMIFS(Оплаты!$B$6:$B$505,Оплаты!$A$6:$A$505,"&lt;"&amp;A1841,Оплаты!$D$6:$D$505,"&lt;&gt;"))</f>
        <v/>
      </c>
      <c r="E1841">
        <f>IF(A1841="","",IF(SUMPRODUCT((Ввод!$F$12:$F$31&lt;&gt;"")*(Ввод!$F$12:$F$31&lt;=A1841)*(Ввод!$G$12:$G$31&gt;=A1841))&gt;0,1,0))</f>
        <v/>
      </c>
      <c r="G1841">
        <f>IF(A1841="","",IF(OR(B1841&lt;&gt;B1840,C1841&lt;&gt;C1840,E1841&lt;&gt;E1840),G1840+1,G1840))</f>
        <v/>
      </c>
    </row>
    <row r="1842">
      <c r="A1842" s="20">
        <f>IF(A1841="","",IF(A1841+1&gt;Ввод!$B$4,"",A1841+1))</f>
        <v/>
      </c>
      <c r="B1842">
        <f>IF(A1842="","",IFERROR(INDEX(Ввод!$B$12:$B$71,MATCH(A1842,Ввод!$D$12:$D$71,1)),""))</f>
        <v/>
      </c>
      <c r="C1842">
        <f>IF(A1842="","",DATE(YEAR(A1842),12,31)-DATE(YEAR(A1842),1,1)+1)</f>
        <v/>
      </c>
      <c r="D1842">
        <f>IF(A1842="","",SUMIFS(Акты!$D$5:$D$16,Акты!$E$5:$E$16,"&lt;="&amp;A1842)-SUMIFS(Оплаты!$B$6:$B$505,Оплаты!$A$6:$A$505,"&lt;"&amp;A1842,Оплаты!$D$6:$D$505,"&lt;&gt;"))</f>
        <v/>
      </c>
      <c r="E1842">
        <f>IF(A1842="","",IF(SUMPRODUCT((Ввод!$F$12:$F$31&lt;&gt;"")*(Ввод!$F$12:$F$31&lt;=A1842)*(Ввод!$G$12:$G$31&gt;=A1842))&gt;0,1,0))</f>
        <v/>
      </c>
      <c r="G1842">
        <f>IF(A1842="","",IF(OR(B1842&lt;&gt;B1841,C1842&lt;&gt;C1841,E1842&lt;&gt;E1841),G1841+1,G1841))</f>
        <v/>
      </c>
    </row>
    <row r="1843">
      <c r="A1843" s="20">
        <f>IF(A1842="","",IF(A1842+1&gt;Ввод!$B$4,"",A1842+1))</f>
        <v/>
      </c>
      <c r="B1843">
        <f>IF(A1843="","",IFERROR(INDEX(Ввод!$B$12:$B$71,MATCH(A1843,Ввод!$D$12:$D$71,1)),""))</f>
        <v/>
      </c>
      <c r="C1843">
        <f>IF(A1843="","",DATE(YEAR(A1843),12,31)-DATE(YEAR(A1843),1,1)+1)</f>
        <v/>
      </c>
      <c r="D1843">
        <f>IF(A1843="","",SUMIFS(Акты!$D$5:$D$16,Акты!$E$5:$E$16,"&lt;="&amp;A1843)-SUMIFS(Оплаты!$B$6:$B$505,Оплаты!$A$6:$A$505,"&lt;"&amp;A1843,Оплаты!$D$6:$D$505,"&lt;&gt;"))</f>
        <v/>
      </c>
      <c r="E1843">
        <f>IF(A1843="","",IF(SUMPRODUCT((Ввод!$F$12:$F$31&lt;&gt;"")*(Ввод!$F$12:$F$31&lt;=A1843)*(Ввод!$G$12:$G$31&gt;=A1843))&gt;0,1,0))</f>
        <v/>
      </c>
      <c r="G1843">
        <f>IF(A1843="","",IF(OR(B1843&lt;&gt;B1842,C1843&lt;&gt;C1842,E1843&lt;&gt;E1842),G1842+1,G1842))</f>
        <v/>
      </c>
    </row>
    <row r="1844">
      <c r="A1844" s="20">
        <f>IF(A1843="","",IF(A1843+1&gt;Ввод!$B$4,"",A1843+1))</f>
        <v/>
      </c>
      <c r="B1844">
        <f>IF(A1844="","",IFERROR(INDEX(Ввод!$B$12:$B$71,MATCH(A1844,Ввод!$D$12:$D$71,1)),""))</f>
        <v/>
      </c>
      <c r="C1844">
        <f>IF(A1844="","",DATE(YEAR(A1844),12,31)-DATE(YEAR(A1844),1,1)+1)</f>
        <v/>
      </c>
      <c r="D1844">
        <f>IF(A1844="","",SUMIFS(Акты!$D$5:$D$16,Акты!$E$5:$E$16,"&lt;="&amp;A1844)-SUMIFS(Оплаты!$B$6:$B$505,Оплаты!$A$6:$A$505,"&lt;"&amp;A1844,Оплаты!$D$6:$D$505,"&lt;&gt;"))</f>
        <v/>
      </c>
      <c r="E1844">
        <f>IF(A1844="","",IF(SUMPRODUCT((Ввод!$F$12:$F$31&lt;&gt;"")*(Ввод!$F$12:$F$31&lt;=A1844)*(Ввод!$G$12:$G$31&gt;=A1844))&gt;0,1,0))</f>
        <v/>
      </c>
      <c r="G1844">
        <f>IF(A1844="","",IF(OR(B1844&lt;&gt;B1843,C1844&lt;&gt;C1843,E1844&lt;&gt;E1843),G1843+1,G1843))</f>
        <v/>
      </c>
    </row>
    <row r="1845">
      <c r="A1845" s="20">
        <f>IF(A1844="","",IF(A1844+1&gt;Ввод!$B$4,"",A1844+1))</f>
        <v/>
      </c>
      <c r="B1845">
        <f>IF(A1845="","",IFERROR(INDEX(Ввод!$B$12:$B$71,MATCH(A1845,Ввод!$D$12:$D$71,1)),""))</f>
        <v/>
      </c>
      <c r="C1845">
        <f>IF(A1845="","",DATE(YEAR(A1845),12,31)-DATE(YEAR(A1845),1,1)+1)</f>
        <v/>
      </c>
      <c r="D1845">
        <f>IF(A1845="","",SUMIFS(Акты!$D$5:$D$16,Акты!$E$5:$E$16,"&lt;="&amp;A1845)-SUMIFS(Оплаты!$B$6:$B$505,Оплаты!$A$6:$A$505,"&lt;"&amp;A1845,Оплаты!$D$6:$D$505,"&lt;&gt;"))</f>
        <v/>
      </c>
      <c r="E1845">
        <f>IF(A1845="","",IF(SUMPRODUCT((Ввод!$F$12:$F$31&lt;&gt;"")*(Ввод!$F$12:$F$31&lt;=A1845)*(Ввод!$G$12:$G$31&gt;=A1845))&gt;0,1,0))</f>
        <v/>
      </c>
      <c r="G1845">
        <f>IF(A1845="","",IF(OR(B1845&lt;&gt;B1844,C1845&lt;&gt;C1844,E1845&lt;&gt;E1844),G1844+1,G1844))</f>
        <v/>
      </c>
    </row>
    <row r="1846">
      <c r="A1846" s="20">
        <f>IF(A1845="","",IF(A1845+1&gt;Ввод!$B$4,"",A1845+1))</f>
        <v/>
      </c>
      <c r="B1846">
        <f>IF(A1846="","",IFERROR(INDEX(Ввод!$B$12:$B$71,MATCH(A1846,Ввод!$D$12:$D$71,1)),""))</f>
        <v/>
      </c>
      <c r="C1846">
        <f>IF(A1846="","",DATE(YEAR(A1846),12,31)-DATE(YEAR(A1846),1,1)+1)</f>
        <v/>
      </c>
      <c r="D1846">
        <f>IF(A1846="","",SUMIFS(Акты!$D$5:$D$16,Акты!$E$5:$E$16,"&lt;="&amp;A1846)-SUMIFS(Оплаты!$B$6:$B$505,Оплаты!$A$6:$A$505,"&lt;"&amp;A1846,Оплаты!$D$6:$D$505,"&lt;&gt;"))</f>
        <v/>
      </c>
      <c r="E1846">
        <f>IF(A1846="","",IF(SUMPRODUCT((Ввод!$F$12:$F$31&lt;&gt;"")*(Ввод!$F$12:$F$31&lt;=A1846)*(Ввод!$G$12:$G$31&gt;=A1846))&gt;0,1,0))</f>
        <v/>
      </c>
      <c r="G1846">
        <f>IF(A1846="","",IF(OR(B1846&lt;&gt;B1845,C1846&lt;&gt;C1845,E1846&lt;&gt;E1845),G1845+1,G1845))</f>
        <v/>
      </c>
    </row>
    <row r="1847">
      <c r="A1847" s="20">
        <f>IF(A1846="","",IF(A1846+1&gt;Ввод!$B$4,"",A1846+1))</f>
        <v/>
      </c>
      <c r="B1847">
        <f>IF(A1847="","",IFERROR(INDEX(Ввод!$B$12:$B$71,MATCH(A1847,Ввод!$D$12:$D$71,1)),""))</f>
        <v/>
      </c>
      <c r="C1847">
        <f>IF(A1847="","",DATE(YEAR(A1847),12,31)-DATE(YEAR(A1847),1,1)+1)</f>
        <v/>
      </c>
      <c r="D1847">
        <f>IF(A1847="","",SUMIFS(Акты!$D$5:$D$16,Акты!$E$5:$E$16,"&lt;="&amp;A1847)-SUMIFS(Оплаты!$B$6:$B$505,Оплаты!$A$6:$A$505,"&lt;"&amp;A1847,Оплаты!$D$6:$D$505,"&lt;&gt;"))</f>
        <v/>
      </c>
      <c r="E1847">
        <f>IF(A1847="","",IF(SUMPRODUCT((Ввод!$F$12:$F$31&lt;&gt;"")*(Ввод!$F$12:$F$31&lt;=A1847)*(Ввод!$G$12:$G$31&gt;=A1847))&gt;0,1,0))</f>
        <v/>
      </c>
      <c r="G1847">
        <f>IF(A1847="","",IF(OR(B1847&lt;&gt;B1846,C1847&lt;&gt;C1846,E1847&lt;&gt;E1846),G1846+1,G1846))</f>
        <v/>
      </c>
    </row>
    <row r="1848">
      <c r="A1848" s="20">
        <f>IF(A1847="","",IF(A1847+1&gt;Ввод!$B$4,"",A1847+1))</f>
        <v/>
      </c>
      <c r="B1848">
        <f>IF(A1848="","",IFERROR(INDEX(Ввод!$B$12:$B$71,MATCH(A1848,Ввод!$D$12:$D$71,1)),""))</f>
        <v/>
      </c>
      <c r="C1848">
        <f>IF(A1848="","",DATE(YEAR(A1848),12,31)-DATE(YEAR(A1848),1,1)+1)</f>
        <v/>
      </c>
      <c r="D1848">
        <f>IF(A1848="","",SUMIFS(Акты!$D$5:$D$16,Акты!$E$5:$E$16,"&lt;="&amp;A1848)-SUMIFS(Оплаты!$B$6:$B$505,Оплаты!$A$6:$A$505,"&lt;"&amp;A1848,Оплаты!$D$6:$D$505,"&lt;&gt;"))</f>
        <v/>
      </c>
      <c r="E1848">
        <f>IF(A1848="","",IF(SUMPRODUCT((Ввод!$F$12:$F$31&lt;&gt;"")*(Ввод!$F$12:$F$31&lt;=A1848)*(Ввод!$G$12:$G$31&gt;=A1848))&gt;0,1,0))</f>
        <v/>
      </c>
      <c r="G1848">
        <f>IF(A1848="","",IF(OR(B1848&lt;&gt;B1847,C1848&lt;&gt;C1847,E1848&lt;&gt;E1847),G1847+1,G1847))</f>
        <v/>
      </c>
    </row>
    <row r="1849">
      <c r="A1849" s="20">
        <f>IF(A1848="","",IF(A1848+1&gt;Ввод!$B$4,"",A1848+1))</f>
        <v/>
      </c>
      <c r="B1849">
        <f>IF(A1849="","",IFERROR(INDEX(Ввод!$B$12:$B$71,MATCH(A1849,Ввод!$D$12:$D$71,1)),""))</f>
        <v/>
      </c>
      <c r="C1849">
        <f>IF(A1849="","",DATE(YEAR(A1849),12,31)-DATE(YEAR(A1849),1,1)+1)</f>
        <v/>
      </c>
      <c r="D1849">
        <f>IF(A1849="","",SUMIFS(Акты!$D$5:$D$16,Акты!$E$5:$E$16,"&lt;="&amp;A1849)-SUMIFS(Оплаты!$B$6:$B$505,Оплаты!$A$6:$A$505,"&lt;"&amp;A1849,Оплаты!$D$6:$D$505,"&lt;&gt;"))</f>
        <v/>
      </c>
      <c r="E1849">
        <f>IF(A1849="","",IF(SUMPRODUCT((Ввод!$F$12:$F$31&lt;&gt;"")*(Ввод!$F$12:$F$31&lt;=A1849)*(Ввод!$G$12:$G$31&gt;=A1849))&gt;0,1,0))</f>
        <v/>
      </c>
      <c r="G1849">
        <f>IF(A1849="","",IF(OR(B1849&lt;&gt;B1848,C1849&lt;&gt;C1848,E1849&lt;&gt;E1848),G1848+1,G1848))</f>
        <v/>
      </c>
    </row>
    <row r="1850">
      <c r="A1850" s="20">
        <f>IF(A1849="","",IF(A1849+1&gt;Ввод!$B$4,"",A1849+1))</f>
        <v/>
      </c>
      <c r="B1850">
        <f>IF(A1850="","",IFERROR(INDEX(Ввод!$B$12:$B$71,MATCH(A1850,Ввод!$D$12:$D$71,1)),""))</f>
        <v/>
      </c>
      <c r="C1850">
        <f>IF(A1850="","",DATE(YEAR(A1850),12,31)-DATE(YEAR(A1850),1,1)+1)</f>
        <v/>
      </c>
      <c r="D1850">
        <f>IF(A1850="","",SUMIFS(Акты!$D$5:$D$16,Акты!$E$5:$E$16,"&lt;="&amp;A1850)-SUMIFS(Оплаты!$B$6:$B$505,Оплаты!$A$6:$A$505,"&lt;"&amp;A1850,Оплаты!$D$6:$D$505,"&lt;&gt;"))</f>
        <v/>
      </c>
      <c r="E1850">
        <f>IF(A1850="","",IF(SUMPRODUCT((Ввод!$F$12:$F$31&lt;&gt;"")*(Ввод!$F$12:$F$31&lt;=A1850)*(Ввод!$G$12:$G$31&gt;=A1850))&gt;0,1,0))</f>
        <v/>
      </c>
      <c r="G1850">
        <f>IF(A1850="","",IF(OR(B1850&lt;&gt;B1849,C1850&lt;&gt;C1849,E1850&lt;&gt;E1849),G1849+1,G1849))</f>
        <v/>
      </c>
    </row>
    <row r="1851">
      <c r="A1851" s="20">
        <f>IF(A1850="","",IF(A1850+1&gt;Ввод!$B$4,"",A1850+1))</f>
        <v/>
      </c>
      <c r="B1851">
        <f>IF(A1851="","",IFERROR(INDEX(Ввод!$B$12:$B$71,MATCH(A1851,Ввод!$D$12:$D$71,1)),""))</f>
        <v/>
      </c>
      <c r="C1851">
        <f>IF(A1851="","",DATE(YEAR(A1851),12,31)-DATE(YEAR(A1851),1,1)+1)</f>
        <v/>
      </c>
      <c r="D1851">
        <f>IF(A1851="","",SUMIFS(Акты!$D$5:$D$16,Акты!$E$5:$E$16,"&lt;="&amp;A1851)-SUMIFS(Оплаты!$B$6:$B$505,Оплаты!$A$6:$A$505,"&lt;"&amp;A1851,Оплаты!$D$6:$D$505,"&lt;&gt;"))</f>
        <v/>
      </c>
      <c r="E1851">
        <f>IF(A1851="","",IF(SUMPRODUCT((Ввод!$F$12:$F$31&lt;&gt;"")*(Ввод!$F$12:$F$31&lt;=A1851)*(Ввод!$G$12:$G$31&gt;=A1851))&gt;0,1,0))</f>
        <v/>
      </c>
      <c r="G1851">
        <f>IF(A1851="","",IF(OR(B1851&lt;&gt;B1850,C1851&lt;&gt;C1850,E1851&lt;&gt;E1850),G1850+1,G1850))</f>
        <v/>
      </c>
    </row>
    <row r="1852">
      <c r="A1852" s="20">
        <f>IF(A1851="","",IF(A1851+1&gt;Ввод!$B$4,"",A1851+1))</f>
        <v/>
      </c>
      <c r="B1852">
        <f>IF(A1852="","",IFERROR(INDEX(Ввод!$B$12:$B$71,MATCH(A1852,Ввод!$D$12:$D$71,1)),""))</f>
        <v/>
      </c>
      <c r="C1852">
        <f>IF(A1852="","",DATE(YEAR(A1852),12,31)-DATE(YEAR(A1852),1,1)+1)</f>
        <v/>
      </c>
      <c r="D1852">
        <f>IF(A1852="","",SUMIFS(Акты!$D$5:$D$16,Акты!$E$5:$E$16,"&lt;="&amp;A1852)-SUMIFS(Оплаты!$B$6:$B$505,Оплаты!$A$6:$A$505,"&lt;"&amp;A1852,Оплаты!$D$6:$D$505,"&lt;&gt;"))</f>
        <v/>
      </c>
      <c r="E1852">
        <f>IF(A1852="","",IF(SUMPRODUCT((Ввод!$F$12:$F$31&lt;&gt;"")*(Ввод!$F$12:$F$31&lt;=A1852)*(Ввод!$G$12:$G$31&gt;=A1852))&gt;0,1,0))</f>
        <v/>
      </c>
      <c r="G1852">
        <f>IF(A1852="","",IF(OR(B1852&lt;&gt;B1851,C1852&lt;&gt;C1851,E1852&lt;&gt;E1851),G1851+1,G1851))</f>
        <v/>
      </c>
    </row>
    <row r="1853">
      <c r="A1853" s="20">
        <f>IF(A1852="","",IF(A1852+1&gt;Ввод!$B$4,"",A1852+1))</f>
        <v/>
      </c>
      <c r="B1853">
        <f>IF(A1853="","",IFERROR(INDEX(Ввод!$B$12:$B$71,MATCH(A1853,Ввод!$D$12:$D$71,1)),""))</f>
        <v/>
      </c>
      <c r="C1853">
        <f>IF(A1853="","",DATE(YEAR(A1853),12,31)-DATE(YEAR(A1853),1,1)+1)</f>
        <v/>
      </c>
      <c r="D1853">
        <f>IF(A1853="","",SUMIFS(Акты!$D$5:$D$16,Акты!$E$5:$E$16,"&lt;="&amp;A1853)-SUMIFS(Оплаты!$B$6:$B$505,Оплаты!$A$6:$A$505,"&lt;"&amp;A1853,Оплаты!$D$6:$D$505,"&lt;&gt;"))</f>
        <v/>
      </c>
      <c r="E1853">
        <f>IF(A1853="","",IF(SUMPRODUCT((Ввод!$F$12:$F$31&lt;&gt;"")*(Ввод!$F$12:$F$31&lt;=A1853)*(Ввод!$G$12:$G$31&gt;=A1853))&gt;0,1,0))</f>
        <v/>
      </c>
      <c r="G1853">
        <f>IF(A1853="","",IF(OR(B1853&lt;&gt;B1852,C1853&lt;&gt;C1852,E1853&lt;&gt;E1852),G1852+1,G1852))</f>
        <v/>
      </c>
    </row>
    <row r="1854">
      <c r="A1854" s="20">
        <f>IF(A1853="","",IF(A1853+1&gt;Ввод!$B$4,"",A1853+1))</f>
        <v/>
      </c>
      <c r="B1854">
        <f>IF(A1854="","",IFERROR(INDEX(Ввод!$B$12:$B$71,MATCH(A1854,Ввод!$D$12:$D$71,1)),""))</f>
        <v/>
      </c>
      <c r="C1854">
        <f>IF(A1854="","",DATE(YEAR(A1854),12,31)-DATE(YEAR(A1854),1,1)+1)</f>
        <v/>
      </c>
      <c r="D1854">
        <f>IF(A1854="","",SUMIFS(Акты!$D$5:$D$16,Акты!$E$5:$E$16,"&lt;="&amp;A1854)-SUMIFS(Оплаты!$B$6:$B$505,Оплаты!$A$6:$A$505,"&lt;"&amp;A1854,Оплаты!$D$6:$D$505,"&lt;&gt;"))</f>
        <v/>
      </c>
      <c r="E1854">
        <f>IF(A1854="","",IF(SUMPRODUCT((Ввод!$F$12:$F$31&lt;&gt;"")*(Ввод!$F$12:$F$31&lt;=A1854)*(Ввод!$G$12:$G$31&gt;=A1854))&gt;0,1,0))</f>
        <v/>
      </c>
      <c r="G1854">
        <f>IF(A1854="","",IF(OR(B1854&lt;&gt;B1853,C1854&lt;&gt;C1853,E1854&lt;&gt;E1853),G1853+1,G1853))</f>
        <v/>
      </c>
    </row>
    <row r="1855">
      <c r="A1855" s="20">
        <f>IF(A1854="","",IF(A1854+1&gt;Ввод!$B$4,"",A1854+1))</f>
        <v/>
      </c>
      <c r="B1855">
        <f>IF(A1855="","",IFERROR(INDEX(Ввод!$B$12:$B$71,MATCH(A1855,Ввод!$D$12:$D$71,1)),""))</f>
        <v/>
      </c>
      <c r="C1855">
        <f>IF(A1855="","",DATE(YEAR(A1855),12,31)-DATE(YEAR(A1855),1,1)+1)</f>
        <v/>
      </c>
      <c r="D1855">
        <f>IF(A1855="","",SUMIFS(Акты!$D$5:$D$16,Акты!$E$5:$E$16,"&lt;="&amp;A1855)-SUMIFS(Оплаты!$B$6:$B$505,Оплаты!$A$6:$A$505,"&lt;"&amp;A1855,Оплаты!$D$6:$D$505,"&lt;&gt;"))</f>
        <v/>
      </c>
      <c r="E1855">
        <f>IF(A1855="","",IF(SUMPRODUCT((Ввод!$F$12:$F$31&lt;&gt;"")*(Ввод!$F$12:$F$31&lt;=A1855)*(Ввод!$G$12:$G$31&gt;=A1855))&gt;0,1,0))</f>
        <v/>
      </c>
      <c r="G1855">
        <f>IF(A1855="","",IF(OR(B1855&lt;&gt;B1854,C1855&lt;&gt;C1854,E1855&lt;&gt;E1854),G1854+1,G1854))</f>
        <v/>
      </c>
    </row>
    <row r="1856">
      <c r="A1856" s="20">
        <f>IF(A1855="","",IF(A1855+1&gt;Ввод!$B$4,"",A1855+1))</f>
        <v/>
      </c>
      <c r="B1856">
        <f>IF(A1856="","",IFERROR(INDEX(Ввод!$B$12:$B$71,MATCH(A1856,Ввод!$D$12:$D$71,1)),""))</f>
        <v/>
      </c>
      <c r="C1856">
        <f>IF(A1856="","",DATE(YEAR(A1856),12,31)-DATE(YEAR(A1856),1,1)+1)</f>
        <v/>
      </c>
      <c r="D1856">
        <f>IF(A1856="","",SUMIFS(Акты!$D$5:$D$16,Акты!$E$5:$E$16,"&lt;="&amp;A1856)-SUMIFS(Оплаты!$B$6:$B$505,Оплаты!$A$6:$A$505,"&lt;"&amp;A1856,Оплаты!$D$6:$D$505,"&lt;&gt;"))</f>
        <v/>
      </c>
      <c r="E1856">
        <f>IF(A1856="","",IF(SUMPRODUCT((Ввод!$F$12:$F$31&lt;&gt;"")*(Ввод!$F$12:$F$31&lt;=A1856)*(Ввод!$G$12:$G$31&gt;=A1856))&gt;0,1,0))</f>
        <v/>
      </c>
      <c r="G1856">
        <f>IF(A1856="","",IF(OR(B1856&lt;&gt;B1855,C1856&lt;&gt;C1855,E1856&lt;&gt;E1855),G1855+1,G1855))</f>
        <v/>
      </c>
    </row>
    <row r="1857">
      <c r="A1857" s="20">
        <f>IF(A1856="","",IF(A1856+1&gt;Ввод!$B$4,"",A1856+1))</f>
        <v/>
      </c>
      <c r="B1857">
        <f>IF(A1857="","",IFERROR(INDEX(Ввод!$B$12:$B$71,MATCH(A1857,Ввод!$D$12:$D$71,1)),""))</f>
        <v/>
      </c>
      <c r="C1857">
        <f>IF(A1857="","",DATE(YEAR(A1857),12,31)-DATE(YEAR(A1857),1,1)+1)</f>
        <v/>
      </c>
      <c r="D1857">
        <f>IF(A1857="","",SUMIFS(Акты!$D$5:$D$16,Акты!$E$5:$E$16,"&lt;="&amp;A1857)-SUMIFS(Оплаты!$B$6:$B$505,Оплаты!$A$6:$A$505,"&lt;"&amp;A1857,Оплаты!$D$6:$D$505,"&lt;&gt;"))</f>
        <v/>
      </c>
      <c r="E1857">
        <f>IF(A1857="","",IF(SUMPRODUCT((Ввод!$F$12:$F$31&lt;&gt;"")*(Ввод!$F$12:$F$31&lt;=A1857)*(Ввод!$G$12:$G$31&gt;=A1857))&gt;0,1,0))</f>
        <v/>
      </c>
      <c r="G1857">
        <f>IF(A1857="","",IF(OR(B1857&lt;&gt;B1856,C1857&lt;&gt;C1856,E1857&lt;&gt;E1856),G1856+1,G1856))</f>
        <v/>
      </c>
    </row>
    <row r="1858">
      <c r="A1858" s="20">
        <f>IF(A1857="","",IF(A1857+1&gt;Ввод!$B$4,"",A1857+1))</f>
        <v/>
      </c>
      <c r="B1858">
        <f>IF(A1858="","",IFERROR(INDEX(Ввод!$B$12:$B$71,MATCH(A1858,Ввод!$D$12:$D$71,1)),""))</f>
        <v/>
      </c>
      <c r="C1858">
        <f>IF(A1858="","",DATE(YEAR(A1858),12,31)-DATE(YEAR(A1858),1,1)+1)</f>
        <v/>
      </c>
      <c r="D1858">
        <f>IF(A1858="","",SUMIFS(Акты!$D$5:$D$16,Акты!$E$5:$E$16,"&lt;="&amp;A1858)-SUMIFS(Оплаты!$B$6:$B$505,Оплаты!$A$6:$A$505,"&lt;"&amp;A1858,Оплаты!$D$6:$D$505,"&lt;&gt;"))</f>
        <v/>
      </c>
      <c r="E1858">
        <f>IF(A1858="","",IF(SUMPRODUCT((Ввод!$F$12:$F$31&lt;&gt;"")*(Ввод!$F$12:$F$31&lt;=A1858)*(Ввод!$G$12:$G$31&gt;=A1858))&gt;0,1,0))</f>
        <v/>
      </c>
      <c r="G1858">
        <f>IF(A1858="","",IF(OR(B1858&lt;&gt;B1857,C1858&lt;&gt;C1857,E1858&lt;&gt;E1857),G1857+1,G1857))</f>
        <v/>
      </c>
    </row>
    <row r="1859">
      <c r="A1859" s="20">
        <f>IF(A1858="","",IF(A1858+1&gt;Ввод!$B$4,"",A1858+1))</f>
        <v/>
      </c>
      <c r="B1859">
        <f>IF(A1859="","",IFERROR(INDEX(Ввод!$B$12:$B$71,MATCH(A1859,Ввод!$D$12:$D$71,1)),""))</f>
        <v/>
      </c>
      <c r="C1859">
        <f>IF(A1859="","",DATE(YEAR(A1859),12,31)-DATE(YEAR(A1859),1,1)+1)</f>
        <v/>
      </c>
      <c r="D1859">
        <f>IF(A1859="","",SUMIFS(Акты!$D$5:$D$16,Акты!$E$5:$E$16,"&lt;="&amp;A1859)-SUMIFS(Оплаты!$B$6:$B$505,Оплаты!$A$6:$A$505,"&lt;"&amp;A1859,Оплаты!$D$6:$D$505,"&lt;&gt;"))</f>
        <v/>
      </c>
      <c r="E1859">
        <f>IF(A1859="","",IF(SUMPRODUCT((Ввод!$F$12:$F$31&lt;&gt;"")*(Ввод!$F$12:$F$31&lt;=A1859)*(Ввод!$G$12:$G$31&gt;=A1859))&gt;0,1,0))</f>
        <v/>
      </c>
      <c r="G1859">
        <f>IF(A1859="","",IF(OR(B1859&lt;&gt;B1858,C1859&lt;&gt;C1858,E1859&lt;&gt;E1858),G1858+1,G1858))</f>
        <v/>
      </c>
    </row>
    <row r="1860">
      <c r="A1860" s="20">
        <f>IF(A1859="","",IF(A1859+1&gt;Ввод!$B$4,"",A1859+1))</f>
        <v/>
      </c>
      <c r="B1860">
        <f>IF(A1860="","",IFERROR(INDEX(Ввод!$B$12:$B$71,MATCH(A1860,Ввод!$D$12:$D$71,1)),""))</f>
        <v/>
      </c>
      <c r="C1860">
        <f>IF(A1860="","",DATE(YEAR(A1860),12,31)-DATE(YEAR(A1860),1,1)+1)</f>
        <v/>
      </c>
      <c r="D1860">
        <f>IF(A1860="","",SUMIFS(Акты!$D$5:$D$16,Акты!$E$5:$E$16,"&lt;="&amp;A1860)-SUMIFS(Оплаты!$B$6:$B$505,Оплаты!$A$6:$A$505,"&lt;"&amp;A1860,Оплаты!$D$6:$D$505,"&lt;&gt;"))</f>
        <v/>
      </c>
      <c r="E1860">
        <f>IF(A1860="","",IF(SUMPRODUCT((Ввод!$F$12:$F$31&lt;&gt;"")*(Ввод!$F$12:$F$31&lt;=A1860)*(Ввод!$G$12:$G$31&gt;=A1860))&gt;0,1,0))</f>
        <v/>
      </c>
      <c r="G1860">
        <f>IF(A1860="","",IF(OR(B1860&lt;&gt;B1859,C1860&lt;&gt;C1859,E1860&lt;&gt;E1859),G1859+1,G1859))</f>
        <v/>
      </c>
    </row>
    <row r="1861">
      <c r="A1861" s="20">
        <f>IF(A1860="","",IF(A1860+1&gt;Ввод!$B$4,"",A1860+1))</f>
        <v/>
      </c>
      <c r="B1861">
        <f>IF(A1861="","",IFERROR(INDEX(Ввод!$B$12:$B$71,MATCH(A1861,Ввод!$D$12:$D$71,1)),""))</f>
        <v/>
      </c>
      <c r="C1861">
        <f>IF(A1861="","",DATE(YEAR(A1861),12,31)-DATE(YEAR(A1861),1,1)+1)</f>
        <v/>
      </c>
      <c r="D1861">
        <f>IF(A1861="","",SUMIFS(Акты!$D$5:$D$16,Акты!$E$5:$E$16,"&lt;="&amp;A1861)-SUMIFS(Оплаты!$B$6:$B$505,Оплаты!$A$6:$A$505,"&lt;"&amp;A1861,Оплаты!$D$6:$D$505,"&lt;&gt;"))</f>
        <v/>
      </c>
      <c r="E1861">
        <f>IF(A1861="","",IF(SUMPRODUCT((Ввод!$F$12:$F$31&lt;&gt;"")*(Ввод!$F$12:$F$31&lt;=A1861)*(Ввод!$G$12:$G$31&gt;=A1861))&gt;0,1,0))</f>
        <v/>
      </c>
      <c r="G1861">
        <f>IF(A1861="","",IF(OR(B1861&lt;&gt;B1860,C1861&lt;&gt;C1860,E1861&lt;&gt;E1860),G1860+1,G1860))</f>
        <v/>
      </c>
    </row>
    <row r="1862">
      <c r="A1862" s="20">
        <f>IF(A1861="","",IF(A1861+1&gt;Ввод!$B$4,"",A1861+1))</f>
        <v/>
      </c>
      <c r="B1862">
        <f>IF(A1862="","",IFERROR(INDEX(Ввод!$B$12:$B$71,MATCH(A1862,Ввод!$D$12:$D$71,1)),""))</f>
        <v/>
      </c>
      <c r="C1862">
        <f>IF(A1862="","",DATE(YEAR(A1862),12,31)-DATE(YEAR(A1862),1,1)+1)</f>
        <v/>
      </c>
      <c r="D1862">
        <f>IF(A1862="","",SUMIFS(Акты!$D$5:$D$16,Акты!$E$5:$E$16,"&lt;="&amp;A1862)-SUMIFS(Оплаты!$B$6:$B$505,Оплаты!$A$6:$A$505,"&lt;"&amp;A1862,Оплаты!$D$6:$D$505,"&lt;&gt;"))</f>
        <v/>
      </c>
      <c r="E1862">
        <f>IF(A1862="","",IF(SUMPRODUCT((Ввод!$F$12:$F$31&lt;&gt;"")*(Ввод!$F$12:$F$31&lt;=A1862)*(Ввод!$G$12:$G$31&gt;=A1862))&gt;0,1,0))</f>
        <v/>
      </c>
      <c r="G1862">
        <f>IF(A1862="","",IF(OR(B1862&lt;&gt;B1861,C1862&lt;&gt;C1861,E1862&lt;&gt;E1861),G1861+1,G1861))</f>
        <v/>
      </c>
    </row>
    <row r="1863">
      <c r="A1863" s="20">
        <f>IF(A1862="","",IF(A1862+1&gt;Ввод!$B$4,"",A1862+1))</f>
        <v/>
      </c>
      <c r="B1863">
        <f>IF(A1863="","",IFERROR(INDEX(Ввод!$B$12:$B$71,MATCH(A1863,Ввод!$D$12:$D$71,1)),""))</f>
        <v/>
      </c>
      <c r="C1863">
        <f>IF(A1863="","",DATE(YEAR(A1863),12,31)-DATE(YEAR(A1863),1,1)+1)</f>
        <v/>
      </c>
      <c r="D1863">
        <f>IF(A1863="","",SUMIFS(Акты!$D$5:$D$16,Акты!$E$5:$E$16,"&lt;="&amp;A1863)-SUMIFS(Оплаты!$B$6:$B$505,Оплаты!$A$6:$A$505,"&lt;"&amp;A1863,Оплаты!$D$6:$D$505,"&lt;&gt;"))</f>
        <v/>
      </c>
      <c r="E1863">
        <f>IF(A1863="","",IF(SUMPRODUCT((Ввод!$F$12:$F$31&lt;&gt;"")*(Ввод!$F$12:$F$31&lt;=A1863)*(Ввод!$G$12:$G$31&gt;=A1863))&gt;0,1,0))</f>
        <v/>
      </c>
      <c r="G1863">
        <f>IF(A1863="","",IF(OR(B1863&lt;&gt;B1862,C1863&lt;&gt;C1862,E1863&lt;&gt;E1862),G1862+1,G1862))</f>
        <v/>
      </c>
    </row>
    <row r="1864">
      <c r="A1864" s="20">
        <f>IF(A1863="","",IF(A1863+1&gt;Ввод!$B$4,"",A1863+1))</f>
        <v/>
      </c>
      <c r="B1864">
        <f>IF(A1864="","",IFERROR(INDEX(Ввод!$B$12:$B$71,MATCH(A1864,Ввод!$D$12:$D$71,1)),""))</f>
        <v/>
      </c>
      <c r="C1864">
        <f>IF(A1864="","",DATE(YEAR(A1864),12,31)-DATE(YEAR(A1864),1,1)+1)</f>
        <v/>
      </c>
      <c r="D1864">
        <f>IF(A1864="","",SUMIFS(Акты!$D$5:$D$16,Акты!$E$5:$E$16,"&lt;="&amp;A1864)-SUMIFS(Оплаты!$B$6:$B$505,Оплаты!$A$6:$A$505,"&lt;"&amp;A1864,Оплаты!$D$6:$D$505,"&lt;&gt;"))</f>
        <v/>
      </c>
      <c r="E1864">
        <f>IF(A1864="","",IF(SUMPRODUCT((Ввод!$F$12:$F$31&lt;&gt;"")*(Ввод!$F$12:$F$31&lt;=A1864)*(Ввод!$G$12:$G$31&gt;=A1864))&gt;0,1,0))</f>
        <v/>
      </c>
      <c r="G1864">
        <f>IF(A1864="","",IF(OR(B1864&lt;&gt;B1863,C1864&lt;&gt;C1863,E1864&lt;&gt;E1863),G1863+1,G1863))</f>
        <v/>
      </c>
    </row>
    <row r="1865">
      <c r="A1865" s="20">
        <f>IF(A1864="","",IF(A1864+1&gt;Ввод!$B$4,"",A1864+1))</f>
        <v/>
      </c>
      <c r="B1865">
        <f>IF(A1865="","",IFERROR(INDEX(Ввод!$B$12:$B$71,MATCH(A1865,Ввод!$D$12:$D$71,1)),""))</f>
        <v/>
      </c>
      <c r="C1865">
        <f>IF(A1865="","",DATE(YEAR(A1865),12,31)-DATE(YEAR(A1865),1,1)+1)</f>
        <v/>
      </c>
      <c r="D1865">
        <f>IF(A1865="","",SUMIFS(Акты!$D$5:$D$16,Акты!$E$5:$E$16,"&lt;="&amp;A1865)-SUMIFS(Оплаты!$B$6:$B$505,Оплаты!$A$6:$A$505,"&lt;"&amp;A1865,Оплаты!$D$6:$D$505,"&lt;&gt;"))</f>
        <v/>
      </c>
      <c r="E1865">
        <f>IF(A1865="","",IF(SUMPRODUCT((Ввод!$F$12:$F$31&lt;&gt;"")*(Ввод!$F$12:$F$31&lt;=A1865)*(Ввод!$G$12:$G$31&gt;=A1865))&gt;0,1,0))</f>
        <v/>
      </c>
      <c r="G1865">
        <f>IF(A1865="","",IF(OR(B1865&lt;&gt;B1864,C1865&lt;&gt;C1864,E1865&lt;&gt;E1864),G1864+1,G1864))</f>
        <v/>
      </c>
    </row>
    <row r="1866">
      <c r="A1866" s="20">
        <f>IF(A1865="","",IF(A1865+1&gt;Ввод!$B$4,"",A1865+1))</f>
        <v/>
      </c>
      <c r="B1866">
        <f>IF(A1866="","",IFERROR(INDEX(Ввод!$B$12:$B$71,MATCH(A1866,Ввод!$D$12:$D$71,1)),""))</f>
        <v/>
      </c>
      <c r="C1866">
        <f>IF(A1866="","",DATE(YEAR(A1866),12,31)-DATE(YEAR(A1866),1,1)+1)</f>
        <v/>
      </c>
      <c r="D1866">
        <f>IF(A1866="","",SUMIFS(Акты!$D$5:$D$16,Акты!$E$5:$E$16,"&lt;="&amp;A1866)-SUMIFS(Оплаты!$B$6:$B$505,Оплаты!$A$6:$A$505,"&lt;"&amp;A1866,Оплаты!$D$6:$D$505,"&lt;&gt;"))</f>
        <v/>
      </c>
      <c r="E1866">
        <f>IF(A1866="","",IF(SUMPRODUCT((Ввод!$F$12:$F$31&lt;&gt;"")*(Ввод!$F$12:$F$31&lt;=A1866)*(Ввод!$G$12:$G$31&gt;=A1866))&gt;0,1,0))</f>
        <v/>
      </c>
      <c r="G1866">
        <f>IF(A1866="","",IF(OR(B1866&lt;&gt;B1865,C1866&lt;&gt;C1865,E1866&lt;&gt;E1865),G1865+1,G1865))</f>
        <v/>
      </c>
    </row>
    <row r="1867">
      <c r="A1867" s="20">
        <f>IF(A1866="","",IF(A1866+1&gt;Ввод!$B$4,"",A1866+1))</f>
        <v/>
      </c>
      <c r="B1867">
        <f>IF(A1867="","",IFERROR(INDEX(Ввод!$B$12:$B$71,MATCH(A1867,Ввод!$D$12:$D$71,1)),""))</f>
        <v/>
      </c>
      <c r="C1867">
        <f>IF(A1867="","",DATE(YEAR(A1867),12,31)-DATE(YEAR(A1867),1,1)+1)</f>
        <v/>
      </c>
      <c r="D1867">
        <f>IF(A1867="","",SUMIFS(Акты!$D$5:$D$16,Акты!$E$5:$E$16,"&lt;="&amp;A1867)-SUMIFS(Оплаты!$B$6:$B$505,Оплаты!$A$6:$A$505,"&lt;"&amp;A1867,Оплаты!$D$6:$D$505,"&lt;&gt;"))</f>
        <v/>
      </c>
      <c r="E1867">
        <f>IF(A1867="","",IF(SUMPRODUCT((Ввод!$F$12:$F$31&lt;&gt;"")*(Ввод!$F$12:$F$31&lt;=A1867)*(Ввод!$G$12:$G$31&gt;=A1867))&gt;0,1,0))</f>
        <v/>
      </c>
      <c r="G1867">
        <f>IF(A1867="","",IF(OR(B1867&lt;&gt;B1866,C1867&lt;&gt;C1866,E1867&lt;&gt;E1866),G1866+1,G1866))</f>
        <v/>
      </c>
    </row>
    <row r="1868">
      <c r="A1868" s="20">
        <f>IF(A1867="","",IF(A1867+1&gt;Ввод!$B$4,"",A1867+1))</f>
        <v/>
      </c>
      <c r="B1868">
        <f>IF(A1868="","",IFERROR(INDEX(Ввод!$B$12:$B$71,MATCH(A1868,Ввод!$D$12:$D$71,1)),""))</f>
        <v/>
      </c>
      <c r="C1868">
        <f>IF(A1868="","",DATE(YEAR(A1868),12,31)-DATE(YEAR(A1868),1,1)+1)</f>
        <v/>
      </c>
      <c r="D1868">
        <f>IF(A1868="","",SUMIFS(Акты!$D$5:$D$16,Акты!$E$5:$E$16,"&lt;="&amp;A1868)-SUMIFS(Оплаты!$B$6:$B$505,Оплаты!$A$6:$A$505,"&lt;"&amp;A1868,Оплаты!$D$6:$D$505,"&lt;&gt;"))</f>
        <v/>
      </c>
      <c r="E1868">
        <f>IF(A1868="","",IF(SUMPRODUCT((Ввод!$F$12:$F$31&lt;&gt;"")*(Ввод!$F$12:$F$31&lt;=A1868)*(Ввод!$G$12:$G$31&gt;=A1868))&gt;0,1,0))</f>
        <v/>
      </c>
      <c r="G1868">
        <f>IF(A1868="","",IF(OR(B1868&lt;&gt;B1867,C1868&lt;&gt;C1867,E1868&lt;&gt;E1867),G1867+1,G1867))</f>
        <v/>
      </c>
    </row>
    <row r="1869">
      <c r="A1869" s="20">
        <f>IF(A1868="","",IF(A1868+1&gt;Ввод!$B$4,"",A1868+1))</f>
        <v/>
      </c>
      <c r="B1869">
        <f>IF(A1869="","",IFERROR(INDEX(Ввод!$B$12:$B$71,MATCH(A1869,Ввод!$D$12:$D$71,1)),""))</f>
        <v/>
      </c>
      <c r="C1869">
        <f>IF(A1869="","",DATE(YEAR(A1869),12,31)-DATE(YEAR(A1869),1,1)+1)</f>
        <v/>
      </c>
      <c r="D1869">
        <f>IF(A1869="","",SUMIFS(Акты!$D$5:$D$16,Акты!$E$5:$E$16,"&lt;="&amp;A1869)-SUMIFS(Оплаты!$B$6:$B$505,Оплаты!$A$6:$A$505,"&lt;"&amp;A1869,Оплаты!$D$6:$D$505,"&lt;&gt;"))</f>
        <v/>
      </c>
      <c r="E1869">
        <f>IF(A1869="","",IF(SUMPRODUCT((Ввод!$F$12:$F$31&lt;&gt;"")*(Ввод!$F$12:$F$31&lt;=A1869)*(Ввод!$G$12:$G$31&gt;=A1869))&gt;0,1,0))</f>
        <v/>
      </c>
      <c r="G1869">
        <f>IF(A1869="","",IF(OR(B1869&lt;&gt;B1868,C1869&lt;&gt;C1868,E1869&lt;&gt;E1868),G1868+1,G1868))</f>
        <v/>
      </c>
    </row>
    <row r="1870">
      <c r="A1870" s="20">
        <f>IF(A1869="","",IF(A1869+1&gt;Ввод!$B$4,"",A1869+1))</f>
        <v/>
      </c>
      <c r="B1870">
        <f>IF(A1870="","",IFERROR(INDEX(Ввод!$B$12:$B$71,MATCH(A1870,Ввод!$D$12:$D$71,1)),""))</f>
        <v/>
      </c>
      <c r="C1870">
        <f>IF(A1870="","",DATE(YEAR(A1870),12,31)-DATE(YEAR(A1870),1,1)+1)</f>
        <v/>
      </c>
      <c r="D1870">
        <f>IF(A1870="","",SUMIFS(Акты!$D$5:$D$16,Акты!$E$5:$E$16,"&lt;="&amp;A1870)-SUMIFS(Оплаты!$B$6:$B$505,Оплаты!$A$6:$A$505,"&lt;"&amp;A1870,Оплаты!$D$6:$D$505,"&lt;&gt;"))</f>
        <v/>
      </c>
      <c r="E1870">
        <f>IF(A1870="","",IF(SUMPRODUCT((Ввод!$F$12:$F$31&lt;&gt;"")*(Ввод!$F$12:$F$31&lt;=A1870)*(Ввод!$G$12:$G$31&gt;=A1870))&gt;0,1,0))</f>
        <v/>
      </c>
      <c r="G1870">
        <f>IF(A1870="","",IF(OR(B1870&lt;&gt;B1869,C1870&lt;&gt;C1869,E1870&lt;&gt;E1869),G1869+1,G1869))</f>
        <v/>
      </c>
    </row>
    <row r="1871">
      <c r="A1871" s="20">
        <f>IF(A1870="","",IF(A1870+1&gt;Ввод!$B$4,"",A1870+1))</f>
        <v/>
      </c>
      <c r="B1871">
        <f>IF(A1871="","",IFERROR(INDEX(Ввод!$B$12:$B$71,MATCH(A1871,Ввод!$D$12:$D$71,1)),""))</f>
        <v/>
      </c>
      <c r="C1871">
        <f>IF(A1871="","",DATE(YEAR(A1871),12,31)-DATE(YEAR(A1871),1,1)+1)</f>
        <v/>
      </c>
      <c r="D1871">
        <f>IF(A1871="","",SUMIFS(Акты!$D$5:$D$16,Акты!$E$5:$E$16,"&lt;="&amp;A1871)-SUMIFS(Оплаты!$B$6:$B$505,Оплаты!$A$6:$A$505,"&lt;"&amp;A1871,Оплаты!$D$6:$D$505,"&lt;&gt;"))</f>
        <v/>
      </c>
      <c r="E1871">
        <f>IF(A1871="","",IF(SUMPRODUCT((Ввод!$F$12:$F$31&lt;&gt;"")*(Ввод!$F$12:$F$31&lt;=A1871)*(Ввод!$G$12:$G$31&gt;=A1871))&gt;0,1,0))</f>
        <v/>
      </c>
      <c r="G1871">
        <f>IF(A1871="","",IF(OR(B1871&lt;&gt;B1870,C1871&lt;&gt;C1870,E1871&lt;&gt;E1870),G1870+1,G1870))</f>
        <v/>
      </c>
    </row>
    <row r="1872">
      <c r="A1872" s="20">
        <f>IF(A1871="","",IF(A1871+1&gt;Ввод!$B$4,"",A1871+1))</f>
        <v/>
      </c>
      <c r="B1872">
        <f>IF(A1872="","",IFERROR(INDEX(Ввод!$B$12:$B$71,MATCH(A1872,Ввод!$D$12:$D$71,1)),""))</f>
        <v/>
      </c>
      <c r="C1872">
        <f>IF(A1872="","",DATE(YEAR(A1872),12,31)-DATE(YEAR(A1872),1,1)+1)</f>
        <v/>
      </c>
      <c r="D1872">
        <f>IF(A1872="","",SUMIFS(Акты!$D$5:$D$16,Акты!$E$5:$E$16,"&lt;="&amp;A1872)-SUMIFS(Оплаты!$B$6:$B$505,Оплаты!$A$6:$A$505,"&lt;"&amp;A1872,Оплаты!$D$6:$D$505,"&lt;&gt;"))</f>
        <v/>
      </c>
      <c r="E1872">
        <f>IF(A1872="","",IF(SUMPRODUCT((Ввод!$F$12:$F$31&lt;&gt;"")*(Ввод!$F$12:$F$31&lt;=A1872)*(Ввод!$G$12:$G$31&gt;=A1872))&gt;0,1,0))</f>
        <v/>
      </c>
      <c r="G1872">
        <f>IF(A1872="","",IF(OR(B1872&lt;&gt;B1871,C1872&lt;&gt;C1871,E1872&lt;&gt;E1871),G1871+1,G1871))</f>
        <v/>
      </c>
    </row>
    <row r="1873">
      <c r="A1873" s="20">
        <f>IF(A1872="","",IF(A1872+1&gt;Ввод!$B$4,"",A1872+1))</f>
        <v/>
      </c>
      <c r="B1873">
        <f>IF(A1873="","",IFERROR(INDEX(Ввод!$B$12:$B$71,MATCH(A1873,Ввод!$D$12:$D$71,1)),""))</f>
        <v/>
      </c>
      <c r="C1873">
        <f>IF(A1873="","",DATE(YEAR(A1873),12,31)-DATE(YEAR(A1873),1,1)+1)</f>
        <v/>
      </c>
      <c r="D1873">
        <f>IF(A1873="","",SUMIFS(Акты!$D$5:$D$16,Акты!$E$5:$E$16,"&lt;="&amp;A1873)-SUMIFS(Оплаты!$B$6:$B$505,Оплаты!$A$6:$A$505,"&lt;"&amp;A1873,Оплаты!$D$6:$D$505,"&lt;&gt;"))</f>
        <v/>
      </c>
      <c r="E1873">
        <f>IF(A1873="","",IF(SUMPRODUCT((Ввод!$F$12:$F$31&lt;&gt;"")*(Ввод!$F$12:$F$31&lt;=A1873)*(Ввод!$G$12:$G$31&gt;=A1873))&gt;0,1,0))</f>
        <v/>
      </c>
      <c r="G1873">
        <f>IF(A1873="","",IF(OR(B1873&lt;&gt;B1872,C1873&lt;&gt;C1872,E1873&lt;&gt;E1872),G1872+1,G1872))</f>
        <v/>
      </c>
    </row>
    <row r="1874">
      <c r="A1874" s="20">
        <f>IF(A1873="","",IF(A1873+1&gt;Ввод!$B$4,"",A1873+1))</f>
        <v/>
      </c>
      <c r="B1874">
        <f>IF(A1874="","",IFERROR(INDEX(Ввод!$B$12:$B$71,MATCH(A1874,Ввод!$D$12:$D$71,1)),""))</f>
        <v/>
      </c>
      <c r="C1874">
        <f>IF(A1874="","",DATE(YEAR(A1874),12,31)-DATE(YEAR(A1874),1,1)+1)</f>
        <v/>
      </c>
      <c r="D1874">
        <f>IF(A1874="","",SUMIFS(Акты!$D$5:$D$16,Акты!$E$5:$E$16,"&lt;="&amp;A1874)-SUMIFS(Оплаты!$B$6:$B$505,Оплаты!$A$6:$A$505,"&lt;"&amp;A1874,Оплаты!$D$6:$D$505,"&lt;&gt;"))</f>
        <v/>
      </c>
      <c r="E1874">
        <f>IF(A1874="","",IF(SUMPRODUCT((Ввод!$F$12:$F$31&lt;&gt;"")*(Ввод!$F$12:$F$31&lt;=A1874)*(Ввод!$G$12:$G$31&gt;=A1874))&gt;0,1,0))</f>
        <v/>
      </c>
      <c r="G1874">
        <f>IF(A1874="","",IF(OR(B1874&lt;&gt;B1873,C1874&lt;&gt;C1873,E1874&lt;&gt;E1873),G1873+1,G1873))</f>
        <v/>
      </c>
    </row>
    <row r="1875">
      <c r="A1875" s="20">
        <f>IF(A1874="","",IF(A1874+1&gt;Ввод!$B$4,"",A1874+1))</f>
        <v/>
      </c>
      <c r="B1875">
        <f>IF(A1875="","",IFERROR(INDEX(Ввод!$B$12:$B$71,MATCH(A1875,Ввод!$D$12:$D$71,1)),""))</f>
        <v/>
      </c>
      <c r="C1875">
        <f>IF(A1875="","",DATE(YEAR(A1875),12,31)-DATE(YEAR(A1875),1,1)+1)</f>
        <v/>
      </c>
      <c r="D1875">
        <f>IF(A1875="","",SUMIFS(Акты!$D$5:$D$16,Акты!$E$5:$E$16,"&lt;="&amp;A1875)-SUMIFS(Оплаты!$B$6:$B$505,Оплаты!$A$6:$A$505,"&lt;"&amp;A1875,Оплаты!$D$6:$D$505,"&lt;&gt;"))</f>
        <v/>
      </c>
      <c r="E1875">
        <f>IF(A1875="","",IF(SUMPRODUCT((Ввод!$F$12:$F$31&lt;&gt;"")*(Ввод!$F$12:$F$31&lt;=A1875)*(Ввод!$G$12:$G$31&gt;=A1875))&gt;0,1,0))</f>
        <v/>
      </c>
      <c r="G1875">
        <f>IF(A1875="","",IF(OR(B1875&lt;&gt;B1874,C1875&lt;&gt;C1874,E1875&lt;&gt;E1874),G1874+1,G1874))</f>
        <v/>
      </c>
    </row>
    <row r="1876">
      <c r="A1876" s="20">
        <f>IF(A1875="","",IF(A1875+1&gt;Ввод!$B$4,"",A1875+1))</f>
        <v/>
      </c>
      <c r="B1876">
        <f>IF(A1876="","",IFERROR(INDEX(Ввод!$B$12:$B$71,MATCH(A1876,Ввод!$D$12:$D$71,1)),""))</f>
        <v/>
      </c>
      <c r="C1876">
        <f>IF(A1876="","",DATE(YEAR(A1876),12,31)-DATE(YEAR(A1876),1,1)+1)</f>
        <v/>
      </c>
      <c r="D1876">
        <f>IF(A1876="","",SUMIFS(Акты!$D$5:$D$16,Акты!$E$5:$E$16,"&lt;="&amp;A1876)-SUMIFS(Оплаты!$B$6:$B$505,Оплаты!$A$6:$A$505,"&lt;"&amp;A1876,Оплаты!$D$6:$D$505,"&lt;&gt;"))</f>
        <v/>
      </c>
      <c r="E1876">
        <f>IF(A1876="","",IF(SUMPRODUCT((Ввод!$F$12:$F$31&lt;&gt;"")*(Ввод!$F$12:$F$31&lt;=A1876)*(Ввод!$G$12:$G$31&gt;=A1876))&gt;0,1,0))</f>
        <v/>
      </c>
      <c r="G1876">
        <f>IF(A1876="","",IF(OR(B1876&lt;&gt;B1875,C1876&lt;&gt;C1875,E1876&lt;&gt;E1875),G1875+1,G1875))</f>
        <v/>
      </c>
    </row>
    <row r="1877">
      <c r="A1877" s="20">
        <f>IF(A1876="","",IF(A1876+1&gt;Ввод!$B$4,"",A1876+1))</f>
        <v/>
      </c>
      <c r="B1877">
        <f>IF(A1877="","",IFERROR(INDEX(Ввод!$B$12:$B$71,MATCH(A1877,Ввод!$D$12:$D$71,1)),""))</f>
        <v/>
      </c>
      <c r="C1877">
        <f>IF(A1877="","",DATE(YEAR(A1877),12,31)-DATE(YEAR(A1877),1,1)+1)</f>
        <v/>
      </c>
      <c r="D1877">
        <f>IF(A1877="","",SUMIFS(Акты!$D$5:$D$16,Акты!$E$5:$E$16,"&lt;="&amp;A1877)-SUMIFS(Оплаты!$B$6:$B$505,Оплаты!$A$6:$A$505,"&lt;"&amp;A1877,Оплаты!$D$6:$D$505,"&lt;&gt;"))</f>
        <v/>
      </c>
      <c r="E1877">
        <f>IF(A1877="","",IF(SUMPRODUCT((Ввод!$F$12:$F$31&lt;&gt;"")*(Ввод!$F$12:$F$31&lt;=A1877)*(Ввод!$G$12:$G$31&gt;=A1877))&gt;0,1,0))</f>
        <v/>
      </c>
      <c r="G1877">
        <f>IF(A1877="","",IF(OR(B1877&lt;&gt;B1876,C1877&lt;&gt;C1876,E1877&lt;&gt;E1876),G1876+1,G1876))</f>
        <v/>
      </c>
    </row>
    <row r="1878">
      <c r="A1878" s="20">
        <f>IF(A1877="","",IF(A1877+1&gt;Ввод!$B$4,"",A1877+1))</f>
        <v/>
      </c>
      <c r="B1878">
        <f>IF(A1878="","",IFERROR(INDEX(Ввод!$B$12:$B$71,MATCH(A1878,Ввод!$D$12:$D$71,1)),""))</f>
        <v/>
      </c>
      <c r="C1878">
        <f>IF(A1878="","",DATE(YEAR(A1878),12,31)-DATE(YEAR(A1878),1,1)+1)</f>
        <v/>
      </c>
      <c r="D1878">
        <f>IF(A1878="","",SUMIFS(Акты!$D$5:$D$16,Акты!$E$5:$E$16,"&lt;="&amp;A1878)-SUMIFS(Оплаты!$B$6:$B$505,Оплаты!$A$6:$A$505,"&lt;"&amp;A1878,Оплаты!$D$6:$D$505,"&lt;&gt;"))</f>
        <v/>
      </c>
      <c r="E1878">
        <f>IF(A1878="","",IF(SUMPRODUCT((Ввод!$F$12:$F$31&lt;&gt;"")*(Ввод!$F$12:$F$31&lt;=A1878)*(Ввод!$G$12:$G$31&gt;=A1878))&gt;0,1,0))</f>
        <v/>
      </c>
      <c r="G1878">
        <f>IF(A1878="","",IF(OR(B1878&lt;&gt;B1877,C1878&lt;&gt;C1877,E1878&lt;&gt;E1877),G1877+1,G1877))</f>
        <v/>
      </c>
    </row>
    <row r="1879">
      <c r="A1879" s="20">
        <f>IF(A1878="","",IF(A1878+1&gt;Ввод!$B$4,"",A1878+1))</f>
        <v/>
      </c>
      <c r="B1879">
        <f>IF(A1879="","",IFERROR(INDEX(Ввод!$B$12:$B$71,MATCH(A1879,Ввод!$D$12:$D$71,1)),""))</f>
        <v/>
      </c>
      <c r="C1879">
        <f>IF(A1879="","",DATE(YEAR(A1879),12,31)-DATE(YEAR(A1879),1,1)+1)</f>
        <v/>
      </c>
      <c r="D1879">
        <f>IF(A1879="","",SUMIFS(Акты!$D$5:$D$16,Акты!$E$5:$E$16,"&lt;="&amp;A1879)-SUMIFS(Оплаты!$B$6:$B$505,Оплаты!$A$6:$A$505,"&lt;"&amp;A1879,Оплаты!$D$6:$D$505,"&lt;&gt;"))</f>
        <v/>
      </c>
      <c r="E1879">
        <f>IF(A1879="","",IF(SUMPRODUCT((Ввод!$F$12:$F$31&lt;&gt;"")*(Ввод!$F$12:$F$31&lt;=A1879)*(Ввод!$G$12:$G$31&gt;=A1879))&gt;0,1,0))</f>
        <v/>
      </c>
      <c r="G1879">
        <f>IF(A1879="","",IF(OR(B1879&lt;&gt;B1878,C1879&lt;&gt;C1878,E1879&lt;&gt;E1878),G1878+1,G1878))</f>
        <v/>
      </c>
    </row>
    <row r="1880">
      <c r="A1880" s="20">
        <f>IF(A1879="","",IF(A1879+1&gt;Ввод!$B$4,"",A1879+1))</f>
        <v/>
      </c>
      <c r="B1880">
        <f>IF(A1880="","",IFERROR(INDEX(Ввод!$B$12:$B$71,MATCH(A1880,Ввод!$D$12:$D$71,1)),""))</f>
        <v/>
      </c>
      <c r="C1880">
        <f>IF(A1880="","",DATE(YEAR(A1880),12,31)-DATE(YEAR(A1880),1,1)+1)</f>
        <v/>
      </c>
      <c r="D1880">
        <f>IF(A1880="","",SUMIFS(Акты!$D$5:$D$16,Акты!$E$5:$E$16,"&lt;="&amp;A1880)-SUMIFS(Оплаты!$B$6:$B$505,Оплаты!$A$6:$A$505,"&lt;"&amp;A1880,Оплаты!$D$6:$D$505,"&lt;&gt;"))</f>
        <v/>
      </c>
      <c r="E1880">
        <f>IF(A1880="","",IF(SUMPRODUCT((Ввод!$F$12:$F$31&lt;&gt;"")*(Ввод!$F$12:$F$31&lt;=A1880)*(Ввод!$G$12:$G$31&gt;=A1880))&gt;0,1,0))</f>
        <v/>
      </c>
      <c r="G1880">
        <f>IF(A1880="","",IF(OR(B1880&lt;&gt;B1879,C1880&lt;&gt;C1879,E1880&lt;&gt;E1879),G1879+1,G1879))</f>
        <v/>
      </c>
    </row>
    <row r="1881">
      <c r="A1881" s="20">
        <f>IF(A1880="","",IF(A1880+1&gt;Ввод!$B$4,"",A1880+1))</f>
        <v/>
      </c>
      <c r="B1881">
        <f>IF(A1881="","",IFERROR(INDEX(Ввод!$B$12:$B$71,MATCH(A1881,Ввод!$D$12:$D$71,1)),""))</f>
        <v/>
      </c>
      <c r="C1881">
        <f>IF(A1881="","",DATE(YEAR(A1881),12,31)-DATE(YEAR(A1881),1,1)+1)</f>
        <v/>
      </c>
      <c r="D1881">
        <f>IF(A1881="","",SUMIFS(Акты!$D$5:$D$16,Акты!$E$5:$E$16,"&lt;="&amp;A1881)-SUMIFS(Оплаты!$B$6:$B$505,Оплаты!$A$6:$A$505,"&lt;"&amp;A1881,Оплаты!$D$6:$D$505,"&lt;&gt;"))</f>
        <v/>
      </c>
      <c r="E1881">
        <f>IF(A1881="","",IF(SUMPRODUCT((Ввод!$F$12:$F$31&lt;&gt;"")*(Ввод!$F$12:$F$31&lt;=A1881)*(Ввод!$G$12:$G$31&gt;=A1881))&gt;0,1,0))</f>
        <v/>
      </c>
      <c r="G1881">
        <f>IF(A1881="","",IF(OR(B1881&lt;&gt;B1880,C1881&lt;&gt;C1880,E1881&lt;&gt;E1880),G1880+1,G1880))</f>
        <v/>
      </c>
    </row>
    <row r="1882">
      <c r="A1882" s="20">
        <f>IF(A1881="","",IF(A1881+1&gt;Ввод!$B$4,"",A1881+1))</f>
        <v/>
      </c>
      <c r="B1882">
        <f>IF(A1882="","",IFERROR(INDEX(Ввод!$B$12:$B$71,MATCH(A1882,Ввод!$D$12:$D$71,1)),""))</f>
        <v/>
      </c>
      <c r="C1882">
        <f>IF(A1882="","",DATE(YEAR(A1882),12,31)-DATE(YEAR(A1882),1,1)+1)</f>
        <v/>
      </c>
      <c r="D1882">
        <f>IF(A1882="","",SUMIFS(Акты!$D$5:$D$16,Акты!$E$5:$E$16,"&lt;="&amp;A1882)-SUMIFS(Оплаты!$B$6:$B$505,Оплаты!$A$6:$A$505,"&lt;"&amp;A1882,Оплаты!$D$6:$D$505,"&lt;&gt;"))</f>
        <v/>
      </c>
      <c r="E1882">
        <f>IF(A1882="","",IF(SUMPRODUCT((Ввод!$F$12:$F$31&lt;&gt;"")*(Ввод!$F$12:$F$31&lt;=A1882)*(Ввод!$G$12:$G$31&gt;=A1882))&gt;0,1,0))</f>
        <v/>
      </c>
      <c r="G1882">
        <f>IF(A1882="","",IF(OR(B1882&lt;&gt;B1881,C1882&lt;&gt;C1881,E1882&lt;&gt;E1881),G1881+1,G1881))</f>
        <v/>
      </c>
    </row>
    <row r="1883">
      <c r="A1883" s="20">
        <f>IF(A1882="","",IF(A1882+1&gt;Ввод!$B$4,"",A1882+1))</f>
        <v/>
      </c>
      <c r="B1883">
        <f>IF(A1883="","",IFERROR(INDEX(Ввод!$B$12:$B$71,MATCH(A1883,Ввод!$D$12:$D$71,1)),""))</f>
        <v/>
      </c>
      <c r="C1883">
        <f>IF(A1883="","",DATE(YEAR(A1883),12,31)-DATE(YEAR(A1883),1,1)+1)</f>
        <v/>
      </c>
      <c r="D1883">
        <f>IF(A1883="","",SUMIFS(Акты!$D$5:$D$16,Акты!$E$5:$E$16,"&lt;="&amp;A1883)-SUMIFS(Оплаты!$B$6:$B$505,Оплаты!$A$6:$A$505,"&lt;"&amp;A1883,Оплаты!$D$6:$D$505,"&lt;&gt;"))</f>
        <v/>
      </c>
      <c r="E1883">
        <f>IF(A1883="","",IF(SUMPRODUCT((Ввод!$F$12:$F$31&lt;&gt;"")*(Ввод!$F$12:$F$31&lt;=A1883)*(Ввод!$G$12:$G$31&gt;=A1883))&gt;0,1,0))</f>
        <v/>
      </c>
      <c r="G1883">
        <f>IF(A1883="","",IF(OR(B1883&lt;&gt;B1882,C1883&lt;&gt;C1882,E1883&lt;&gt;E1882),G1882+1,G1882))</f>
        <v/>
      </c>
    </row>
    <row r="1884">
      <c r="A1884" s="20">
        <f>IF(A1883="","",IF(A1883+1&gt;Ввод!$B$4,"",A1883+1))</f>
        <v/>
      </c>
      <c r="B1884">
        <f>IF(A1884="","",IFERROR(INDEX(Ввод!$B$12:$B$71,MATCH(A1884,Ввод!$D$12:$D$71,1)),""))</f>
        <v/>
      </c>
      <c r="C1884">
        <f>IF(A1884="","",DATE(YEAR(A1884),12,31)-DATE(YEAR(A1884),1,1)+1)</f>
        <v/>
      </c>
      <c r="D1884">
        <f>IF(A1884="","",SUMIFS(Акты!$D$5:$D$16,Акты!$E$5:$E$16,"&lt;="&amp;A1884)-SUMIFS(Оплаты!$B$6:$B$505,Оплаты!$A$6:$A$505,"&lt;"&amp;A1884,Оплаты!$D$6:$D$505,"&lt;&gt;"))</f>
        <v/>
      </c>
      <c r="E1884">
        <f>IF(A1884="","",IF(SUMPRODUCT((Ввод!$F$12:$F$31&lt;&gt;"")*(Ввод!$F$12:$F$31&lt;=A1884)*(Ввод!$G$12:$G$31&gt;=A1884))&gt;0,1,0))</f>
        <v/>
      </c>
      <c r="G1884">
        <f>IF(A1884="","",IF(OR(B1884&lt;&gt;B1883,C1884&lt;&gt;C1883,E1884&lt;&gt;E1883),G1883+1,G1883))</f>
        <v/>
      </c>
    </row>
    <row r="1885">
      <c r="A1885" s="20">
        <f>IF(A1884="","",IF(A1884+1&gt;Ввод!$B$4,"",A1884+1))</f>
        <v/>
      </c>
      <c r="B1885">
        <f>IF(A1885="","",IFERROR(INDEX(Ввод!$B$12:$B$71,MATCH(A1885,Ввод!$D$12:$D$71,1)),""))</f>
        <v/>
      </c>
      <c r="C1885">
        <f>IF(A1885="","",DATE(YEAR(A1885),12,31)-DATE(YEAR(A1885),1,1)+1)</f>
        <v/>
      </c>
      <c r="D1885">
        <f>IF(A1885="","",SUMIFS(Акты!$D$5:$D$16,Акты!$E$5:$E$16,"&lt;="&amp;A1885)-SUMIFS(Оплаты!$B$6:$B$505,Оплаты!$A$6:$A$505,"&lt;"&amp;A1885,Оплаты!$D$6:$D$505,"&lt;&gt;"))</f>
        <v/>
      </c>
      <c r="E1885">
        <f>IF(A1885="","",IF(SUMPRODUCT((Ввод!$F$12:$F$31&lt;&gt;"")*(Ввод!$F$12:$F$31&lt;=A1885)*(Ввод!$G$12:$G$31&gt;=A1885))&gt;0,1,0))</f>
        <v/>
      </c>
      <c r="G1885">
        <f>IF(A1885="","",IF(OR(B1885&lt;&gt;B1884,C1885&lt;&gt;C1884,E1885&lt;&gt;E1884),G1884+1,G1884))</f>
        <v/>
      </c>
    </row>
    <row r="1886">
      <c r="A1886" s="20">
        <f>IF(A1885="","",IF(A1885+1&gt;Ввод!$B$4,"",A1885+1))</f>
        <v/>
      </c>
      <c r="B1886">
        <f>IF(A1886="","",IFERROR(INDEX(Ввод!$B$12:$B$71,MATCH(A1886,Ввод!$D$12:$D$71,1)),""))</f>
        <v/>
      </c>
      <c r="C1886">
        <f>IF(A1886="","",DATE(YEAR(A1886),12,31)-DATE(YEAR(A1886),1,1)+1)</f>
        <v/>
      </c>
      <c r="D1886">
        <f>IF(A1886="","",SUMIFS(Акты!$D$5:$D$16,Акты!$E$5:$E$16,"&lt;="&amp;A1886)-SUMIFS(Оплаты!$B$6:$B$505,Оплаты!$A$6:$A$505,"&lt;"&amp;A1886,Оплаты!$D$6:$D$505,"&lt;&gt;"))</f>
        <v/>
      </c>
      <c r="E1886">
        <f>IF(A1886="","",IF(SUMPRODUCT((Ввод!$F$12:$F$31&lt;&gt;"")*(Ввод!$F$12:$F$31&lt;=A1886)*(Ввод!$G$12:$G$31&gt;=A1886))&gt;0,1,0))</f>
        <v/>
      </c>
      <c r="G1886">
        <f>IF(A1886="","",IF(OR(B1886&lt;&gt;B1885,C1886&lt;&gt;C1885,E1886&lt;&gt;E1885),G1885+1,G1885))</f>
        <v/>
      </c>
    </row>
    <row r="1887">
      <c r="A1887" s="20">
        <f>IF(A1886="","",IF(A1886+1&gt;Ввод!$B$4,"",A1886+1))</f>
        <v/>
      </c>
      <c r="B1887">
        <f>IF(A1887="","",IFERROR(INDEX(Ввод!$B$12:$B$71,MATCH(A1887,Ввод!$D$12:$D$71,1)),""))</f>
        <v/>
      </c>
      <c r="C1887">
        <f>IF(A1887="","",DATE(YEAR(A1887),12,31)-DATE(YEAR(A1887),1,1)+1)</f>
        <v/>
      </c>
      <c r="D1887">
        <f>IF(A1887="","",SUMIFS(Акты!$D$5:$D$16,Акты!$E$5:$E$16,"&lt;="&amp;A1887)-SUMIFS(Оплаты!$B$6:$B$505,Оплаты!$A$6:$A$505,"&lt;"&amp;A1887,Оплаты!$D$6:$D$505,"&lt;&gt;"))</f>
        <v/>
      </c>
      <c r="E1887">
        <f>IF(A1887="","",IF(SUMPRODUCT((Ввод!$F$12:$F$31&lt;&gt;"")*(Ввод!$F$12:$F$31&lt;=A1887)*(Ввод!$G$12:$G$31&gt;=A1887))&gt;0,1,0))</f>
        <v/>
      </c>
      <c r="G1887">
        <f>IF(A1887="","",IF(OR(B1887&lt;&gt;B1886,C1887&lt;&gt;C1886,E1887&lt;&gt;E1886),G1886+1,G1886))</f>
        <v/>
      </c>
    </row>
    <row r="1888">
      <c r="A1888" s="20">
        <f>IF(A1887="","",IF(A1887+1&gt;Ввод!$B$4,"",A1887+1))</f>
        <v/>
      </c>
      <c r="B1888">
        <f>IF(A1888="","",IFERROR(INDEX(Ввод!$B$12:$B$71,MATCH(A1888,Ввод!$D$12:$D$71,1)),""))</f>
        <v/>
      </c>
      <c r="C1888">
        <f>IF(A1888="","",DATE(YEAR(A1888),12,31)-DATE(YEAR(A1888),1,1)+1)</f>
        <v/>
      </c>
      <c r="D1888">
        <f>IF(A1888="","",SUMIFS(Акты!$D$5:$D$16,Акты!$E$5:$E$16,"&lt;="&amp;A1888)-SUMIFS(Оплаты!$B$6:$B$505,Оплаты!$A$6:$A$505,"&lt;"&amp;A1888,Оплаты!$D$6:$D$505,"&lt;&gt;"))</f>
        <v/>
      </c>
      <c r="E1888">
        <f>IF(A1888="","",IF(SUMPRODUCT((Ввод!$F$12:$F$31&lt;&gt;"")*(Ввод!$F$12:$F$31&lt;=A1888)*(Ввод!$G$12:$G$31&gt;=A1888))&gt;0,1,0))</f>
        <v/>
      </c>
      <c r="G1888">
        <f>IF(A1888="","",IF(OR(B1888&lt;&gt;B1887,C1888&lt;&gt;C1887,E1888&lt;&gt;E1887),G1887+1,G1887))</f>
        <v/>
      </c>
    </row>
    <row r="1889">
      <c r="A1889" s="20">
        <f>IF(A1888="","",IF(A1888+1&gt;Ввод!$B$4,"",A1888+1))</f>
        <v/>
      </c>
      <c r="B1889">
        <f>IF(A1889="","",IFERROR(INDEX(Ввод!$B$12:$B$71,MATCH(A1889,Ввод!$D$12:$D$71,1)),""))</f>
        <v/>
      </c>
      <c r="C1889">
        <f>IF(A1889="","",DATE(YEAR(A1889),12,31)-DATE(YEAR(A1889),1,1)+1)</f>
        <v/>
      </c>
      <c r="D1889">
        <f>IF(A1889="","",SUMIFS(Акты!$D$5:$D$16,Акты!$E$5:$E$16,"&lt;="&amp;A1889)-SUMIFS(Оплаты!$B$6:$B$505,Оплаты!$A$6:$A$505,"&lt;"&amp;A1889,Оплаты!$D$6:$D$505,"&lt;&gt;"))</f>
        <v/>
      </c>
      <c r="E1889">
        <f>IF(A1889="","",IF(SUMPRODUCT((Ввод!$F$12:$F$31&lt;&gt;"")*(Ввод!$F$12:$F$31&lt;=A1889)*(Ввод!$G$12:$G$31&gt;=A1889))&gt;0,1,0))</f>
        <v/>
      </c>
      <c r="G1889">
        <f>IF(A1889="","",IF(OR(B1889&lt;&gt;B1888,C1889&lt;&gt;C1888,E1889&lt;&gt;E1888),G1888+1,G1888))</f>
        <v/>
      </c>
    </row>
    <row r="1890">
      <c r="A1890" s="20">
        <f>IF(A1889="","",IF(A1889+1&gt;Ввод!$B$4,"",A1889+1))</f>
        <v/>
      </c>
      <c r="B1890">
        <f>IF(A1890="","",IFERROR(INDEX(Ввод!$B$12:$B$71,MATCH(A1890,Ввод!$D$12:$D$71,1)),""))</f>
        <v/>
      </c>
      <c r="C1890">
        <f>IF(A1890="","",DATE(YEAR(A1890),12,31)-DATE(YEAR(A1890),1,1)+1)</f>
        <v/>
      </c>
      <c r="D1890">
        <f>IF(A1890="","",SUMIFS(Акты!$D$5:$D$16,Акты!$E$5:$E$16,"&lt;="&amp;A1890)-SUMIFS(Оплаты!$B$6:$B$505,Оплаты!$A$6:$A$505,"&lt;"&amp;A1890,Оплаты!$D$6:$D$505,"&lt;&gt;"))</f>
        <v/>
      </c>
      <c r="E1890">
        <f>IF(A1890="","",IF(SUMPRODUCT((Ввод!$F$12:$F$31&lt;&gt;"")*(Ввод!$F$12:$F$31&lt;=A1890)*(Ввод!$G$12:$G$31&gt;=A1890))&gt;0,1,0))</f>
        <v/>
      </c>
      <c r="G1890">
        <f>IF(A1890="","",IF(OR(B1890&lt;&gt;B1889,C1890&lt;&gt;C1889,E1890&lt;&gt;E1889),G1889+1,G1889))</f>
        <v/>
      </c>
    </row>
    <row r="1891">
      <c r="A1891" s="20">
        <f>IF(A1890="","",IF(A1890+1&gt;Ввод!$B$4,"",A1890+1))</f>
        <v/>
      </c>
      <c r="B1891">
        <f>IF(A1891="","",IFERROR(INDEX(Ввод!$B$12:$B$71,MATCH(A1891,Ввод!$D$12:$D$71,1)),""))</f>
        <v/>
      </c>
      <c r="C1891">
        <f>IF(A1891="","",DATE(YEAR(A1891),12,31)-DATE(YEAR(A1891),1,1)+1)</f>
        <v/>
      </c>
      <c r="D1891">
        <f>IF(A1891="","",SUMIFS(Акты!$D$5:$D$16,Акты!$E$5:$E$16,"&lt;="&amp;A1891)-SUMIFS(Оплаты!$B$6:$B$505,Оплаты!$A$6:$A$505,"&lt;"&amp;A1891,Оплаты!$D$6:$D$505,"&lt;&gt;"))</f>
        <v/>
      </c>
      <c r="E1891">
        <f>IF(A1891="","",IF(SUMPRODUCT((Ввод!$F$12:$F$31&lt;&gt;"")*(Ввод!$F$12:$F$31&lt;=A1891)*(Ввод!$G$12:$G$31&gt;=A1891))&gt;0,1,0))</f>
        <v/>
      </c>
      <c r="G1891">
        <f>IF(A1891="","",IF(OR(B1891&lt;&gt;B1890,C1891&lt;&gt;C1890,E1891&lt;&gt;E1890),G1890+1,G1890))</f>
        <v/>
      </c>
    </row>
    <row r="1892">
      <c r="A1892" s="20">
        <f>IF(A1891="","",IF(A1891+1&gt;Ввод!$B$4,"",A1891+1))</f>
        <v/>
      </c>
      <c r="B1892">
        <f>IF(A1892="","",IFERROR(INDEX(Ввод!$B$12:$B$71,MATCH(A1892,Ввод!$D$12:$D$71,1)),""))</f>
        <v/>
      </c>
      <c r="C1892">
        <f>IF(A1892="","",DATE(YEAR(A1892),12,31)-DATE(YEAR(A1892),1,1)+1)</f>
        <v/>
      </c>
      <c r="D1892">
        <f>IF(A1892="","",SUMIFS(Акты!$D$5:$D$16,Акты!$E$5:$E$16,"&lt;="&amp;A1892)-SUMIFS(Оплаты!$B$6:$B$505,Оплаты!$A$6:$A$505,"&lt;"&amp;A1892,Оплаты!$D$6:$D$505,"&lt;&gt;"))</f>
        <v/>
      </c>
      <c r="E1892">
        <f>IF(A1892="","",IF(SUMPRODUCT((Ввод!$F$12:$F$31&lt;&gt;"")*(Ввод!$F$12:$F$31&lt;=A1892)*(Ввод!$G$12:$G$31&gt;=A1892))&gt;0,1,0))</f>
        <v/>
      </c>
      <c r="G1892">
        <f>IF(A1892="","",IF(OR(B1892&lt;&gt;B1891,C1892&lt;&gt;C1891,E1892&lt;&gt;E1891),G1891+1,G1891))</f>
        <v/>
      </c>
    </row>
    <row r="1893">
      <c r="A1893" s="20">
        <f>IF(A1892="","",IF(A1892+1&gt;Ввод!$B$4,"",A1892+1))</f>
        <v/>
      </c>
      <c r="B1893">
        <f>IF(A1893="","",IFERROR(INDEX(Ввод!$B$12:$B$71,MATCH(A1893,Ввод!$D$12:$D$71,1)),""))</f>
        <v/>
      </c>
      <c r="C1893">
        <f>IF(A1893="","",DATE(YEAR(A1893),12,31)-DATE(YEAR(A1893),1,1)+1)</f>
        <v/>
      </c>
      <c r="D1893">
        <f>IF(A1893="","",SUMIFS(Акты!$D$5:$D$16,Акты!$E$5:$E$16,"&lt;="&amp;A1893)-SUMIFS(Оплаты!$B$6:$B$505,Оплаты!$A$6:$A$505,"&lt;"&amp;A1893,Оплаты!$D$6:$D$505,"&lt;&gt;"))</f>
        <v/>
      </c>
      <c r="E1893">
        <f>IF(A1893="","",IF(SUMPRODUCT((Ввод!$F$12:$F$31&lt;&gt;"")*(Ввод!$F$12:$F$31&lt;=A1893)*(Ввод!$G$12:$G$31&gt;=A1893))&gt;0,1,0))</f>
        <v/>
      </c>
      <c r="G1893">
        <f>IF(A1893="","",IF(OR(B1893&lt;&gt;B1892,C1893&lt;&gt;C1892,E1893&lt;&gt;E1892),G1892+1,G1892))</f>
        <v/>
      </c>
    </row>
    <row r="1894">
      <c r="A1894" s="20">
        <f>IF(A1893="","",IF(A1893+1&gt;Ввод!$B$4,"",A1893+1))</f>
        <v/>
      </c>
      <c r="B1894">
        <f>IF(A1894="","",IFERROR(INDEX(Ввод!$B$12:$B$71,MATCH(A1894,Ввод!$D$12:$D$71,1)),""))</f>
        <v/>
      </c>
      <c r="C1894">
        <f>IF(A1894="","",DATE(YEAR(A1894),12,31)-DATE(YEAR(A1894),1,1)+1)</f>
        <v/>
      </c>
      <c r="D1894">
        <f>IF(A1894="","",SUMIFS(Акты!$D$5:$D$16,Акты!$E$5:$E$16,"&lt;="&amp;A1894)-SUMIFS(Оплаты!$B$6:$B$505,Оплаты!$A$6:$A$505,"&lt;"&amp;A1894,Оплаты!$D$6:$D$505,"&lt;&gt;"))</f>
        <v/>
      </c>
      <c r="E1894">
        <f>IF(A1894="","",IF(SUMPRODUCT((Ввод!$F$12:$F$31&lt;&gt;"")*(Ввод!$F$12:$F$31&lt;=A1894)*(Ввод!$G$12:$G$31&gt;=A1894))&gt;0,1,0))</f>
        <v/>
      </c>
      <c r="G1894">
        <f>IF(A1894="","",IF(OR(B1894&lt;&gt;B1893,C1894&lt;&gt;C1893,E1894&lt;&gt;E1893),G1893+1,G1893))</f>
        <v/>
      </c>
    </row>
    <row r="1895">
      <c r="A1895" s="20">
        <f>IF(A1894="","",IF(A1894+1&gt;Ввод!$B$4,"",A1894+1))</f>
        <v/>
      </c>
      <c r="B1895">
        <f>IF(A1895="","",IFERROR(INDEX(Ввод!$B$12:$B$71,MATCH(A1895,Ввод!$D$12:$D$71,1)),""))</f>
        <v/>
      </c>
      <c r="C1895">
        <f>IF(A1895="","",DATE(YEAR(A1895),12,31)-DATE(YEAR(A1895),1,1)+1)</f>
        <v/>
      </c>
      <c r="D1895">
        <f>IF(A1895="","",SUMIFS(Акты!$D$5:$D$16,Акты!$E$5:$E$16,"&lt;="&amp;A1895)-SUMIFS(Оплаты!$B$6:$B$505,Оплаты!$A$6:$A$505,"&lt;"&amp;A1895,Оплаты!$D$6:$D$505,"&lt;&gt;"))</f>
        <v/>
      </c>
      <c r="E1895">
        <f>IF(A1895="","",IF(SUMPRODUCT((Ввод!$F$12:$F$31&lt;&gt;"")*(Ввод!$F$12:$F$31&lt;=A1895)*(Ввод!$G$12:$G$31&gt;=A1895))&gt;0,1,0))</f>
        <v/>
      </c>
      <c r="G1895">
        <f>IF(A1895="","",IF(OR(B1895&lt;&gt;B1894,C1895&lt;&gt;C1894,E1895&lt;&gt;E1894),G1894+1,G1894))</f>
        <v/>
      </c>
    </row>
    <row r="1896">
      <c r="A1896" s="20">
        <f>IF(A1895="","",IF(A1895+1&gt;Ввод!$B$4,"",A1895+1))</f>
        <v/>
      </c>
      <c r="B1896">
        <f>IF(A1896="","",IFERROR(INDEX(Ввод!$B$12:$B$71,MATCH(A1896,Ввод!$D$12:$D$71,1)),""))</f>
        <v/>
      </c>
      <c r="C1896">
        <f>IF(A1896="","",DATE(YEAR(A1896),12,31)-DATE(YEAR(A1896),1,1)+1)</f>
        <v/>
      </c>
      <c r="D1896">
        <f>IF(A1896="","",SUMIFS(Акты!$D$5:$D$16,Акты!$E$5:$E$16,"&lt;="&amp;A1896)-SUMIFS(Оплаты!$B$6:$B$505,Оплаты!$A$6:$A$505,"&lt;"&amp;A1896,Оплаты!$D$6:$D$505,"&lt;&gt;"))</f>
        <v/>
      </c>
      <c r="E1896">
        <f>IF(A1896="","",IF(SUMPRODUCT((Ввод!$F$12:$F$31&lt;&gt;"")*(Ввод!$F$12:$F$31&lt;=A1896)*(Ввод!$G$12:$G$31&gt;=A1896))&gt;0,1,0))</f>
        <v/>
      </c>
      <c r="G1896">
        <f>IF(A1896="","",IF(OR(B1896&lt;&gt;B1895,C1896&lt;&gt;C1895,E1896&lt;&gt;E1895),G1895+1,G1895))</f>
        <v/>
      </c>
    </row>
    <row r="1897">
      <c r="A1897" s="20">
        <f>IF(A1896="","",IF(A1896+1&gt;Ввод!$B$4,"",A1896+1))</f>
        <v/>
      </c>
      <c r="B1897">
        <f>IF(A1897="","",IFERROR(INDEX(Ввод!$B$12:$B$71,MATCH(A1897,Ввод!$D$12:$D$71,1)),""))</f>
        <v/>
      </c>
      <c r="C1897">
        <f>IF(A1897="","",DATE(YEAR(A1897),12,31)-DATE(YEAR(A1897),1,1)+1)</f>
        <v/>
      </c>
      <c r="D1897">
        <f>IF(A1897="","",SUMIFS(Акты!$D$5:$D$16,Акты!$E$5:$E$16,"&lt;="&amp;A1897)-SUMIFS(Оплаты!$B$6:$B$505,Оплаты!$A$6:$A$505,"&lt;"&amp;A1897,Оплаты!$D$6:$D$505,"&lt;&gt;"))</f>
        <v/>
      </c>
      <c r="E1897">
        <f>IF(A1897="","",IF(SUMPRODUCT((Ввод!$F$12:$F$31&lt;&gt;"")*(Ввод!$F$12:$F$31&lt;=A1897)*(Ввод!$G$12:$G$31&gt;=A1897))&gt;0,1,0))</f>
        <v/>
      </c>
      <c r="G1897">
        <f>IF(A1897="","",IF(OR(B1897&lt;&gt;B1896,C1897&lt;&gt;C1896,E1897&lt;&gt;E1896),G1896+1,G1896))</f>
        <v/>
      </c>
    </row>
    <row r="1898">
      <c r="A1898" s="20">
        <f>IF(A1897="","",IF(A1897+1&gt;Ввод!$B$4,"",A1897+1))</f>
        <v/>
      </c>
      <c r="B1898">
        <f>IF(A1898="","",IFERROR(INDEX(Ввод!$B$12:$B$71,MATCH(A1898,Ввод!$D$12:$D$71,1)),""))</f>
        <v/>
      </c>
      <c r="C1898">
        <f>IF(A1898="","",DATE(YEAR(A1898),12,31)-DATE(YEAR(A1898),1,1)+1)</f>
        <v/>
      </c>
      <c r="D1898">
        <f>IF(A1898="","",SUMIFS(Акты!$D$5:$D$16,Акты!$E$5:$E$16,"&lt;="&amp;A1898)-SUMIFS(Оплаты!$B$6:$B$505,Оплаты!$A$6:$A$505,"&lt;"&amp;A1898,Оплаты!$D$6:$D$505,"&lt;&gt;"))</f>
        <v/>
      </c>
      <c r="E1898">
        <f>IF(A1898="","",IF(SUMPRODUCT((Ввод!$F$12:$F$31&lt;&gt;"")*(Ввод!$F$12:$F$31&lt;=A1898)*(Ввод!$G$12:$G$31&gt;=A1898))&gt;0,1,0))</f>
        <v/>
      </c>
      <c r="G1898">
        <f>IF(A1898="","",IF(OR(B1898&lt;&gt;B1897,C1898&lt;&gt;C1897,E1898&lt;&gt;E1897),G1897+1,G1897))</f>
        <v/>
      </c>
    </row>
    <row r="1899">
      <c r="A1899" s="20">
        <f>IF(A1898="","",IF(A1898+1&gt;Ввод!$B$4,"",A1898+1))</f>
        <v/>
      </c>
      <c r="B1899">
        <f>IF(A1899="","",IFERROR(INDEX(Ввод!$B$12:$B$71,MATCH(A1899,Ввод!$D$12:$D$71,1)),""))</f>
        <v/>
      </c>
      <c r="C1899">
        <f>IF(A1899="","",DATE(YEAR(A1899),12,31)-DATE(YEAR(A1899),1,1)+1)</f>
        <v/>
      </c>
      <c r="D1899">
        <f>IF(A1899="","",SUMIFS(Акты!$D$5:$D$16,Акты!$E$5:$E$16,"&lt;="&amp;A1899)-SUMIFS(Оплаты!$B$6:$B$505,Оплаты!$A$6:$A$505,"&lt;"&amp;A1899,Оплаты!$D$6:$D$505,"&lt;&gt;"))</f>
        <v/>
      </c>
      <c r="E1899">
        <f>IF(A1899="","",IF(SUMPRODUCT((Ввод!$F$12:$F$31&lt;&gt;"")*(Ввод!$F$12:$F$31&lt;=A1899)*(Ввод!$G$12:$G$31&gt;=A1899))&gt;0,1,0))</f>
        <v/>
      </c>
      <c r="G1899">
        <f>IF(A1899="","",IF(OR(B1899&lt;&gt;B1898,C1899&lt;&gt;C1898,E1899&lt;&gt;E1898),G1898+1,G1898))</f>
        <v/>
      </c>
    </row>
    <row r="1900">
      <c r="A1900" s="20">
        <f>IF(A1899="","",IF(A1899+1&gt;Ввод!$B$4,"",A1899+1))</f>
        <v/>
      </c>
      <c r="B1900">
        <f>IF(A1900="","",IFERROR(INDEX(Ввод!$B$12:$B$71,MATCH(A1900,Ввод!$D$12:$D$71,1)),""))</f>
        <v/>
      </c>
      <c r="C1900">
        <f>IF(A1900="","",DATE(YEAR(A1900),12,31)-DATE(YEAR(A1900),1,1)+1)</f>
        <v/>
      </c>
      <c r="D1900">
        <f>IF(A1900="","",SUMIFS(Акты!$D$5:$D$16,Акты!$E$5:$E$16,"&lt;="&amp;A1900)-SUMIFS(Оплаты!$B$6:$B$505,Оплаты!$A$6:$A$505,"&lt;"&amp;A1900,Оплаты!$D$6:$D$505,"&lt;&gt;"))</f>
        <v/>
      </c>
      <c r="E1900">
        <f>IF(A1900="","",IF(SUMPRODUCT((Ввод!$F$12:$F$31&lt;&gt;"")*(Ввод!$F$12:$F$31&lt;=A1900)*(Ввод!$G$12:$G$31&gt;=A1900))&gt;0,1,0))</f>
        <v/>
      </c>
      <c r="G1900">
        <f>IF(A1900="","",IF(OR(B1900&lt;&gt;B1899,C1900&lt;&gt;C1899,E1900&lt;&gt;E1899),G1899+1,G1899))</f>
        <v/>
      </c>
    </row>
    <row r="1901">
      <c r="A1901" s="20">
        <f>IF(A1900="","",IF(A1900+1&gt;Ввод!$B$4,"",A1900+1))</f>
        <v/>
      </c>
      <c r="B1901">
        <f>IF(A1901="","",IFERROR(INDEX(Ввод!$B$12:$B$71,MATCH(A1901,Ввод!$D$12:$D$71,1)),""))</f>
        <v/>
      </c>
      <c r="C1901">
        <f>IF(A1901="","",DATE(YEAR(A1901),12,31)-DATE(YEAR(A1901),1,1)+1)</f>
        <v/>
      </c>
      <c r="D1901">
        <f>IF(A1901="","",SUMIFS(Акты!$D$5:$D$16,Акты!$E$5:$E$16,"&lt;="&amp;A1901)-SUMIFS(Оплаты!$B$6:$B$505,Оплаты!$A$6:$A$505,"&lt;"&amp;A1901,Оплаты!$D$6:$D$505,"&lt;&gt;"))</f>
        <v/>
      </c>
      <c r="E1901">
        <f>IF(A1901="","",IF(SUMPRODUCT((Ввод!$F$12:$F$31&lt;&gt;"")*(Ввод!$F$12:$F$31&lt;=A1901)*(Ввод!$G$12:$G$31&gt;=A1901))&gt;0,1,0))</f>
        <v/>
      </c>
      <c r="G1901">
        <f>IF(A1901="","",IF(OR(B1901&lt;&gt;B1900,C1901&lt;&gt;C1900,E1901&lt;&gt;E1900),G1900+1,G1900))</f>
        <v/>
      </c>
    </row>
    <row r="1902">
      <c r="A1902" s="20">
        <f>IF(A1901="","",IF(A1901+1&gt;Ввод!$B$4,"",A1901+1))</f>
        <v/>
      </c>
      <c r="B1902">
        <f>IF(A1902="","",IFERROR(INDEX(Ввод!$B$12:$B$71,MATCH(A1902,Ввод!$D$12:$D$71,1)),""))</f>
        <v/>
      </c>
      <c r="C1902">
        <f>IF(A1902="","",DATE(YEAR(A1902),12,31)-DATE(YEAR(A1902),1,1)+1)</f>
        <v/>
      </c>
      <c r="D1902">
        <f>IF(A1902="","",SUMIFS(Акты!$D$5:$D$16,Акты!$E$5:$E$16,"&lt;="&amp;A1902)-SUMIFS(Оплаты!$B$6:$B$505,Оплаты!$A$6:$A$505,"&lt;"&amp;A1902,Оплаты!$D$6:$D$505,"&lt;&gt;"))</f>
        <v/>
      </c>
      <c r="E1902">
        <f>IF(A1902="","",IF(SUMPRODUCT((Ввод!$F$12:$F$31&lt;&gt;"")*(Ввод!$F$12:$F$31&lt;=A1902)*(Ввод!$G$12:$G$31&gt;=A1902))&gt;0,1,0))</f>
        <v/>
      </c>
      <c r="G1902">
        <f>IF(A1902="","",IF(OR(B1902&lt;&gt;B1901,C1902&lt;&gt;C1901,E1902&lt;&gt;E1901),G1901+1,G1901))</f>
        <v/>
      </c>
    </row>
    <row r="1903">
      <c r="A1903" s="20">
        <f>IF(A1902="","",IF(A1902+1&gt;Ввод!$B$4,"",A1902+1))</f>
        <v/>
      </c>
      <c r="B1903">
        <f>IF(A1903="","",IFERROR(INDEX(Ввод!$B$12:$B$71,MATCH(A1903,Ввод!$D$12:$D$71,1)),""))</f>
        <v/>
      </c>
      <c r="C1903">
        <f>IF(A1903="","",DATE(YEAR(A1903),12,31)-DATE(YEAR(A1903),1,1)+1)</f>
        <v/>
      </c>
      <c r="D1903">
        <f>IF(A1903="","",SUMIFS(Акты!$D$5:$D$16,Акты!$E$5:$E$16,"&lt;="&amp;A1903)-SUMIFS(Оплаты!$B$6:$B$505,Оплаты!$A$6:$A$505,"&lt;"&amp;A1903,Оплаты!$D$6:$D$505,"&lt;&gt;"))</f>
        <v/>
      </c>
      <c r="E1903">
        <f>IF(A1903="","",IF(SUMPRODUCT((Ввод!$F$12:$F$31&lt;&gt;"")*(Ввод!$F$12:$F$31&lt;=A1903)*(Ввод!$G$12:$G$31&gt;=A1903))&gt;0,1,0))</f>
        <v/>
      </c>
      <c r="G1903">
        <f>IF(A1903="","",IF(OR(B1903&lt;&gt;B1902,C1903&lt;&gt;C1902,E1903&lt;&gt;E1902),G1902+1,G1902))</f>
        <v/>
      </c>
    </row>
    <row r="1904">
      <c r="A1904" s="20">
        <f>IF(A1903="","",IF(A1903+1&gt;Ввод!$B$4,"",A1903+1))</f>
        <v/>
      </c>
      <c r="B1904">
        <f>IF(A1904="","",IFERROR(INDEX(Ввод!$B$12:$B$71,MATCH(A1904,Ввод!$D$12:$D$71,1)),""))</f>
        <v/>
      </c>
      <c r="C1904">
        <f>IF(A1904="","",DATE(YEAR(A1904),12,31)-DATE(YEAR(A1904),1,1)+1)</f>
        <v/>
      </c>
      <c r="D1904">
        <f>IF(A1904="","",SUMIFS(Акты!$D$5:$D$16,Акты!$E$5:$E$16,"&lt;="&amp;A1904)-SUMIFS(Оплаты!$B$6:$B$505,Оплаты!$A$6:$A$505,"&lt;"&amp;A1904,Оплаты!$D$6:$D$505,"&lt;&gt;"))</f>
        <v/>
      </c>
      <c r="E1904">
        <f>IF(A1904="","",IF(SUMPRODUCT((Ввод!$F$12:$F$31&lt;&gt;"")*(Ввод!$F$12:$F$31&lt;=A1904)*(Ввод!$G$12:$G$31&gt;=A1904))&gt;0,1,0))</f>
        <v/>
      </c>
      <c r="G1904">
        <f>IF(A1904="","",IF(OR(B1904&lt;&gt;B1903,C1904&lt;&gt;C1903,E1904&lt;&gt;E1903),G1903+1,G1903))</f>
        <v/>
      </c>
    </row>
    <row r="1905">
      <c r="A1905" s="20">
        <f>IF(A1904="","",IF(A1904+1&gt;Ввод!$B$4,"",A1904+1))</f>
        <v/>
      </c>
      <c r="B1905">
        <f>IF(A1905="","",IFERROR(INDEX(Ввод!$B$12:$B$71,MATCH(A1905,Ввод!$D$12:$D$71,1)),""))</f>
        <v/>
      </c>
      <c r="C1905">
        <f>IF(A1905="","",DATE(YEAR(A1905),12,31)-DATE(YEAR(A1905),1,1)+1)</f>
        <v/>
      </c>
      <c r="D1905">
        <f>IF(A1905="","",SUMIFS(Акты!$D$5:$D$16,Акты!$E$5:$E$16,"&lt;="&amp;A1905)-SUMIFS(Оплаты!$B$6:$B$505,Оплаты!$A$6:$A$505,"&lt;"&amp;A1905,Оплаты!$D$6:$D$505,"&lt;&gt;"))</f>
        <v/>
      </c>
      <c r="E1905">
        <f>IF(A1905="","",IF(SUMPRODUCT((Ввод!$F$12:$F$31&lt;&gt;"")*(Ввод!$F$12:$F$31&lt;=A1905)*(Ввод!$G$12:$G$31&gt;=A1905))&gt;0,1,0))</f>
        <v/>
      </c>
      <c r="G1905">
        <f>IF(A1905="","",IF(OR(B1905&lt;&gt;B1904,C1905&lt;&gt;C1904,E1905&lt;&gt;E1904),G1904+1,G1904))</f>
        <v/>
      </c>
    </row>
    <row r="1906">
      <c r="A1906" s="20">
        <f>IF(A1905="","",IF(A1905+1&gt;Ввод!$B$4,"",A1905+1))</f>
        <v/>
      </c>
      <c r="B1906">
        <f>IF(A1906="","",IFERROR(INDEX(Ввод!$B$12:$B$71,MATCH(A1906,Ввод!$D$12:$D$71,1)),""))</f>
        <v/>
      </c>
      <c r="C1906">
        <f>IF(A1906="","",DATE(YEAR(A1906),12,31)-DATE(YEAR(A1906),1,1)+1)</f>
        <v/>
      </c>
      <c r="D1906">
        <f>IF(A1906="","",SUMIFS(Акты!$D$5:$D$16,Акты!$E$5:$E$16,"&lt;="&amp;A1906)-SUMIFS(Оплаты!$B$6:$B$505,Оплаты!$A$6:$A$505,"&lt;"&amp;A1906,Оплаты!$D$6:$D$505,"&lt;&gt;"))</f>
        <v/>
      </c>
      <c r="E1906">
        <f>IF(A1906="","",IF(SUMPRODUCT((Ввод!$F$12:$F$31&lt;&gt;"")*(Ввод!$F$12:$F$31&lt;=A1906)*(Ввод!$G$12:$G$31&gt;=A1906))&gt;0,1,0))</f>
        <v/>
      </c>
      <c r="G1906">
        <f>IF(A1906="","",IF(OR(B1906&lt;&gt;B1905,C1906&lt;&gt;C1905,E1906&lt;&gt;E1905),G1905+1,G1905))</f>
        <v/>
      </c>
    </row>
    <row r="1907">
      <c r="A1907" s="20">
        <f>IF(A1906="","",IF(A1906+1&gt;Ввод!$B$4,"",A1906+1))</f>
        <v/>
      </c>
      <c r="B1907">
        <f>IF(A1907="","",IFERROR(INDEX(Ввод!$B$12:$B$71,MATCH(A1907,Ввод!$D$12:$D$71,1)),""))</f>
        <v/>
      </c>
      <c r="C1907">
        <f>IF(A1907="","",DATE(YEAR(A1907),12,31)-DATE(YEAR(A1907),1,1)+1)</f>
        <v/>
      </c>
      <c r="D1907">
        <f>IF(A1907="","",SUMIFS(Акты!$D$5:$D$16,Акты!$E$5:$E$16,"&lt;="&amp;A1907)-SUMIFS(Оплаты!$B$6:$B$505,Оплаты!$A$6:$A$505,"&lt;"&amp;A1907,Оплаты!$D$6:$D$505,"&lt;&gt;"))</f>
        <v/>
      </c>
      <c r="E1907">
        <f>IF(A1907="","",IF(SUMPRODUCT((Ввод!$F$12:$F$31&lt;&gt;"")*(Ввод!$F$12:$F$31&lt;=A1907)*(Ввод!$G$12:$G$31&gt;=A1907))&gt;0,1,0))</f>
        <v/>
      </c>
      <c r="G1907">
        <f>IF(A1907="","",IF(OR(B1907&lt;&gt;B1906,C1907&lt;&gt;C1906,E1907&lt;&gt;E1906),G1906+1,G1906))</f>
        <v/>
      </c>
    </row>
    <row r="1908">
      <c r="A1908" s="20">
        <f>IF(A1907="","",IF(A1907+1&gt;Ввод!$B$4,"",A1907+1))</f>
        <v/>
      </c>
      <c r="B1908">
        <f>IF(A1908="","",IFERROR(INDEX(Ввод!$B$12:$B$71,MATCH(A1908,Ввод!$D$12:$D$71,1)),""))</f>
        <v/>
      </c>
      <c r="C1908">
        <f>IF(A1908="","",DATE(YEAR(A1908),12,31)-DATE(YEAR(A1908),1,1)+1)</f>
        <v/>
      </c>
      <c r="D1908">
        <f>IF(A1908="","",SUMIFS(Акты!$D$5:$D$16,Акты!$E$5:$E$16,"&lt;="&amp;A1908)-SUMIFS(Оплаты!$B$6:$B$505,Оплаты!$A$6:$A$505,"&lt;"&amp;A1908,Оплаты!$D$6:$D$505,"&lt;&gt;"))</f>
        <v/>
      </c>
      <c r="E1908">
        <f>IF(A1908="","",IF(SUMPRODUCT((Ввод!$F$12:$F$31&lt;&gt;"")*(Ввод!$F$12:$F$31&lt;=A1908)*(Ввод!$G$12:$G$31&gt;=A1908))&gt;0,1,0))</f>
        <v/>
      </c>
      <c r="G1908">
        <f>IF(A1908="","",IF(OR(B1908&lt;&gt;B1907,C1908&lt;&gt;C1907,E1908&lt;&gt;E1907),G1907+1,G1907))</f>
        <v/>
      </c>
    </row>
    <row r="1909">
      <c r="A1909" s="20">
        <f>IF(A1908="","",IF(A1908+1&gt;Ввод!$B$4,"",A1908+1))</f>
        <v/>
      </c>
      <c r="B1909">
        <f>IF(A1909="","",IFERROR(INDEX(Ввод!$B$12:$B$71,MATCH(A1909,Ввод!$D$12:$D$71,1)),""))</f>
        <v/>
      </c>
      <c r="C1909">
        <f>IF(A1909="","",DATE(YEAR(A1909),12,31)-DATE(YEAR(A1909),1,1)+1)</f>
        <v/>
      </c>
      <c r="D1909">
        <f>IF(A1909="","",SUMIFS(Акты!$D$5:$D$16,Акты!$E$5:$E$16,"&lt;="&amp;A1909)-SUMIFS(Оплаты!$B$6:$B$505,Оплаты!$A$6:$A$505,"&lt;"&amp;A1909,Оплаты!$D$6:$D$505,"&lt;&gt;"))</f>
        <v/>
      </c>
      <c r="E1909">
        <f>IF(A1909="","",IF(SUMPRODUCT((Ввод!$F$12:$F$31&lt;&gt;"")*(Ввод!$F$12:$F$31&lt;=A1909)*(Ввод!$G$12:$G$31&gt;=A1909))&gt;0,1,0))</f>
        <v/>
      </c>
      <c r="G1909">
        <f>IF(A1909="","",IF(OR(B1909&lt;&gt;B1908,C1909&lt;&gt;C1908,E1909&lt;&gt;E1908),G1908+1,G1908))</f>
        <v/>
      </c>
    </row>
    <row r="1910">
      <c r="A1910" s="20">
        <f>IF(A1909="","",IF(A1909+1&gt;Ввод!$B$4,"",A1909+1))</f>
        <v/>
      </c>
      <c r="B1910">
        <f>IF(A1910="","",IFERROR(INDEX(Ввод!$B$12:$B$71,MATCH(A1910,Ввод!$D$12:$D$71,1)),""))</f>
        <v/>
      </c>
      <c r="C1910">
        <f>IF(A1910="","",DATE(YEAR(A1910),12,31)-DATE(YEAR(A1910),1,1)+1)</f>
        <v/>
      </c>
      <c r="D1910">
        <f>IF(A1910="","",SUMIFS(Акты!$D$5:$D$16,Акты!$E$5:$E$16,"&lt;="&amp;A1910)-SUMIFS(Оплаты!$B$6:$B$505,Оплаты!$A$6:$A$505,"&lt;"&amp;A1910,Оплаты!$D$6:$D$505,"&lt;&gt;"))</f>
        <v/>
      </c>
      <c r="E1910">
        <f>IF(A1910="","",IF(SUMPRODUCT((Ввод!$F$12:$F$31&lt;&gt;"")*(Ввод!$F$12:$F$31&lt;=A1910)*(Ввод!$G$12:$G$31&gt;=A1910))&gt;0,1,0))</f>
        <v/>
      </c>
      <c r="G1910">
        <f>IF(A1910="","",IF(OR(B1910&lt;&gt;B1909,C1910&lt;&gt;C1909,E1910&lt;&gt;E1909),G1909+1,G1909))</f>
        <v/>
      </c>
    </row>
    <row r="1911">
      <c r="A1911" s="20">
        <f>IF(A1910="","",IF(A1910+1&gt;Ввод!$B$4,"",A1910+1))</f>
        <v/>
      </c>
      <c r="B1911">
        <f>IF(A1911="","",IFERROR(INDEX(Ввод!$B$12:$B$71,MATCH(A1911,Ввод!$D$12:$D$71,1)),""))</f>
        <v/>
      </c>
      <c r="C1911">
        <f>IF(A1911="","",DATE(YEAR(A1911),12,31)-DATE(YEAR(A1911),1,1)+1)</f>
        <v/>
      </c>
      <c r="D1911">
        <f>IF(A1911="","",SUMIFS(Акты!$D$5:$D$16,Акты!$E$5:$E$16,"&lt;="&amp;A1911)-SUMIFS(Оплаты!$B$6:$B$505,Оплаты!$A$6:$A$505,"&lt;"&amp;A1911,Оплаты!$D$6:$D$505,"&lt;&gt;"))</f>
        <v/>
      </c>
      <c r="E1911">
        <f>IF(A1911="","",IF(SUMPRODUCT((Ввод!$F$12:$F$31&lt;&gt;"")*(Ввод!$F$12:$F$31&lt;=A1911)*(Ввод!$G$12:$G$31&gt;=A1911))&gt;0,1,0))</f>
        <v/>
      </c>
      <c r="G1911">
        <f>IF(A1911="","",IF(OR(B1911&lt;&gt;B1910,C1911&lt;&gt;C1910,E1911&lt;&gt;E1910),G1910+1,G1910))</f>
        <v/>
      </c>
    </row>
    <row r="1912">
      <c r="A1912" s="20">
        <f>IF(A1911="","",IF(A1911+1&gt;Ввод!$B$4,"",A1911+1))</f>
        <v/>
      </c>
      <c r="B1912">
        <f>IF(A1912="","",IFERROR(INDEX(Ввод!$B$12:$B$71,MATCH(A1912,Ввод!$D$12:$D$71,1)),""))</f>
        <v/>
      </c>
      <c r="C1912">
        <f>IF(A1912="","",DATE(YEAR(A1912),12,31)-DATE(YEAR(A1912),1,1)+1)</f>
        <v/>
      </c>
      <c r="D1912">
        <f>IF(A1912="","",SUMIFS(Акты!$D$5:$D$16,Акты!$E$5:$E$16,"&lt;="&amp;A1912)-SUMIFS(Оплаты!$B$6:$B$505,Оплаты!$A$6:$A$505,"&lt;"&amp;A1912,Оплаты!$D$6:$D$505,"&lt;&gt;"))</f>
        <v/>
      </c>
      <c r="E1912">
        <f>IF(A1912="","",IF(SUMPRODUCT((Ввод!$F$12:$F$31&lt;&gt;"")*(Ввод!$F$12:$F$31&lt;=A1912)*(Ввод!$G$12:$G$31&gt;=A1912))&gt;0,1,0))</f>
        <v/>
      </c>
      <c r="G1912">
        <f>IF(A1912="","",IF(OR(B1912&lt;&gt;B1911,C1912&lt;&gt;C1911,E1912&lt;&gt;E1911),G1911+1,G1911))</f>
        <v/>
      </c>
    </row>
    <row r="1913">
      <c r="A1913" s="20">
        <f>IF(A1912="","",IF(A1912+1&gt;Ввод!$B$4,"",A1912+1))</f>
        <v/>
      </c>
      <c r="B1913">
        <f>IF(A1913="","",IFERROR(INDEX(Ввод!$B$12:$B$71,MATCH(A1913,Ввод!$D$12:$D$71,1)),""))</f>
        <v/>
      </c>
      <c r="C1913">
        <f>IF(A1913="","",DATE(YEAR(A1913),12,31)-DATE(YEAR(A1913),1,1)+1)</f>
        <v/>
      </c>
      <c r="D1913">
        <f>IF(A1913="","",SUMIFS(Акты!$D$5:$D$16,Акты!$E$5:$E$16,"&lt;="&amp;A1913)-SUMIFS(Оплаты!$B$6:$B$505,Оплаты!$A$6:$A$505,"&lt;"&amp;A1913,Оплаты!$D$6:$D$505,"&lt;&gt;"))</f>
        <v/>
      </c>
      <c r="E1913">
        <f>IF(A1913="","",IF(SUMPRODUCT((Ввод!$F$12:$F$31&lt;&gt;"")*(Ввод!$F$12:$F$31&lt;=A1913)*(Ввод!$G$12:$G$31&gt;=A1913))&gt;0,1,0))</f>
        <v/>
      </c>
      <c r="G1913">
        <f>IF(A1913="","",IF(OR(B1913&lt;&gt;B1912,C1913&lt;&gt;C1912,E1913&lt;&gt;E1912),G1912+1,G1912))</f>
        <v/>
      </c>
    </row>
    <row r="1914">
      <c r="A1914" s="20">
        <f>IF(A1913="","",IF(A1913+1&gt;Ввод!$B$4,"",A1913+1))</f>
        <v/>
      </c>
      <c r="B1914">
        <f>IF(A1914="","",IFERROR(INDEX(Ввод!$B$12:$B$71,MATCH(A1914,Ввод!$D$12:$D$71,1)),""))</f>
        <v/>
      </c>
      <c r="C1914">
        <f>IF(A1914="","",DATE(YEAR(A1914),12,31)-DATE(YEAR(A1914),1,1)+1)</f>
        <v/>
      </c>
      <c r="D1914">
        <f>IF(A1914="","",SUMIFS(Акты!$D$5:$D$16,Акты!$E$5:$E$16,"&lt;="&amp;A1914)-SUMIFS(Оплаты!$B$6:$B$505,Оплаты!$A$6:$A$505,"&lt;"&amp;A1914,Оплаты!$D$6:$D$505,"&lt;&gt;"))</f>
        <v/>
      </c>
      <c r="E1914">
        <f>IF(A1914="","",IF(SUMPRODUCT((Ввод!$F$12:$F$31&lt;&gt;"")*(Ввод!$F$12:$F$31&lt;=A1914)*(Ввод!$G$12:$G$31&gt;=A1914))&gt;0,1,0))</f>
        <v/>
      </c>
      <c r="G1914">
        <f>IF(A1914="","",IF(OR(B1914&lt;&gt;B1913,C1914&lt;&gt;C1913,E1914&lt;&gt;E1913),G1913+1,G1913))</f>
        <v/>
      </c>
    </row>
    <row r="1915">
      <c r="A1915" s="20">
        <f>IF(A1914="","",IF(A1914+1&gt;Ввод!$B$4,"",A1914+1))</f>
        <v/>
      </c>
      <c r="B1915">
        <f>IF(A1915="","",IFERROR(INDEX(Ввод!$B$12:$B$71,MATCH(A1915,Ввод!$D$12:$D$71,1)),""))</f>
        <v/>
      </c>
      <c r="C1915">
        <f>IF(A1915="","",DATE(YEAR(A1915),12,31)-DATE(YEAR(A1915),1,1)+1)</f>
        <v/>
      </c>
      <c r="D1915">
        <f>IF(A1915="","",SUMIFS(Акты!$D$5:$D$16,Акты!$E$5:$E$16,"&lt;="&amp;A1915)-SUMIFS(Оплаты!$B$6:$B$505,Оплаты!$A$6:$A$505,"&lt;"&amp;A1915,Оплаты!$D$6:$D$505,"&lt;&gt;"))</f>
        <v/>
      </c>
      <c r="E1915">
        <f>IF(A1915="","",IF(SUMPRODUCT((Ввод!$F$12:$F$31&lt;&gt;"")*(Ввод!$F$12:$F$31&lt;=A1915)*(Ввод!$G$12:$G$31&gt;=A1915))&gt;0,1,0))</f>
        <v/>
      </c>
      <c r="G1915">
        <f>IF(A1915="","",IF(OR(B1915&lt;&gt;B1914,C1915&lt;&gt;C1914,E1915&lt;&gt;E1914),G1914+1,G1914))</f>
        <v/>
      </c>
    </row>
    <row r="1916">
      <c r="A1916" s="20">
        <f>IF(A1915="","",IF(A1915+1&gt;Ввод!$B$4,"",A1915+1))</f>
        <v/>
      </c>
      <c r="B1916">
        <f>IF(A1916="","",IFERROR(INDEX(Ввод!$B$12:$B$71,MATCH(A1916,Ввод!$D$12:$D$71,1)),""))</f>
        <v/>
      </c>
      <c r="C1916">
        <f>IF(A1916="","",DATE(YEAR(A1916),12,31)-DATE(YEAR(A1916),1,1)+1)</f>
        <v/>
      </c>
      <c r="D1916">
        <f>IF(A1916="","",SUMIFS(Акты!$D$5:$D$16,Акты!$E$5:$E$16,"&lt;="&amp;A1916)-SUMIFS(Оплаты!$B$6:$B$505,Оплаты!$A$6:$A$505,"&lt;"&amp;A1916,Оплаты!$D$6:$D$505,"&lt;&gt;"))</f>
        <v/>
      </c>
      <c r="E1916">
        <f>IF(A1916="","",IF(SUMPRODUCT((Ввод!$F$12:$F$31&lt;&gt;"")*(Ввод!$F$12:$F$31&lt;=A1916)*(Ввод!$G$12:$G$31&gt;=A1916))&gt;0,1,0))</f>
        <v/>
      </c>
      <c r="G1916">
        <f>IF(A1916="","",IF(OR(B1916&lt;&gt;B1915,C1916&lt;&gt;C1915,E1916&lt;&gt;E1915),G1915+1,G1915))</f>
        <v/>
      </c>
    </row>
    <row r="1917">
      <c r="A1917" s="20">
        <f>IF(A1916="","",IF(A1916+1&gt;Ввод!$B$4,"",A1916+1))</f>
        <v/>
      </c>
      <c r="B1917">
        <f>IF(A1917="","",IFERROR(INDEX(Ввод!$B$12:$B$71,MATCH(A1917,Ввод!$D$12:$D$71,1)),""))</f>
        <v/>
      </c>
      <c r="C1917">
        <f>IF(A1917="","",DATE(YEAR(A1917),12,31)-DATE(YEAR(A1917),1,1)+1)</f>
        <v/>
      </c>
      <c r="D1917">
        <f>IF(A1917="","",SUMIFS(Акты!$D$5:$D$16,Акты!$E$5:$E$16,"&lt;="&amp;A1917)-SUMIFS(Оплаты!$B$6:$B$505,Оплаты!$A$6:$A$505,"&lt;"&amp;A1917,Оплаты!$D$6:$D$505,"&lt;&gt;"))</f>
        <v/>
      </c>
      <c r="E1917">
        <f>IF(A1917="","",IF(SUMPRODUCT((Ввод!$F$12:$F$31&lt;&gt;"")*(Ввод!$F$12:$F$31&lt;=A1917)*(Ввод!$G$12:$G$31&gt;=A1917))&gt;0,1,0))</f>
        <v/>
      </c>
      <c r="G1917">
        <f>IF(A1917="","",IF(OR(B1917&lt;&gt;B1916,C1917&lt;&gt;C1916,E1917&lt;&gt;E1916),G1916+1,G1916))</f>
        <v/>
      </c>
    </row>
    <row r="1918">
      <c r="A1918" s="20">
        <f>IF(A1917="","",IF(A1917+1&gt;Ввод!$B$4,"",A1917+1))</f>
        <v/>
      </c>
      <c r="B1918">
        <f>IF(A1918="","",IFERROR(INDEX(Ввод!$B$12:$B$71,MATCH(A1918,Ввод!$D$12:$D$71,1)),""))</f>
        <v/>
      </c>
      <c r="C1918">
        <f>IF(A1918="","",DATE(YEAR(A1918),12,31)-DATE(YEAR(A1918),1,1)+1)</f>
        <v/>
      </c>
      <c r="D1918">
        <f>IF(A1918="","",SUMIFS(Акты!$D$5:$D$16,Акты!$E$5:$E$16,"&lt;="&amp;A1918)-SUMIFS(Оплаты!$B$6:$B$505,Оплаты!$A$6:$A$505,"&lt;"&amp;A1918,Оплаты!$D$6:$D$505,"&lt;&gt;"))</f>
        <v/>
      </c>
      <c r="E1918">
        <f>IF(A1918="","",IF(SUMPRODUCT((Ввод!$F$12:$F$31&lt;&gt;"")*(Ввод!$F$12:$F$31&lt;=A1918)*(Ввод!$G$12:$G$31&gt;=A1918))&gt;0,1,0))</f>
        <v/>
      </c>
      <c r="G1918">
        <f>IF(A1918="","",IF(OR(B1918&lt;&gt;B1917,C1918&lt;&gt;C1917,E1918&lt;&gt;E1917),G1917+1,G1917))</f>
        <v/>
      </c>
    </row>
    <row r="1919">
      <c r="A1919" s="20">
        <f>IF(A1918="","",IF(A1918+1&gt;Ввод!$B$4,"",A1918+1))</f>
        <v/>
      </c>
      <c r="B1919">
        <f>IF(A1919="","",IFERROR(INDEX(Ввод!$B$12:$B$71,MATCH(A1919,Ввод!$D$12:$D$71,1)),""))</f>
        <v/>
      </c>
      <c r="C1919">
        <f>IF(A1919="","",DATE(YEAR(A1919),12,31)-DATE(YEAR(A1919),1,1)+1)</f>
        <v/>
      </c>
      <c r="D1919">
        <f>IF(A1919="","",SUMIFS(Акты!$D$5:$D$16,Акты!$E$5:$E$16,"&lt;="&amp;A1919)-SUMIFS(Оплаты!$B$6:$B$505,Оплаты!$A$6:$A$505,"&lt;"&amp;A1919,Оплаты!$D$6:$D$505,"&lt;&gt;"))</f>
        <v/>
      </c>
      <c r="E1919">
        <f>IF(A1919="","",IF(SUMPRODUCT((Ввод!$F$12:$F$31&lt;&gt;"")*(Ввод!$F$12:$F$31&lt;=A1919)*(Ввод!$G$12:$G$31&gt;=A1919))&gt;0,1,0))</f>
        <v/>
      </c>
      <c r="G1919">
        <f>IF(A1919="","",IF(OR(B1919&lt;&gt;B1918,C1919&lt;&gt;C1918,E1919&lt;&gt;E1918),G1918+1,G1918))</f>
        <v/>
      </c>
    </row>
    <row r="1920">
      <c r="A1920" s="20">
        <f>IF(A1919="","",IF(A1919+1&gt;Ввод!$B$4,"",A1919+1))</f>
        <v/>
      </c>
      <c r="B1920">
        <f>IF(A1920="","",IFERROR(INDEX(Ввод!$B$12:$B$71,MATCH(A1920,Ввод!$D$12:$D$71,1)),""))</f>
        <v/>
      </c>
      <c r="C1920">
        <f>IF(A1920="","",DATE(YEAR(A1920),12,31)-DATE(YEAR(A1920),1,1)+1)</f>
        <v/>
      </c>
      <c r="D1920">
        <f>IF(A1920="","",SUMIFS(Акты!$D$5:$D$16,Акты!$E$5:$E$16,"&lt;="&amp;A1920)-SUMIFS(Оплаты!$B$6:$B$505,Оплаты!$A$6:$A$505,"&lt;"&amp;A1920,Оплаты!$D$6:$D$505,"&lt;&gt;"))</f>
        <v/>
      </c>
      <c r="E1920">
        <f>IF(A1920="","",IF(SUMPRODUCT((Ввод!$F$12:$F$31&lt;&gt;"")*(Ввод!$F$12:$F$31&lt;=A1920)*(Ввод!$G$12:$G$31&gt;=A1920))&gt;0,1,0))</f>
        <v/>
      </c>
      <c r="G1920">
        <f>IF(A1920="","",IF(OR(B1920&lt;&gt;B1919,C1920&lt;&gt;C1919,E1920&lt;&gt;E1919),G1919+1,G1919))</f>
        <v/>
      </c>
    </row>
    <row r="1921">
      <c r="A1921" s="20">
        <f>IF(A1920="","",IF(A1920+1&gt;Ввод!$B$4,"",A1920+1))</f>
        <v/>
      </c>
      <c r="B1921">
        <f>IF(A1921="","",IFERROR(INDEX(Ввод!$B$12:$B$71,MATCH(A1921,Ввод!$D$12:$D$71,1)),""))</f>
        <v/>
      </c>
      <c r="C1921">
        <f>IF(A1921="","",DATE(YEAR(A1921),12,31)-DATE(YEAR(A1921),1,1)+1)</f>
        <v/>
      </c>
      <c r="D1921">
        <f>IF(A1921="","",SUMIFS(Акты!$D$5:$D$16,Акты!$E$5:$E$16,"&lt;="&amp;A1921)-SUMIFS(Оплаты!$B$6:$B$505,Оплаты!$A$6:$A$505,"&lt;"&amp;A1921,Оплаты!$D$6:$D$505,"&lt;&gt;"))</f>
        <v/>
      </c>
      <c r="E1921">
        <f>IF(A1921="","",IF(SUMPRODUCT((Ввод!$F$12:$F$31&lt;&gt;"")*(Ввод!$F$12:$F$31&lt;=A1921)*(Ввод!$G$12:$G$31&gt;=A1921))&gt;0,1,0))</f>
        <v/>
      </c>
      <c r="G1921">
        <f>IF(A1921="","",IF(OR(B1921&lt;&gt;B1920,C1921&lt;&gt;C1920,E1921&lt;&gt;E1920),G1920+1,G1920))</f>
        <v/>
      </c>
    </row>
    <row r="1922">
      <c r="A1922" s="20">
        <f>IF(A1921="","",IF(A1921+1&gt;Ввод!$B$4,"",A1921+1))</f>
        <v/>
      </c>
      <c r="B1922">
        <f>IF(A1922="","",IFERROR(INDEX(Ввод!$B$12:$B$71,MATCH(A1922,Ввод!$D$12:$D$71,1)),""))</f>
        <v/>
      </c>
      <c r="C1922">
        <f>IF(A1922="","",DATE(YEAR(A1922),12,31)-DATE(YEAR(A1922),1,1)+1)</f>
        <v/>
      </c>
      <c r="D1922">
        <f>IF(A1922="","",SUMIFS(Акты!$D$5:$D$16,Акты!$E$5:$E$16,"&lt;="&amp;A1922)-SUMIFS(Оплаты!$B$6:$B$505,Оплаты!$A$6:$A$505,"&lt;"&amp;A1922,Оплаты!$D$6:$D$505,"&lt;&gt;"))</f>
        <v/>
      </c>
      <c r="E1922">
        <f>IF(A1922="","",IF(SUMPRODUCT((Ввод!$F$12:$F$31&lt;&gt;"")*(Ввод!$F$12:$F$31&lt;=A1922)*(Ввод!$G$12:$G$31&gt;=A1922))&gt;0,1,0))</f>
        <v/>
      </c>
      <c r="G1922">
        <f>IF(A1922="","",IF(OR(B1922&lt;&gt;B1921,C1922&lt;&gt;C1921,E1922&lt;&gt;E1921),G1921+1,G1921))</f>
        <v/>
      </c>
    </row>
    <row r="1923">
      <c r="A1923" s="20">
        <f>IF(A1922="","",IF(A1922+1&gt;Ввод!$B$4,"",A1922+1))</f>
        <v/>
      </c>
      <c r="B1923">
        <f>IF(A1923="","",IFERROR(INDEX(Ввод!$B$12:$B$71,MATCH(A1923,Ввод!$D$12:$D$71,1)),""))</f>
        <v/>
      </c>
      <c r="C1923">
        <f>IF(A1923="","",DATE(YEAR(A1923),12,31)-DATE(YEAR(A1923),1,1)+1)</f>
        <v/>
      </c>
      <c r="D1923">
        <f>IF(A1923="","",SUMIFS(Акты!$D$5:$D$16,Акты!$E$5:$E$16,"&lt;="&amp;A1923)-SUMIFS(Оплаты!$B$6:$B$505,Оплаты!$A$6:$A$505,"&lt;"&amp;A1923,Оплаты!$D$6:$D$505,"&lt;&gt;"))</f>
        <v/>
      </c>
      <c r="E1923">
        <f>IF(A1923="","",IF(SUMPRODUCT((Ввод!$F$12:$F$31&lt;&gt;"")*(Ввод!$F$12:$F$31&lt;=A1923)*(Ввод!$G$12:$G$31&gt;=A1923))&gt;0,1,0))</f>
        <v/>
      </c>
      <c r="G1923">
        <f>IF(A1923="","",IF(OR(B1923&lt;&gt;B1922,C1923&lt;&gt;C1922,E1923&lt;&gt;E1922),G1922+1,G1922))</f>
        <v/>
      </c>
    </row>
    <row r="1924">
      <c r="A1924" s="20">
        <f>IF(A1923="","",IF(A1923+1&gt;Ввод!$B$4,"",A1923+1))</f>
        <v/>
      </c>
      <c r="B1924">
        <f>IF(A1924="","",IFERROR(INDEX(Ввод!$B$12:$B$71,MATCH(A1924,Ввод!$D$12:$D$71,1)),""))</f>
        <v/>
      </c>
      <c r="C1924">
        <f>IF(A1924="","",DATE(YEAR(A1924),12,31)-DATE(YEAR(A1924),1,1)+1)</f>
        <v/>
      </c>
      <c r="D1924">
        <f>IF(A1924="","",SUMIFS(Акты!$D$5:$D$16,Акты!$E$5:$E$16,"&lt;="&amp;A1924)-SUMIFS(Оплаты!$B$6:$B$505,Оплаты!$A$6:$A$505,"&lt;"&amp;A1924,Оплаты!$D$6:$D$505,"&lt;&gt;"))</f>
        <v/>
      </c>
      <c r="E1924">
        <f>IF(A1924="","",IF(SUMPRODUCT((Ввод!$F$12:$F$31&lt;&gt;"")*(Ввод!$F$12:$F$31&lt;=A1924)*(Ввод!$G$12:$G$31&gt;=A1924))&gt;0,1,0))</f>
        <v/>
      </c>
      <c r="G1924">
        <f>IF(A1924="","",IF(OR(B1924&lt;&gt;B1923,C1924&lt;&gt;C1923,E1924&lt;&gt;E1923),G1923+1,G1923))</f>
        <v/>
      </c>
    </row>
    <row r="1925">
      <c r="A1925" s="20">
        <f>IF(A1924="","",IF(A1924+1&gt;Ввод!$B$4,"",A1924+1))</f>
        <v/>
      </c>
      <c r="B1925">
        <f>IF(A1925="","",IFERROR(INDEX(Ввод!$B$12:$B$71,MATCH(A1925,Ввод!$D$12:$D$71,1)),""))</f>
        <v/>
      </c>
      <c r="C1925">
        <f>IF(A1925="","",DATE(YEAR(A1925),12,31)-DATE(YEAR(A1925),1,1)+1)</f>
        <v/>
      </c>
      <c r="D1925">
        <f>IF(A1925="","",SUMIFS(Акты!$D$5:$D$16,Акты!$E$5:$E$16,"&lt;="&amp;A1925)-SUMIFS(Оплаты!$B$6:$B$505,Оплаты!$A$6:$A$505,"&lt;"&amp;A1925,Оплаты!$D$6:$D$505,"&lt;&gt;"))</f>
        <v/>
      </c>
      <c r="E1925">
        <f>IF(A1925="","",IF(SUMPRODUCT((Ввод!$F$12:$F$31&lt;&gt;"")*(Ввод!$F$12:$F$31&lt;=A1925)*(Ввод!$G$12:$G$31&gt;=A1925))&gt;0,1,0))</f>
        <v/>
      </c>
      <c r="G1925">
        <f>IF(A1925="","",IF(OR(B1925&lt;&gt;B1924,C1925&lt;&gt;C1924,E1925&lt;&gt;E1924),G1924+1,G1924))</f>
        <v/>
      </c>
    </row>
    <row r="1926">
      <c r="A1926" s="20">
        <f>IF(A1925="","",IF(A1925+1&gt;Ввод!$B$4,"",A1925+1))</f>
        <v/>
      </c>
      <c r="B1926">
        <f>IF(A1926="","",IFERROR(INDEX(Ввод!$B$12:$B$71,MATCH(A1926,Ввод!$D$12:$D$71,1)),""))</f>
        <v/>
      </c>
      <c r="C1926">
        <f>IF(A1926="","",DATE(YEAR(A1926),12,31)-DATE(YEAR(A1926),1,1)+1)</f>
        <v/>
      </c>
      <c r="D1926">
        <f>IF(A1926="","",SUMIFS(Акты!$D$5:$D$16,Акты!$E$5:$E$16,"&lt;="&amp;A1926)-SUMIFS(Оплаты!$B$6:$B$505,Оплаты!$A$6:$A$505,"&lt;"&amp;A1926,Оплаты!$D$6:$D$505,"&lt;&gt;"))</f>
        <v/>
      </c>
      <c r="E1926">
        <f>IF(A1926="","",IF(SUMPRODUCT((Ввод!$F$12:$F$31&lt;&gt;"")*(Ввод!$F$12:$F$31&lt;=A1926)*(Ввод!$G$12:$G$31&gt;=A1926))&gt;0,1,0))</f>
        <v/>
      </c>
      <c r="G1926">
        <f>IF(A1926="","",IF(OR(B1926&lt;&gt;B1925,C1926&lt;&gt;C1925,E1926&lt;&gt;E1925),G1925+1,G1925))</f>
        <v/>
      </c>
    </row>
    <row r="1927">
      <c r="A1927" s="20">
        <f>IF(A1926="","",IF(A1926+1&gt;Ввод!$B$4,"",A1926+1))</f>
        <v/>
      </c>
      <c r="B1927">
        <f>IF(A1927="","",IFERROR(INDEX(Ввод!$B$12:$B$71,MATCH(A1927,Ввод!$D$12:$D$71,1)),""))</f>
        <v/>
      </c>
      <c r="C1927">
        <f>IF(A1927="","",DATE(YEAR(A1927),12,31)-DATE(YEAR(A1927),1,1)+1)</f>
        <v/>
      </c>
      <c r="D1927">
        <f>IF(A1927="","",SUMIFS(Акты!$D$5:$D$16,Акты!$E$5:$E$16,"&lt;="&amp;A1927)-SUMIFS(Оплаты!$B$6:$B$505,Оплаты!$A$6:$A$505,"&lt;"&amp;A1927,Оплаты!$D$6:$D$505,"&lt;&gt;"))</f>
        <v/>
      </c>
      <c r="E1927">
        <f>IF(A1927="","",IF(SUMPRODUCT((Ввод!$F$12:$F$31&lt;&gt;"")*(Ввод!$F$12:$F$31&lt;=A1927)*(Ввод!$G$12:$G$31&gt;=A1927))&gt;0,1,0))</f>
        <v/>
      </c>
      <c r="G1927">
        <f>IF(A1927="","",IF(OR(B1927&lt;&gt;B1926,C1927&lt;&gt;C1926,E1927&lt;&gt;E1926),G1926+1,G1926))</f>
        <v/>
      </c>
    </row>
    <row r="1928">
      <c r="A1928" s="20">
        <f>IF(A1927="","",IF(A1927+1&gt;Ввод!$B$4,"",A1927+1))</f>
        <v/>
      </c>
      <c r="B1928">
        <f>IF(A1928="","",IFERROR(INDEX(Ввод!$B$12:$B$71,MATCH(A1928,Ввод!$D$12:$D$71,1)),""))</f>
        <v/>
      </c>
      <c r="C1928">
        <f>IF(A1928="","",DATE(YEAR(A1928),12,31)-DATE(YEAR(A1928),1,1)+1)</f>
        <v/>
      </c>
      <c r="D1928">
        <f>IF(A1928="","",SUMIFS(Акты!$D$5:$D$16,Акты!$E$5:$E$16,"&lt;="&amp;A1928)-SUMIFS(Оплаты!$B$6:$B$505,Оплаты!$A$6:$A$505,"&lt;"&amp;A1928,Оплаты!$D$6:$D$505,"&lt;&gt;"))</f>
        <v/>
      </c>
      <c r="E1928">
        <f>IF(A1928="","",IF(SUMPRODUCT((Ввод!$F$12:$F$31&lt;&gt;"")*(Ввод!$F$12:$F$31&lt;=A1928)*(Ввод!$G$12:$G$31&gt;=A1928))&gt;0,1,0))</f>
        <v/>
      </c>
      <c r="G1928">
        <f>IF(A1928="","",IF(OR(B1928&lt;&gt;B1927,C1928&lt;&gt;C1927,E1928&lt;&gt;E1927),G1927+1,G1927))</f>
        <v/>
      </c>
    </row>
    <row r="1929">
      <c r="A1929" s="20">
        <f>IF(A1928="","",IF(A1928+1&gt;Ввод!$B$4,"",A1928+1))</f>
        <v/>
      </c>
      <c r="B1929">
        <f>IF(A1929="","",IFERROR(INDEX(Ввод!$B$12:$B$71,MATCH(A1929,Ввод!$D$12:$D$71,1)),""))</f>
        <v/>
      </c>
      <c r="C1929">
        <f>IF(A1929="","",DATE(YEAR(A1929),12,31)-DATE(YEAR(A1929),1,1)+1)</f>
        <v/>
      </c>
      <c r="D1929">
        <f>IF(A1929="","",SUMIFS(Акты!$D$5:$D$16,Акты!$E$5:$E$16,"&lt;="&amp;A1929)-SUMIFS(Оплаты!$B$6:$B$505,Оплаты!$A$6:$A$505,"&lt;"&amp;A1929,Оплаты!$D$6:$D$505,"&lt;&gt;"))</f>
        <v/>
      </c>
      <c r="E1929">
        <f>IF(A1929="","",IF(SUMPRODUCT((Ввод!$F$12:$F$31&lt;&gt;"")*(Ввод!$F$12:$F$31&lt;=A1929)*(Ввод!$G$12:$G$31&gt;=A1929))&gt;0,1,0))</f>
        <v/>
      </c>
      <c r="G1929">
        <f>IF(A1929="","",IF(OR(B1929&lt;&gt;B1928,C1929&lt;&gt;C1928,E1929&lt;&gt;E1928),G1928+1,G1928))</f>
        <v/>
      </c>
    </row>
    <row r="1930">
      <c r="A1930" s="20">
        <f>IF(A1929="","",IF(A1929+1&gt;Ввод!$B$4,"",A1929+1))</f>
        <v/>
      </c>
      <c r="B1930">
        <f>IF(A1930="","",IFERROR(INDEX(Ввод!$B$12:$B$71,MATCH(A1930,Ввод!$D$12:$D$71,1)),""))</f>
        <v/>
      </c>
      <c r="C1930">
        <f>IF(A1930="","",DATE(YEAR(A1930),12,31)-DATE(YEAR(A1930),1,1)+1)</f>
        <v/>
      </c>
      <c r="D1930">
        <f>IF(A1930="","",SUMIFS(Акты!$D$5:$D$16,Акты!$E$5:$E$16,"&lt;="&amp;A1930)-SUMIFS(Оплаты!$B$6:$B$505,Оплаты!$A$6:$A$505,"&lt;"&amp;A1930,Оплаты!$D$6:$D$505,"&lt;&gt;"))</f>
        <v/>
      </c>
      <c r="E1930">
        <f>IF(A1930="","",IF(SUMPRODUCT((Ввод!$F$12:$F$31&lt;&gt;"")*(Ввод!$F$12:$F$31&lt;=A1930)*(Ввод!$G$12:$G$31&gt;=A1930))&gt;0,1,0))</f>
        <v/>
      </c>
      <c r="G1930">
        <f>IF(A1930="","",IF(OR(B1930&lt;&gt;B1929,C1930&lt;&gt;C1929,E1930&lt;&gt;E1929),G1929+1,G1929))</f>
        <v/>
      </c>
    </row>
    <row r="1931">
      <c r="A1931" s="20">
        <f>IF(A1930="","",IF(A1930+1&gt;Ввод!$B$4,"",A1930+1))</f>
        <v/>
      </c>
      <c r="B1931">
        <f>IF(A1931="","",IFERROR(INDEX(Ввод!$B$12:$B$71,MATCH(A1931,Ввод!$D$12:$D$71,1)),""))</f>
        <v/>
      </c>
      <c r="C1931">
        <f>IF(A1931="","",DATE(YEAR(A1931),12,31)-DATE(YEAR(A1931),1,1)+1)</f>
        <v/>
      </c>
      <c r="D1931">
        <f>IF(A1931="","",SUMIFS(Акты!$D$5:$D$16,Акты!$E$5:$E$16,"&lt;="&amp;A1931)-SUMIFS(Оплаты!$B$6:$B$505,Оплаты!$A$6:$A$505,"&lt;"&amp;A1931,Оплаты!$D$6:$D$505,"&lt;&gt;"))</f>
        <v/>
      </c>
      <c r="E1931">
        <f>IF(A1931="","",IF(SUMPRODUCT((Ввод!$F$12:$F$31&lt;&gt;"")*(Ввод!$F$12:$F$31&lt;=A1931)*(Ввод!$G$12:$G$31&gt;=A1931))&gt;0,1,0))</f>
        <v/>
      </c>
      <c r="G1931">
        <f>IF(A1931="","",IF(OR(B1931&lt;&gt;B1930,C1931&lt;&gt;C1930,E1931&lt;&gt;E1930),G1930+1,G1930))</f>
        <v/>
      </c>
    </row>
    <row r="1932">
      <c r="A1932" s="20">
        <f>IF(A1931="","",IF(A1931+1&gt;Ввод!$B$4,"",A1931+1))</f>
        <v/>
      </c>
      <c r="B1932">
        <f>IF(A1932="","",IFERROR(INDEX(Ввод!$B$12:$B$71,MATCH(A1932,Ввод!$D$12:$D$71,1)),""))</f>
        <v/>
      </c>
      <c r="C1932">
        <f>IF(A1932="","",DATE(YEAR(A1932),12,31)-DATE(YEAR(A1932),1,1)+1)</f>
        <v/>
      </c>
      <c r="D1932">
        <f>IF(A1932="","",SUMIFS(Акты!$D$5:$D$16,Акты!$E$5:$E$16,"&lt;="&amp;A1932)-SUMIFS(Оплаты!$B$6:$B$505,Оплаты!$A$6:$A$505,"&lt;"&amp;A1932,Оплаты!$D$6:$D$505,"&lt;&gt;"))</f>
        <v/>
      </c>
      <c r="E1932">
        <f>IF(A1932="","",IF(SUMPRODUCT((Ввод!$F$12:$F$31&lt;&gt;"")*(Ввод!$F$12:$F$31&lt;=A1932)*(Ввод!$G$12:$G$31&gt;=A1932))&gt;0,1,0))</f>
        <v/>
      </c>
      <c r="G1932">
        <f>IF(A1932="","",IF(OR(B1932&lt;&gt;B1931,C1932&lt;&gt;C1931,E1932&lt;&gt;E1931),G1931+1,G1931))</f>
        <v/>
      </c>
    </row>
    <row r="1933">
      <c r="A1933" s="20">
        <f>IF(A1932="","",IF(A1932+1&gt;Ввод!$B$4,"",A1932+1))</f>
        <v/>
      </c>
      <c r="B1933">
        <f>IF(A1933="","",IFERROR(INDEX(Ввод!$B$12:$B$71,MATCH(A1933,Ввод!$D$12:$D$71,1)),""))</f>
        <v/>
      </c>
      <c r="C1933">
        <f>IF(A1933="","",DATE(YEAR(A1933),12,31)-DATE(YEAR(A1933),1,1)+1)</f>
        <v/>
      </c>
      <c r="D1933">
        <f>IF(A1933="","",SUMIFS(Акты!$D$5:$D$16,Акты!$E$5:$E$16,"&lt;="&amp;A1933)-SUMIFS(Оплаты!$B$6:$B$505,Оплаты!$A$6:$A$505,"&lt;"&amp;A1933,Оплаты!$D$6:$D$505,"&lt;&gt;"))</f>
        <v/>
      </c>
      <c r="E1933">
        <f>IF(A1933="","",IF(SUMPRODUCT((Ввод!$F$12:$F$31&lt;&gt;"")*(Ввод!$F$12:$F$31&lt;=A1933)*(Ввод!$G$12:$G$31&gt;=A1933))&gt;0,1,0))</f>
        <v/>
      </c>
      <c r="G1933">
        <f>IF(A1933="","",IF(OR(B1933&lt;&gt;B1932,C1933&lt;&gt;C1932,E1933&lt;&gt;E1932),G1932+1,G1932))</f>
        <v/>
      </c>
    </row>
    <row r="1934">
      <c r="A1934" s="20">
        <f>IF(A1933="","",IF(A1933+1&gt;Ввод!$B$4,"",A1933+1))</f>
        <v/>
      </c>
      <c r="B1934">
        <f>IF(A1934="","",IFERROR(INDEX(Ввод!$B$12:$B$71,MATCH(A1934,Ввод!$D$12:$D$71,1)),""))</f>
        <v/>
      </c>
      <c r="C1934">
        <f>IF(A1934="","",DATE(YEAR(A1934),12,31)-DATE(YEAR(A1934),1,1)+1)</f>
        <v/>
      </c>
      <c r="D1934">
        <f>IF(A1934="","",SUMIFS(Акты!$D$5:$D$16,Акты!$E$5:$E$16,"&lt;="&amp;A1934)-SUMIFS(Оплаты!$B$6:$B$505,Оплаты!$A$6:$A$505,"&lt;"&amp;A1934,Оплаты!$D$6:$D$505,"&lt;&gt;"))</f>
        <v/>
      </c>
      <c r="E1934">
        <f>IF(A1934="","",IF(SUMPRODUCT((Ввод!$F$12:$F$31&lt;&gt;"")*(Ввод!$F$12:$F$31&lt;=A1934)*(Ввод!$G$12:$G$31&gt;=A1934))&gt;0,1,0))</f>
        <v/>
      </c>
      <c r="G1934">
        <f>IF(A1934="","",IF(OR(B1934&lt;&gt;B1933,C1934&lt;&gt;C1933,E1934&lt;&gt;E1933),G1933+1,G1933))</f>
        <v/>
      </c>
    </row>
    <row r="1935">
      <c r="A1935" s="20">
        <f>IF(A1934="","",IF(A1934+1&gt;Ввод!$B$4,"",A1934+1))</f>
        <v/>
      </c>
      <c r="B1935">
        <f>IF(A1935="","",IFERROR(INDEX(Ввод!$B$12:$B$71,MATCH(A1935,Ввод!$D$12:$D$71,1)),""))</f>
        <v/>
      </c>
      <c r="C1935">
        <f>IF(A1935="","",DATE(YEAR(A1935),12,31)-DATE(YEAR(A1935),1,1)+1)</f>
        <v/>
      </c>
      <c r="D1935">
        <f>IF(A1935="","",SUMIFS(Акты!$D$5:$D$16,Акты!$E$5:$E$16,"&lt;="&amp;A1935)-SUMIFS(Оплаты!$B$6:$B$505,Оплаты!$A$6:$A$505,"&lt;"&amp;A1935,Оплаты!$D$6:$D$505,"&lt;&gt;"))</f>
        <v/>
      </c>
      <c r="E1935">
        <f>IF(A1935="","",IF(SUMPRODUCT((Ввод!$F$12:$F$31&lt;&gt;"")*(Ввод!$F$12:$F$31&lt;=A1935)*(Ввод!$G$12:$G$31&gt;=A1935))&gt;0,1,0))</f>
        <v/>
      </c>
      <c r="G1935">
        <f>IF(A1935="","",IF(OR(B1935&lt;&gt;B1934,C1935&lt;&gt;C1934,E1935&lt;&gt;E1934),G1934+1,G1934))</f>
        <v/>
      </c>
    </row>
    <row r="1936">
      <c r="A1936" s="20">
        <f>IF(A1935="","",IF(A1935+1&gt;Ввод!$B$4,"",A1935+1))</f>
        <v/>
      </c>
      <c r="B1936">
        <f>IF(A1936="","",IFERROR(INDEX(Ввод!$B$12:$B$71,MATCH(A1936,Ввод!$D$12:$D$71,1)),""))</f>
        <v/>
      </c>
      <c r="C1936">
        <f>IF(A1936="","",DATE(YEAR(A1936),12,31)-DATE(YEAR(A1936),1,1)+1)</f>
        <v/>
      </c>
      <c r="D1936">
        <f>IF(A1936="","",SUMIFS(Акты!$D$5:$D$16,Акты!$E$5:$E$16,"&lt;="&amp;A1936)-SUMIFS(Оплаты!$B$6:$B$505,Оплаты!$A$6:$A$505,"&lt;"&amp;A1936,Оплаты!$D$6:$D$505,"&lt;&gt;"))</f>
        <v/>
      </c>
      <c r="E1936">
        <f>IF(A1936="","",IF(SUMPRODUCT((Ввод!$F$12:$F$31&lt;&gt;"")*(Ввод!$F$12:$F$31&lt;=A1936)*(Ввод!$G$12:$G$31&gt;=A1936))&gt;0,1,0))</f>
        <v/>
      </c>
      <c r="G1936">
        <f>IF(A1936="","",IF(OR(B1936&lt;&gt;B1935,C1936&lt;&gt;C1935,E1936&lt;&gt;E1935),G1935+1,G1935))</f>
        <v/>
      </c>
    </row>
    <row r="1937">
      <c r="A1937" s="20">
        <f>IF(A1936="","",IF(A1936+1&gt;Ввод!$B$4,"",A1936+1))</f>
        <v/>
      </c>
      <c r="B1937">
        <f>IF(A1937="","",IFERROR(INDEX(Ввод!$B$12:$B$71,MATCH(A1937,Ввод!$D$12:$D$71,1)),""))</f>
        <v/>
      </c>
      <c r="C1937">
        <f>IF(A1937="","",DATE(YEAR(A1937),12,31)-DATE(YEAR(A1937),1,1)+1)</f>
        <v/>
      </c>
      <c r="D1937">
        <f>IF(A1937="","",SUMIFS(Акты!$D$5:$D$16,Акты!$E$5:$E$16,"&lt;="&amp;A1937)-SUMIFS(Оплаты!$B$6:$B$505,Оплаты!$A$6:$A$505,"&lt;"&amp;A1937,Оплаты!$D$6:$D$505,"&lt;&gt;"))</f>
        <v/>
      </c>
      <c r="E1937">
        <f>IF(A1937="","",IF(SUMPRODUCT((Ввод!$F$12:$F$31&lt;&gt;"")*(Ввод!$F$12:$F$31&lt;=A1937)*(Ввод!$G$12:$G$31&gt;=A1937))&gt;0,1,0))</f>
        <v/>
      </c>
      <c r="G1937">
        <f>IF(A1937="","",IF(OR(B1937&lt;&gt;B1936,C1937&lt;&gt;C1936,E1937&lt;&gt;E1936),G1936+1,G1936))</f>
        <v/>
      </c>
    </row>
    <row r="1938">
      <c r="A1938" s="20">
        <f>IF(A1937="","",IF(A1937+1&gt;Ввод!$B$4,"",A1937+1))</f>
        <v/>
      </c>
      <c r="B1938">
        <f>IF(A1938="","",IFERROR(INDEX(Ввод!$B$12:$B$71,MATCH(A1938,Ввод!$D$12:$D$71,1)),""))</f>
        <v/>
      </c>
      <c r="C1938">
        <f>IF(A1938="","",DATE(YEAR(A1938),12,31)-DATE(YEAR(A1938),1,1)+1)</f>
        <v/>
      </c>
      <c r="D1938">
        <f>IF(A1938="","",SUMIFS(Акты!$D$5:$D$16,Акты!$E$5:$E$16,"&lt;="&amp;A1938)-SUMIFS(Оплаты!$B$6:$B$505,Оплаты!$A$6:$A$505,"&lt;"&amp;A1938,Оплаты!$D$6:$D$505,"&lt;&gt;"))</f>
        <v/>
      </c>
      <c r="E1938">
        <f>IF(A1938="","",IF(SUMPRODUCT((Ввод!$F$12:$F$31&lt;&gt;"")*(Ввод!$F$12:$F$31&lt;=A1938)*(Ввод!$G$12:$G$31&gt;=A1938))&gt;0,1,0))</f>
        <v/>
      </c>
      <c r="G1938">
        <f>IF(A1938="","",IF(OR(B1938&lt;&gt;B1937,C1938&lt;&gt;C1937,E1938&lt;&gt;E1937),G1937+1,G1937))</f>
        <v/>
      </c>
    </row>
    <row r="1939">
      <c r="A1939" s="20">
        <f>IF(A1938="","",IF(A1938+1&gt;Ввод!$B$4,"",A1938+1))</f>
        <v/>
      </c>
      <c r="B1939">
        <f>IF(A1939="","",IFERROR(INDEX(Ввод!$B$12:$B$71,MATCH(A1939,Ввод!$D$12:$D$71,1)),""))</f>
        <v/>
      </c>
      <c r="C1939">
        <f>IF(A1939="","",DATE(YEAR(A1939),12,31)-DATE(YEAR(A1939),1,1)+1)</f>
        <v/>
      </c>
      <c r="D1939">
        <f>IF(A1939="","",SUMIFS(Акты!$D$5:$D$16,Акты!$E$5:$E$16,"&lt;="&amp;A1939)-SUMIFS(Оплаты!$B$6:$B$505,Оплаты!$A$6:$A$505,"&lt;"&amp;A1939,Оплаты!$D$6:$D$505,"&lt;&gt;"))</f>
        <v/>
      </c>
      <c r="E1939">
        <f>IF(A1939="","",IF(SUMPRODUCT((Ввод!$F$12:$F$31&lt;&gt;"")*(Ввод!$F$12:$F$31&lt;=A1939)*(Ввод!$G$12:$G$31&gt;=A1939))&gt;0,1,0))</f>
        <v/>
      </c>
      <c r="G1939">
        <f>IF(A1939="","",IF(OR(B1939&lt;&gt;B1938,C1939&lt;&gt;C1938,E1939&lt;&gt;E1938),G1938+1,G1938))</f>
        <v/>
      </c>
    </row>
    <row r="1940">
      <c r="A1940" s="20">
        <f>IF(A1939="","",IF(A1939+1&gt;Ввод!$B$4,"",A1939+1))</f>
        <v/>
      </c>
      <c r="B1940">
        <f>IF(A1940="","",IFERROR(INDEX(Ввод!$B$12:$B$71,MATCH(A1940,Ввод!$D$12:$D$71,1)),""))</f>
        <v/>
      </c>
      <c r="C1940">
        <f>IF(A1940="","",DATE(YEAR(A1940),12,31)-DATE(YEAR(A1940),1,1)+1)</f>
        <v/>
      </c>
      <c r="D1940">
        <f>IF(A1940="","",SUMIFS(Акты!$D$5:$D$16,Акты!$E$5:$E$16,"&lt;="&amp;A1940)-SUMIFS(Оплаты!$B$6:$B$505,Оплаты!$A$6:$A$505,"&lt;"&amp;A1940,Оплаты!$D$6:$D$505,"&lt;&gt;"))</f>
        <v/>
      </c>
      <c r="E1940">
        <f>IF(A1940="","",IF(SUMPRODUCT((Ввод!$F$12:$F$31&lt;&gt;"")*(Ввод!$F$12:$F$31&lt;=A1940)*(Ввод!$G$12:$G$31&gt;=A1940))&gt;0,1,0))</f>
        <v/>
      </c>
      <c r="G1940">
        <f>IF(A1940="","",IF(OR(B1940&lt;&gt;B1939,C1940&lt;&gt;C1939,E1940&lt;&gt;E1939),G1939+1,G1939))</f>
        <v/>
      </c>
    </row>
    <row r="1941">
      <c r="A1941" s="20">
        <f>IF(A1940="","",IF(A1940+1&gt;Ввод!$B$4,"",A1940+1))</f>
        <v/>
      </c>
      <c r="B1941">
        <f>IF(A1941="","",IFERROR(INDEX(Ввод!$B$12:$B$71,MATCH(A1941,Ввод!$D$12:$D$71,1)),""))</f>
        <v/>
      </c>
      <c r="C1941">
        <f>IF(A1941="","",DATE(YEAR(A1941),12,31)-DATE(YEAR(A1941),1,1)+1)</f>
        <v/>
      </c>
      <c r="D1941">
        <f>IF(A1941="","",SUMIFS(Акты!$D$5:$D$16,Акты!$E$5:$E$16,"&lt;="&amp;A1941)-SUMIFS(Оплаты!$B$6:$B$505,Оплаты!$A$6:$A$505,"&lt;"&amp;A1941,Оплаты!$D$6:$D$505,"&lt;&gt;"))</f>
        <v/>
      </c>
      <c r="E1941">
        <f>IF(A1941="","",IF(SUMPRODUCT((Ввод!$F$12:$F$31&lt;&gt;"")*(Ввод!$F$12:$F$31&lt;=A1941)*(Ввод!$G$12:$G$31&gt;=A1941))&gt;0,1,0))</f>
        <v/>
      </c>
      <c r="G1941">
        <f>IF(A1941="","",IF(OR(B1941&lt;&gt;B1940,C1941&lt;&gt;C1940,E1941&lt;&gt;E1940),G1940+1,G1940))</f>
        <v/>
      </c>
    </row>
    <row r="1942">
      <c r="A1942" s="20">
        <f>IF(A1941="","",IF(A1941+1&gt;Ввод!$B$4,"",A1941+1))</f>
        <v/>
      </c>
      <c r="B1942">
        <f>IF(A1942="","",IFERROR(INDEX(Ввод!$B$12:$B$71,MATCH(A1942,Ввод!$D$12:$D$71,1)),""))</f>
        <v/>
      </c>
      <c r="C1942">
        <f>IF(A1942="","",DATE(YEAR(A1942),12,31)-DATE(YEAR(A1942),1,1)+1)</f>
        <v/>
      </c>
      <c r="D1942">
        <f>IF(A1942="","",SUMIFS(Акты!$D$5:$D$16,Акты!$E$5:$E$16,"&lt;="&amp;A1942)-SUMIFS(Оплаты!$B$6:$B$505,Оплаты!$A$6:$A$505,"&lt;"&amp;A1942,Оплаты!$D$6:$D$505,"&lt;&gt;"))</f>
        <v/>
      </c>
      <c r="E1942">
        <f>IF(A1942="","",IF(SUMPRODUCT((Ввод!$F$12:$F$31&lt;&gt;"")*(Ввод!$F$12:$F$31&lt;=A1942)*(Ввод!$G$12:$G$31&gt;=A1942))&gt;0,1,0))</f>
        <v/>
      </c>
      <c r="G1942">
        <f>IF(A1942="","",IF(OR(B1942&lt;&gt;B1941,C1942&lt;&gt;C1941,E1942&lt;&gt;E1941),G1941+1,G1941))</f>
        <v/>
      </c>
    </row>
    <row r="1943">
      <c r="A1943" s="20">
        <f>IF(A1942="","",IF(A1942+1&gt;Ввод!$B$4,"",A1942+1))</f>
        <v/>
      </c>
      <c r="B1943">
        <f>IF(A1943="","",IFERROR(INDEX(Ввод!$B$12:$B$71,MATCH(A1943,Ввод!$D$12:$D$71,1)),""))</f>
        <v/>
      </c>
      <c r="C1943">
        <f>IF(A1943="","",DATE(YEAR(A1943),12,31)-DATE(YEAR(A1943),1,1)+1)</f>
        <v/>
      </c>
      <c r="D1943">
        <f>IF(A1943="","",SUMIFS(Акты!$D$5:$D$16,Акты!$E$5:$E$16,"&lt;="&amp;A1943)-SUMIFS(Оплаты!$B$6:$B$505,Оплаты!$A$6:$A$505,"&lt;"&amp;A1943,Оплаты!$D$6:$D$505,"&lt;&gt;"))</f>
        <v/>
      </c>
      <c r="E1943">
        <f>IF(A1943="","",IF(SUMPRODUCT((Ввод!$F$12:$F$31&lt;&gt;"")*(Ввод!$F$12:$F$31&lt;=A1943)*(Ввод!$G$12:$G$31&gt;=A1943))&gt;0,1,0))</f>
        <v/>
      </c>
      <c r="G1943">
        <f>IF(A1943="","",IF(OR(B1943&lt;&gt;B1942,C1943&lt;&gt;C1942,E1943&lt;&gt;E1942),G1942+1,G1942))</f>
        <v/>
      </c>
    </row>
    <row r="1944">
      <c r="A1944" s="20">
        <f>IF(A1943="","",IF(A1943+1&gt;Ввод!$B$4,"",A1943+1))</f>
        <v/>
      </c>
      <c r="B1944">
        <f>IF(A1944="","",IFERROR(INDEX(Ввод!$B$12:$B$71,MATCH(A1944,Ввод!$D$12:$D$71,1)),""))</f>
        <v/>
      </c>
      <c r="C1944">
        <f>IF(A1944="","",DATE(YEAR(A1944),12,31)-DATE(YEAR(A1944),1,1)+1)</f>
        <v/>
      </c>
      <c r="D1944">
        <f>IF(A1944="","",SUMIFS(Акты!$D$5:$D$16,Акты!$E$5:$E$16,"&lt;="&amp;A1944)-SUMIFS(Оплаты!$B$6:$B$505,Оплаты!$A$6:$A$505,"&lt;"&amp;A1944,Оплаты!$D$6:$D$505,"&lt;&gt;"))</f>
        <v/>
      </c>
      <c r="E1944">
        <f>IF(A1944="","",IF(SUMPRODUCT((Ввод!$F$12:$F$31&lt;&gt;"")*(Ввод!$F$12:$F$31&lt;=A1944)*(Ввод!$G$12:$G$31&gt;=A1944))&gt;0,1,0))</f>
        <v/>
      </c>
      <c r="G1944">
        <f>IF(A1944="","",IF(OR(B1944&lt;&gt;B1943,C1944&lt;&gt;C1943,E1944&lt;&gt;E1943),G1943+1,G1943))</f>
        <v/>
      </c>
    </row>
    <row r="1945">
      <c r="A1945" s="20">
        <f>IF(A1944="","",IF(A1944+1&gt;Ввод!$B$4,"",A1944+1))</f>
        <v/>
      </c>
      <c r="B1945">
        <f>IF(A1945="","",IFERROR(INDEX(Ввод!$B$12:$B$71,MATCH(A1945,Ввод!$D$12:$D$71,1)),""))</f>
        <v/>
      </c>
      <c r="C1945">
        <f>IF(A1945="","",DATE(YEAR(A1945),12,31)-DATE(YEAR(A1945),1,1)+1)</f>
        <v/>
      </c>
      <c r="D1945">
        <f>IF(A1945="","",SUMIFS(Акты!$D$5:$D$16,Акты!$E$5:$E$16,"&lt;="&amp;A1945)-SUMIFS(Оплаты!$B$6:$B$505,Оплаты!$A$6:$A$505,"&lt;"&amp;A1945,Оплаты!$D$6:$D$505,"&lt;&gt;"))</f>
        <v/>
      </c>
      <c r="E1945">
        <f>IF(A1945="","",IF(SUMPRODUCT((Ввод!$F$12:$F$31&lt;&gt;"")*(Ввод!$F$12:$F$31&lt;=A1945)*(Ввод!$G$12:$G$31&gt;=A1945))&gt;0,1,0))</f>
        <v/>
      </c>
      <c r="G1945">
        <f>IF(A1945="","",IF(OR(B1945&lt;&gt;B1944,C1945&lt;&gt;C1944,E1945&lt;&gt;E1944),G1944+1,G1944))</f>
        <v/>
      </c>
    </row>
    <row r="1946">
      <c r="A1946" s="20">
        <f>IF(A1945="","",IF(A1945+1&gt;Ввод!$B$4,"",A1945+1))</f>
        <v/>
      </c>
      <c r="B1946">
        <f>IF(A1946="","",IFERROR(INDEX(Ввод!$B$12:$B$71,MATCH(A1946,Ввод!$D$12:$D$71,1)),""))</f>
        <v/>
      </c>
      <c r="C1946">
        <f>IF(A1946="","",DATE(YEAR(A1946),12,31)-DATE(YEAR(A1946),1,1)+1)</f>
        <v/>
      </c>
      <c r="D1946">
        <f>IF(A1946="","",SUMIFS(Акты!$D$5:$D$16,Акты!$E$5:$E$16,"&lt;="&amp;A1946)-SUMIFS(Оплаты!$B$6:$B$505,Оплаты!$A$6:$A$505,"&lt;"&amp;A1946,Оплаты!$D$6:$D$505,"&lt;&gt;"))</f>
        <v/>
      </c>
      <c r="E1946">
        <f>IF(A1946="","",IF(SUMPRODUCT((Ввод!$F$12:$F$31&lt;&gt;"")*(Ввод!$F$12:$F$31&lt;=A1946)*(Ввод!$G$12:$G$31&gt;=A1946))&gt;0,1,0))</f>
        <v/>
      </c>
      <c r="G1946">
        <f>IF(A1946="","",IF(OR(B1946&lt;&gt;B1945,C1946&lt;&gt;C1945,E1946&lt;&gt;E1945),G1945+1,G1945))</f>
        <v/>
      </c>
    </row>
    <row r="1947">
      <c r="A1947" s="20">
        <f>IF(A1946="","",IF(A1946+1&gt;Ввод!$B$4,"",A1946+1))</f>
        <v/>
      </c>
      <c r="B1947">
        <f>IF(A1947="","",IFERROR(INDEX(Ввод!$B$12:$B$71,MATCH(A1947,Ввод!$D$12:$D$71,1)),""))</f>
        <v/>
      </c>
      <c r="C1947">
        <f>IF(A1947="","",DATE(YEAR(A1947),12,31)-DATE(YEAR(A1947),1,1)+1)</f>
        <v/>
      </c>
      <c r="D1947">
        <f>IF(A1947="","",SUMIFS(Акты!$D$5:$D$16,Акты!$E$5:$E$16,"&lt;="&amp;A1947)-SUMIFS(Оплаты!$B$6:$B$505,Оплаты!$A$6:$A$505,"&lt;"&amp;A1947,Оплаты!$D$6:$D$505,"&lt;&gt;"))</f>
        <v/>
      </c>
      <c r="E1947">
        <f>IF(A1947="","",IF(SUMPRODUCT((Ввод!$F$12:$F$31&lt;&gt;"")*(Ввод!$F$12:$F$31&lt;=A1947)*(Ввод!$G$12:$G$31&gt;=A1947))&gt;0,1,0))</f>
        <v/>
      </c>
      <c r="G1947">
        <f>IF(A1947="","",IF(OR(B1947&lt;&gt;B1946,C1947&lt;&gt;C1946,E1947&lt;&gt;E1946),G1946+1,G1946))</f>
        <v/>
      </c>
    </row>
    <row r="1948">
      <c r="A1948" s="20">
        <f>IF(A1947="","",IF(A1947+1&gt;Ввод!$B$4,"",A1947+1))</f>
        <v/>
      </c>
      <c r="B1948">
        <f>IF(A1948="","",IFERROR(INDEX(Ввод!$B$12:$B$71,MATCH(A1948,Ввод!$D$12:$D$71,1)),""))</f>
        <v/>
      </c>
      <c r="C1948">
        <f>IF(A1948="","",DATE(YEAR(A1948),12,31)-DATE(YEAR(A1948),1,1)+1)</f>
        <v/>
      </c>
      <c r="D1948">
        <f>IF(A1948="","",SUMIFS(Акты!$D$5:$D$16,Акты!$E$5:$E$16,"&lt;="&amp;A1948)-SUMIFS(Оплаты!$B$6:$B$505,Оплаты!$A$6:$A$505,"&lt;"&amp;A1948,Оплаты!$D$6:$D$505,"&lt;&gt;"))</f>
        <v/>
      </c>
      <c r="E1948">
        <f>IF(A1948="","",IF(SUMPRODUCT((Ввод!$F$12:$F$31&lt;&gt;"")*(Ввод!$F$12:$F$31&lt;=A1948)*(Ввод!$G$12:$G$31&gt;=A1948))&gt;0,1,0))</f>
        <v/>
      </c>
      <c r="G1948">
        <f>IF(A1948="","",IF(OR(B1948&lt;&gt;B1947,C1948&lt;&gt;C1947,E1948&lt;&gt;E1947),G1947+1,G1947))</f>
        <v/>
      </c>
    </row>
    <row r="1949">
      <c r="A1949" s="20">
        <f>IF(A1948="","",IF(A1948+1&gt;Ввод!$B$4,"",A1948+1))</f>
        <v/>
      </c>
      <c r="B1949">
        <f>IF(A1949="","",IFERROR(INDEX(Ввод!$B$12:$B$71,MATCH(A1949,Ввод!$D$12:$D$71,1)),""))</f>
        <v/>
      </c>
      <c r="C1949">
        <f>IF(A1949="","",DATE(YEAR(A1949),12,31)-DATE(YEAR(A1949),1,1)+1)</f>
        <v/>
      </c>
      <c r="D1949">
        <f>IF(A1949="","",SUMIFS(Акты!$D$5:$D$16,Акты!$E$5:$E$16,"&lt;="&amp;A1949)-SUMIFS(Оплаты!$B$6:$B$505,Оплаты!$A$6:$A$505,"&lt;"&amp;A1949,Оплаты!$D$6:$D$505,"&lt;&gt;"))</f>
        <v/>
      </c>
      <c r="E1949">
        <f>IF(A1949="","",IF(SUMPRODUCT((Ввод!$F$12:$F$31&lt;&gt;"")*(Ввод!$F$12:$F$31&lt;=A1949)*(Ввод!$G$12:$G$31&gt;=A1949))&gt;0,1,0))</f>
        <v/>
      </c>
      <c r="G1949">
        <f>IF(A1949="","",IF(OR(B1949&lt;&gt;B1948,C1949&lt;&gt;C1948,E1949&lt;&gt;E1948),G1948+1,G1948))</f>
        <v/>
      </c>
    </row>
    <row r="1950">
      <c r="A1950" s="20">
        <f>IF(A1949="","",IF(A1949+1&gt;Ввод!$B$4,"",A1949+1))</f>
        <v/>
      </c>
      <c r="B1950">
        <f>IF(A1950="","",IFERROR(INDEX(Ввод!$B$12:$B$71,MATCH(A1950,Ввод!$D$12:$D$71,1)),""))</f>
        <v/>
      </c>
      <c r="C1950">
        <f>IF(A1950="","",DATE(YEAR(A1950),12,31)-DATE(YEAR(A1950),1,1)+1)</f>
        <v/>
      </c>
      <c r="D1950">
        <f>IF(A1950="","",SUMIFS(Акты!$D$5:$D$16,Акты!$E$5:$E$16,"&lt;="&amp;A1950)-SUMIFS(Оплаты!$B$6:$B$505,Оплаты!$A$6:$A$505,"&lt;"&amp;A1950,Оплаты!$D$6:$D$505,"&lt;&gt;"))</f>
        <v/>
      </c>
      <c r="E1950">
        <f>IF(A1950="","",IF(SUMPRODUCT((Ввод!$F$12:$F$31&lt;&gt;"")*(Ввод!$F$12:$F$31&lt;=A1950)*(Ввод!$G$12:$G$31&gt;=A1950))&gt;0,1,0))</f>
        <v/>
      </c>
      <c r="G1950">
        <f>IF(A1950="","",IF(OR(B1950&lt;&gt;B1949,C1950&lt;&gt;C1949,E1950&lt;&gt;E1949),G1949+1,G1949))</f>
        <v/>
      </c>
    </row>
    <row r="1951">
      <c r="A1951" s="20">
        <f>IF(A1950="","",IF(A1950+1&gt;Ввод!$B$4,"",A1950+1))</f>
        <v/>
      </c>
      <c r="B1951">
        <f>IF(A1951="","",IFERROR(INDEX(Ввод!$B$12:$B$71,MATCH(A1951,Ввод!$D$12:$D$71,1)),""))</f>
        <v/>
      </c>
      <c r="C1951">
        <f>IF(A1951="","",DATE(YEAR(A1951),12,31)-DATE(YEAR(A1951),1,1)+1)</f>
        <v/>
      </c>
      <c r="D1951">
        <f>IF(A1951="","",SUMIFS(Акты!$D$5:$D$16,Акты!$E$5:$E$16,"&lt;="&amp;A1951)-SUMIFS(Оплаты!$B$6:$B$505,Оплаты!$A$6:$A$505,"&lt;"&amp;A1951,Оплаты!$D$6:$D$505,"&lt;&gt;"))</f>
        <v/>
      </c>
      <c r="E1951">
        <f>IF(A1951="","",IF(SUMPRODUCT((Ввод!$F$12:$F$31&lt;&gt;"")*(Ввод!$F$12:$F$31&lt;=A1951)*(Ввод!$G$12:$G$31&gt;=A1951))&gt;0,1,0))</f>
        <v/>
      </c>
      <c r="G1951">
        <f>IF(A1951="","",IF(OR(B1951&lt;&gt;B1950,C1951&lt;&gt;C1950,E1951&lt;&gt;E1950),G1950+1,G1950))</f>
        <v/>
      </c>
    </row>
    <row r="1952">
      <c r="A1952" s="20">
        <f>IF(A1951="","",IF(A1951+1&gt;Ввод!$B$4,"",A1951+1))</f>
        <v/>
      </c>
      <c r="B1952">
        <f>IF(A1952="","",IFERROR(INDEX(Ввод!$B$12:$B$71,MATCH(A1952,Ввод!$D$12:$D$71,1)),""))</f>
        <v/>
      </c>
      <c r="C1952">
        <f>IF(A1952="","",DATE(YEAR(A1952),12,31)-DATE(YEAR(A1952),1,1)+1)</f>
        <v/>
      </c>
      <c r="D1952">
        <f>IF(A1952="","",SUMIFS(Акты!$D$5:$D$16,Акты!$E$5:$E$16,"&lt;="&amp;A1952)-SUMIFS(Оплаты!$B$6:$B$505,Оплаты!$A$6:$A$505,"&lt;"&amp;A1952,Оплаты!$D$6:$D$505,"&lt;&gt;"))</f>
        <v/>
      </c>
      <c r="E1952">
        <f>IF(A1952="","",IF(SUMPRODUCT((Ввод!$F$12:$F$31&lt;&gt;"")*(Ввод!$F$12:$F$31&lt;=A1952)*(Ввод!$G$12:$G$31&gt;=A1952))&gt;0,1,0))</f>
        <v/>
      </c>
      <c r="G1952">
        <f>IF(A1952="","",IF(OR(B1952&lt;&gt;B1951,C1952&lt;&gt;C1951,E1952&lt;&gt;E1951),G1951+1,G1951))</f>
        <v/>
      </c>
    </row>
    <row r="1953">
      <c r="A1953" s="20">
        <f>IF(A1952="","",IF(A1952+1&gt;Ввод!$B$4,"",A1952+1))</f>
        <v/>
      </c>
      <c r="B1953">
        <f>IF(A1953="","",IFERROR(INDEX(Ввод!$B$12:$B$71,MATCH(A1953,Ввод!$D$12:$D$71,1)),""))</f>
        <v/>
      </c>
      <c r="C1953">
        <f>IF(A1953="","",DATE(YEAR(A1953),12,31)-DATE(YEAR(A1953),1,1)+1)</f>
        <v/>
      </c>
      <c r="D1953">
        <f>IF(A1953="","",SUMIFS(Акты!$D$5:$D$16,Акты!$E$5:$E$16,"&lt;="&amp;A1953)-SUMIFS(Оплаты!$B$6:$B$505,Оплаты!$A$6:$A$505,"&lt;"&amp;A1953,Оплаты!$D$6:$D$505,"&lt;&gt;"))</f>
        <v/>
      </c>
      <c r="E1953">
        <f>IF(A1953="","",IF(SUMPRODUCT((Ввод!$F$12:$F$31&lt;&gt;"")*(Ввод!$F$12:$F$31&lt;=A1953)*(Ввод!$G$12:$G$31&gt;=A1953))&gt;0,1,0))</f>
        <v/>
      </c>
      <c r="G1953">
        <f>IF(A1953="","",IF(OR(B1953&lt;&gt;B1952,C1953&lt;&gt;C1952,E1953&lt;&gt;E1952),G1952+1,G1952))</f>
        <v/>
      </c>
    </row>
    <row r="1954">
      <c r="A1954" s="20">
        <f>IF(A1953="","",IF(A1953+1&gt;Ввод!$B$4,"",A1953+1))</f>
        <v/>
      </c>
      <c r="B1954">
        <f>IF(A1954="","",IFERROR(INDEX(Ввод!$B$12:$B$71,MATCH(A1954,Ввод!$D$12:$D$71,1)),""))</f>
        <v/>
      </c>
      <c r="C1954">
        <f>IF(A1954="","",DATE(YEAR(A1954),12,31)-DATE(YEAR(A1954),1,1)+1)</f>
        <v/>
      </c>
      <c r="D1954">
        <f>IF(A1954="","",SUMIFS(Акты!$D$5:$D$16,Акты!$E$5:$E$16,"&lt;="&amp;A1954)-SUMIFS(Оплаты!$B$6:$B$505,Оплаты!$A$6:$A$505,"&lt;"&amp;A1954,Оплаты!$D$6:$D$505,"&lt;&gt;"))</f>
        <v/>
      </c>
      <c r="E1954">
        <f>IF(A1954="","",IF(SUMPRODUCT((Ввод!$F$12:$F$31&lt;&gt;"")*(Ввод!$F$12:$F$31&lt;=A1954)*(Ввод!$G$12:$G$31&gt;=A1954))&gt;0,1,0))</f>
        <v/>
      </c>
      <c r="G1954">
        <f>IF(A1954="","",IF(OR(B1954&lt;&gt;B1953,C1954&lt;&gt;C1953,E1954&lt;&gt;E1953),G1953+1,G1953))</f>
        <v/>
      </c>
    </row>
    <row r="1955">
      <c r="A1955" s="20">
        <f>IF(A1954="","",IF(A1954+1&gt;Ввод!$B$4,"",A1954+1))</f>
        <v/>
      </c>
      <c r="B1955">
        <f>IF(A1955="","",IFERROR(INDEX(Ввод!$B$12:$B$71,MATCH(A1955,Ввод!$D$12:$D$71,1)),""))</f>
        <v/>
      </c>
      <c r="C1955">
        <f>IF(A1955="","",DATE(YEAR(A1955),12,31)-DATE(YEAR(A1955),1,1)+1)</f>
        <v/>
      </c>
      <c r="D1955">
        <f>IF(A1955="","",SUMIFS(Акты!$D$5:$D$16,Акты!$E$5:$E$16,"&lt;="&amp;A1955)-SUMIFS(Оплаты!$B$6:$B$505,Оплаты!$A$6:$A$505,"&lt;"&amp;A1955,Оплаты!$D$6:$D$505,"&lt;&gt;"))</f>
        <v/>
      </c>
      <c r="E1955">
        <f>IF(A1955="","",IF(SUMPRODUCT((Ввод!$F$12:$F$31&lt;&gt;"")*(Ввод!$F$12:$F$31&lt;=A1955)*(Ввод!$G$12:$G$31&gt;=A1955))&gt;0,1,0))</f>
        <v/>
      </c>
      <c r="G1955">
        <f>IF(A1955="","",IF(OR(B1955&lt;&gt;B1954,C1955&lt;&gt;C1954,E1955&lt;&gt;E1954),G1954+1,G1954))</f>
        <v/>
      </c>
    </row>
    <row r="1956">
      <c r="A1956" s="20">
        <f>IF(A1955="","",IF(A1955+1&gt;Ввод!$B$4,"",A1955+1))</f>
        <v/>
      </c>
      <c r="B1956">
        <f>IF(A1956="","",IFERROR(INDEX(Ввод!$B$12:$B$71,MATCH(A1956,Ввод!$D$12:$D$71,1)),""))</f>
        <v/>
      </c>
      <c r="C1956">
        <f>IF(A1956="","",DATE(YEAR(A1956),12,31)-DATE(YEAR(A1956),1,1)+1)</f>
        <v/>
      </c>
      <c r="D1956">
        <f>IF(A1956="","",SUMIFS(Акты!$D$5:$D$16,Акты!$E$5:$E$16,"&lt;="&amp;A1956)-SUMIFS(Оплаты!$B$6:$B$505,Оплаты!$A$6:$A$505,"&lt;"&amp;A1956,Оплаты!$D$6:$D$505,"&lt;&gt;"))</f>
        <v/>
      </c>
      <c r="E1956">
        <f>IF(A1956="","",IF(SUMPRODUCT((Ввод!$F$12:$F$31&lt;&gt;"")*(Ввод!$F$12:$F$31&lt;=A1956)*(Ввод!$G$12:$G$31&gt;=A1956))&gt;0,1,0))</f>
        <v/>
      </c>
      <c r="G1956">
        <f>IF(A1956="","",IF(OR(B1956&lt;&gt;B1955,C1956&lt;&gt;C1955,E1956&lt;&gt;E1955),G1955+1,G1955))</f>
        <v/>
      </c>
    </row>
    <row r="1957">
      <c r="A1957" s="20">
        <f>IF(A1956="","",IF(A1956+1&gt;Ввод!$B$4,"",A1956+1))</f>
        <v/>
      </c>
      <c r="B1957">
        <f>IF(A1957="","",IFERROR(INDEX(Ввод!$B$12:$B$71,MATCH(A1957,Ввод!$D$12:$D$71,1)),""))</f>
        <v/>
      </c>
      <c r="C1957">
        <f>IF(A1957="","",DATE(YEAR(A1957),12,31)-DATE(YEAR(A1957),1,1)+1)</f>
        <v/>
      </c>
      <c r="D1957">
        <f>IF(A1957="","",SUMIFS(Акты!$D$5:$D$16,Акты!$E$5:$E$16,"&lt;="&amp;A1957)-SUMIFS(Оплаты!$B$6:$B$505,Оплаты!$A$6:$A$505,"&lt;"&amp;A1957,Оплаты!$D$6:$D$505,"&lt;&gt;"))</f>
        <v/>
      </c>
      <c r="E1957">
        <f>IF(A1957="","",IF(SUMPRODUCT((Ввод!$F$12:$F$31&lt;&gt;"")*(Ввод!$F$12:$F$31&lt;=A1957)*(Ввод!$G$12:$G$31&gt;=A1957))&gt;0,1,0))</f>
        <v/>
      </c>
      <c r="G1957">
        <f>IF(A1957="","",IF(OR(B1957&lt;&gt;B1956,C1957&lt;&gt;C1956,E1957&lt;&gt;E1956),G1956+1,G1956))</f>
        <v/>
      </c>
    </row>
    <row r="1958">
      <c r="A1958" s="20">
        <f>IF(A1957="","",IF(A1957+1&gt;Ввод!$B$4,"",A1957+1))</f>
        <v/>
      </c>
      <c r="B1958">
        <f>IF(A1958="","",IFERROR(INDEX(Ввод!$B$12:$B$71,MATCH(A1958,Ввод!$D$12:$D$71,1)),""))</f>
        <v/>
      </c>
      <c r="C1958">
        <f>IF(A1958="","",DATE(YEAR(A1958),12,31)-DATE(YEAR(A1958),1,1)+1)</f>
        <v/>
      </c>
      <c r="D1958">
        <f>IF(A1958="","",SUMIFS(Акты!$D$5:$D$16,Акты!$E$5:$E$16,"&lt;="&amp;A1958)-SUMIFS(Оплаты!$B$6:$B$505,Оплаты!$A$6:$A$505,"&lt;"&amp;A1958,Оплаты!$D$6:$D$505,"&lt;&gt;"))</f>
        <v/>
      </c>
      <c r="E1958">
        <f>IF(A1958="","",IF(SUMPRODUCT((Ввод!$F$12:$F$31&lt;&gt;"")*(Ввод!$F$12:$F$31&lt;=A1958)*(Ввод!$G$12:$G$31&gt;=A1958))&gt;0,1,0))</f>
        <v/>
      </c>
      <c r="G1958">
        <f>IF(A1958="","",IF(OR(B1958&lt;&gt;B1957,C1958&lt;&gt;C1957,E1958&lt;&gt;E1957),G1957+1,G1957))</f>
        <v/>
      </c>
    </row>
    <row r="1959">
      <c r="A1959" s="20">
        <f>IF(A1958="","",IF(A1958+1&gt;Ввод!$B$4,"",A1958+1))</f>
        <v/>
      </c>
      <c r="B1959">
        <f>IF(A1959="","",IFERROR(INDEX(Ввод!$B$12:$B$71,MATCH(A1959,Ввод!$D$12:$D$71,1)),""))</f>
        <v/>
      </c>
      <c r="C1959">
        <f>IF(A1959="","",DATE(YEAR(A1959),12,31)-DATE(YEAR(A1959),1,1)+1)</f>
        <v/>
      </c>
      <c r="D1959">
        <f>IF(A1959="","",SUMIFS(Акты!$D$5:$D$16,Акты!$E$5:$E$16,"&lt;="&amp;A1959)-SUMIFS(Оплаты!$B$6:$B$505,Оплаты!$A$6:$A$505,"&lt;"&amp;A1959,Оплаты!$D$6:$D$505,"&lt;&gt;"))</f>
        <v/>
      </c>
      <c r="E1959">
        <f>IF(A1959="","",IF(SUMPRODUCT((Ввод!$F$12:$F$31&lt;&gt;"")*(Ввод!$F$12:$F$31&lt;=A1959)*(Ввод!$G$12:$G$31&gt;=A1959))&gt;0,1,0))</f>
        <v/>
      </c>
      <c r="G1959">
        <f>IF(A1959="","",IF(OR(B1959&lt;&gt;B1958,C1959&lt;&gt;C1958,E1959&lt;&gt;E1958),G1958+1,G1958))</f>
        <v/>
      </c>
    </row>
    <row r="1960">
      <c r="A1960" s="20">
        <f>IF(A1959="","",IF(A1959+1&gt;Ввод!$B$4,"",A1959+1))</f>
        <v/>
      </c>
      <c r="B1960">
        <f>IF(A1960="","",IFERROR(INDEX(Ввод!$B$12:$B$71,MATCH(A1960,Ввод!$D$12:$D$71,1)),""))</f>
        <v/>
      </c>
      <c r="C1960">
        <f>IF(A1960="","",DATE(YEAR(A1960),12,31)-DATE(YEAR(A1960),1,1)+1)</f>
        <v/>
      </c>
      <c r="D1960">
        <f>IF(A1960="","",SUMIFS(Акты!$D$5:$D$16,Акты!$E$5:$E$16,"&lt;="&amp;A1960)-SUMIFS(Оплаты!$B$6:$B$505,Оплаты!$A$6:$A$505,"&lt;"&amp;A1960,Оплаты!$D$6:$D$505,"&lt;&gt;"))</f>
        <v/>
      </c>
      <c r="E1960">
        <f>IF(A1960="","",IF(SUMPRODUCT((Ввод!$F$12:$F$31&lt;&gt;"")*(Ввод!$F$12:$F$31&lt;=A1960)*(Ввод!$G$12:$G$31&gt;=A1960))&gt;0,1,0))</f>
        <v/>
      </c>
      <c r="G1960">
        <f>IF(A1960="","",IF(OR(B1960&lt;&gt;B1959,C1960&lt;&gt;C1959,E1960&lt;&gt;E1959),G1959+1,G1959))</f>
        <v/>
      </c>
    </row>
    <row r="1961">
      <c r="A1961" s="20">
        <f>IF(A1960="","",IF(A1960+1&gt;Ввод!$B$4,"",A1960+1))</f>
        <v/>
      </c>
      <c r="B1961">
        <f>IF(A1961="","",IFERROR(INDEX(Ввод!$B$12:$B$71,MATCH(A1961,Ввод!$D$12:$D$71,1)),""))</f>
        <v/>
      </c>
      <c r="C1961">
        <f>IF(A1961="","",DATE(YEAR(A1961),12,31)-DATE(YEAR(A1961),1,1)+1)</f>
        <v/>
      </c>
      <c r="D1961">
        <f>IF(A1961="","",SUMIFS(Акты!$D$5:$D$16,Акты!$E$5:$E$16,"&lt;="&amp;A1961)-SUMIFS(Оплаты!$B$6:$B$505,Оплаты!$A$6:$A$505,"&lt;"&amp;A1961,Оплаты!$D$6:$D$505,"&lt;&gt;"))</f>
        <v/>
      </c>
      <c r="E1961">
        <f>IF(A1961="","",IF(SUMPRODUCT((Ввод!$F$12:$F$31&lt;&gt;"")*(Ввод!$F$12:$F$31&lt;=A1961)*(Ввод!$G$12:$G$31&gt;=A1961))&gt;0,1,0))</f>
        <v/>
      </c>
      <c r="G1961">
        <f>IF(A1961="","",IF(OR(B1961&lt;&gt;B1960,C1961&lt;&gt;C1960,E1961&lt;&gt;E1960),G1960+1,G1960))</f>
        <v/>
      </c>
    </row>
    <row r="1962">
      <c r="A1962" s="20">
        <f>IF(A1961="","",IF(A1961+1&gt;Ввод!$B$4,"",A1961+1))</f>
        <v/>
      </c>
      <c r="B1962">
        <f>IF(A1962="","",IFERROR(INDEX(Ввод!$B$12:$B$71,MATCH(A1962,Ввод!$D$12:$D$71,1)),""))</f>
        <v/>
      </c>
      <c r="C1962">
        <f>IF(A1962="","",DATE(YEAR(A1962),12,31)-DATE(YEAR(A1962),1,1)+1)</f>
        <v/>
      </c>
      <c r="D1962">
        <f>IF(A1962="","",SUMIFS(Акты!$D$5:$D$16,Акты!$E$5:$E$16,"&lt;="&amp;A1962)-SUMIFS(Оплаты!$B$6:$B$505,Оплаты!$A$6:$A$505,"&lt;"&amp;A1962,Оплаты!$D$6:$D$505,"&lt;&gt;"))</f>
        <v/>
      </c>
      <c r="E1962">
        <f>IF(A1962="","",IF(SUMPRODUCT((Ввод!$F$12:$F$31&lt;&gt;"")*(Ввод!$F$12:$F$31&lt;=A1962)*(Ввод!$G$12:$G$31&gt;=A1962))&gt;0,1,0))</f>
        <v/>
      </c>
      <c r="G1962">
        <f>IF(A1962="","",IF(OR(B1962&lt;&gt;B1961,C1962&lt;&gt;C1961,E1962&lt;&gt;E1961),G1961+1,G1961))</f>
        <v/>
      </c>
    </row>
    <row r="1963">
      <c r="A1963" s="20">
        <f>IF(A1962="","",IF(A1962+1&gt;Ввод!$B$4,"",A1962+1))</f>
        <v/>
      </c>
      <c r="B1963">
        <f>IF(A1963="","",IFERROR(INDEX(Ввод!$B$12:$B$71,MATCH(A1963,Ввод!$D$12:$D$71,1)),""))</f>
        <v/>
      </c>
      <c r="C1963">
        <f>IF(A1963="","",DATE(YEAR(A1963),12,31)-DATE(YEAR(A1963),1,1)+1)</f>
        <v/>
      </c>
      <c r="D1963">
        <f>IF(A1963="","",SUMIFS(Акты!$D$5:$D$16,Акты!$E$5:$E$16,"&lt;="&amp;A1963)-SUMIFS(Оплаты!$B$6:$B$505,Оплаты!$A$6:$A$505,"&lt;"&amp;A1963,Оплаты!$D$6:$D$505,"&lt;&gt;"))</f>
        <v/>
      </c>
      <c r="E1963">
        <f>IF(A1963="","",IF(SUMPRODUCT((Ввод!$F$12:$F$31&lt;&gt;"")*(Ввод!$F$12:$F$31&lt;=A1963)*(Ввод!$G$12:$G$31&gt;=A1963))&gt;0,1,0))</f>
        <v/>
      </c>
      <c r="G1963">
        <f>IF(A1963="","",IF(OR(B1963&lt;&gt;B1962,C1963&lt;&gt;C1962,E1963&lt;&gt;E1962),G1962+1,G1962))</f>
        <v/>
      </c>
    </row>
    <row r="1964">
      <c r="A1964" s="20">
        <f>IF(A1963="","",IF(A1963+1&gt;Ввод!$B$4,"",A1963+1))</f>
        <v/>
      </c>
      <c r="B1964">
        <f>IF(A1964="","",IFERROR(INDEX(Ввод!$B$12:$B$71,MATCH(A1964,Ввод!$D$12:$D$71,1)),""))</f>
        <v/>
      </c>
      <c r="C1964">
        <f>IF(A1964="","",DATE(YEAR(A1964),12,31)-DATE(YEAR(A1964),1,1)+1)</f>
        <v/>
      </c>
      <c r="D1964">
        <f>IF(A1964="","",SUMIFS(Акты!$D$5:$D$16,Акты!$E$5:$E$16,"&lt;="&amp;A1964)-SUMIFS(Оплаты!$B$6:$B$505,Оплаты!$A$6:$A$505,"&lt;"&amp;A1964,Оплаты!$D$6:$D$505,"&lt;&gt;"))</f>
        <v/>
      </c>
      <c r="E1964">
        <f>IF(A1964="","",IF(SUMPRODUCT((Ввод!$F$12:$F$31&lt;&gt;"")*(Ввод!$F$12:$F$31&lt;=A1964)*(Ввод!$G$12:$G$31&gt;=A1964))&gt;0,1,0))</f>
        <v/>
      </c>
      <c r="G1964">
        <f>IF(A1964="","",IF(OR(B1964&lt;&gt;B1963,C1964&lt;&gt;C1963,E1964&lt;&gt;E1963),G1963+1,G1963))</f>
        <v/>
      </c>
    </row>
    <row r="1965">
      <c r="A1965" s="20">
        <f>IF(A1964="","",IF(A1964+1&gt;Ввод!$B$4,"",A1964+1))</f>
        <v/>
      </c>
      <c r="B1965">
        <f>IF(A1965="","",IFERROR(INDEX(Ввод!$B$12:$B$71,MATCH(A1965,Ввод!$D$12:$D$71,1)),""))</f>
        <v/>
      </c>
      <c r="C1965">
        <f>IF(A1965="","",DATE(YEAR(A1965),12,31)-DATE(YEAR(A1965),1,1)+1)</f>
        <v/>
      </c>
      <c r="D1965">
        <f>IF(A1965="","",SUMIFS(Акты!$D$5:$D$16,Акты!$E$5:$E$16,"&lt;="&amp;A1965)-SUMIFS(Оплаты!$B$6:$B$505,Оплаты!$A$6:$A$505,"&lt;"&amp;A1965,Оплаты!$D$6:$D$505,"&lt;&gt;"))</f>
        <v/>
      </c>
      <c r="E1965">
        <f>IF(A1965="","",IF(SUMPRODUCT((Ввод!$F$12:$F$31&lt;&gt;"")*(Ввод!$F$12:$F$31&lt;=A1965)*(Ввод!$G$12:$G$31&gt;=A1965))&gt;0,1,0))</f>
        <v/>
      </c>
      <c r="G1965">
        <f>IF(A1965="","",IF(OR(B1965&lt;&gt;B1964,C1965&lt;&gt;C1964,E1965&lt;&gt;E1964),G1964+1,G1964))</f>
        <v/>
      </c>
    </row>
    <row r="1966">
      <c r="A1966" s="20">
        <f>IF(A1965="","",IF(A1965+1&gt;Ввод!$B$4,"",A1965+1))</f>
        <v/>
      </c>
      <c r="B1966">
        <f>IF(A1966="","",IFERROR(INDEX(Ввод!$B$12:$B$71,MATCH(A1966,Ввод!$D$12:$D$71,1)),""))</f>
        <v/>
      </c>
      <c r="C1966">
        <f>IF(A1966="","",DATE(YEAR(A1966),12,31)-DATE(YEAR(A1966),1,1)+1)</f>
        <v/>
      </c>
      <c r="D1966">
        <f>IF(A1966="","",SUMIFS(Акты!$D$5:$D$16,Акты!$E$5:$E$16,"&lt;="&amp;A1966)-SUMIFS(Оплаты!$B$6:$B$505,Оплаты!$A$6:$A$505,"&lt;"&amp;A1966,Оплаты!$D$6:$D$505,"&lt;&gt;"))</f>
        <v/>
      </c>
      <c r="E1966">
        <f>IF(A1966="","",IF(SUMPRODUCT((Ввод!$F$12:$F$31&lt;&gt;"")*(Ввод!$F$12:$F$31&lt;=A1966)*(Ввод!$G$12:$G$31&gt;=A1966))&gt;0,1,0))</f>
        <v/>
      </c>
      <c r="G1966">
        <f>IF(A1966="","",IF(OR(B1966&lt;&gt;B1965,C1966&lt;&gt;C1965,E1966&lt;&gt;E1965),G1965+1,G1965))</f>
        <v/>
      </c>
    </row>
    <row r="1967">
      <c r="A1967" s="20">
        <f>IF(A1966="","",IF(A1966+1&gt;Ввод!$B$4,"",A1966+1))</f>
        <v/>
      </c>
      <c r="B1967">
        <f>IF(A1967="","",IFERROR(INDEX(Ввод!$B$12:$B$71,MATCH(A1967,Ввод!$D$12:$D$71,1)),""))</f>
        <v/>
      </c>
      <c r="C1967">
        <f>IF(A1967="","",DATE(YEAR(A1967),12,31)-DATE(YEAR(A1967),1,1)+1)</f>
        <v/>
      </c>
      <c r="D1967">
        <f>IF(A1967="","",SUMIFS(Акты!$D$5:$D$16,Акты!$E$5:$E$16,"&lt;="&amp;A1967)-SUMIFS(Оплаты!$B$6:$B$505,Оплаты!$A$6:$A$505,"&lt;"&amp;A1967,Оплаты!$D$6:$D$505,"&lt;&gt;"))</f>
        <v/>
      </c>
      <c r="E1967">
        <f>IF(A1967="","",IF(SUMPRODUCT((Ввод!$F$12:$F$31&lt;&gt;"")*(Ввод!$F$12:$F$31&lt;=A1967)*(Ввод!$G$12:$G$31&gt;=A1967))&gt;0,1,0))</f>
        <v/>
      </c>
      <c r="G1967">
        <f>IF(A1967="","",IF(OR(B1967&lt;&gt;B1966,C1967&lt;&gt;C1966,E1967&lt;&gt;E1966),G1966+1,G1966))</f>
        <v/>
      </c>
    </row>
    <row r="1968">
      <c r="A1968" s="20">
        <f>IF(A1967="","",IF(A1967+1&gt;Ввод!$B$4,"",A1967+1))</f>
        <v/>
      </c>
      <c r="B1968">
        <f>IF(A1968="","",IFERROR(INDEX(Ввод!$B$12:$B$71,MATCH(A1968,Ввод!$D$12:$D$71,1)),""))</f>
        <v/>
      </c>
      <c r="C1968">
        <f>IF(A1968="","",DATE(YEAR(A1968),12,31)-DATE(YEAR(A1968),1,1)+1)</f>
        <v/>
      </c>
      <c r="D1968">
        <f>IF(A1968="","",SUMIFS(Акты!$D$5:$D$16,Акты!$E$5:$E$16,"&lt;="&amp;A1968)-SUMIFS(Оплаты!$B$6:$B$505,Оплаты!$A$6:$A$505,"&lt;"&amp;A1968,Оплаты!$D$6:$D$505,"&lt;&gt;"))</f>
        <v/>
      </c>
      <c r="E1968">
        <f>IF(A1968="","",IF(SUMPRODUCT((Ввод!$F$12:$F$31&lt;&gt;"")*(Ввод!$F$12:$F$31&lt;=A1968)*(Ввод!$G$12:$G$31&gt;=A1968))&gt;0,1,0))</f>
        <v/>
      </c>
      <c r="G1968">
        <f>IF(A1968="","",IF(OR(B1968&lt;&gt;B1967,C1968&lt;&gt;C1967,E1968&lt;&gt;E1967),G1967+1,G1967))</f>
        <v/>
      </c>
    </row>
    <row r="1969">
      <c r="A1969" s="20">
        <f>IF(A1968="","",IF(A1968+1&gt;Ввод!$B$4,"",A1968+1))</f>
        <v/>
      </c>
      <c r="B1969">
        <f>IF(A1969="","",IFERROR(INDEX(Ввод!$B$12:$B$71,MATCH(A1969,Ввод!$D$12:$D$71,1)),""))</f>
        <v/>
      </c>
      <c r="C1969">
        <f>IF(A1969="","",DATE(YEAR(A1969),12,31)-DATE(YEAR(A1969),1,1)+1)</f>
        <v/>
      </c>
      <c r="D1969">
        <f>IF(A1969="","",SUMIFS(Акты!$D$5:$D$16,Акты!$E$5:$E$16,"&lt;="&amp;A1969)-SUMIFS(Оплаты!$B$6:$B$505,Оплаты!$A$6:$A$505,"&lt;"&amp;A1969,Оплаты!$D$6:$D$505,"&lt;&gt;"))</f>
        <v/>
      </c>
      <c r="E1969">
        <f>IF(A1969="","",IF(SUMPRODUCT((Ввод!$F$12:$F$31&lt;&gt;"")*(Ввод!$F$12:$F$31&lt;=A1969)*(Ввод!$G$12:$G$31&gt;=A1969))&gt;0,1,0))</f>
        <v/>
      </c>
      <c r="G1969">
        <f>IF(A1969="","",IF(OR(B1969&lt;&gt;B1968,C1969&lt;&gt;C1968,E1969&lt;&gt;E1968),G1968+1,G1968))</f>
        <v/>
      </c>
    </row>
    <row r="1970">
      <c r="A1970" s="20">
        <f>IF(A1969="","",IF(A1969+1&gt;Ввод!$B$4,"",A1969+1))</f>
        <v/>
      </c>
      <c r="B1970">
        <f>IF(A1970="","",IFERROR(INDEX(Ввод!$B$12:$B$71,MATCH(A1970,Ввод!$D$12:$D$71,1)),""))</f>
        <v/>
      </c>
      <c r="C1970">
        <f>IF(A1970="","",DATE(YEAR(A1970),12,31)-DATE(YEAR(A1970),1,1)+1)</f>
        <v/>
      </c>
      <c r="D1970">
        <f>IF(A1970="","",SUMIFS(Акты!$D$5:$D$16,Акты!$E$5:$E$16,"&lt;="&amp;A1970)-SUMIFS(Оплаты!$B$6:$B$505,Оплаты!$A$6:$A$505,"&lt;"&amp;A1970,Оплаты!$D$6:$D$505,"&lt;&gt;"))</f>
        <v/>
      </c>
      <c r="E1970">
        <f>IF(A1970="","",IF(SUMPRODUCT((Ввод!$F$12:$F$31&lt;&gt;"")*(Ввод!$F$12:$F$31&lt;=A1970)*(Ввод!$G$12:$G$31&gt;=A1970))&gt;0,1,0))</f>
        <v/>
      </c>
      <c r="G1970">
        <f>IF(A1970="","",IF(OR(B1970&lt;&gt;B1969,C1970&lt;&gt;C1969,E1970&lt;&gt;E1969),G1969+1,G1969))</f>
        <v/>
      </c>
    </row>
    <row r="1971">
      <c r="A1971" s="20">
        <f>IF(A1970="","",IF(A1970+1&gt;Ввод!$B$4,"",A1970+1))</f>
        <v/>
      </c>
      <c r="B1971">
        <f>IF(A1971="","",IFERROR(INDEX(Ввод!$B$12:$B$71,MATCH(A1971,Ввод!$D$12:$D$71,1)),""))</f>
        <v/>
      </c>
      <c r="C1971">
        <f>IF(A1971="","",DATE(YEAR(A1971),12,31)-DATE(YEAR(A1971),1,1)+1)</f>
        <v/>
      </c>
      <c r="D1971">
        <f>IF(A1971="","",SUMIFS(Акты!$D$5:$D$16,Акты!$E$5:$E$16,"&lt;="&amp;A1971)-SUMIFS(Оплаты!$B$6:$B$505,Оплаты!$A$6:$A$505,"&lt;"&amp;A1971,Оплаты!$D$6:$D$505,"&lt;&gt;"))</f>
        <v/>
      </c>
      <c r="E1971">
        <f>IF(A1971="","",IF(SUMPRODUCT((Ввод!$F$12:$F$31&lt;&gt;"")*(Ввод!$F$12:$F$31&lt;=A1971)*(Ввод!$G$12:$G$31&gt;=A1971))&gt;0,1,0))</f>
        <v/>
      </c>
      <c r="G1971">
        <f>IF(A1971="","",IF(OR(B1971&lt;&gt;B1970,C1971&lt;&gt;C1970,E1971&lt;&gt;E1970),G1970+1,G1970))</f>
        <v/>
      </c>
    </row>
    <row r="1972">
      <c r="A1972" s="20">
        <f>IF(A1971="","",IF(A1971+1&gt;Ввод!$B$4,"",A1971+1))</f>
        <v/>
      </c>
      <c r="B1972">
        <f>IF(A1972="","",IFERROR(INDEX(Ввод!$B$12:$B$71,MATCH(A1972,Ввод!$D$12:$D$71,1)),""))</f>
        <v/>
      </c>
      <c r="C1972">
        <f>IF(A1972="","",DATE(YEAR(A1972),12,31)-DATE(YEAR(A1972),1,1)+1)</f>
        <v/>
      </c>
      <c r="D1972">
        <f>IF(A1972="","",SUMIFS(Акты!$D$5:$D$16,Акты!$E$5:$E$16,"&lt;="&amp;A1972)-SUMIFS(Оплаты!$B$6:$B$505,Оплаты!$A$6:$A$505,"&lt;"&amp;A1972,Оплаты!$D$6:$D$505,"&lt;&gt;"))</f>
        <v/>
      </c>
      <c r="E1972">
        <f>IF(A1972="","",IF(SUMPRODUCT((Ввод!$F$12:$F$31&lt;&gt;"")*(Ввод!$F$12:$F$31&lt;=A1972)*(Ввод!$G$12:$G$31&gt;=A1972))&gt;0,1,0))</f>
        <v/>
      </c>
      <c r="G1972">
        <f>IF(A1972="","",IF(OR(B1972&lt;&gt;B1971,C1972&lt;&gt;C1971,E1972&lt;&gt;E1971),G1971+1,G1971))</f>
        <v/>
      </c>
    </row>
    <row r="1973">
      <c r="A1973" s="20">
        <f>IF(A1972="","",IF(A1972+1&gt;Ввод!$B$4,"",A1972+1))</f>
        <v/>
      </c>
      <c r="B1973">
        <f>IF(A1973="","",IFERROR(INDEX(Ввод!$B$12:$B$71,MATCH(A1973,Ввод!$D$12:$D$71,1)),""))</f>
        <v/>
      </c>
      <c r="C1973">
        <f>IF(A1973="","",DATE(YEAR(A1973),12,31)-DATE(YEAR(A1973),1,1)+1)</f>
        <v/>
      </c>
      <c r="D1973">
        <f>IF(A1973="","",SUMIFS(Акты!$D$5:$D$16,Акты!$E$5:$E$16,"&lt;="&amp;A1973)-SUMIFS(Оплаты!$B$6:$B$505,Оплаты!$A$6:$A$505,"&lt;"&amp;A1973,Оплаты!$D$6:$D$505,"&lt;&gt;"))</f>
        <v/>
      </c>
      <c r="E1973">
        <f>IF(A1973="","",IF(SUMPRODUCT((Ввод!$F$12:$F$31&lt;&gt;"")*(Ввод!$F$12:$F$31&lt;=A1973)*(Ввод!$G$12:$G$31&gt;=A1973))&gt;0,1,0))</f>
        <v/>
      </c>
      <c r="G1973">
        <f>IF(A1973="","",IF(OR(B1973&lt;&gt;B1972,C1973&lt;&gt;C1972,E1973&lt;&gt;E1972),G1972+1,G1972))</f>
        <v/>
      </c>
    </row>
    <row r="1974">
      <c r="A1974" s="20">
        <f>IF(A1973="","",IF(A1973+1&gt;Ввод!$B$4,"",A1973+1))</f>
        <v/>
      </c>
      <c r="B1974">
        <f>IF(A1974="","",IFERROR(INDEX(Ввод!$B$12:$B$71,MATCH(A1974,Ввод!$D$12:$D$71,1)),""))</f>
        <v/>
      </c>
      <c r="C1974">
        <f>IF(A1974="","",DATE(YEAR(A1974),12,31)-DATE(YEAR(A1974),1,1)+1)</f>
        <v/>
      </c>
      <c r="D1974">
        <f>IF(A1974="","",SUMIFS(Акты!$D$5:$D$16,Акты!$E$5:$E$16,"&lt;="&amp;A1974)-SUMIFS(Оплаты!$B$6:$B$505,Оплаты!$A$6:$A$505,"&lt;"&amp;A1974,Оплаты!$D$6:$D$505,"&lt;&gt;"))</f>
        <v/>
      </c>
      <c r="E1974">
        <f>IF(A1974="","",IF(SUMPRODUCT((Ввод!$F$12:$F$31&lt;&gt;"")*(Ввод!$F$12:$F$31&lt;=A1974)*(Ввод!$G$12:$G$31&gt;=A1974))&gt;0,1,0))</f>
        <v/>
      </c>
      <c r="G1974">
        <f>IF(A1974="","",IF(OR(B1974&lt;&gt;B1973,C1974&lt;&gt;C1973,E1974&lt;&gt;E1973),G1973+1,G1973))</f>
        <v/>
      </c>
    </row>
    <row r="1975">
      <c r="A1975" s="20">
        <f>IF(A1974="","",IF(A1974+1&gt;Ввод!$B$4,"",A1974+1))</f>
        <v/>
      </c>
      <c r="B1975">
        <f>IF(A1975="","",IFERROR(INDEX(Ввод!$B$12:$B$71,MATCH(A1975,Ввод!$D$12:$D$71,1)),""))</f>
        <v/>
      </c>
      <c r="C1975">
        <f>IF(A1975="","",DATE(YEAR(A1975),12,31)-DATE(YEAR(A1975),1,1)+1)</f>
        <v/>
      </c>
      <c r="D1975">
        <f>IF(A1975="","",SUMIFS(Акты!$D$5:$D$16,Акты!$E$5:$E$16,"&lt;="&amp;A1975)-SUMIFS(Оплаты!$B$6:$B$505,Оплаты!$A$6:$A$505,"&lt;"&amp;A1975,Оплаты!$D$6:$D$505,"&lt;&gt;"))</f>
        <v/>
      </c>
      <c r="E1975">
        <f>IF(A1975="","",IF(SUMPRODUCT((Ввод!$F$12:$F$31&lt;&gt;"")*(Ввод!$F$12:$F$31&lt;=A1975)*(Ввод!$G$12:$G$31&gt;=A1975))&gt;0,1,0))</f>
        <v/>
      </c>
      <c r="G1975">
        <f>IF(A1975="","",IF(OR(B1975&lt;&gt;B1974,C1975&lt;&gt;C1974,E1975&lt;&gt;E1974),G1974+1,G1974))</f>
        <v/>
      </c>
    </row>
    <row r="1976">
      <c r="A1976" s="20">
        <f>IF(A1975="","",IF(A1975+1&gt;Ввод!$B$4,"",A1975+1))</f>
        <v/>
      </c>
      <c r="B1976">
        <f>IF(A1976="","",IFERROR(INDEX(Ввод!$B$12:$B$71,MATCH(A1976,Ввод!$D$12:$D$71,1)),""))</f>
        <v/>
      </c>
      <c r="C1976">
        <f>IF(A1976="","",DATE(YEAR(A1976),12,31)-DATE(YEAR(A1976),1,1)+1)</f>
        <v/>
      </c>
      <c r="D1976">
        <f>IF(A1976="","",SUMIFS(Акты!$D$5:$D$16,Акты!$E$5:$E$16,"&lt;="&amp;A1976)-SUMIFS(Оплаты!$B$6:$B$505,Оплаты!$A$6:$A$505,"&lt;"&amp;A1976,Оплаты!$D$6:$D$505,"&lt;&gt;"))</f>
        <v/>
      </c>
      <c r="E1976">
        <f>IF(A1976="","",IF(SUMPRODUCT((Ввод!$F$12:$F$31&lt;&gt;"")*(Ввод!$F$12:$F$31&lt;=A1976)*(Ввод!$G$12:$G$31&gt;=A1976))&gt;0,1,0))</f>
        <v/>
      </c>
      <c r="G1976">
        <f>IF(A1976="","",IF(OR(B1976&lt;&gt;B1975,C1976&lt;&gt;C1975,E1976&lt;&gt;E1975),G1975+1,G1975))</f>
        <v/>
      </c>
    </row>
    <row r="1977">
      <c r="A1977" s="20">
        <f>IF(A1976="","",IF(A1976+1&gt;Ввод!$B$4,"",A1976+1))</f>
        <v/>
      </c>
      <c r="B1977">
        <f>IF(A1977="","",IFERROR(INDEX(Ввод!$B$12:$B$71,MATCH(A1977,Ввод!$D$12:$D$71,1)),""))</f>
        <v/>
      </c>
      <c r="C1977">
        <f>IF(A1977="","",DATE(YEAR(A1977),12,31)-DATE(YEAR(A1977),1,1)+1)</f>
        <v/>
      </c>
      <c r="D1977">
        <f>IF(A1977="","",SUMIFS(Акты!$D$5:$D$16,Акты!$E$5:$E$16,"&lt;="&amp;A1977)-SUMIFS(Оплаты!$B$6:$B$505,Оплаты!$A$6:$A$505,"&lt;"&amp;A1977,Оплаты!$D$6:$D$505,"&lt;&gt;"))</f>
        <v/>
      </c>
      <c r="E1977">
        <f>IF(A1977="","",IF(SUMPRODUCT((Ввод!$F$12:$F$31&lt;&gt;"")*(Ввод!$F$12:$F$31&lt;=A1977)*(Ввод!$G$12:$G$31&gt;=A1977))&gt;0,1,0))</f>
        <v/>
      </c>
      <c r="G1977">
        <f>IF(A1977="","",IF(OR(B1977&lt;&gt;B1976,C1977&lt;&gt;C1976,E1977&lt;&gt;E1976),G1976+1,G1976))</f>
        <v/>
      </c>
    </row>
    <row r="1978">
      <c r="A1978" s="20">
        <f>IF(A1977="","",IF(A1977+1&gt;Ввод!$B$4,"",A1977+1))</f>
        <v/>
      </c>
      <c r="B1978">
        <f>IF(A1978="","",IFERROR(INDEX(Ввод!$B$12:$B$71,MATCH(A1978,Ввод!$D$12:$D$71,1)),""))</f>
        <v/>
      </c>
      <c r="C1978">
        <f>IF(A1978="","",DATE(YEAR(A1978),12,31)-DATE(YEAR(A1978),1,1)+1)</f>
        <v/>
      </c>
      <c r="D1978">
        <f>IF(A1978="","",SUMIFS(Акты!$D$5:$D$16,Акты!$E$5:$E$16,"&lt;="&amp;A1978)-SUMIFS(Оплаты!$B$6:$B$505,Оплаты!$A$6:$A$505,"&lt;"&amp;A1978,Оплаты!$D$6:$D$505,"&lt;&gt;"))</f>
        <v/>
      </c>
      <c r="E1978">
        <f>IF(A1978="","",IF(SUMPRODUCT((Ввод!$F$12:$F$31&lt;&gt;"")*(Ввод!$F$12:$F$31&lt;=A1978)*(Ввод!$G$12:$G$31&gt;=A1978))&gt;0,1,0))</f>
        <v/>
      </c>
      <c r="G1978">
        <f>IF(A1978="","",IF(OR(B1978&lt;&gt;B1977,C1978&lt;&gt;C1977,E1978&lt;&gt;E1977),G1977+1,G1977))</f>
        <v/>
      </c>
    </row>
    <row r="1979">
      <c r="A1979" s="20">
        <f>IF(A1978="","",IF(A1978+1&gt;Ввод!$B$4,"",A1978+1))</f>
        <v/>
      </c>
      <c r="B1979">
        <f>IF(A1979="","",IFERROR(INDEX(Ввод!$B$12:$B$71,MATCH(A1979,Ввод!$D$12:$D$71,1)),""))</f>
        <v/>
      </c>
      <c r="C1979">
        <f>IF(A1979="","",DATE(YEAR(A1979),12,31)-DATE(YEAR(A1979),1,1)+1)</f>
        <v/>
      </c>
      <c r="D1979">
        <f>IF(A1979="","",SUMIFS(Акты!$D$5:$D$16,Акты!$E$5:$E$16,"&lt;="&amp;A1979)-SUMIFS(Оплаты!$B$6:$B$505,Оплаты!$A$6:$A$505,"&lt;"&amp;A1979,Оплаты!$D$6:$D$505,"&lt;&gt;"))</f>
        <v/>
      </c>
      <c r="E1979">
        <f>IF(A1979="","",IF(SUMPRODUCT((Ввод!$F$12:$F$31&lt;&gt;"")*(Ввод!$F$12:$F$31&lt;=A1979)*(Ввод!$G$12:$G$31&gt;=A1979))&gt;0,1,0))</f>
        <v/>
      </c>
      <c r="G1979">
        <f>IF(A1979="","",IF(OR(B1979&lt;&gt;B1978,C1979&lt;&gt;C1978,E1979&lt;&gt;E1978),G1978+1,G1978))</f>
        <v/>
      </c>
    </row>
    <row r="1980">
      <c r="A1980" s="20">
        <f>IF(A1979="","",IF(A1979+1&gt;Ввод!$B$4,"",A1979+1))</f>
        <v/>
      </c>
      <c r="B1980">
        <f>IF(A1980="","",IFERROR(INDEX(Ввод!$B$12:$B$71,MATCH(A1980,Ввод!$D$12:$D$71,1)),""))</f>
        <v/>
      </c>
      <c r="C1980">
        <f>IF(A1980="","",DATE(YEAR(A1980),12,31)-DATE(YEAR(A1980),1,1)+1)</f>
        <v/>
      </c>
      <c r="D1980">
        <f>IF(A1980="","",SUMIFS(Акты!$D$5:$D$16,Акты!$E$5:$E$16,"&lt;="&amp;A1980)-SUMIFS(Оплаты!$B$6:$B$505,Оплаты!$A$6:$A$505,"&lt;"&amp;A1980,Оплаты!$D$6:$D$505,"&lt;&gt;"))</f>
        <v/>
      </c>
      <c r="E1980">
        <f>IF(A1980="","",IF(SUMPRODUCT((Ввод!$F$12:$F$31&lt;&gt;"")*(Ввод!$F$12:$F$31&lt;=A1980)*(Ввод!$G$12:$G$31&gt;=A1980))&gt;0,1,0))</f>
        <v/>
      </c>
      <c r="G1980">
        <f>IF(A1980="","",IF(OR(B1980&lt;&gt;B1979,C1980&lt;&gt;C1979,E1980&lt;&gt;E1979),G1979+1,G1979))</f>
        <v/>
      </c>
    </row>
    <row r="1981">
      <c r="A1981" s="20">
        <f>IF(A1980="","",IF(A1980+1&gt;Ввод!$B$4,"",A1980+1))</f>
        <v/>
      </c>
      <c r="B1981">
        <f>IF(A1981="","",IFERROR(INDEX(Ввод!$B$12:$B$71,MATCH(A1981,Ввод!$D$12:$D$71,1)),""))</f>
        <v/>
      </c>
      <c r="C1981">
        <f>IF(A1981="","",DATE(YEAR(A1981),12,31)-DATE(YEAR(A1981),1,1)+1)</f>
        <v/>
      </c>
      <c r="D1981">
        <f>IF(A1981="","",SUMIFS(Акты!$D$5:$D$16,Акты!$E$5:$E$16,"&lt;="&amp;A1981)-SUMIFS(Оплаты!$B$6:$B$505,Оплаты!$A$6:$A$505,"&lt;"&amp;A1981,Оплаты!$D$6:$D$505,"&lt;&gt;"))</f>
        <v/>
      </c>
      <c r="E1981">
        <f>IF(A1981="","",IF(SUMPRODUCT((Ввод!$F$12:$F$31&lt;&gt;"")*(Ввод!$F$12:$F$31&lt;=A1981)*(Ввод!$G$12:$G$31&gt;=A1981))&gt;0,1,0))</f>
        <v/>
      </c>
      <c r="G1981">
        <f>IF(A1981="","",IF(OR(B1981&lt;&gt;B1980,C1981&lt;&gt;C1980,E1981&lt;&gt;E1980),G1980+1,G1980))</f>
        <v/>
      </c>
    </row>
    <row r="1982">
      <c r="A1982" s="20">
        <f>IF(A1981="","",IF(A1981+1&gt;Ввод!$B$4,"",A1981+1))</f>
        <v/>
      </c>
      <c r="B1982">
        <f>IF(A1982="","",IFERROR(INDEX(Ввод!$B$12:$B$71,MATCH(A1982,Ввод!$D$12:$D$71,1)),""))</f>
        <v/>
      </c>
      <c r="C1982">
        <f>IF(A1982="","",DATE(YEAR(A1982),12,31)-DATE(YEAR(A1982),1,1)+1)</f>
        <v/>
      </c>
      <c r="D1982">
        <f>IF(A1982="","",SUMIFS(Акты!$D$5:$D$16,Акты!$E$5:$E$16,"&lt;="&amp;A1982)-SUMIFS(Оплаты!$B$6:$B$505,Оплаты!$A$6:$A$505,"&lt;"&amp;A1982,Оплаты!$D$6:$D$505,"&lt;&gt;"))</f>
        <v/>
      </c>
      <c r="E1982">
        <f>IF(A1982="","",IF(SUMPRODUCT((Ввод!$F$12:$F$31&lt;&gt;"")*(Ввод!$F$12:$F$31&lt;=A1982)*(Ввод!$G$12:$G$31&gt;=A1982))&gt;0,1,0))</f>
        <v/>
      </c>
      <c r="G1982">
        <f>IF(A1982="","",IF(OR(B1982&lt;&gt;B1981,C1982&lt;&gt;C1981,E1982&lt;&gt;E1981),G1981+1,G1981))</f>
        <v/>
      </c>
    </row>
    <row r="1983">
      <c r="A1983" s="20">
        <f>IF(A1982="","",IF(A1982+1&gt;Ввод!$B$4,"",A1982+1))</f>
        <v/>
      </c>
      <c r="B1983">
        <f>IF(A1983="","",IFERROR(INDEX(Ввод!$B$12:$B$71,MATCH(A1983,Ввод!$D$12:$D$71,1)),""))</f>
        <v/>
      </c>
      <c r="C1983">
        <f>IF(A1983="","",DATE(YEAR(A1983),12,31)-DATE(YEAR(A1983),1,1)+1)</f>
        <v/>
      </c>
      <c r="D1983">
        <f>IF(A1983="","",SUMIFS(Акты!$D$5:$D$16,Акты!$E$5:$E$16,"&lt;="&amp;A1983)-SUMIFS(Оплаты!$B$6:$B$505,Оплаты!$A$6:$A$505,"&lt;"&amp;A1983,Оплаты!$D$6:$D$505,"&lt;&gt;"))</f>
        <v/>
      </c>
      <c r="E1983">
        <f>IF(A1983="","",IF(SUMPRODUCT((Ввод!$F$12:$F$31&lt;&gt;"")*(Ввод!$F$12:$F$31&lt;=A1983)*(Ввод!$G$12:$G$31&gt;=A1983))&gt;0,1,0))</f>
        <v/>
      </c>
      <c r="G1983">
        <f>IF(A1983="","",IF(OR(B1983&lt;&gt;B1982,C1983&lt;&gt;C1982,E1983&lt;&gt;E1982),G1982+1,G1982))</f>
        <v/>
      </c>
    </row>
    <row r="1984">
      <c r="A1984" s="20">
        <f>IF(A1983="","",IF(A1983+1&gt;Ввод!$B$4,"",A1983+1))</f>
        <v/>
      </c>
      <c r="B1984">
        <f>IF(A1984="","",IFERROR(INDEX(Ввод!$B$12:$B$71,MATCH(A1984,Ввод!$D$12:$D$71,1)),""))</f>
        <v/>
      </c>
      <c r="C1984">
        <f>IF(A1984="","",DATE(YEAR(A1984),12,31)-DATE(YEAR(A1984),1,1)+1)</f>
        <v/>
      </c>
      <c r="D1984">
        <f>IF(A1984="","",SUMIFS(Акты!$D$5:$D$16,Акты!$E$5:$E$16,"&lt;="&amp;A1984)-SUMIFS(Оплаты!$B$6:$B$505,Оплаты!$A$6:$A$505,"&lt;"&amp;A1984,Оплаты!$D$6:$D$505,"&lt;&gt;"))</f>
        <v/>
      </c>
      <c r="E1984">
        <f>IF(A1984="","",IF(SUMPRODUCT((Ввод!$F$12:$F$31&lt;&gt;"")*(Ввод!$F$12:$F$31&lt;=A1984)*(Ввод!$G$12:$G$31&gt;=A1984))&gt;0,1,0))</f>
        <v/>
      </c>
      <c r="G1984">
        <f>IF(A1984="","",IF(OR(B1984&lt;&gt;B1983,C1984&lt;&gt;C1983,E1984&lt;&gt;E1983),G1983+1,G1983))</f>
        <v/>
      </c>
    </row>
    <row r="1985">
      <c r="A1985" s="20">
        <f>IF(A1984="","",IF(A1984+1&gt;Ввод!$B$4,"",A1984+1))</f>
        <v/>
      </c>
      <c r="B1985">
        <f>IF(A1985="","",IFERROR(INDEX(Ввод!$B$12:$B$71,MATCH(A1985,Ввод!$D$12:$D$71,1)),""))</f>
        <v/>
      </c>
      <c r="C1985">
        <f>IF(A1985="","",DATE(YEAR(A1985),12,31)-DATE(YEAR(A1985),1,1)+1)</f>
        <v/>
      </c>
      <c r="D1985">
        <f>IF(A1985="","",SUMIFS(Акты!$D$5:$D$16,Акты!$E$5:$E$16,"&lt;="&amp;A1985)-SUMIFS(Оплаты!$B$6:$B$505,Оплаты!$A$6:$A$505,"&lt;"&amp;A1985,Оплаты!$D$6:$D$505,"&lt;&gt;"))</f>
        <v/>
      </c>
      <c r="E1985">
        <f>IF(A1985="","",IF(SUMPRODUCT((Ввод!$F$12:$F$31&lt;&gt;"")*(Ввод!$F$12:$F$31&lt;=A1985)*(Ввод!$G$12:$G$31&gt;=A1985))&gt;0,1,0))</f>
        <v/>
      </c>
      <c r="G1985">
        <f>IF(A1985="","",IF(OR(B1985&lt;&gt;B1984,C1985&lt;&gt;C1984,E1985&lt;&gt;E1984),G1984+1,G1984))</f>
        <v/>
      </c>
    </row>
    <row r="1986">
      <c r="A1986" s="20">
        <f>IF(A1985="","",IF(A1985+1&gt;Ввод!$B$4,"",A1985+1))</f>
        <v/>
      </c>
      <c r="B1986">
        <f>IF(A1986="","",IFERROR(INDEX(Ввод!$B$12:$B$71,MATCH(A1986,Ввод!$D$12:$D$71,1)),""))</f>
        <v/>
      </c>
      <c r="C1986">
        <f>IF(A1986="","",DATE(YEAR(A1986),12,31)-DATE(YEAR(A1986),1,1)+1)</f>
        <v/>
      </c>
      <c r="D1986">
        <f>IF(A1986="","",SUMIFS(Акты!$D$5:$D$16,Акты!$E$5:$E$16,"&lt;="&amp;A1986)-SUMIFS(Оплаты!$B$6:$B$505,Оплаты!$A$6:$A$505,"&lt;"&amp;A1986,Оплаты!$D$6:$D$505,"&lt;&gt;"))</f>
        <v/>
      </c>
      <c r="E1986">
        <f>IF(A1986="","",IF(SUMPRODUCT((Ввод!$F$12:$F$31&lt;&gt;"")*(Ввод!$F$12:$F$31&lt;=A1986)*(Ввод!$G$12:$G$31&gt;=A1986))&gt;0,1,0))</f>
        <v/>
      </c>
      <c r="G1986">
        <f>IF(A1986="","",IF(OR(B1986&lt;&gt;B1985,C1986&lt;&gt;C1985,E1986&lt;&gt;E1985),G1985+1,G1985))</f>
        <v/>
      </c>
    </row>
    <row r="1987">
      <c r="A1987" s="20">
        <f>IF(A1986="","",IF(A1986+1&gt;Ввод!$B$4,"",A1986+1))</f>
        <v/>
      </c>
      <c r="B1987">
        <f>IF(A1987="","",IFERROR(INDEX(Ввод!$B$12:$B$71,MATCH(A1987,Ввод!$D$12:$D$71,1)),""))</f>
        <v/>
      </c>
      <c r="C1987">
        <f>IF(A1987="","",DATE(YEAR(A1987),12,31)-DATE(YEAR(A1987),1,1)+1)</f>
        <v/>
      </c>
      <c r="D1987">
        <f>IF(A1987="","",SUMIFS(Акты!$D$5:$D$16,Акты!$E$5:$E$16,"&lt;="&amp;A1987)-SUMIFS(Оплаты!$B$6:$B$505,Оплаты!$A$6:$A$505,"&lt;"&amp;A1987,Оплаты!$D$6:$D$505,"&lt;&gt;"))</f>
        <v/>
      </c>
      <c r="E1987">
        <f>IF(A1987="","",IF(SUMPRODUCT((Ввод!$F$12:$F$31&lt;&gt;"")*(Ввод!$F$12:$F$31&lt;=A1987)*(Ввод!$G$12:$G$31&gt;=A1987))&gt;0,1,0))</f>
        <v/>
      </c>
      <c r="G1987">
        <f>IF(A1987="","",IF(OR(B1987&lt;&gt;B1986,C1987&lt;&gt;C1986,E1987&lt;&gt;E1986),G1986+1,G1986))</f>
        <v/>
      </c>
    </row>
    <row r="1988">
      <c r="A1988" s="20">
        <f>IF(A1987="","",IF(A1987+1&gt;Ввод!$B$4,"",A1987+1))</f>
        <v/>
      </c>
      <c r="B1988">
        <f>IF(A1988="","",IFERROR(INDEX(Ввод!$B$12:$B$71,MATCH(A1988,Ввод!$D$12:$D$71,1)),""))</f>
        <v/>
      </c>
      <c r="C1988">
        <f>IF(A1988="","",DATE(YEAR(A1988),12,31)-DATE(YEAR(A1988),1,1)+1)</f>
        <v/>
      </c>
      <c r="D1988">
        <f>IF(A1988="","",SUMIFS(Акты!$D$5:$D$16,Акты!$E$5:$E$16,"&lt;="&amp;A1988)-SUMIFS(Оплаты!$B$6:$B$505,Оплаты!$A$6:$A$505,"&lt;"&amp;A1988,Оплаты!$D$6:$D$505,"&lt;&gt;"))</f>
        <v/>
      </c>
      <c r="E1988">
        <f>IF(A1988="","",IF(SUMPRODUCT((Ввод!$F$12:$F$31&lt;&gt;"")*(Ввод!$F$12:$F$31&lt;=A1988)*(Ввод!$G$12:$G$31&gt;=A1988))&gt;0,1,0))</f>
        <v/>
      </c>
      <c r="G1988">
        <f>IF(A1988="","",IF(OR(B1988&lt;&gt;B1987,C1988&lt;&gt;C1987,E1988&lt;&gt;E1987),G1987+1,G1987))</f>
        <v/>
      </c>
    </row>
    <row r="1989">
      <c r="A1989" s="20">
        <f>IF(A1988="","",IF(A1988+1&gt;Ввод!$B$4,"",A1988+1))</f>
        <v/>
      </c>
      <c r="B1989">
        <f>IF(A1989="","",IFERROR(INDEX(Ввод!$B$12:$B$71,MATCH(A1989,Ввод!$D$12:$D$71,1)),""))</f>
        <v/>
      </c>
      <c r="C1989">
        <f>IF(A1989="","",DATE(YEAR(A1989),12,31)-DATE(YEAR(A1989),1,1)+1)</f>
        <v/>
      </c>
      <c r="D1989">
        <f>IF(A1989="","",SUMIFS(Акты!$D$5:$D$16,Акты!$E$5:$E$16,"&lt;="&amp;A1989)-SUMIFS(Оплаты!$B$6:$B$505,Оплаты!$A$6:$A$505,"&lt;"&amp;A1989,Оплаты!$D$6:$D$505,"&lt;&gt;"))</f>
        <v/>
      </c>
      <c r="E1989">
        <f>IF(A1989="","",IF(SUMPRODUCT((Ввод!$F$12:$F$31&lt;&gt;"")*(Ввод!$F$12:$F$31&lt;=A1989)*(Ввод!$G$12:$G$31&gt;=A1989))&gt;0,1,0))</f>
        <v/>
      </c>
      <c r="G1989">
        <f>IF(A1989="","",IF(OR(B1989&lt;&gt;B1988,C1989&lt;&gt;C1988,E1989&lt;&gt;E1988),G1988+1,G1988))</f>
        <v/>
      </c>
    </row>
    <row r="1990">
      <c r="A1990" s="20">
        <f>IF(A1989="","",IF(A1989+1&gt;Ввод!$B$4,"",A1989+1))</f>
        <v/>
      </c>
      <c r="B1990">
        <f>IF(A1990="","",IFERROR(INDEX(Ввод!$B$12:$B$71,MATCH(A1990,Ввод!$D$12:$D$71,1)),""))</f>
        <v/>
      </c>
      <c r="C1990">
        <f>IF(A1990="","",DATE(YEAR(A1990),12,31)-DATE(YEAR(A1990),1,1)+1)</f>
        <v/>
      </c>
      <c r="D1990">
        <f>IF(A1990="","",SUMIFS(Акты!$D$5:$D$16,Акты!$E$5:$E$16,"&lt;="&amp;A1990)-SUMIFS(Оплаты!$B$6:$B$505,Оплаты!$A$6:$A$505,"&lt;"&amp;A1990,Оплаты!$D$6:$D$505,"&lt;&gt;"))</f>
        <v/>
      </c>
      <c r="E1990">
        <f>IF(A1990="","",IF(SUMPRODUCT((Ввод!$F$12:$F$31&lt;&gt;"")*(Ввод!$F$12:$F$31&lt;=A1990)*(Ввод!$G$12:$G$31&gt;=A1990))&gt;0,1,0))</f>
        <v/>
      </c>
      <c r="G1990">
        <f>IF(A1990="","",IF(OR(B1990&lt;&gt;B1989,C1990&lt;&gt;C1989,E1990&lt;&gt;E1989),G1989+1,G1989))</f>
        <v/>
      </c>
    </row>
    <row r="1991">
      <c r="A1991" s="20">
        <f>IF(A1990="","",IF(A1990+1&gt;Ввод!$B$4,"",A1990+1))</f>
        <v/>
      </c>
      <c r="B1991">
        <f>IF(A1991="","",IFERROR(INDEX(Ввод!$B$12:$B$71,MATCH(A1991,Ввод!$D$12:$D$71,1)),""))</f>
        <v/>
      </c>
      <c r="C1991">
        <f>IF(A1991="","",DATE(YEAR(A1991),12,31)-DATE(YEAR(A1991),1,1)+1)</f>
        <v/>
      </c>
      <c r="D1991">
        <f>IF(A1991="","",SUMIFS(Акты!$D$5:$D$16,Акты!$E$5:$E$16,"&lt;="&amp;A1991)-SUMIFS(Оплаты!$B$6:$B$505,Оплаты!$A$6:$A$505,"&lt;"&amp;A1991,Оплаты!$D$6:$D$505,"&lt;&gt;"))</f>
        <v/>
      </c>
      <c r="E1991">
        <f>IF(A1991="","",IF(SUMPRODUCT((Ввод!$F$12:$F$31&lt;&gt;"")*(Ввод!$F$12:$F$31&lt;=A1991)*(Ввод!$G$12:$G$31&gt;=A1991))&gt;0,1,0))</f>
        <v/>
      </c>
      <c r="G1991">
        <f>IF(A1991="","",IF(OR(B1991&lt;&gt;B1990,C1991&lt;&gt;C1990,E1991&lt;&gt;E1990),G1990+1,G1990))</f>
        <v/>
      </c>
    </row>
    <row r="1992">
      <c r="A1992" s="20">
        <f>IF(A1991="","",IF(A1991+1&gt;Ввод!$B$4,"",A1991+1))</f>
        <v/>
      </c>
      <c r="B1992">
        <f>IF(A1992="","",IFERROR(INDEX(Ввод!$B$12:$B$71,MATCH(A1992,Ввод!$D$12:$D$71,1)),""))</f>
        <v/>
      </c>
      <c r="C1992">
        <f>IF(A1992="","",DATE(YEAR(A1992),12,31)-DATE(YEAR(A1992),1,1)+1)</f>
        <v/>
      </c>
      <c r="D1992">
        <f>IF(A1992="","",SUMIFS(Акты!$D$5:$D$16,Акты!$E$5:$E$16,"&lt;="&amp;A1992)-SUMIFS(Оплаты!$B$6:$B$505,Оплаты!$A$6:$A$505,"&lt;"&amp;A1992,Оплаты!$D$6:$D$505,"&lt;&gt;"))</f>
        <v/>
      </c>
      <c r="E1992">
        <f>IF(A1992="","",IF(SUMPRODUCT((Ввод!$F$12:$F$31&lt;&gt;"")*(Ввод!$F$12:$F$31&lt;=A1992)*(Ввод!$G$12:$G$31&gt;=A1992))&gt;0,1,0))</f>
        <v/>
      </c>
      <c r="G1992">
        <f>IF(A1992="","",IF(OR(B1992&lt;&gt;B1991,C1992&lt;&gt;C1991,E1992&lt;&gt;E1991),G1991+1,G1991))</f>
        <v/>
      </c>
    </row>
    <row r="1993">
      <c r="A1993" s="20">
        <f>IF(A1992="","",IF(A1992+1&gt;Ввод!$B$4,"",A1992+1))</f>
        <v/>
      </c>
      <c r="B1993">
        <f>IF(A1993="","",IFERROR(INDEX(Ввод!$B$12:$B$71,MATCH(A1993,Ввод!$D$12:$D$71,1)),""))</f>
        <v/>
      </c>
      <c r="C1993">
        <f>IF(A1993="","",DATE(YEAR(A1993),12,31)-DATE(YEAR(A1993),1,1)+1)</f>
        <v/>
      </c>
      <c r="D1993">
        <f>IF(A1993="","",SUMIFS(Акты!$D$5:$D$16,Акты!$E$5:$E$16,"&lt;="&amp;A1993)-SUMIFS(Оплаты!$B$6:$B$505,Оплаты!$A$6:$A$505,"&lt;"&amp;A1993,Оплаты!$D$6:$D$505,"&lt;&gt;"))</f>
        <v/>
      </c>
      <c r="E1993">
        <f>IF(A1993="","",IF(SUMPRODUCT((Ввод!$F$12:$F$31&lt;&gt;"")*(Ввод!$F$12:$F$31&lt;=A1993)*(Ввод!$G$12:$G$31&gt;=A1993))&gt;0,1,0))</f>
        <v/>
      </c>
      <c r="G1993">
        <f>IF(A1993="","",IF(OR(B1993&lt;&gt;B1992,C1993&lt;&gt;C1992,E1993&lt;&gt;E1992),G1992+1,G1992))</f>
        <v/>
      </c>
    </row>
    <row r="1994">
      <c r="A1994" s="20">
        <f>IF(A1993="","",IF(A1993+1&gt;Ввод!$B$4,"",A1993+1))</f>
        <v/>
      </c>
      <c r="B1994">
        <f>IF(A1994="","",IFERROR(INDEX(Ввод!$B$12:$B$71,MATCH(A1994,Ввод!$D$12:$D$71,1)),""))</f>
        <v/>
      </c>
      <c r="C1994">
        <f>IF(A1994="","",DATE(YEAR(A1994),12,31)-DATE(YEAR(A1994),1,1)+1)</f>
        <v/>
      </c>
      <c r="D1994">
        <f>IF(A1994="","",SUMIFS(Акты!$D$5:$D$16,Акты!$E$5:$E$16,"&lt;="&amp;A1994)-SUMIFS(Оплаты!$B$6:$B$505,Оплаты!$A$6:$A$505,"&lt;"&amp;A1994,Оплаты!$D$6:$D$505,"&lt;&gt;"))</f>
        <v/>
      </c>
      <c r="E1994">
        <f>IF(A1994="","",IF(SUMPRODUCT((Ввод!$F$12:$F$31&lt;&gt;"")*(Ввод!$F$12:$F$31&lt;=A1994)*(Ввод!$G$12:$G$31&gt;=A1994))&gt;0,1,0))</f>
        <v/>
      </c>
      <c r="G1994">
        <f>IF(A1994="","",IF(OR(B1994&lt;&gt;B1993,C1994&lt;&gt;C1993,E1994&lt;&gt;E1993),G1993+1,G1993))</f>
        <v/>
      </c>
    </row>
    <row r="1995">
      <c r="A1995" s="20">
        <f>IF(A1994="","",IF(A1994+1&gt;Ввод!$B$4,"",A1994+1))</f>
        <v/>
      </c>
      <c r="B1995">
        <f>IF(A1995="","",IFERROR(INDEX(Ввод!$B$12:$B$71,MATCH(A1995,Ввод!$D$12:$D$71,1)),""))</f>
        <v/>
      </c>
      <c r="C1995">
        <f>IF(A1995="","",DATE(YEAR(A1995),12,31)-DATE(YEAR(A1995),1,1)+1)</f>
        <v/>
      </c>
      <c r="D1995">
        <f>IF(A1995="","",SUMIFS(Акты!$D$5:$D$16,Акты!$E$5:$E$16,"&lt;="&amp;A1995)-SUMIFS(Оплаты!$B$6:$B$505,Оплаты!$A$6:$A$505,"&lt;"&amp;A1995,Оплаты!$D$6:$D$505,"&lt;&gt;"))</f>
        <v/>
      </c>
      <c r="E1995">
        <f>IF(A1995="","",IF(SUMPRODUCT((Ввод!$F$12:$F$31&lt;&gt;"")*(Ввод!$F$12:$F$31&lt;=A1995)*(Ввод!$G$12:$G$31&gt;=A1995))&gt;0,1,0))</f>
        <v/>
      </c>
      <c r="G1995">
        <f>IF(A1995="","",IF(OR(B1995&lt;&gt;B1994,C1995&lt;&gt;C1994,E1995&lt;&gt;E1994),G1994+1,G1994))</f>
        <v/>
      </c>
    </row>
    <row r="1996">
      <c r="A1996" s="20">
        <f>IF(A1995="","",IF(A1995+1&gt;Ввод!$B$4,"",A1995+1))</f>
        <v/>
      </c>
      <c r="B1996">
        <f>IF(A1996="","",IFERROR(INDEX(Ввод!$B$12:$B$71,MATCH(A1996,Ввод!$D$12:$D$71,1)),""))</f>
        <v/>
      </c>
      <c r="C1996">
        <f>IF(A1996="","",DATE(YEAR(A1996),12,31)-DATE(YEAR(A1996),1,1)+1)</f>
        <v/>
      </c>
      <c r="D1996">
        <f>IF(A1996="","",SUMIFS(Акты!$D$5:$D$16,Акты!$E$5:$E$16,"&lt;="&amp;A1996)-SUMIFS(Оплаты!$B$6:$B$505,Оплаты!$A$6:$A$505,"&lt;"&amp;A1996,Оплаты!$D$6:$D$505,"&lt;&gt;"))</f>
        <v/>
      </c>
      <c r="E1996">
        <f>IF(A1996="","",IF(SUMPRODUCT((Ввод!$F$12:$F$31&lt;&gt;"")*(Ввод!$F$12:$F$31&lt;=A1996)*(Ввод!$G$12:$G$31&gt;=A1996))&gt;0,1,0))</f>
        <v/>
      </c>
      <c r="G1996">
        <f>IF(A1996="","",IF(OR(B1996&lt;&gt;B1995,C1996&lt;&gt;C1995,E1996&lt;&gt;E1995),G1995+1,G1995))</f>
        <v/>
      </c>
    </row>
    <row r="1997">
      <c r="A1997" s="20">
        <f>IF(A1996="","",IF(A1996+1&gt;Ввод!$B$4,"",A1996+1))</f>
        <v/>
      </c>
      <c r="B1997">
        <f>IF(A1997="","",IFERROR(INDEX(Ввод!$B$12:$B$71,MATCH(A1997,Ввод!$D$12:$D$71,1)),""))</f>
        <v/>
      </c>
      <c r="C1997">
        <f>IF(A1997="","",DATE(YEAR(A1997),12,31)-DATE(YEAR(A1997),1,1)+1)</f>
        <v/>
      </c>
      <c r="D1997">
        <f>IF(A1997="","",SUMIFS(Акты!$D$5:$D$16,Акты!$E$5:$E$16,"&lt;="&amp;A1997)-SUMIFS(Оплаты!$B$6:$B$505,Оплаты!$A$6:$A$505,"&lt;"&amp;A1997,Оплаты!$D$6:$D$505,"&lt;&gt;"))</f>
        <v/>
      </c>
      <c r="E1997">
        <f>IF(A1997="","",IF(SUMPRODUCT((Ввод!$F$12:$F$31&lt;&gt;"")*(Ввод!$F$12:$F$31&lt;=A1997)*(Ввод!$G$12:$G$31&gt;=A1997))&gt;0,1,0))</f>
        <v/>
      </c>
      <c r="G1997">
        <f>IF(A1997="","",IF(OR(B1997&lt;&gt;B1996,C1997&lt;&gt;C1996,E1997&lt;&gt;E1996),G1996+1,G1996))</f>
        <v/>
      </c>
    </row>
    <row r="1998">
      <c r="A1998" s="20">
        <f>IF(A1997="","",IF(A1997+1&gt;Ввод!$B$4,"",A1997+1))</f>
        <v/>
      </c>
      <c r="B1998">
        <f>IF(A1998="","",IFERROR(INDEX(Ввод!$B$12:$B$71,MATCH(A1998,Ввод!$D$12:$D$71,1)),""))</f>
        <v/>
      </c>
      <c r="C1998">
        <f>IF(A1998="","",DATE(YEAR(A1998),12,31)-DATE(YEAR(A1998),1,1)+1)</f>
        <v/>
      </c>
      <c r="D1998">
        <f>IF(A1998="","",SUMIFS(Акты!$D$5:$D$16,Акты!$E$5:$E$16,"&lt;="&amp;A1998)-SUMIFS(Оплаты!$B$6:$B$505,Оплаты!$A$6:$A$505,"&lt;"&amp;A1998,Оплаты!$D$6:$D$505,"&lt;&gt;"))</f>
        <v/>
      </c>
      <c r="E1998">
        <f>IF(A1998="","",IF(SUMPRODUCT((Ввод!$F$12:$F$31&lt;&gt;"")*(Ввод!$F$12:$F$31&lt;=A1998)*(Ввод!$G$12:$G$31&gt;=A1998))&gt;0,1,0))</f>
        <v/>
      </c>
      <c r="G1998">
        <f>IF(A1998="","",IF(OR(B1998&lt;&gt;B1997,C1998&lt;&gt;C1997,E1998&lt;&gt;E1997),G1997+1,G1997))</f>
        <v/>
      </c>
    </row>
    <row r="1999">
      <c r="A1999" s="20">
        <f>IF(A1998="","",IF(A1998+1&gt;Ввод!$B$4,"",A1998+1))</f>
        <v/>
      </c>
      <c r="B1999">
        <f>IF(A1999="","",IFERROR(INDEX(Ввод!$B$12:$B$71,MATCH(A1999,Ввод!$D$12:$D$71,1)),""))</f>
        <v/>
      </c>
      <c r="C1999">
        <f>IF(A1999="","",DATE(YEAR(A1999),12,31)-DATE(YEAR(A1999),1,1)+1)</f>
        <v/>
      </c>
      <c r="D1999">
        <f>IF(A1999="","",SUMIFS(Акты!$D$5:$D$16,Акты!$E$5:$E$16,"&lt;="&amp;A1999)-SUMIFS(Оплаты!$B$6:$B$505,Оплаты!$A$6:$A$505,"&lt;"&amp;A1999,Оплаты!$D$6:$D$505,"&lt;&gt;"))</f>
        <v/>
      </c>
      <c r="E1999">
        <f>IF(A1999="","",IF(SUMPRODUCT((Ввод!$F$12:$F$31&lt;&gt;"")*(Ввод!$F$12:$F$31&lt;=A1999)*(Ввод!$G$12:$G$31&gt;=A1999))&gt;0,1,0))</f>
        <v/>
      </c>
      <c r="G1999">
        <f>IF(A1999="","",IF(OR(B1999&lt;&gt;B1998,C1999&lt;&gt;C1998,E1999&lt;&gt;E1998),G1998+1,G1998))</f>
        <v/>
      </c>
    </row>
    <row r="2000">
      <c r="A2000" s="20">
        <f>IF(A1999="","",IF(A1999+1&gt;Ввод!$B$4,"",A1999+1))</f>
        <v/>
      </c>
      <c r="B2000">
        <f>IF(A2000="","",IFERROR(INDEX(Ввод!$B$12:$B$71,MATCH(A2000,Ввод!$D$12:$D$71,1)),""))</f>
        <v/>
      </c>
      <c r="C2000">
        <f>IF(A2000="","",DATE(YEAR(A2000),12,31)-DATE(YEAR(A2000),1,1)+1)</f>
        <v/>
      </c>
      <c r="D2000">
        <f>IF(A2000="","",SUMIFS(Акты!$D$5:$D$16,Акты!$E$5:$E$16,"&lt;="&amp;A2000)-SUMIFS(Оплаты!$B$6:$B$505,Оплаты!$A$6:$A$505,"&lt;"&amp;A2000,Оплаты!$D$6:$D$505,"&lt;&gt;"))</f>
        <v/>
      </c>
      <c r="E2000">
        <f>IF(A2000="","",IF(SUMPRODUCT((Ввод!$F$12:$F$31&lt;&gt;"")*(Ввод!$F$12:$F$31&lt;=A2000)*(Ввод!$G$12:$G$31&gt;=A2000))&gt;0,1,0))</f>
        <v/>
      </c>
      <c r="G2000">
        <f>IF(A2000="","",IF(OR(B2000&lt;&gt;B1999,C2000&lt;&gt;C1999,E2000&lt;&gt;E1999),G1999+1,G1999))</f>
        <v/>
      </c>
    </row>
    <row r="2001">
      <c r="A2001" s="20">
        <f>IF(A2000="","",IF(A2000+1&gt;Ввод!$B$4,"",A2000+1))</f>
        <v/>
      </c>
      <c r="B2001">
        <f>IF(A2001="","",IFERROR(INDEX(Ввод!$B$12:$B$71,MATCH(A2001,Ввод!$D$12:$D$71,1)),""))</f>
        <v/>
      </c>
      <c r="C2001">
        <f>IF(A2001="","",DATE(YEAR(A2001),12,31)-DATE(YEAR(A2001),1,1)+1)</f>
        <v/>
      </c>
      <c r="D2001">
        <f>IF(A2001="","",SUMIFS(Акты!$D$5:$D$16,Акты!$E$5:$E$16,"&lt;="&amp;A2001)-SUMIFS(Оплаты!$B$6:$B$505,Оплаты!$A$6:$A$505,"&lt;"&amp;A2001,Оплаты!$D$6:$D$505,"&lt;&gt;"))</f>
        <v/>
      </c>
      <c r="E2001">
        <f>IF(A2001="","",IF(SUMPRODUCT((Ввод!$F$12:$F$31&lt;&gt;"")*(Ввод!$F$12:$F$31&lt;=A2001)*(Ввод!$G$12:$G$31&gt;=A2001))&gt;0,1,0))</f>
        <v/>
      </c>
      <c r="G2001">
        <f>IF(A2001="","",IF(OR(B2001&lt;&gt;B2000,C2001&lt;&gt;C2000,E2001&lt;&gt;E2000),G2000+1,G2000))</f>
        <v/>
      </c>
    </row>
    <row r="2002">
      <c r="A2002" s="20">
        <f>IF(A2001="","",IF(A2001+1&gt;Ввод!$B$4,"",A2001+1))</f>
        <v/>
      </c>
      <c r="B2002">
        <f>IF(A2002="","",IFERROR(INDEX(Ввод!$B$12:$B$71,MATCH(A2002,Ввод!$D$12:$D$71,1)),""))</f>
        <v/>
      </c>
      <c r="C2002">
        <f>IF(A2002="","",DATE(YEAR(A2002),12,31)-DATE(YEAR(A2002),1,1)+1)</f>
        <v/>
      </c>
      <c r="D2002">
        <f>IF(A2002="","",SUMIFS(Акты!$D$5:$D$16,Акты!$E$5:$E$16,"&lt;="&amp;A2002)-SUMIFS(Оплаты!$B$6:$B$505,Оплаты!$A$6:$A$505,"&lt;"&amp;A2002,Оплаты!$D$6:$D$505,"&lt;&gt;"))</f>
        <v/>
      </c>
      <c r="E2002">
        <f>IF(A2002="","",IF(SUMPRODUCT((Ввод!$F$12:$F$31&lt;&gt;"")*(Ввод!$F$12:$F$31&lt;=A2002)*(Ввод!$G$12:$G$31&gt;=A2002))&gt;0,1,0))</f>
        <v/>
      </c>
      <c r="G2002">
        <f>IF(A2002="","",IF(OR(B2002&lt;&gt;B2001,C2002&lt;&gt;C2001,E2002&lt;&gt;E2001),G2001+1,G2001))</f>
        <v/>
      </c>
    </row>
    <row r="2003">
      <c r="A2003" s="20">
        <f>IF(A2002="","",IF(A2002+1&gt;Ввод!$B$4,"",A2002+1))</f>
        <v/>
      </c>
      <c r="B2003">
        <f>IF(A2003="","",IFERROR(INDEX(Ввод!$B$12:$B$71,MATCH(A2003,Ввод!$D$12:$D$71,1)),""))</f>
        <v/>
      </c>
      <c r="C2003">
        <f>IF(A2003="","",DATE(YEAR(A2003),12,31)-DATE(YEAR(A2003),1,1)+1)</f>
        <v/>
      </c>
      <c r="D2003">
        <f>IF(A2003="","",SUMIFS(Акты!$D$5:$D$16,Акты!$E$5:$E$16,"&lt;="&amp;A2003)-SUMIFS(Оплаты!$B$6:$B$505,Оплаты!$A$6:$A$505,"&lt;"&amp;A2003,Оплаты!$D$6:$D$505,"&lt;&gt;"))</f>
        <v/>
      </c>
      <c r="E2003">
        <f>IF(A2003="","",IF(SUMPRODUCT((Ввод!$F$12:$F$31&lt;&gt;"")*(Ввод!$F$12:$F$31&lt;=A2003)*(Ввод!$G$12:$G$31&gt;=A2003))&gt;0,1,0))</f>
        <v/>
      </c>
      <c r="G2003">
        <f>IF(A2003="","",IF(OR(B2003&lt;&gt;B2002,C2003&lt;&gt;C2002,E2003&lt;&gt;E2002),G2002+1,G2002))</f>
        <v/>
      </c>
    </row>
    <row r="2004">
      <c r="A2004" s="20">
        <f>IF(A2003="","",IF(A2003+1&gt;Ввод!$B$4,"",A2003+1))</f>
        <v/>
      </c>
      <c r="B2004">
        <f>IF(A2004="","",IFERROR(INDEX(Ввод!$B$12:$B$71,MATCH(A2004,Ввод!$D$12:$D$71,1)),""))</f>
        <v/>
      </c>
      <c r="C2004">
        <f>IF(A2004="","",DATE(YEAR(A2004),12,31)-DATE(YEAR(A2004),1,1)+1)</f>
        <v/>
      </c>
      <c r="D2004">
        <f>IF(A2004="","",SUMIFS(Акты!$D$5:$D$16,Акты!$E$5:$E$16,"&lt;="&amp;A2004)-SUMIFS(Оплаты!$B$6:$B$505,Оплаты!$A$6:$A$505,"&lt;"&amp;A2004,Оплаты!$D$6:$D$505,"&lt;&gt;"))</f>
        <v/>
      </c>
      <c r="E2004">
        <f>IF(A2004="","",IF(SUMPRODUCT((Ввод!$F$12:$F$31&lt;&gt;"")*(Ввод!$F$12:$F$31&lt;=A2004)*(Ввод!$G$12:$G$31&gt;=A2004))&gt;0,1,0))</f>
        <v/>
      </c>
      <c r="G2004">
        <f>IF(A2004="","",IF(OR(B2004&lt;&gt;B2003,C2004&lt;&gt;C2003,E2004&lt;&gt;E2003),G2003+1,G2003))</f>
        <v/>
      </c>
    </row>
    <row r="2005">
      <c r="A2005" s="20">
        <f>IF(A2004="","",IF(A2004+1&gt;Ввод!$B$4,"",A2004+1))</f>
        <v/>
      </c>
      <c r="B2005">
        <f>IF(A2005="","",IFERROR(INDEX(Ввод!$B$12:$B$71,MATCH(A2005,Ввод!$D$12:$D$71,1)),""))</f>
        <v/>
      </c>
      <c r="C2005">
        <f>IF(A2005="","",DATE(YEAR(A2005),12,31)-DATE(YEAR(A2005),1,1)+1)</f>
        <v/>
      </c>
      <c r="D2005">
        <f>IF(A2005="","",SUMIFS(Акты!$D$5:$D$16,Акты!$E$5:$E$16,"&lt;="&amp;A2005)-SUMIFS(Оплаты!$B$6:$B$505,Оплаты!$A$6:$A$505,"&lt;"&amp;A2005,Оплаты!$D$6:$D$505,"&lt;&gt;"))</f>
        <v/>
      </c>
      <c r="E2005">
        <f>IF(A2005="","",IF(SUMPRODUCT((Ввод!$F$12:$F$31&lt;&gt;"")*(Ввод!$F$12:$F$31&lt;=A2005)*(Ввод!$G$12:$G$31&gt;=A2005))&gt;0,1,0))</f>
        <v/>
      </c>
      <c r="G2005">
        <f>IF(A2005="","",IF(OR(B2005&lt;&gt;B2004,C2005&lt;&gt;C2004,E2005&lt;&gt;E2004),G2004+1,G2004))</f>
        <v/>
      </c>
    </row>
    <row r="2006">
      <c r="A2006" s="20">
        <f>IF(A2005="","",IF(A2005+1&gt;Ввод!$B$4,"",A2005+1))</f>
        <v/>
      </c>
      <c r="B2006">
        <f>IF(A2006="","",IFERROR(INDEX(Ввод!$B$12:$B$71,MATCH(A2006,Ввод!$D$12:$D$71,1)),""))</f>
        <v/>
      </c>
      <c r="C2006">
        <f>IF(A2006="","",DATE(YEAR(A2006),12,31)-DATE(YEAR(A2006),1,1)+1)</f>
        <v/>
      </c>
      <c r="D2006">
        <f>IF(A2006="","",SUMIFS(Акты!$D$5:$D$16,Акты!$E$5:$E$16,"&lt;="&amp;A2006)-SUMIFS(Оплаты!$B$6:$B$505,Оплаты!$A$6:$A$505,"&lt;"&amp;A2006,Оплаты!$D$6:$D$505,"&lt;&gt;"))</f>
        <v/>
      </c>
      <c r="E2006">
        <f>IF(A2006="","",IF(SUMPRODUCT((Ввод!$F$12:$F$31&lt;&gt;"")*(Ввод!$F$12:$F$31&lt;=A2006)*(Ввод!$G$12:$G$31&gt;=A2006))&gt;0,1,0))</f>
        <v/>
      </c>
      <c r="G2006">
        <f>IF(A2006="","",IF(OR(B2006&lt;&gt;B2005,C2006&lt;&gt;C2005,E2006&lt;&gt;E2005),G2005+1,G2005))</f>
        <v/>
      </c>
    </row>
    <row r="2007">
      <c r="A2007" s="20">
        <f>IF(A2006="","",IF(A2006+1&gt;Ввод!$B$4,"",A2006+1))</f>
        <v/>
      </c>
      <c r="B2007">
        <f>IF(A2007="","",IFERROR(INDEX(Ввод!$B$12:$B$71,MATCH(A2007,Ввод!$D$12:$D$71,1)),""))</f>
        <v/>
      </c>
      <c r="C2007">
        <f>IF(A2007="","",DATE(YEAR(A2007),12,31)-DATE(YEAR(A2007),1,1)+1)</f>
        <v/>
      </c>
      <c r="D2007">
        <f>IF(A2007="","",SUMIFS(Акты!$D$5:$D$16,Акты!$E$5:$E$16,"&lt;="&amp;A2007)-SUMIFS(Оплаты!$B$6:$B$505,Оплаты!$A$6:$A$505,"&lt;"&amp;A2007,Оплаты!$D$6:$D$505,"&lt;&gt;"))</f>
        <v/>
      </c>
      <c r="E2007">
        <f>IF(A2007="","",IF(SUMPRODUCT((Ввод!$F$12:$F$31&lt;&gt;"")*(Ввод!$F$12:$F$31&lt;=A2007)*(Ввод!$G$12:$G$31&gt;=A2007))&gt;0,1,0))</f>
        <v/>
      </c>
      <c r="G2007">
        <f>IF(A2007="","",IF(OR(B2007&lt;&gt;B2006,C2007&lt;&gt;C2006,E2007&lt;&gt;E2006),G2006+1,G2006))</f>
        <v/>
      </c>
    </row>
    <row r="2008">
      <c r="A2008" s="20">
        <f>IF(A2007="","",IF(A2007+1&gt;Ввод!$B$4,"",A2007+1))</f>
        <v/>
      </c>
      <c r="B2008">
        <f>IF(A2008="","",IFERROR(INDEX(Ввод!$B$12:$B$71,MATCH(A2008,Ввод!$D$12:$D$71,1)),""))</f>
        <v/>
      </c>
      <c r="C2008">
        <f>IF(A2008="","",DATE(YEAR(A2008),12,31)-DATE(YEAR(A2008),1,1)+1)</f>
        <v/>
      </c>
      <c r="D2008">
        <f>IF(A2008="","",SUMIFS(Акты!$D$5:$D$16,Акты!$E$5:$E$16,"&lt;="&amp;A2008)-SUMIFS(Оплаты!$B$6:$B$505,Оплаты!$A$6:$A$505,"&lt;"&amp;A2008,Оплаты!$D$6:$D$505,"&lt;&gt;"))</f>
        <v/>
      </c>
      <c r="E2008">
        <f>IF(A2008="","",IF(SUMPRODUCT((Ввод!$F$12:$F$31&lt;&gt;"")*(Ввод!$F$12:$F$31&lt;=A2008)*(Ввод!$G$12:$G$31&gt;=A2008))&gt;0,1,0))</f>
        <v/>
      </c>
      <c r="G2008">
        <f>IF(A2008="","",IF(OR(B2008&lt;&gt;B2007,C2008&lt;&gt;C2007,E2008&lt;&gt;E2007),G2007+1,G2007))</f>
        <v/>
      </c>
    </row>
    <row r="2009">
      <c r="A2009" s="20">
        <f>IF(A2008="","",IF(A2008+1&gt;Ввод!$B$4,"",A2008+1))</f>
        <v/>
      </c>
      <c r="B2009">
        <f>IF(A2009="","",IFERROR(INDEX(Ввод!$B$12:$B$71,MATCH(A2009,Ввод!$D$12:$D$71,1)),""))</f>
        <v/>
      </c>
      <c r="C2009">
        <f>IF(A2009="","",DATE(YEAR(A2009),12,31)-DATE(YEAR(A2009),1,1)+1)</f>
        <v/>
      </c>
      <c r="D2009">
        <f>IF(A2009="","",SUMIFS(Акты!$D$5:$D$16,Акты!$E$5:$E$16,"&lt;="&amp;A2009)-SUMIFS(Оплаты!$B$6:$B$505,Оплаты!$A$6:$A$505,"&lt;"&amp;A2009,Оплаты!$D$6:$D$505,"&lt;&gt;"))</f>
        <v/>
      </c>
      <c r="E2009">
        <f>IF(A2009="","",IF(SUMPRODUCT((Ввод!$F$12:$F$31&lt;&gt;"")*(Ввод!$F$12:$F$31&lt;=A2009)*(Ввод!$G$12:$G$31&gt;=A2009))&gt;0,1,0))</f>
        <v/>
      </c>
      <c r="G2009">
        <f>IF(A2009="","",IF(OR(B2009&lt;&gt;B2008,C2009&lt;&gt;C2008,E2009&lt;&gt;E2008),G2008+1,G2008))</f>
        <v/>
      </c>
    </row>
    <row r="2010">
      <c r="A2010" s="20">
        <f>IF(A2009="","",IF(A2009+1&gt;Ввод!$B$4,"",A2009+1))</f>
        <v/>
      </c>
      <c r="B2010">
        <f>IF(A2010="","",IFERROR(INDEX(Ввод!$B$12:$B$71,MATCH(A2010,Ввод!$D$12:$D$71,1)),""))</f>
        <v/>
      </c>
      <c r="C2010">
        <f>IF(A2010="","",DATE(YEAR(A2010),12,31)-DATE(YEAR(A2010),1,1)+1)</f>
        <v/>
      </c>
      <c r="D2010">
        <f>IF(A2010="","",SUMIFS(Акты!$D$5:$D$16,Акты!$E$5:$E$16,"&lt;="&amp;A2010)-SUMIFS(Оплаты!$B$6:$B$505,Оплаты!$A$6:$A$505,"&lt;"&amp;A2010,Оплаты!$D$6:$D$505,"&lt;&gt;"))</f>
        <v/>
      </c>
      <c r="E2010">
        <f>IF(A2010="","",IF(SUMPRODUCT((Ввод!$F$12:$F$31&lt;&gt;"")*(Ввод!$F$12:$F$31&lt;=A2010)*(Ввод!$G$12:$G$31&gt;=A2010))&gt;0,1,0))</f>
        <v/>
      </c>
      <c r="G2010">
        <f>IF(A2010="","",IF(OR(B2010&lt;&gt;B2009,C2010&lt;&gt;C2009,E2010&lt;&gt;E2009),G2009+1,G2009))</f>
        <v/>
      </c>
    </row>
    <row r="2011">
      <c r="A2011" s="20">
        <f>IF(A2010="","",IF(A2010+1&gt;Ввод!$B$4,"",A2010+1))</f>
        <v/>
      </c>
      <c r="B2011">
        <f>IF(A2011="","",IFERROR(INDEX(Ввод!$B$12:$B$71,MATCH(A2011,Ввод!$D$12:$D$71,1)),""))</f>
        <v/>
      </c>
      <c r="C2011">
        <f>IF(A2011="","",DATE(YEAR(A2011),12,31)-DATE(YEAR(A2011),1,1)+1)</f>
        <v/>
      </c>
      <c r="D2011">
        <f>IF(A2011="","",SUMIFS(Акты!$D$5:$D$16,Акты!$E$5:$E$16,"&lt;="&amp;A2011)-SUMIFS(Оплаты!$B$6:$B$505,Оплаты!$A$6:$A$505,"&lt;"&amp;A2011,Оплаты!$D$6:$D$505,"&lt;&gt;"))</f>
        <v/>
      </c>
      <c r="E2011">
        <f>IF(A2011="","",IF(SUMPRODUCT((Ввод!$F$12:$F$31&lt;&gt;"")*(Ввод!$F$12:$F$31&lt;=A2011)*(Ввод!$G$12:$G$31&gt;=A2011))&gt;0,1,0))</f>
        <v/>
      </c>
      <c r="G2011">
        <f>IF(A2011="","",IF(OR(B2011&lt;&gt;B2010,C2011&lt;&gt;C2010,E2011&lt;&gt;E2010),G2010+1,G2010))</f>
        <v/>
      </c>
    </row>
    <row r="2012">
      <c r="A2012" s="20">
        <f>IF(A2011="","",IF(A2011+1&gt;Ввод!$B$4,"",A2011+1))</f>
        <v/>
      </c>
      <c r="B2012">
        <f>IF(A2012="","",IFERROR(INDEX(Ввод!$B$12:$B$71,MATCH(A2012,Ввод!$D$12:$D$71,1)),""))</f>
        <v/>
      </c>
      <c r="C2012">
        <f>IF(A2012="","",DATE(YEAR(A2012),12,31)-DATE(YEAR(A2012),1,1)+1)</f>
        <v/>
      </c>
      <c r="D2012">
        <f>IF(A2012="","",SUMIFS(Акты!$D$5:$D$16,Акты!$E$5:$E$16,"&lt;="&amp;A2012)-SUMIFS(Оплаты!$B$6:$B$505,Оплаты!$A$6:$A$505,"&lt;"&amp;A2012,Оплаты!$D$6:$D$505,"&lt;&gt;"))</f>
        <v/>
      </c>
      <c r="E2012">
        <f>IF(A2012="","",IF(SUMPRODUCT((Ввод!$F$12:$F$31&lt;&gt;"")*(Ввод!$F$12:$F$31&lt;=A2012)*(Ввод!$G$12:$G$31&gt;=A2012))&gt;0,1,0))</f>
        <v/>
      </c>
      <c r="G2012">
        <f>IF(A2012="","",IF(OR(B2012&lt;&gt;B2011,C2012&lt;&gt;C2011,E2012&lt;&gt;E2011),G2011+1,G2011))</f>
        <v/>
      </c>
    </row>
    <row r="2013">
      <c r="A2013" s="20">
        <f>IF(A2012="","",IF(A2012+1&gt;Ввод!$B$4,"",A2012+1))</f>
        <v/>
      </c>
      <c r="B2013">
        <f>IF(A2013="","",IFERROR(INDEX(Ввод!$B$12:$B$71,MATCH(A2013,Ввод!$D$12:$D$71,1)),""))</f>
        <v/>
      </c>
      <c r="C2013">
        <f>IF(A2013="","",DATE(YEAR(A2013),12,31)-DATE(YEAR(A2013),1,1)+1)</f>
        <v/>
      </c>
      <c r="D2013">
        <f>IF(A2013="","",SUMIFS(Акты!$D$5:$D$16,Акты!$E$5:$E$16,"&lt;="&amp;A2013)-SUMIFS(Оплаты!$B$6:$B$505,Оплаты!$A$6:$A$505,"&lt;"&amp;A2013,Оплаты!$D$6:$D$505,"&lt;&gt;"))</f>
        <v/>
      </c>
      <c r="E2013">
        <f>IF(A2013="","",IF(SUMPRODUCT((Ввод!$F$12:$F$31&lt;&gt;"")*(Ввод!$F$12:$F$31&lt;=A2013)*(Ввод!$G$12:$G$31&gt;=A2013))&gt;0,1,0))</f>
        <v/>
      </c>
      <c r="G2013">
        <f>IF(A2013="","",IF(OR(B2013&lt;&gt;B2012,C2013&lt;&gt;C2012,E2013&lt;&gt;E2012),G2012+1,G2012))</f>
        <v/>
      </c>
    </row>
    <row r="2014">
      <c r="A2014" s="20">
        <f>IF(A2013="","",IF(A2013+1&gt;Ввод!$B$4,"",A2013+1))</f>
        <v/>
      </c>
      <c r="B2014">
        <f>IF(A2014="","",IFERROR(INDEX(Ввод!$B$12:$B$71,MATCH(A2014,Ввод!$D$12:$D$71,1)),""))</f>
        <v/>
      </c>
      <c r="C2014">
        <f>IF(A2014="","",DATE(YEAR(A2014),12,31)-DATE(YEAR(A2014),1,1)+1)</f>
        <v/>
      </c>
      <c r="D2014">
        <f>IF(A2014="","",SUMIFS(Акты!$D$5:$D$16,Акты!$E$5:$E$16,"&lt;="&amp;A2014)-SUMIFS(Оплаты!$B$6:$B$505,Оплаты!$A$6:$A$505,"&lt;"&amp;A2014,Оплаты!$D$6:$D$505,"&lt;&gt;"))</f>
        <v/>
      </c>
      <c r="E2014">
        <f>IF(A2014="","",IF(SUMPRODUCT((Ввод!$F$12:$F$31&lt;&gt;"")*(Ввод!$F$12:$F$31&lt;=A2014)*(Ввод!$G$12:$G$31&gt;=A2014))&gt;0,1,0))</f>
        <v/>
      </c>
      <c r="G2014">
        <f>IF(A2014="","",IF(OR(B2014&lt;&gt;B2013,C2014&lt;&gt;C2013,E2014&lt;&gt;E2013),G2013+1,G2013))</f>
        <v/>
      </c>
    </row>
    <row r="2015">
      <c r="A2015" s="20">
        <f>IF(A2014="","",IF(A2014+1&gt;Ввод!$B$4,"",A2014+1))</f>
        <v/>
      </c>
      <c r="B2015">
        <f>IF(A2015="","",IFERROR(INDEX(Ввод!$B$12:$B$71,MATCH(A2015,Ввод!$D$12:$D$71,1)),""))</f>
        <v/>
      </c>
      <c r="C2015">
        <f>IF(A2015="","",DATE(YEAR(A2015),12,31)-DATE(YEAR(A2015),1,1)+1)</f>
        <v/>
      </c>
      <c r="D2015">
        <f>IF(A2015="","",SUMIFS(Акты!$D$5:$D$16,Акты!$E$5:$E$16,"&lt;="&amp;A2015)-SUMIFS(Оплаты!$B$6:$B$505,Оплаты!$A$6:$A$505,"&lt;"&amp;A2015,Оплаты!$D$6:$D$505,"&lt;&gt;"))</f>
        <v/>
      </c>
      <c r="E2015">
        <f>IF(A2015="","",IF(SUMPRODUCT((Ввод!$F$12:$F$31&lt;&gt;"")*(Ввод!$F$12:$F$31&lt;=A2015)*(Ввод!$G$12:$G$31&gt;=A2015))&gt;0,1,0))</f>
        <v/>
      </c>
      <c r="G2015">
        <f>IF(A2015="","",IF(OR(B2015&lt;&gt;B2014,C2015&lt;&gt;C2014,E2015&lt;&gt;E2014),G2014+1,G2014))</f>
        <v/>
      </c>
    </row>
    <row r="2016">
      <c r="A2016" s="20">
        <f>IF(A2015="","",IF(A2015+1&gt;Ввод!$B$4,"",A2015+1))</f>
        <v/>
      </c>
      <c r="B2016">
        <f>IF(A2016="","",IFERROR(INDEX(Ввод!$B$12:$B$71,MATCH(A2016,Ввод!$D$12:$D$71,1)),""))</f>
        <v/>
      </c>
      <c r="C2016">
        <f>IF(A2016="","",DATE(YEAR(A2016),12,31)-DATE(YEAR(A2016),1,1)+1)</f>
        <v/>
      </c>
      <c r="D2016">
        <f>IF(A2016="","",SUMIFS(Акты!$D$5:$D$16,Акты!$E$5:$E$16,"&lt;="&amp;A2016)-SUMIFS(Оплаты!$B$6:$B$505,Оплаты!$A$6:$A$505,"&lt;"&amp;A2016,Оплаты!$D$6:$D$505,"&lt;&gt;"))</f>
        <v/>
      </c>
      <c r="E2016">
        <f>IF(A2016="","",IF(SUMPRODUCT((Ввод!$F$12:$F$31&lt;&gt;"")*(Ввод!$F$12:$F$31&lt;=A2016)*(Ввод!$G$12:$G$31&gt;=A2016))&gt;0,1,0))</f>
        <v/>
      </c>
      <c r="G2016">
        <f>IF(A2016="","",IF(OR(B2016&lt;&gt;B2015,C2016&lt;&gt;C2015,E2016&lt;&gt;E2015),G2015+1,G2015))</f>
        <v/>
      </c>
    </row>
    <row r="2017">
      <c r="A2017" s="20">
        <f>IF(A2016="","",IF(A2016+1&gt;Ввод!$B$4,"",A2016+1))</f>
        <v/>
      </c>
      <c r="B2017">
        <f>IF(A2017="","",IFERROR(INDEX(Ввод!$B$12:$B$71,MATCH(A2017,Ввод!$D$12:$D$71,1)),""))</f>
        <v/>
      </c>
      <c r="C2017">
        <f>IF(A2017="","",DATE(YEAR(A2017),12,31)-DATE(YEAR(A2017),1,1)+1)</f>
        <v/>
      </c>
      <c r="D2017">
        <f>IF(A2017="","",SUMIFS(Акты!$D$5:$D$16,Акты!$E$5:$E$16,"&lt;="&amp;A2017)-SUMIFS(Оплаты!$B$6:$B$505,Оплаты!$A$6:$A$505,"&lt;"&amp;A2017,Оплаты!$D$6:$D$505,"&lt;&gt;"))</f>
        <v/>
      </c>
      <c r="E2017">
        <f>IF(A2017="","",IF(SUMPRODUCT((Ввод!$F$12:$F$31&lt;&gt;"")*(Ввод!$F$12:$F$31&lt;=A2017)*(Ввод!$G$12:$G$31&gt;=A2017))&gt;0,1,0))</f>
        <v/>
      </c>
      <c r="G2017">
        <f>IF(A2017="","",IF(OR(B2017&lt;&gt;B2016,C2017&lt;&gt;C2016,E2017&lt;&gt;E2016),G2016+1,G2016))</f>
        <v/>
      </c>
    </row>
    <row r="2018">
      <c r="A2018" s="20">
        <f>IF(A2017="","",IF(A2017+1&gt;Ввод!$B$4,"",A2017+1))</f>
        <v/>
      </c>
      <c r="B2018">
        <f>IF(A2018="","",IFERROR(INDEX(Ввод!$B$12:$B$71,MATCH(A2018,Ввод!$D$12:$D$71,1)),""))</f>
        <v/>
      </c>
      <c r="C2018">
        <f>IF(A2018="","",DATE(YEAR(A2018),12,31)-DATE(YEAR(A2018),1,1)+1)</f>
        <v/>
      </c>
      <c r="D2018">
        <f>IF(A2018="","",SUMIFS(Акты!$D$5:$D$16,Акты!$E$5:$E$16,"&lt;="&amp;A2018)-SUMIFS(Оплаты!$B$6:$B$505,Оплаты!$A$6:$A$505,"&lt;"&amp;A2018,Оплаты!$D$6:$D$505,"&lt;&gt;"))</f>
        <v/>
      </c>
      <c r="E2018">
        <f>IF(A2018="","",IF(SUMPRODUCT((Ввод!$F$12:$F$31&lt;&gt;"")*(Ввод!$F$12:$F$31&lt;=A2018)*(Ввод!$G$12:$G$31&gt;=A2018))&gt;0,1,0))</f>
        <v/>
      </c>
      <c r="G2018">
        <f>IF(A2018="","",IF(OR(B2018&lt;&gt;B2017,C2018&lt;&gt;C2017,E2018&lt;&gt;E2017),G2017+1,G2017))</f>
        <v/>
      </c>
    </row>
    <row r="2019">
      <c r="A2019" s="20">
        <f>IF(A2018="","",IF(A2018+1&gt;Ввод!$B$4,"",A2018+1))</f>
        <v/>
      </c>
      <c r="B2019">
        <f>IF(A2019="","",IFERROR(INDEX(Ввод!$B$12:$B$71,MATCH(A2019,Ввод!$D$12:$D$71,1)),""))</f>
        <v/>
      </c>
      <c r="C2019">
        <f>IF(A2019="","",DATE(YEAR(A2019),12,31)-DATE(YEAR(A2019),1,1)+1)</f>
        <v/>
      </c>
      <c r="D2019">
        <f>IF(A2019="","",SUMIFS(Акты!$D$5:$D$16,Акты!$E$5:$E$16,"&lt;="&amp;A2019)-SUMIFS(Оплаты!$B$6:$B$505,Оплаты!$A$6:$A$505,"&lt;"&amp;A2019,Оплаты!$D$6:$D$505,"&lt;&gt;"))</f>
        <v/>
      </c>
      <c r="E2019">
        <f>IF(A2019="","",IF(SUMPRODUCT((Ввод!$F$12:$F$31&lt;&gt;"")*(Ввод!$F$12:$F$31&lt;=A2019)*(Ввод!$G$12:$G$31&gt;=A2019))&gt;0,1,0))</f>
        <v/>
      </c>
      <c r="G2019">
        <f>IF(A2019="","",IF(OR(B2019&lt;&gt;B2018,C2019&lt;&gt;C2018,E2019&lt;&gt;E2018),G2018+1,G2018))</f>
        <v/>
      </c>
    </row>
    <row r="2020">
      <c r="A2020" s="20">
        <f>IF(A2019="","",IF(A2019+1&gt;Ввод!$B$4,"",A2019+1))</f>
        <v/>
      </c>
      <c r="B2020">
        <f>IF(A2020="","",IFERROR(INDEX(Ввод!$B$12:$B$71,MATCH(A2020,Ввод!$D$12:$D$71,1)),""))</f>
        <v/>
      </c>
      <c r="C2020">
        <f>IF(A2020="","",DATE(YEAR(A2020),12,31)-DATE(YEAR(A2020),1,1)+1)</f>
        <v/>
      </c>
      <c r="D2020">
        <f>IF(A2020="","",SUMIFS(Акты!$D$5:$D$16,Акты!$E$5:$E$16,"&lt;="&amp;A2020)-SUMIFS(Оплаты!$B$6:$B$505,Оплаты!$A$6:$A$505,"&lt;"&amp;A2020,Оплаты!$D$6:$D$505,"&lt;&gt;"))</f>
        <v/>
      </c>
      <c r="E2020">
        <f>IF(A2020="","",IF(SUMPRODUCT((Ввод!$F$12:$F$31&lt;&gt;"")*(Ввод!$F$12:$F$31&lt;=A2020)*(Ввод!$G$12:$G$31&gt;=A2020))&gt;0,1,0))</f>
        <v/>
      </c>
      <c r="G2020">
        <f>IF(A2020="","",IF(OR(B2020&lt;&gt;B2019,C2020&lt;&gt;C2019,E2020&lt;&gt;E2019),G2019+1,G2019))</f>
        <v/>
      </c>
    </row>
    <row r="2021">
      <c r="A2021" s="20">
        <f>IF(A2020="","",IF(A2020+1&gt;Ввод!$B$4,"",A2020+1))</f>
        <v/>
      </c>
      <c r="B2021">
        <f>IF(A2021="","",IFERROR(INDEX(Ввод!$B$12:$B$71,MATCH(A2021,Ввод!$D$12:$D$71,1)),""))</f>
        <v/>
      </c>
      <c r="C2021">
        <f>IF(A2021="","",DATE(YEAR(A2021),12,31)-DATE(YEAR(A2021),1,1)+1)</f>
        <v/>
      </c>
      <c r="D2021">
        <f>IF(A2021="","",SUMIFS(Акты!$D$5:$D$16,Акты!$E$5:$E$16,"&lt;="&amp;A2021)-SUMIFS(Оплаты!$B$6:$B$505,Оплаты!$A$6:$A$505,"&lt;"&amp;A2021,Оплаты!$D$6:$D$505,"&lt;&gt;"))</f>
        <v/>
      </c>
      <c r="E2021">
        <f>IF(A2021="","",IF(SUMPRODUCT((Ввод!$F$12:$F$31&lt;&gt;"")*(Ввод!$F$12:$F$31&lt;=A2021)*(Ввод!$G$12:$G$31&gt;=A2021))&gt;0,1,0))</f>
        <v/>
      </c>
      <c r="G2021">
        <f>IF(A2021="","",IF(OR(B2021&lt;&gt;B2020,C2021&lt;&gt;C2020,E2021&lt;&gt;E2020),G2020+1,G2020))</f>
        <v/>
      </c>
    </row>
    <row r="2022">
      <c r="A2022" s="20">
        <f>IF(A2021="","",IF(A2021+1&gt;Ввод!$B$4,"",A2021+1))</f>
        <v/>
      </c>
      <c r="B2022">
        <f>IF(A2022="","",IFERROR(INDEX(Ввод!$B$12:$B$71,MATCH(A2022,Ввод!$D$12:$D$71,1)),""))</f>
        <v/>
      </c>
      <c r="C2022">
        <f>IF(A2022="","",DATE(YEAR(A2022),12,31)-DATE(YEAR(A2022),1,1)+1)</f>
        <v/>
      </c>
      <c r="D2022">
        <f>IF(A2022="","",SUMIFS(Акты!$D$5:$D$16,Акты!$E$5:$E$16,"&lt;="&amp;A2022)-SUMIFS(Оплаты!$B$6:$B$505,Оплаты!$A$6:$A$505,"&lt;"&amp;A2022,Оплаты!$D$6:$D$505,"&lt;&gt;"))</f>
        <v/>
      </c>
      <c r="E2022">
        <f>IF(A2022="","",IF(SUMPRODUCT((Ввод!$F$12:$F$31&lt;&gt;"")*(Ввод!$F$12:$F$31&lt;=A2022)*(Ввод!$G$12:$G$31&gt;=A2022))&gt;0,1,0))</f>
        <v/>
      </c>
      <c r="G2022">
        <f>IF(A2022="","",IF(OR(B2022&lt;&gt;B2021,C2022&lt;&gt;C2021,E2022&lt;&gt;E2021),G2021+1,G2021))</f>
        <v/>
      </c>
    </row>
    <row r="2023">
      <c r="A2023" s="20">
        <f>IF(A2022="","",IF(A2022+1&gt;Ввод!$B$4,"",A2022+1))</f>
        <v/>
      </c>
      <c r="B2023">
        <f>IF(A2023="","",IFERROR(INDEX(Ввод!$B$12:$B$71,MATCH(A2023,Ввод!$D$12:$D$71,1)),""))</f>
        <v/>
      </c>
      <c r="C2023">
        <f>IF(A2023="","",DATE(YEAR(A2023),12,31)-DATE(YEAR(A2023),1,1)+1)</f>
        <v/>
      </c>
      <c r="D2023">
        <f>IF(A2023="","",SUMIFS(Акты!$D$5:$D$16,Акты!$E$5:$E$16,"&lt;="&amp;A2023)-SUMIFS(Оплаты!$B$6:$B$505,Оплаты!$A$6:$A$505,"&lt;"&amp;A2023,Оплаты!$D$6:$D$505,"&lt;&gt;"))</f>
        <v/>
      </c>
      <c r="E2023">
        <f>IF(A2023="","",IF(SUMPRODUCT((Ввод!$F$12:$F$31&lt;&gt;"")*(Ввод!$F$12:$F$31&lt;=A2023)*(Ввод!$G$12:$G$31&gt;=A2023))&gt;0,1,0))</f>
        <v/>
      </c>
      <c r="G2023">
        <f>IF(A2023="","",IF(OR(B2023&lt;&gt;B2022,C2023&lt;&gt;C2022,E2023&lt;&gt;E2022),G2022+1,G2022))</f>
        <v/>
      </c>
    </row>
    <row r="2024">
      <c r="A2024" s="20">
        <f>IF(A2023="","",IF(A2023+1&gt;Ввод!$B$4,"",A2023+1))</f>
        <v/>
      </c>
      <c r="B2024">
        <f>IF(A2024="","",IFERROR(INDEX(Ввод!$B$12:$B$71,MATCH(A2024,Ввод!$D$12:$D$71,1)),""))</f>
        <v/>
      </c>
      <c r="C2024">
        <f>IF(A2024="","",DATE(YEAR(A2024),12,31)-DATE(YEAR(A2024),1,1)+1)</f>
        <v/>
      </c>
      <c r="D2024">
        <f>IF(A2024="","",SUMIFS(Акты!$D$5:$D$16,Акты!$E$5:$E$16,"&lt;="&amp;A2024)-SUMIFS(Оплаты!$B$6:$B$505,Оплаты!$A$6:$A$505,"&lt;"&amp;A2024,Оплаты!$D$6:$D$505,"&lt;&gt;"))</f>
        <v/>
      </c>
      <c r="E2024">
        <f>IF(A2024="","",IF(SUMPRODUCT((Ввод!$F$12:$F$31&lt;&gt;"")*(Ввод!$F$12:$F$31&lt;=A2024)*(Ввод!$G$12:$G$31&gt;=A2024))&gt;0,1,0))</f>
        <v/>
      </c>
      <c r="G2024">
        <f>IF(A2024="","",IF(OR(B2024&lt;&gt;B2023,C2024&lt;&gt;C2023,E2024&lt;&gt;E2023),G2023+1,G2023))</f>
        <v/>
      </c>
    </row>
    <row r="2025">
      <c r="A2025" s="20">
        <f>IF(A2024="","",IF(A2024+1&gt;Ввод!$B$4,"",A2024+1))</f>
        <v/>
      </c>
      <c r="B2025">
        <f>IF(A2025="","",IFERROR(INDEX(Ввод!$B$12:$B$71,MATCH(A2025,Ввод!$D$12:$D$71,1)),""))</f>
        <v/>
      </c>
      <c r="C2025">
        <f>IF(A2025="","",DATE(YEAR(A2025),12,31)-DATE(YEAR(A2025),1,1)+1)</f>
        <v/>
      </c>
      <c r="D2025">
        <f>IF(A2025="","",SUMIFS(Акты!$D$5:$D$16,Акты!$E$5:$E$16,"&lt;="&amp;A2025)-SUMIFS(Оплаты!$B$6:$B$505,Оплаты!$A$6:$A$505,"&lt;"&amp;A2025,Оплаты!$D$6:$D$505,"&lt;&gt;"))</f>
        <v/>
      </c>
      <c r="E2025">
        <f>IF(A2025="","",IF(SUMPRODUCT((Ввод!$F$12:$F$31&lt;&gt;"")*(Ввод!$F$12:$F$31&lt;=A2025)*(Ввод!$G$12:$G$31&gt;=A2025))&gt;0,1,0))</f>
        <v/>
      </c>
      <c r="G2025">
        <f>IF(A2025="","",IF(OR(B2025&lt;&gt;B2024,C2025&lt;&gt;C2024,E2025&lt;&gt;E2024),G2024+1,G2024))</f>
        <v/>
      </c>
    </row>
    <row r="2026">
      <c r="A2026" s="20">
        <f>IF(A2025="","",IF(A2025+1&gt;Ввод!$B$4,"",A2025+1))</f>
        <v/>
      </c>
      <c r="B2026">
        <f>IF(A2026="","",IFERROR(INDEX(Ввод!$B$12:$B$71,MATCH(A2026,Ввод!$D$12:$D$71,1)),""))</f>
        <v/>
      </c>
      <c r="C2026">
        <f>IF(A2026="","",DATE(YEAR(A2026),12,31)-DATE(YEAR(A2026),1,1)+1)</f>
        <v/>
      </c>
      <c r="D2026">
        <f>IF(A2026="","",SUMIFS(Акты!$D$5:$D$16,Акты!$E$5:$E$16,"&lt;="&amp;A2026)-SUMIFS(Оплаты!$B$6:$B$505,Оплаты!$A$6:$A$505,"&lt;"&amp;A2026,Оплаты!$D$6:$D$505,"&lt;&gt;"))</f>
        <v/>
      </c>
      <c r="E2026">
        <f>IF(A2026="","",IF(SUMPRODUCT((Ввод!$F$12:$F$31&lt;&gt;"")*(Ввод!$F$12:$F$31&lt;=A2026)*(Ввод!$G$12:$G$31&gt;=A2026))&gt;0,1,0))</f>
        <v/>
      </c>
      <c r="G2026">
        <f>IF(A2026="","",IF(OR(B2026&lt;&gt;B2025,C2026&lt;&gt;C2025,E2026&lt;&gt;E2025),G2025+1,G2025))</f>
        <v/>
      </c>
    </row>
    <row r="2027">
      <c r="A2027" s="20">
        <f>IF(A2026="","",IF(A2026+1&gt;Ввод!$B$4,"",A2026+1))</f>
        <v/>
      </c>
      <c r="B2027">
        <f>IF(A2027="","",IFERROR(INDEX(Ввод!$B$12:$B$71,MATCH(A2027,Ввод!$D$12:$D$71,1)),""))</f>
        <v/>
      </c>
      <c r="C2027">
        <f>IF(A2027="","",DATE(YEAR(A2027),12,31)-DATE(YEAR(A2027),1,1)+1)</f>
        <v/>
      </c>
      <c r="D2027">
        <f>IF(A2027="","",SUMIFS(Акты!$D$5:$D$16,Акты!$E$5:$E$16,"&lt;="&amp;A2027)-SUMIFS(Оплаты!$B$6:$B$505,Оплаты!$A$6:$A$505,"&lt;"&amp;A2027,Оплаты!$D$6:$D$505,"&lt;&gt;"))</f>
        <v/>
      </c>
      <c r="E2027">
        <f>IF(A2027="","",IF(SUMPRODUCT((Ввод!$F$12:$F$31&lt;&gt;"")*(Ввод!$F$12:$F$31&lt;=A2027)*(Ввод!$G$12:$G$31&gt;=A2027))&gt;0,1,0))</f>
        <v/>
      </c>
      <c r="G2027">
        <f>IF(A2027="","",IF(OR(B2027&lt;&gt;B2026,C2027&lt;&gt;C2026,E2027&lt;&gt;E2026),G2026+1,G2026))</f>
        <v/>
      </c>
    </row>
    <row r="2028">
      <c r="A2028" s="20">
        <f>IF(A2027="","",IF(A2027+1&gt;Ввод!$B$4,"",A2027+1))</f>
        <v/>
      </c>
      <c r="B2028">
        <f>IF(A2028="","",IFERROR(INDEX(Ввод!$B$12:$B$71,MATCH(A2028,Ввод!$D$12:$D$71,1)),""))</f>
        <v/>
      </c>
      <c r="C2028">
        <f>IF(A2028="","",DATE(YEAR(A2028),12,31)-DATE(YEAR(A2028),1,1)+1)</f>
        <v/>
      </c>
      <c r="D2028">
        <f>IF(A2028="","",SUMIFS(Акты!$D$5:$D$16,Акты!$E$5:$E$16,"&lt;="&amp;A2028)-SUMIFS(Оплаты!$B$6:$B$505,Оплаты!$A$6:$A$505,"&lt;"&amp;A2028,Оплаты!$D$6:$D$505,"&lt;&gt;"))</f>
        <v/>
      </c>
      <c r="E2028">
        <f>IF(A2028="","",IF(SUMPRODUCT((Ввод!$F$12:$F$31&lt;&gt;"")*(Ввод!$F$12:$F$31&lt;=A2028)*(Ввод!$G$12:$G$31&gt;=A2028))&gt;0,1,0))</f>
        <v/>
      </c>
      <c r="G2028">
        <f>IF(A2028="","",IF(OR(B2028&lt;&gt;B2027,C2028&lt;&gt;C2027,E2028&lt;&gt;E2027),G2027+1,G2027))</f>
        <v/>
      </c>
    </row>
    <row r="2029">
      <c r="A2029" s="20">
        <f>IF(A2028="","",IF(A2028+1&gt;Ввод!$B$4,"",A2028+1))</f>
        <v/>
      </c>
      <c r="B2029">
        <f>IF(A2029="","",IFERROR(INDEX(Ввод!$B$12:$B$71,MATCH(A2029,Ввод!$D$12:$D$71,1)),""))</f>
        <v/>
      </c>
      <c r="C2029">
        <f>IF(A2029="","",DATE(YEAR(A2029),12,31)-DATE(YEAR(A2029),1,1)+1)</f>
        <v/>
      </c>
      <c r="D2029">
        <f>IF(A2029="","",SUMIFS(Акты!$D$5:$D$16,Акты!$E$5:$E$16,"&lt;="&amp;A2029)-SUMIFS(Оплаты!$B$6:$B$505,Оплаты!$A$6:$A$505,"&lt;"&amp;A2029,Оплаты!$D$6:$D$505,"&lt;&gt;"))</f>
        <v/>
      </c>
      <c r="E2029">
        <f>IF(A2029="","",IF(SUMPRODUCT((Ввод!$F$12:$F$31&lt;&gt;"")*(Ввод!$F$12:$F$31&lt;=A2029)*(Ввод!$G$12:$G$31&gt;=A2029))&gt;0,1,0))</f>
        <v/>
      </c>
      <c r="G2029">
        <f>IF(A2029="","",IF(OR(B2029&lt;&gt;B2028,C2029&lt;&gt;C2028,E2029&lt;&gt;E2028),G2028+1,G2028))</f>
        <v/>
      </c>
    </row>
    <row r="2030">
      <c r="A2030" s="20">
        <f>IF(A2029="","",IF(A2029+1&gt;Ввод!$B$4,"",A2029+1))</f>
        <v/>
      </c>
      <c r="B2030">
        <f>IF(A2030="","",IFERROR(INDEX(Ввод!$B$12:$B$71,MATCH(A2030,Ввод!$D$12:$D$71,1)),""))</f>
        <v/>
      </c>
      <c r="C2030">
        <f>IF(A2030="","",DATE(YEAR(A2030),12,31)-DATE(YEAR(A2030),1,1)+1)</f>
        <v/>
      </c>
      <c r="D2030">
        <f>IF(A2030="","",SUMIFS(Акты!$D$5:$D$16,Акты!$E$5:$E$16,"&lt;="&amp;A2030)-SUMIFS(Оплаты!$B$6:$B$505,Оплаты!$A$6:$A$505,"&lt;"&amp;A2030,Оплаты!$D$6:$D$505,"&lt;&gt;"))</f>
        <v/>
      </c>
      <c r="E2030">
        <f>IF(A2030="","",IF(SUMPRODUCT((Ввод!$F$12:$F$31&lt;&gt;"")*(Ввод!$F$12:$F$31&lt;=A2030)*(Ввод!$G$12:$G$31&gt;=A2030))&gt;0,1,0))</f>
        <v/>
      </c>
      <c r="G2030">
        <f>IF(A2030="","",IF(OR(B2030&lt;&gt;B2029,C2030&lt;&gt;C2029,E2030&lt;&gt;E2029),G2029+1,G2029))</f>
        <v/>
      </c>
    </row>
    <row r="2031">
      <c r="A2031" s="20">
        <f>IF(A2030="","",IF(A2030+1&gt;Ввод!$B$4,"",A2030+1))</f>
        <v/>
      </c>
      <c r="B2031">
        <f>IF(A2031="","",IFERROR(INDEX(Ввод!$B$12:$B$71,MATCH(A2031,Ввод!$D$12:$D$71,1)),""))</f>
        <v/>
      </c>
      <c r="C2031">
        <f>IF(A2031="","",DATE(YEAR(A2031),12,31)-DATE(YEAR(A2031),1,1)+1)</f>
        <v/>
      </c>
      <c r="D2031">
        <f>IF(A2031="","",SUMIFS(Акты!$D$5:$D$16,Акты!$E$5:$E$16,"&lt;="&amp;A2031)-SUMIFS(Оплаты!$B$6:$B$505,Оплаты!$A$6:$A$505,"&lt;"&amp;A2031,Оплаты!$D$6:$D$505,"&lt;&gt;"))</f>
        <v/>
      </c>
      <c r="E2031">
        <f>IF(A2031="","",IF(SUMPRODUCT((Ввод!$F$12:$F$31&lt;&gt;"")*(Ввод!$F$12:$F$31&lt;=A2031)*(Ввод!$G$12:$G$31&gt;=A2031))&gt;0,1,0))</f>
        <v/>
      </c>
      <c r="G2031">
        <f>IF(A2031="","",IF(OR(B2031&lt;&gt;B2030,C2031&lt;&gt;C2030,E2031&lt;&gt;E2030),G2030+1,G2030))</f>
        <v/>
      </c>
    </row>
    <row r="2032">
      <c r="A2032" s="20">
        <f>IF(A2031="","",IF(A2031+1&gt;Ввод!$B$4,"",A2031+1))</f>
        <v/>
      </c>
      <c r="B2032">
        <f>IF(A2032="","",IFERROR(INDEX(Ввод!$B$12:$B$71,MATCH(A2032,Ввод!$D$12:$D$71,1)),""))</f>
        <v/>
      </c>
      <c r="C2032">
        <f>IF(A2032="","",DATE(YEAR(A2032),12,31)-DATE(YEAR(A2032),1,1)+1)</f>
        <v/>
      </c>
      <c r="D2032">
        <f>IF(A2032="","",SUMIFS(Акты!$D$5:$D$16,Акты!$E$5:$E$16,"&lt;="&amp;A2032)-SUMIFS(Оплаты!$B$6:$B$505,Оплаты!$A$6:$A$505,"&lt;"&amp;A2032,Оплаты!$D$6:$D$505,"&lt;&gt;"))</f>
        <v/>
      </c>
      <c r="E2032">
        <f>IF(A2032="","",IF(SUMPRODUCT((Ввод!$F$12:$F$31&lt;&gt;"")*(Ввод!$F$12:$F$31&lt;=A2032)*(Ввод!$G$12:$G$31&gt;=A2032))&gt;0,1,0))</f>
        <v/>
      </c>
      <c r="G2032">
        <f>IF(A2032="","",IF(OR(B2032&lt;&gt;B2031,C2032&lt;&gt;C2031,E2032&lt;&gt;E2031),G2031+1,G2031))</f>
        <v/>
      </c>
    </row>
    <row r="2033">
      <c r="A2033" s="20">
        <f>IF(A2032="","",IF(A2032+1&gt;Ввод!$B$4,"",A2032+1))</f>
        <v/>
      </c>
      <c r="B2033">
        <f>IF(A2033="","",IFERROR(INDEX(Ввод!$B$12:$B$71,MATCH(A2033,Ввод!$D$12:$D$71,1)),""))</f>
        <v/>
      </c>
      <c r="C2033">
        <f>IF(A2033="","",DATE(YEAR(A2033),12,31)-DATE(YEAR(A2033),1,1)+1)</f>
        <v/>
      </c>
      <c r="D2033">
        <f>IF(A2033="","",SUMIFS(Акты!$D$5:$D$16,Акты!$E$5:$E$16,"&lt;="&amp;A2033)-SUMIFS(Оплаты!$B$6:$B$505,Оплаты!$A$6:$A$505,"&lt;"&amp;A2033,Оплаты!$D$6:$D$505,"&lt;&gt;"))</f>
        <v/>
      </c>
      <c r="E2033">
        <f>IF(A2033="","",IF(SUMPRODUCT((Ввод!$F$12:$F$31&lt;&gt;"")*(Ввод!$F$12:$F$31&lt;=A2033)*(Ввод!$G$12:$G$31&gt;=A2033))&gt;0,1,0))</f>
        <v/>
      </c>
      <c r="G2033">
        <f>IF(A2033="","",IF(OR(B2033&lt;&gt;B2032,C2033&lt;&gt;C2032,E2033&lt;&gt;E2032),G2032+1,G2032))</f>
        <v/>
      </c>
    </row>
    <row r="2034">
      <c r="A2034" s="20">
        <f>IF(A2033="","",IF(A2033+1&gt;Ввод!$B$4,"",A2033+1))</f>
        <v/>
      </c>
      <c r="B2034">
        <f>IF(A2034="","",IFERROR(INDEX(Ввод!$B$12:$B$71,MATCH(A2034,Ввод!$D$12:$D$71,1)),""))</f>
        <v/>
      </c>
      <c r="C2034">
        <f>IF(A2034="","",DATE(YEAR(A2034),12,31)-DATE(YEAR(A2034),1,1)+1)</f>
        <v/>
      </c>
      <c r="D2034">
        <f>IF(A2034="","",SUMIFS(Акты!$D$5:$D$16,Акты!$E$5:$E$16,"&lt;="&amp;A2034)-SUMIFS(Оплаты!$B$6:$B$505,Оплаты!$A$6:$A$505,"&lt;"&amp;A2034,Оплаты!$D$6:$D$505,"&lt;&gt;"))</f>
        <v/>
      </c>
      <c r="E2034">
        <f>IF(A2034="","",IF(SUMPRODUCT((Ввод!$F$12:$F$31&lt;&gt;"")*(Ввод!$F$12:$F$31&lt;=A2034)*(Ввод!$G$12:$G$31&gt;=A2034))&gt;0,1,0))</f>
        <v/>
      </c>
      <c r="G2034">
        <f>IF(A2034="","",IF(OR(B2034&lt;&gt;B2033,C2034&lt;&gt;C2033,E2034&lt;&gt;E2033),G2033+1,G2033))</f>
        <v/>
      </c>
    </row>
    <row r="2035">
      <c r="A2035" s="20">
        <f>IF(A2034="","",IF(A2034+1&gt;Ввод!$B$4,"",A2034+1))</f>
        <v/>
      </c>
      <c r="B2035">
        <f>IF(A2035="","",IFERROR(INDEX(Ввод!$B$12:$B$71,MATCH(A2035,Ввод!$D$12:$D$71,1)),""))</f>
        <v/>
      </c>
      <c r="C2035">
        <f>IF(A2035="","",DATE(YEAR(A2035),12,31)-DATE(YEAR(A2035),1,1)+1)</f>
        <v/>
      </c>
      <c r="D2035">
        <f>IF(A2035="","",SUMIFS(Акты!$D$5:$D$16,Акты!$E$5:$E$16,"&lt;="&amp;A2035)-SUMIFS(Оплаты!$B$6:$B$505,Оплаты!$A$6:$A$505,"&lt;"&amp;A2035,Оплаты!$D$6:$D$505,"&lt;&gt;"))</f>
        <v/>
      </c>
      <c r="E2035">
        <f>IF(A2035="","",IF(SUMPRODUCT((Ввод!$F$12:$F$31&lt;&gt;"")*(Ввод!$F$12:$F$31&lt;=A2035)*(Ввод!$G$12:$G$31&gt;=A2035))&gt;0,1,0))</f>
        <v/>
      </c>
      <c r="G2035">
        <f>IF(A2035="","",IF(OR(B2035&lt;&gt;B2034,C2035&lt;&gt;C2034,E2035&lt;&gt;E2034),G2034+1,G2034))</f>
        <v/>
      </c>
    </row>
    <row r="2036">
      <c r="A2036" s="20">
        <f>IF(A2035="","",IF(A2035+1&gt;Ввод!$B$4,"",A2035+1))</f>
        <v/>
      </c>
      <c r="B2036">
        <f>IF(A2036="","",IFERROR(INDEX(Ввод!$B$12:$B$71,MATCH(A2036,Ввод!$D$12:$D$71,1)),""))</f>
        <v/>
      </c>
      <c r="C2036">
        <f>IF(A2036="","",DATE(YEAR(A2036),12,31)-DATE(YEAR(A2036),1,1)+1)</f>
        <v/>
      </c>
      <c r="D2036">
        <f>IF(A2036="","",SUMIFS(Акты!$D$5:$D$16,Акты!$E$5:$E$16,"&lt;="&amp;A2036)-SUMIFS(Оплаты!$B$6:$B$505,Оплаты!$A$6:$A$505,"&lt;"&amp;A2036,Оплаты!$D$6:$D$505,"&lt;&gt;"))</f>
        <v/>
      </c>
      <c r="E2036">
        <f>IF(A2036="","",IF(SUMPRODUCT((Ввод!$F$12:$F$31&lt;&gt;"")*(Ввод!$F$12:$F$31&lt;=A2036)*(Ввод!$G$12:$G$31&gt;=A2036))&gt;0,1,0))</f>
        <v/>
      </c>
      <c r="G2036">
        <f>IF(A2036="","",IF(OR(B2036&lt;&gt;B2035,C2036&lt;&gt;C2035,E2036&lt;&gt;E2035),G2035+1,G2035))</f>
        <v/>
      </c>
    </row>
    <row r="2037">
      <c r="A2037" s="20">
        <f>IF(A2036="","",IF(A2036+1&gt;Ввод!$B$4,"",A2036+1))</f>
        <v/>
      </c>
      <c r="B2037">
        <f>IF(A2037="","",IFERROR(INDEX(Ввод!$B$12:$B$71,MATCH(A2037,Ввод!$D$12:$D$71,1)),""))</f>
        <v/>
      </c>
      <c r="C2037">
        <f>IF(A2037="","",DATE(YEAR(A2037),12,31)-DATE(YEAR(A2037),1,1)+1)</f>
        <v/>
      </c>
      <c r="D2037">
        <f>IF(A2037="","",SUMIFS(Акты!$D$5:$D$16,Акты!$E$5:$E$16,"&lt;="&amp;A2037)-SUMIFS(Оплаты!$B$6:$B$505,Оплаты!$A$6:$A$505,"&lt;"&amp;A2037,Оплаты!$D$6:$D$505,"&lt;&gt;"))</f>
        <v/>
      </c>
      <c r="E2037">
        <f>IF(A2037="","",IF(SUMPRODUCT((Ввод!$F$12:$F$31&lt;&gt;"")*(Ввод!$F$12:$F$31&lt;=A2037)*(Ввод!$G$12:$G$31&gt;=A2037))&gt;0,1,0))</f>
        <v/>
      </c>
      <c r="G2037">
        <f>IF(A2037="","",IF(OR(B2037&lt;&gt;B2036,C2037&lt;&gt;C2036,E2037&lt;&gt;E2036),G2036+1,G2036))</f>
        <v/>
      </c>
    </row>
    <row r="2038">
      <c r="A2038" s="20">
        <f>IF(A2037="","",IF(A2037+1&gt;Ввод!$B$4,"",A2037+1))</f>
        <v/>
      </c>
      <c r="B2038">
        <f>IF(A2038="","",IFERROR(INDEX(Ввод!$B$12:$B$71,MATCH(A2038,Ввод!$D$12:$D$71,1)),""))</f>
        <v/>
      </c>
      <c r="C2038">
        <f>IF(A2038="","",DATE(YEAR(A2038),12,31)-DATE(YEAR(A2038),1,1)+1)</f>
        <v/>
      </c>
      <c r="D2038">
        <f>IF(A2038="","",SUMIFS(Акты!$D$5:$D$16,Акты!$E$5:$E$16,"&lt;="&amp;A2038)-SUMIFS(Оплаты!$B$6:$B$505,Оплаты!$A$6:$A$505,"&lt;"&amp;A2038,Оплаты!$D$6:$D$505,"&lt;&gt;"))</f>
        <v/>
      </c>
      <c r="E2038">
        <f>IF(A2038="","",IF(SUMPRODUCT((Ввод!$F$12:$F$31&lt;&gt;"")*(Ввод!$F$12:$F$31&lt;=A2038)*(Ввод!$G$12:$G$31&gt;=A2038))&gt;0,1,0))</f>
        <v/>
      </c>
      <c r="G2038">
        <f>IF(A2038="","",IF(OR(B2038&lt;&gt;B2037,C2038&lt;&gt;C2037,E2038&lt;&gt;E2037),G2037+1,G2037))</f>
        <v/>
      </c>
    </row>
    <row r="2039">
      <c r="A2039" s="20">
        <f>IF(A2038="","",IF(A2038+1&gt;Ввод!$B$4,"",A2038+1))</f>
        <v/>
      </c>
      <c r="B2039">
        <f>IF(A2039="","",IFERROR(INDEX(Ввод!$B$12:$B$71,MATCH(A2039,Ввод!$D$12:$D$71,1)),""))</f>
        <v/>
      </c>
      <c r="C2039">
        <f>IF(A2039="","",DATE(YEAR(A2039),12,31)-DATE(YEAR(A2039),1,1)+1)</f>
        <v/>
      </c>
      <c r="D2039">
        <f>IF(A2039="","",SUMIFS(Акты!$D$5:$D$16,Акты!$E$5:$E$16,"&lt;="&amp;A2039)-SUMIFS(Оплаты!$B$6:$B$505,Оплаты!$A$6:$A$505,"&lt;"&amp;A2039,Оплаты!$D$6:$D$505,"&lt;&gt;"))</f>
        <v/>
      </c>
      <c r="E2039">
        <f>IF(A2039="","",IF(SUMPRODUCT((Ввод!$F$12:$F$31&lt;&gt;"")*(Ввод!$F$12:$F$31&lt;=A2039)*(Ввод!$G$12:$G$31&gt;=A2039))&gt;0,1,0))</f>
        <v/>
      </c>
      <c r="G2039">
        <f>IF(A2039="","",IF(OR(B2039&lt;&gt;B2038,C2039&lt;&gt;C2038,E2039&lt;&gt;E2038),G2038+1,G2038))</f>
        <v/>
      </c>
    </row>
    <row r="2040">
      <c r="A2040" s="20">
        <f>IF(A2039="","",IF(A2039+1&gt;Ввод!$B$4,"",A2039+1))</f>
        <v/>
      </c>
      <c r="B2040">
        <f>IF(A2040="","",IFERROR(INDEX(Ввод!$B$12:$B$71,MATCH(A2040,Ввод!$D$12:$D$71,1)),""))</f>
        <v/>
      </c>
      <c r="C2040">
        <f>IF(A2040="","",DATE(YEAR(A2040),12,31)-DATE(YEAR(A2040),1,1)+1)</f>
        <v/>
      </c>
      <c r="D2040">
        <f>IF(A2040="","",SUMIFS(Акты!$D$5:$D$16,Акты!$E$5:$E$16,"&lt;="&amp;A2040)-SUMIFS(Оплаты!$B$6:$B$505,Оплаты!$A$6:$A$505,"&lt;"&amp;A2040,Оплаты!$D$6:$D$505,"&lt;&gt;"))</f>
        <v/>
      </c>
      <c r="E2040">
        <f>IF(A2040="","",IF(SUMPRODUCT((Ввод!$F$12:$F$31&lt;&gt;"")*(Ввод!$F$12:$F$31&lt;=A2040)*(Ввод!$G$12:$G$31&gt;=A2040))&gt;0,1,0))</f>
        <v/>
      </c>
      <c r="G2040">
        <f>IF(A2040="","",IF(OR(B2040&lt;&gt;B2039,C2040&lt;&gt;C2039,E2040&lt;&gt;E2039),G2039+1,G2039))</f>
        <v/>
      </c>
    </row>
    <row r="2041">
      <c r="A2041" s="20">
        <f>IF(A2040="","",IF(A2040+1&gt;Ввод!$B$4,"",A2040+1))</f>
        <v/>
      </c>
      <c r="B2041">
        <f>IF(A2041="","",IFERROR(INDEX(Ввод!$B$12:$B$71,MATCH(A2041,Ввод!$D$12:$D$71,1)),""))</f>
        <v/>
      </c>
      <c r="C2041">
        <f>IF(A2041="","",DATE(YEAR(A2041),12,31)-DATE(YEAR(A2041),1,1)+1)</f>
        <v/>
      </c>
      <c r="D2041">
        <f>IF(A2041="","",SUMIFS(Акты!$D$5:$D$16,Акты!$E$5:$E$16,"&lt;="&amp;A2041)-SUMIFS(Оплаты!$B$6:$B$505,Оплаты!$A$6:$A$505,"&lt;"&amp;A2041,Оплаты!$D$6:$D$505,"&lt;&gt;"))</f>
        <v/>
      </c>
      <c r="E2041">
        <f>IF(A2041="","",IF(SUMPRODUCT((Ввод!$F$12:$F$31&lt;&gt;"")*(Ввод!$F$12:$F$31&lt;=A2041)*(Ввод!$G$12:$G$31&gt;=A2041))&gt;0,1,0))</f>
        <v/>
      </c>
      <c r="G2041">
        <f>IF(A2041="","",IF(OR(B2041&lt;&gt;B2040,C2041&lt;&gt;C2040,E2041&lt;&gt;E2040),G2040+1,G2040))</f>
        <v/>
      </c>
    </row>
    <row r="2042">
      <c r="A2042" s="20">
        <f>IF(A2041="","",IF(A2041+1&gt;Ввод!$B$4,"",A2041+1))</f>
        <v/>
      </c>
      <c r="B2042">
        <f>IF(A2042="","",IFERROR(INDEX(Ввод!$B$12:$B$71,MATCH(A2042,Ввод!$D$12:$D$71,1)),""))</f>
        <v/>
      </c>
      <c r="C2042">
        <f>IF(A2042="","",DATE(YEAR(A2042),12,31)-DATE(YEAR(A2042),1,1)+1)</f>
        <v/>
      </c>
      <c r="D2042">
        <f>IF(A2042="","",SUMIFS(Акты!$D$5:$D$16,Акты!$E$5:$E$16,"&lt;="&amp;A2042)-SUMIFS(Оплаты!$B$6:$B$505,Оплаты!$A$6:$A$505,"&lt;"&amp;A2042,Оплаты!$D$6:$D$505,"&lt;&gt;"))</f>
        <v/>
      </c>
      <c r="E2042">
        <f>IF(A2042="","",IF(SUMPRODUCT((Ввод!$F$12:$F$31&lt;&gt;"")*(Ввод!$F$12:$F$31&lt;=A2042)*(Ввод!$G$12:$G$31&gt;=A2042))&gt;0,1,0))</f>
        <v/>
      </c>
      <c r="G2042">
        <f>IF(A2042="","",IF(OR(B2042&lt;&gt;B2041,C2042&lt;&gt;C2041,E2042&lt;&gt;E2041),G2041+1,G2041))</f>
        <v/>
      </c>
    </row>
    <row r="2043">
      <c r="A2043" s="20">
        <f>IF(A2042="","",IF(A2042+1&gt;Ввод!$B$4,"",A2042+1))</f>
        <v/>
      </c>
      <c r="B2043">
        <f>IF(A2043="","",IFERROR(INDEX(Ввод!$B$12:$B$71,MATCH(A2043,Ввод!$D$12:$D$71,1)),""))</f>
        <v/>
      </c>
      <c r="C2043">
        <f>IF(A2043="","",DATE(YEAR(A2043),12,31)-DATE(YEAR(A2043),1,1)+1)</f>
        <v/>
      </c>
      <c r="D2043">
        <f>IF(A2043="","",SUMIFS(Акты!$D$5:$D$16,Акты!$E$5:$E$16,"&lt;="&amp;A2043)-SUMIFS(Оплаты!$B$6:$B$505,Оплаты!$A$6:$A$505,"&lt;"&amp;A2043,Оплаты!$D$6:$D$505,"&lt;&gt;"))</f>
        <v/>
      </c>
      <c r="E2043">
        <f>IF(A2043="","",IF(SUMPRODUCT((Ввод!$F$12:$F$31&lt;&gt;"")*(Ввод!$F$12:$F$31&lt;=A2043)*(Ввод!$G$12:$G$31&gt;=A2043))&gt;0,1,0))</f>
        <v/>
      </c>
      <c r="G2043">
        <f>IF(A2043="","",IF(OR(B2043&lt;&gt;B2042,C2043&lt;&gt;C2042,E2043&lt;&gt;E2042),G2042+1,G2042))</f>
        <v/>
      </c>
    </row>
    <row r="2044">
      <c r="A2044" s="20">
        <f>IF(A2043="","",IF(A2043+1&gt;Ввод!$B$4,"",A2043+1))</f>
        <v/>
      </c>
      <c r="B2044">
        <f>IF(A2044="","",IFERROR(INDEX(Ввод!$B$12:$B$71,MATCH(A2044,Ввод!$D$12:$D$71,1)),""))</f>
        <v/>
      </c>
      <c r="C2044">
        <f>IF(A2044="","",DATE(YEAR(A2044),12,31)-DATE(YEAR(A2044),1,1)+1)</f>
        <v/>
      </c>
      <c r="D2044">
        <f>IF(A2044="","",SUMIFS(Акты!$D$5:$D$16,Акты!$E$5:$E$16,"&lt;="&amp;A2044)-SUMIFS(Оплаты!$B$6:$B$505,Оплаты!$A$6:$A$505,"&lt;"&amp;A2044,Оплаты!$D$6:$D$505,"&lt;&gt;"))</f>
        <v/>
      </c>
      <c r="E2044">
        <f>IF(A2044="","",IF(SUMPRODUCT((Ввод!$F$12:$F$31&lt;&gt;"")*(Ввод!$F$12:$F$31&lt;=A2044)*(Ввод!$G$12:$G$31&gt;=A2044))&gt;0,1,0))</f>
        <v/>
      </c>
      <c r="G2044">
        <f>IF(A2044="","",IF(OR(B2044&lt;&gt;B2043,C2044&lt;&gt;C2043,E2044&lt;&gt;E2043),G2043+1,G2043))</f>
        <v/>
      </c>
    </row>
    <row r="2045">
      <c r="A2045" s="20">
        <f>IF(A2044="","",IF(A2044+1&gt;Ввод!$B$4,"",A2044+1))</f>
        <v/>
      </c>
      <c r="B2045">
        <f>IF(A2045="","",IFERROR(INDEX(Ввод!$B$12:$B$71,MATCH(A2045,Ввод!$D$12:$D$71,1)),""))</f>
        <v/>
      </c>
      <c r="C2045">
        <f>IF(A2045="","",DATE(YEAR(A2045),12,31)-DATE(YEAR(A2045),1,1)+1)</f>
        <v/>
      </c>
      <c r="D2045">
        <f>IF(A2045="","",SUMIFS(Акты!$D$5:$D$16,Акты!$E$5:$E$16,"&lt;="&amp;A2045)-SUMIFS(Оплаты!$B$6:$B$505,Оплаты!$A$6:$A$505,"&lt;"&amp;A2045,Оплаты!$D$6:$D$505,"&lt;&gt;"))</f>
        <v/>
      </c>
      <c r="E2045">
        <f>IF(A2045="","",IF(SUMPRODUCT((Ввод!$F$12:$F$31&lt;&gt;"")*(Ввод!$F$12:$F$31&lt;=A2045)*(Ввод!$G$12:$G$31&gt;=A2045))&gt;0,1,0))</f>
        <v/>
      </c>
      <c r="G2045">
        <f>IF(A2045="","",IF(OR(B2045&lt;&gt;B2044,C2045&lt;&gt;C2044,E2045&lt;&gt;E2044),G2044+1,G2044))</f>
        <v/>
      </c>
    </row>
    <row r="2046">
      <c r="A2046" s="20">
        <f>IF(A2045="","",IF(A2045+1&gt;Ввод!$B$4,"",A2045+1))</f>
        <v/>
      </c>
      <c r="B2046">
        <f>IF(A2046="","",IFERROR(INDEX(Ввод!$B$12:$B$71,MATCH(A2046,Ввод!$D$12:$D$71,1)),""))</f>
        <v/>
      </c>
      <c r="C2046">
        <f>IF(A2046="","",DATE(YEAR(A2046),12,31)-DATE(YEAR(A2046),1,1)+1)</f>
        <v/>
      </c>
      <c r="D2046">
        <f>IF(A2046="","",SUMIFS(Акты!$D$5:$D$16,Акты!$E$5:$E$16,"&lt;="&amp;A2046)-SUMIFS(Оплаты!$B$6:$B$505,Оплаты!$A$6:$A$505,"&lt;"&amp;A2046,Оплаты!$D$6:$D$505,"&lt;&gt;"))</f>
        <v/>
      </c>
      <c r="E2046">
        <f>IF(A2046="","",IF(SUMPRODUCT((Ввод!$F$12:$F$31&lt;&gt;"")*(Ввод!$F$12:$F$31&lt;=A2046)*(Ввод!$G$12:$G$31&gt;=A2046))&gt;0,1,0))</f>
        <v/>
      </c>
      <c r="G2046">
        <f>IF(A2046="","",IF(OR(B2046&lt;&gt;B2045,C2046&lt;&gt;C2045,E2046&lt;&gt;E2045),G2045+1,G2045))</f>
        <v/>
      </c>
    </row>
    <row r="2047">
      <c r="A2047" s="20">
        <f>IF(A2046="","",IF(A2046+1&gt;Ввод!$B$4,"",A2046+1))</f>
        <v/>
      </c>
      <c r="B2047">
        <f>IF(A2047="","",IFERROR(INDEX(Ввод!$B$12:$B$71,MATCH(A2047,Ввод!$D$12:$D$71,1)),""))</f>
        <v/>
      </c>
      <c r="C2047">
        <f>IF(A2047="","",DATE(YEAR(A2047),12,31)-DATE(YEAR(A2047),1,1)+1)</f>
        <v/>
      </c>
      <c r="D2047">
        <f>IF(A2047="","",SUMIFS(Акты!$D$5:$D$16,Акты!$E$5:$E$16,"&lt;="&amp;A2047)-SUMIFS(Оплаты!$B$6:$B$505,Оплаты!$A$6:$A$505,"&lt;"&amp;A2047,Оплаты!$D$6:$D$505,"&lt;&gt;"))</f>
        <v/>
      </c>
      <c r="E2047">
        <f>IF(A2047="","",IF(SUMPRODUCT((Ввод!$F$12:$F$31&lt;&gt;"")*(Ввод!$F$12:$F$31&lt;=A2047)*(Ввод!$G$12:$G$31&gt;=A2047))&gt;0,1,0))</f>
        <v/>
      </c>
      <c r="G2047">
        <f>IF(A2047="","",IF(OR(B2047&lt;&gt;B2046,C2047&lt;&gt;C2046,E2047&lt;&gt;E2046),G2046+1,G2046))</f>
        <v/>
      </c>
    </row>
    <row r="2048">
      <c r="A2048" s="20">
        <f>IF(A2047="","",IF(A2047+1&gt;Ввод!$B$4,"",A2047+1))</f>
        <v/>
      </c>
      <c r="B2048">
        <f>IF(A2048="","",IFERROR(INDEX(Ввод!$B$12:$B$71,MATCH(A2048,Ввод!$D$12:$D$71,1)),""))</f>
        <v/>
      </c>
      <c r="C2048">
        <f>IF(A2048="","",DATE(YEAR(A2048),12,31)-DATE(YEAR(A2048),1,1)+1)</f>
        <v/>
      </c>
      <c r="D2048">
        <f>IF(A2048="","",SUMIFS(Акты!$D$5:$D$16,Акты!$E$5:$E$16,"&lt;="&amp;A2048)-SUMIFS(Оплаты!$B$6:$B$505,Оплаты!$A$6:$A$505,"&lt;"&amp;A2048,Оплаты!$D$6:$D$505,"&lt;&gt;"))</f>
        <v/>
      </c>
      <c r="E2048">
        <f>IF(A2048="","",IF(SUMPRODUCT((Ввод!$F$12:$F$31&lt;&gt;"")*(Ввод!$F$12:$F$31&lt;=A2048)*(Ввод!$G$12:$G$31&gt;=A2048))&gt;0,1,0))</f>
        <v/>
      </c>
      <c r="G2048">
        <f>IF(A2048="","",IF(OR(B2048&lt;&gt;B2047,C2048&lt;&gt;C2047,E2048&lt;&gt;E2047),G2047+1,G2047))</f>
        <v/>
      </c>
    </row>
    <row r="2049">
      <c r="A2049" s="20">
        <f>IF(A2048="","",IF(A2048+1&gt;Ввод!$B$4,"",A2048+1))</f>
        <v/>
      </c>
      <c r="B2049">
        <f>IF(A2049="","",IFERROR(INDEX(Ввод!$B$12:$B$71,MATCH(A2049,Ввод!$D$12:$D$71,1)),""))</f>
        <v/>
      </c>
      <c r="C2049">
        <f>IF(A2049="","",DATE(YEAR(A2049),12,31)-DATE(YEAR(A2049),1,1)+1)</f>
        <v/>
      </c>
      <c r="D2049">
        <f>IF(A2049="","",SUMIFS(Акты!$D$5:$D$16,Акты!$E$5:$E$16,"&lt;="&amp;A2049)-SUMIFS(Оплаты!$B$6:$B$505,Оплаты!$A$6:$A$505,"&lt;"&amp;A2049,Оплаты!$D$6:$D$505,"&lt;&gt;"))</f>
        <v/>
      </c>
      <c r="E2049">
        <f>IF(A2049="","",IF(SUMPRODUCT((Ввод!$F$12:$F$31&lt;&gt;"")*(Ввод!$F$12:$F$31&lt;=A2049)*(Ввод!$G$12:$G$31&gt;=A2049))&gt;0,1,0))</f>
        <v/>
      </c>
      <c r="G2049">
        <f>IF(A2049="","",IF(OR(B2049&lt;&gt;B2048,C2049&lt;&gt;C2048,E2049&lt;&gt;E2048),G2048+1,G2048))</f>
        <v/>
      </c>
    </row>
    <row r="2050">
      <c r="A2050" s="20">
        <f>IF(A2049="","",IF(A2049+1&gt;Ввод!$B$4,"",A2049+1))</f>
        <v/>
      </c>
      <c r="B2050">
        <f>IF(A2050="","",IFERROR(INDEX(Ввод!$B$12:$B$71,MATCH(A2050,Ввод!$D$12:$D$71,1)),""))</f>
        <v/>
      </c>
      <c r="C2050">
        <f>IF(A2050="","",DATE(YEAR(A2050),12,31)-DATE(YEAR(A2050),1,1)+1)</f>
        <v/>
      </c>
      <c r="D2050">
        <f>IF(A2050="","",SUMIFS(Акты!$D$5:$D$16,Акты!$E$5:$E$16,"&lt;="&amp;A2050)-SUMIFS(Оплаты!$B$6:$B$505,Оплаты!$A$6:$A$505,"&lt;"&amp;A2050,Оплаты!$D$6:$D$505,"&lt;&gt;"))</f>
        <v/>
      </c>
      <c r="E2050">
        <f>IF(A2050="","",IF(SUMPRODUCT((Ввод!$F$12:$F$31&lt;&gt;"")*(Ввод!$F$12:$F$31&lt;=A2050)*(Ввод!$G$12:$G$31&gt;=A2050))&gt;0,1,0))</f>
        <v/>
      </c>
      <c r="G2050">
        <f>IF(A2050="","",IF(OR(B2050&lt;&gt;B2049,C2050&lt;&gt;C2049,E2050&lt;&gt;E2049),G2049+1,G2049))</f>
        <v/>
      </c>
    </row>
    <row r="2051">
      <c r="A2051" s="20">
        <f>IF(A2050="","",IF(A2050+1&gt;Ввод!$B$4,"",A2050+1))</f>
        <v/>
      </c>
      <c r="B2051">
        <f>IF(A2051="","",IFERROR(INDEX(Ввод!$B$12:$B$71,MATCH(A2051,Ввод!$D$12:$D$71,1)),""))</f>
        <v/>
      </c>
      <c r="C2051">
        <f>IF(A2051="","",DATE(YEAR(A2051),12,31)-DATE(YEAR(A2051),1,1)+1)</f>
        <v/>
      </c>
      <c r="D2051">
        <f>IF(A2051="","",SUMIFS(Акты!$D$5:$D$16,Акты!$E$5:$E$16,"&lt;="&amp;A2051)-SUMIFS(Оплаты!$B$6:$B$505,Оплаты!$A$6:$A$505,"&lt;"&amp;A2051,Оплаты!$D$6:$D$505,"&lt;&gt;"))</f>
        <v/>
      </c>
      <c r="E2051">
        <f>IF(A2051="","",IF(SUMPRODUCT((Ввод!$F$12:$F$31&lt;&gt;"")*(Ввод!$F$12:$F$31&lt;=A2051)*(Ввод!$G$12:$G$31&gt;=A2051))&gt;0,1,0))</f>
        <v/>
      </c>
      <c r="G2051">
        <f>IF(A2051="","",IF(OR(B2051&lt;&gt;B2050,C2051&lt;&gt;C2050,E2051&lt;&gt;E2050),G2050+1,G2050))</f>
        <v/>
      </c>
    </row>
    <row r="2052">
      <c r="A2052" s="20">
        <f>IF(A2051="","",IF(A2051+1&gt;Ввод!$B$4,"",A2051+1))</f>
        <v/>
      </c>
      <c r="B2052">
        <f>IF(A2052="","",IFERROR(INDEX(Ввод!$B$12:$B$71,MATCH(A2052,Ввод!$D$12:$D$71,1)),""))</f>
        <v/>
      </c>
      <c r="C2052">
        <f>IF(A2052="","",DATE(YEAR(A2052),12,31)-DATE(YEAR(A2052),1,1)+1)</f>
        <v/>
      </c>
      <c r="D2052">
        <f>IF(A2052="","",SUMIFS(Акты!$D$5:$D$16,Акты!$E$5:$E$16,"&lt;="&amp;A2052)-SUMIFS(Оплаты!$B$6:$B$505,Оплаты!$A$6:$A$505,"&lt;"&amp;A2052,Оплаты!$D$6:$D$505,"&lt;&gt;"))</f>
        <v/>
      </c>
      <c r="E2052">
        <f>IF(A2052="","",IF(SUMPRODUCT((Ввод!$F$12:$F$31&lt;&gt;"")*(Ввод!$F$12:$F$31&lt;=A2052)*(Ввод!$G$12:$G$31&gt;=A2052))&gt;0,1,0))</f>
        <v/>
      </c>
      <c r="G2052">
        <f>IF(A2052="","",IF(OR(B2052&lt;&gt;B2051,C2052&lt;&gt;C2051,E2052&lt;&gt;E2051),G2051+1,G2051))</f>
        <v/>
      </c>
    </row>
    <row r="2053">
      <c r="A2053" s="20">
        <f>IF(A2052="","",IF(A2052+1&gt;Ввод!$B$4,"",A2052+1))</f>
        <v/>
      </c>
      <c r="B2053">
        <f>IF(A2053="","",IFERROR(INDEX(Ввод!$B$12:$B$71,MATCH(A2053,Ввод!$D$12:$D$71,1)),""))</f>
        <v/>
      </c>
      <c r="C2053">
        <f>IF(A2053="","",DATE(YEAR(A2053),12,31)-DATE(YEAR(A2053),1,1)+1)</f>
        <v/>
      </c>
      <c r="D2053">
        <f>IF(A2053="","",SUMIFS(Акты!$D$5:$D$16,Акты!$E$5:$E$16,"&lt;="&amp;A2053)-SUMIFS(Оплаты!$B$6:$B$505,Оплаты!$A$6:$A$505,"&lt;"&amp;A2053,Оплаты!$D$6:$D$505,"&lt;&gt;"))</f>
        <v/>
      </c>
      <c r="E2053">
        <f>IF(A2053="","",IF(SUMPRODUCT((Ввод!$F$12:$F$31&lt;&gt;"")*(Ввод!$F$12:$F$31&lt;=A2053)*(Ввод!$G$12:$G$31&gt;=A2053))&gt;0,1,0))</f>
        <v/>
      </c>
      <c r="G2053">
        <f>IF(A2053="","",IF(OR(B2053&lt;&gt;B2052,C2053&lt;&gt;C2052,E2053&lt;&gt;E2052),G2052+1,G2052))</f>
        <v/>
      </c>
    </row>
    <row r="2054">
      <c r="A2054" s="20">
        <f>IF(A2053="","",IF(A2053+1&gt;Ввод!$B$4,"",A2053+1))</f>
        <v/>
      </c>
      <c r="B2054">
        <f>IF(A2054="","",IFERROR(INDEX(Ввод!$B$12:$B$71,MATCH(A2054,Ввод!$D$12:$D$71,1)),""))</f>
        <v/>
      </c>
      <c r="C2054">
        <f>IF(A2054="","",DATE(YEAR(A2054),12,31)-DATE(YEAR(A2054),1,1)+1)</f>
        <v/>
      </c>
      <c r="D2054">
        <f>IF(A2054="","",SUMIFS(Акты!$D$5:$D$16,Акты!$E$5:$E$16,"&lt;="&amp;A2054)-SUMIFS(Оплаты!$B$6:$B$505,Оплаты!$A$6:$A$505,"&lt;"&amp;A2054,Оплаты!$D$6:$D$505,"&lt;&gt;"))</f>
        <v/>
      </c>
      <c r="E2054">
        <f>IF(A2054="","",IF(SUMPRODUCT((Ввод!$F$12:$F$31&lt;&gt;"")*(Ввод!$F$12:$F$31&lt;=A2054)*(Ввод!$G$12:$G$31&gt;=A2054))&gt;0,1,0))</f>
        <v/>
      </c>
      <c r="G2054">
        <f>IF(A2054="","",IF(OR(B2054&lt;&gt;B2053,C2054&lt;&gt;C2053,E2054&lt;&gt;E2053),G2053+1,G2053))</f>
        <v/>
      </c>
    </row>
    <row r="2055">
      <c r="A2055" s="20">
        <f>IF(A2054="","",IF(A2054+1&gt;Ввод!$B$4,"",A2054+1))</f>
        <v/>
      </c>
      <c r="B2055">
        <f>IF(A2055="","",IFERROR(INDEX(Ввод!$B$12:$B$71,MATCH(A2055,Ввод!$D$12:$D$71,1)),""))</f>
        <v/>
      </c>
      <c r="C2055">
        <f>IF(A2055="","",DATE(YEAR(A2055),12,31)-DATE(YEAR(A2055),1,1)+1)</f>
        <v/>
      </c>
      <c r="D2055">
        <f>IF(A2055="","",SUMIFS(Акты!$D$5:$D$16,Акты!$E$5:$E$16,"&lt;="&amp;A2055)-SUMIFS(Оплаты!$B$6:$B$505,Оплаты!$A$6:$A$505,"&lt;"&amp;A2055,Оплаты!$D$6:$D$505,"&lt;&gt;"))</f>
        <v/>
      </c>
      <c r="E2055">
        <f>IF(A2055="","",IF(SUMPRODUCT((Ввод!$F$12:$F$31&lt;&gt;"")*(Ввод!$F$12:$F$31&lt;=A2055)*(Ввод!$G$12:$G$31&gt;=A2055))&gt;0,1,0))</f>
        <v/>
      </c>
      <c r="G2055">
        <f>IF(A2055="","",IF(OR(B2055&lt;&gt;B2054,C2055&lt;&gt;C2054,E2055&lt;&gt;E2054),G2054+1,G2054))</f>
        <v/>
      </c>
    </row>
    <row r="2056">
      <c r="A2056" s="20">
        <f>IF(A2055="","",IF(A2055+1&gt;Ввод!$B$4,"",A2055+1))</f>
        <v/>
      </c>
      <c r="B2056">
        <f>IF(A2056="","",IFERROR(INDEX(Ввод!$B$12:$B$71,MATCH(A2056,Ввод!$D$12:$D$71,1)),""))</f>
        <v/>
      </c>
      <c r="C2056">
        <f>IF(A2056="","",DATE(YEAR(A2056),12,31)-DATE(YEAR(A2056),1,1)+1)</f>
        <v/>
      </c>
      <c r="D2056">
        <f>IF(A2056="","",SUMIFS(Акты!$D$5:$D$16,Акты!$E$5:$E$16,"&lt;="&amp;A2056)-SUMIFS(Оплаты!$B$6:$B$505,Оплаты!$A$6:$A$505,"&lt;"&amp;A2056,Оплаты!$D$6:$D$505,"&lt;&gt;"))</f>
        <v/>
      </c>
      <c r="E2056">
        <f>IF(A2056="","",IF(SUMPRODUCT((Ввод!$F$12:$F$31&lt;&gt;"")*(Ввод!$F$12:$F$31&lt;=A2056)*(Ввод!$G$12:$G$31&gt;=A2056))&gt;0,1,0))</f>
        <v/>
      </c>
      <c r="G2056">
        <f>IF(A2056="","",IF(OR(B2056&lt;&gt;B2055,C2056&lt;&gt;C2055,E2056&lt;&gt;E2055),G2055+1,G2055))</f>
        <v/>
      </c>
    </row>
    <row r="2057">
      <c r="A2057" s="20">
        <f>IF(A2056="","",IF(A2056+1&gt;Ввод!$B$4,"",A2056+1))</f>
        <v/>
      </c>
      <c r="B2057">
        <f>IF(A2057="","",IFERROR(INDEX(Ввод!$B$12:$B$71,MATCH(A2057,Ввод!$D$12:$D$71,1)),""))</f>
        <v/>
      </c>
      <c r="C2057">
        <f>IF(A2057="","",DATE(YEAR(A2057),12,31)-DATE(YEAR(A2057),1,1)+1)</f>
        <v/>
      </c>
      <c r="D2057">
        <f>IF(A2057="","",SUMIFS(Акты!$D$5:$D$16,Акты!$E$5:$E$16,"&lt;="&amp;A2057)-SUMIFS(Оплаты!$B$6:$B$505,Оплаты!$A$6:$A$505,"&lt;"&amp;A2057,Оплаты!$D$6:$D$505,"&lt;&gt;"))</f>
        <v/>
      </c>
      <c r="E2057">
        <f>IF(A2057="","",IF(SUMPRODUCT((Ввод!$F$12:$F$31&lt;&gt;"")*(Ввод!$F$12:$F$31&lt;=A2057)*(Ввод!$G$12:$G$31&gt;=A2057))&gt;0,1,0))</f>
        <v/>
      </c>
      <c r="G2057">
        <f>IF(A2057="","",IF(OR(B2057&lt;&gt;B2056,C2057&lt;&gt;C2056,E2057&lt;&gt;E2056),G2056+1,G2056))</f>
        <v/>
      </c>
    </row>
    <row r="2058">
      <c r="A2058" s="20">
        <f>IF(A2057="","",IF(A2057+1&gt;Ввод!$B$4,"",A2057+1))</f>
        <v/>
      </c>
      <c r="B2058">
        <f>IF(A2058="","",IFERROR(INDEX(Ввод!$B$12:$B$71,MATCH(A2058,Ввод!$D$12:$D$71,1)),""))</f>
        <v/>
      </c>
      <c r="C2058">
        <f>IF(A2058="","",DATE(YEAR(A2058),12,31)-DATE(YEAR(A2058),1,1)+1)</f>
        <v/>
      </c>
      <c r="D2058">
        <f>IF(A2058="","",SUMIFS(Акты!$D$5:$D$16,Акты!$E$5:$E$16,"&lt;="&amp;A2058)-SUMIFS(Оплаты!$B$6:$B$505,Оплаты!$A$6:$A$505,"&lt;"&amp;A2058,Оплаты!$D$6:$D$505,"&lt;&gt;"))</f>
        <v/>
      </c>
      <c r="E2058">
        <f>IF(A2058="","",IF(SUMPRODUCT((Ввод!$F$12:$F$31&lt;&gt;"")*(Ввод!$F$12:$F$31&lt;=A2058)*(Ввод!$G$12:$G$31&gt;=A2058))&gt;0,1,0))</f>
        <v/>
      </c>
      <c r="G2058">
        <f>IF(A2058="","",IF(OR(B2058&lt;&gt;B2057,C2058&lt;&gt;C2057,E2058&lt;&gt;E2057),G2057+1,G2057))</f>
        <v/>
      </c>
    </row>
    <row r="2059">
      <c r="A2059" s="20">
        <f>IF(A2058="","",IF(A2058+1&gt;Ввод!$B$4,"",A2058+1))</f>
        <v/>
      </c>
      <c r="B2059">
        <f>IF(A2059="","",IFERROR(INDEX(Ввод!$B$12:$B$71,MATCH(A2059,Ввод!$D$12:$D$71,1)),""))</f>
        <v/>
      </c>
      <c r="C2059">
        <f>IF(A2059="","",DATE(YEAR(A2059),12,31)-DATE(YEAR(A2059),1,1)+1)</f>
        <v/>
      </c>
      <c r="D2059">
        <f>IF(A2059="","",SUMIFS(Акты!$D$5:$D$16,Акты!$E$5:$E$16,"&lt;="&amp;A2059)-SUMIFS(Оплаты!$B$6:$B$505,Оплаты!$A$6:$A$505,"&lt;"&amp;A2059,Оплаты!$D$6:$D$505,"&lt;&gt;"))</f>
        <v/>
      </c>
      <c r="E2059">
        <f>IF(A2059="","",IF(SUMPRODUCT((Ввод!$F$12:$F$31&lt;&gt;"")*(Ввод!$F$12:$F$31&lt;=A2059)*(Ввод!$G$12:$G$31&gt;=A2059))&gt;0,1,0))</f>
        <v/>
      </c>
      <c r="G2059">
        <f>IF(A2059="","",IF(OR(B2059&lt;&gt;B2058,C2059&lt;&gt;C2058,E2059&lt;&gt;E2058),G2058+1,G2058))</f>
        <v/>
      </c>
    </row>
    <row r="2060">
      <c r="A2060" s="20">
        <f>IF(A2059="","",IF(A2059+1&gt;Ввод!$B$4,"",A2059+1))</f>
        <v/>
      </c>
      <c r="B2060">
        <f>IF(A2060="","",IFERROR(INDEX(Ввод!$B$12:$B$71,MATCH(A2060,Ввод!$D$12:$D$71,1)),""))</f>
        <v/>
      </c>
      <c r="C2060">
        <f>IF(A2060="","",DATE(YEAR(A2060),12,31)-DATE(YEAR(A2060),1,1)+1)</f>
        <v/>
      </c>
      <c r="D2060">
        <f>IF(A2060="","",SUMIFS(Акты!$D$5:$D$16,Акты!$E$5:$E$16,"&lt;="&amp;A2060)-SUMIFS(Оплаты!$B$6:$B$505,Оплаты!$A$6:$A$505,"&lt;"&amp;A2060,Оплаты!$D$6:$D$505,"&lt;&gt;"))</f>
        <v/>
      </c>
      <c r="E2060">
        <f>IF(A2060="","",IF(SUMPRODUCT((Ввод!$F$12:$F$31&lt;&gt;"")*(Ввод!$F$12:$F$31&lt;=A2060)*(Ввод!$G$12:$G$31&gt;=A2060))&gt;0,1,0))</f>
        <v/>
      </c>
      <c r="G2060">
        <f>IF(A2060="","",IF(OR(B2060&lt;&gt;B2059,C2060&lt;&gt;C2059,E2060&lt;&gt;E2059),G2059+1,G2059))</f>
        <v/>
      </c>
    </row>
    <row r="2061">
      <c r="A2061" s="20">
        <f>IF(A2060="","",IF(A2060+1&gt;Ввод!$B$4,"",A2060+1))</f>
        <v/>
      </c>
      <c r="B2061">
        <f>IF(A2061="","",IFERROR(INDEX(Ввод!$B$12:$B$71,MATCH(A2061,Ввод!$D$12:$D$71,1)),""))</f>
        <v/>
      </c>
      <c r="C2061">
        <f>IF(A2061="","",DATE(YEAR(A2061),12,31)-DATE(YEAR(A2061),1,1)+1)</f>
        <v/>
      </c>
      <c r="D2061">
        <f>IF(A2061="","",SUMIFS(Акты!$D$5:$D$16,Акты!$E$5:$E$16,"&lt;="&amp;A2061)-SUMIFS(Оплаты!$B$6:$B$505,Оплаты!$A$6:$A$505,"&lt;"&amp;A2061,Оплаты!$D$6:$D$505,"&lt;&gt;"))</f>
        <v/>
      </c>
      <c r="E2061">
        <f>IF(A2061="","",IF(SUMPRODUCT((Ввод!$F$12:$F$31&lt;&gt;"")*(Ввод!$F$12:$F$31&lt;=A2061)*(Ввод!$G$12:$G$31&gt;=A2061))&gt;0,1,0))</f>
        <v/>
      </c>
      <c r="G2061">
        <f>IF(A2061="","",IF(OR(B2061&lt;&gt;B2060,C2061&lt;&gt;C2060,E2061&lt;&gt;E2060),G2060+1,G2060))</f>
        <v/>
      </c>
    </row>
    <row r="2062">
      <c r="A2062" s="20">
        <f>IF(A2061="","",IF(A2061+1&gt;Ввод!$B$4,"",A2061+1))</f>
        <v/>
      </c>
      <c r="B2062">
        <f>IF(A2062="","",IFERROR(INDEX(Ввод!$B$12:$B$71,MATCH(A2062,Ввод!$D$12:$D$71,1)),""))</f>
        <v/>
      </c>
      <c r="C2062">
        <f>IF(A2062="","",DATE(YEAR(A2062),12,31)-DATE(YEAR(A2062),1,1)+1)</f>
        <v/>
      </c>
      <c r="D2062">
        <f>IF(A2062="","",SUMIFS(Акты!$D$5:$D$16,Акты!$E$5:$E$16,"&lt;="&amp;A2062)-SUMIFS(Оплаты!$B$6:$B$505,Оплаты!$A$6:$A$505,"&lt;"&amp;A2062,Оплаты!$D$6:$D$505,"&lt;&gt;"))</f>
        <v/>
      </c>
      <c r="E2062">
        <f>IF(A2062="","",IF(SUMPRODUCT((Ввод!$F$12:$F$31&lt;&gt;"")*(Ввод!$F$12:$F$31&lt;=A2062)*(Ввод!$G$12:$G$31&gt;=A2062))&gt;0,1,0))</f>
        <v/>
      </c>
      <c r="G2062">
        <f>IF(A2062="","",IF(OR(B2062&lt;&gt;B2061,C2062&lt;&gt;C2061,E2062&lt;&gt;E2061),G2061+1,G2061))</f>
        <v/>
      </c>
    </row>
    <row r="2063">
      <c r="A2063" s="20">
        <f>IF(A2062="","",IF(A2062+1&gt;Ввод!$B$4,"",A2062+1))</f>
        <v/>
      </c>
      <c r="B2063">
        <f>IF(A2063="","",IFERROR(INDEX(Ввод!$B$12:$B$71,MATCH(A2063,Ввод!$D$12:$D$71,1)),""))</f>
        <v/>
      </c>
      <c r="C2063">
        <f>IF(A2063="","",DATE(YEAR(A2063),12,31)-DATE(YEAR(A2063),1,1)+1)</f>
        <v/>
      </c>
      <c r="D2063">
        <f>IF(A2063="","",SUMIFS(Акты!$D$5:$D$16,Акты!$E$5:$E$16,"&lt;="&amp;A2063)-SUMIFS(Оплаты!$B$6:$B$505,Оплаты!$A$6:$A$505,"&lt;"&amp;A2063,Оплаты!$D$6:$D$505,"&lt;&gt;"))</f>
        <v/>
      </c>
      <c r="E2063">
        <f>IF(A2063="","",IF(SUMPRODUCT((Ввод!$F$12:$F$31&lt;&gt;"")*(Ввод!$F$12:$F$31&lt;=A2063)*(Ввод!$G$12:$G$31&gt;=A2063))&gt;0,1,0))</f>
        <v/>
      </c>
      <c r="G2063">
        <f>IF(A2063="","",IF(OR(B2063&lt;&gt;B2062,C2063&lt;&gt;C2062,E2063&lt;&gt;E2062),G2062+1,G2062))</f>
        <v/>
      </c>
    </row>
    <row r="2064">
      <c r="A2064" s="20">
        <f>IF(A2063="","",IF(A2063+1&gt;Ввод!$B$4,"",A2063+1))</f>
        <v/>
      </c>
      <c r="B2064">
        <f>IF(A2064="","",IFERROR(INDEX(Ввод!$B$12:$B$71,MATCH(A2064,Ввод!$D$12:$D$71,1)),""))</f>
        <v/>
      </c>
      <c r="C2064">
        <f>IF(A2064="","",DATE(YEAR(A2064),12,31)-DATE(YEAR(A2064),1,1)+1)</f>
        <v/>
      </c>
      <c r="D2064">
        <f>IF(A2064="","",SUMIFS(Акты!$D$5:$D$16,Акты!$E$5:$E$16,"&lt;="&amp;A2064)-SUMIFS(Оплаты!$B$6:$B$505,Оплаты!$A$6:$A$505,"&lt;"&amp;A2064,Оплаты!$D$6:$D$505,"&lt;&gt;"))</f>
        <v/>
      </c>
      <c r="E2064">
        <f>IF(A2064="","",IF(SUMPRODUCT((Ввод!$F$12:$F$31&lt;&gt;"")*(Ввод!$F$12:$F$31&lt;=A2064)*(Ввод!$G$12:$G$31&gt;=A2064))&gt;0,1,0))</f>
        <v/>
      </c>
      <c r="G2064">
        <f>IF(A2064="","",IF(OR(B2064&lt;&gt;B2063,C2064&lt;&gt;C2063,E2064&lt;&gt;E2063),G2063+1,G2063))</f>
        <v/>
      </c>
    </row>
    <row r="2065">
      <c r="A2065" s="20">
        <f>IF(A2064="","",IF(A2064+1&gt;Ввод!$B$4,"",A2064+1))</f>
        <v/>
      </c>
      <c r="B2065">
        <f>IF(A2065="","",IFERROR(INDEX(Ввод!$B$12:$B$71,MATCH(A2065,Ввод!$D$12:$D$71,1)),""))</f>
        <v/>
      </c>
      <c r="C2065">
        <f>IF(A2065="","",DATE(YEAR(A2065),12,31)-DATE(YEAR(A2065),1,1)+1)</f>
        <v/>
      </c>
      <c r="D2065">
        <f>IF(A2065="","",SUMIFS(Акты!$D$5:$D$16,Акты!$E$5:$E$16,"&lt;="&amp;A2065)-SUMIFS(Оплаты!$B$6:$B$505,Оплаты!$A$6:$A$505,"&lt;"&amp;A2065,Оплаты!$D$6:$D$505,"&lt;&gt;"))</f>
        <v/>
      </c>
      <c r="E2065">
        <f>IF(A2065="","",IF(SUMPRODUCT((Ввод!$F$12:$F$31&lt;&gt;"")*(Ввод!$F$12:$F$31&lt;=A2065)*(Ввод!$G$12:$G$31&gt;=A2065))&gt;0,1,0))</f>
        <v/>
      </c>
      <c r="G2065">
        <f>IF(A2065="","",IF(OR(B2065&lt;&gt;B2064,C2065&lt;&gt;C2064,E2065&lt;&gt;E2064),G2064+1,G2064))</f>
        <v/>
      </c>
    </row>
    <row r="2066">
      <c r="A2066" s="20">
        <f>IF(A2065="","",IF(A2065+1&gt;Ввод!$B$4,"",A2065+1))</f>
        <v/>
      </c>
      <c r="B2066">
        <f>IF(A2066="","",IFERROR(INDEX(Ввод!$B$12:$B$71,MATCH(A2066,Ввод!$D$12:$D$71,1)),""))</f>
        <v/>
      </c>
      <c r="C2066">
        <f>IF(A2066="","",DATE(YEAR(A2066),12,31)-DATE(YEAR(A2066),1,1)+1)</f>
        <v/>
      </c>
      <c r="D2066">
        <f>IF(A2066="","",SUMIFS(Акты!$D$5:$D$16,Акты!$E$5:$E$16,"&lt;="&amp;A2066)-SUMIFS(Оплаты!$B$6:$B$505,Оплаты!$A$6:$A$505,"&lt;"&amp;A2066,Оплаты!$D$6:$D$505,"&lt;&gt;"))</f>
        <v/>
      </c>
      <c r="E2066">
        <f>IF(A2066="","",IF(SUMPRODUCT((Ввод!$F$12:$F$31&lt;&gt;"")*(Ввод!$F$12:$F$31&lt;=A2066)*(Ввод!$G$12:$G$31&gt;=A2066))&gt;0,1,0))</f>
        <v/>
      </c>
      <c r="G2066">
        <f>IF(A2066="","",IF(OR(B2066&lt;&gt;B2065,C2066&lt;&gt;C2065,E2066&lt;&gt;E2065),G2065+1,G2065))</f>
        <v/>
      </c>
    </row>
    <row r="2067">
      <c r="A2067" s="20">
        <f>IF(A2066="","",IF(A2066+1&gt;Ввод!$B$4,"",A2066+1))</f>
        <v/>
      </c>
      <c r="B2067">
        <f>IF(A2067="","",IFERROR(INDEX(Ввод!$B$12:$B$71,MATCH(A2067,Ввод!$D$12:$D$71,1)),""))</f>
        <v/>
      </c>
      <c r="C2067">
        <f>IF(A2067="","",DATE(YEAR(A2067),12,31)-DATE(YEAR(A2067),1,1)+1)</f>
        <v/>
      </c>
      <c r="D2067">
        <f>IF(A2067="","",SUMIFS(Акты!$D$5:$D$16,Акты!$E$5:$E$16,"&lt;="&amp;A2067)-SUMIFS(Оплаты!$B$6:$B$505,Оплаты!$A$6:$A$505,"&lt;"&amp;A2067,Оплаты!$D$6:$D$505,"&lt;&gt;"))</f>
        <v/>
      </c>
      <c r="E2067">
        <f>IF(A2067="","",IF(SUMPRODUCT((Ввод!$F$12:$F$31&lt;&gt;"")*(Ввод!$F$12:$F$31&lt;=A2067)*(Ввод!$G$12:$G$31&gt;=A2067))&gt;0,1,0))</f>
        <v/>
      </c>
      <c r="G2067">
        <f>IF(A2067="","",IF(OR(B2067&lt;&gt;B2066,C2067&lt;&gt;C2066,E2067&lt;&gt;E2066),G2066+1,G2066))</f>
        <v/>
      </c>
    </row>
    <row r="2068">
      <c r="A2068" s="20">
        <f>IF(A2067="","",IF(A2067+1&gt;Ввод!$B$4,"",A2067+1))</f>
        <v/>
      </c>
      <c r="B2068">
        <f>IF(A2068="","",IFERROR(INDEX(Ввод!$B$12:$B$71,MATCH(A2068,Ввод!$D$12:$D$71,1)),""))</f>
        <v/>
      </c>
      <c r="C2068">
        <f>IF(A2068="","",DATE(YEAR(A2068),12,31)-DATE(YEAR(A2068),1,1)+1)</f>
        <v/>
      </c>
      <c r="D2068">
        <f>IF(A2068="","",SUMIFS(Акты!$D$5:$D$16,Акты!$E$5:$E$16,"&lt;="&amp;A2068)-SUMIFS(Оплаты!$B$6:$B$505,Оплаты!$A$6:$A$505,"&lt;"&amp;A2068,Оплаты!$D$6:$D$505,"&lt;&gt;"))</f>
        <v/>
      </c>
      <c r="E2068">
        <f>IF(A2068="","",IF(SUMPRODUCT((Ввод!$F$12:$F$31&lt;&gt;"")*(Ввод!$F$12:$F$31&lt;=A2068)*(Ввод!$G$12:$G$31&gt;=A2068))&gt;0,1,0))</f>
        <v/>
      </c>
      <c r="G2068">
        <f>IF(A2068="","",IF(OR(B2068&lt;&gt;B2067,C2068&lt;&gt;C2067,E2068&lt;&gt;E2067),G2067+1,G2067))</f>
        <v/>
      </c>
    </row>
    <row r="2069">
      <c r="A2069" s="20">
        <f>IF(A2068="","",IF(A2068+1&gt;Ввод!$B$4,"",A2068+1))</f>
        <v/>
      </c>
      <c r="B2069">
        <f>IF(A2069="","",IFERROR(INDEX(Ввод!$B$12:$B$71,MATCH(A2069,Ввод!$D$12:$D$71,1)),""))</f>
        <v/>
      </c>
      <c r="C2069">
        <f>IF(A2069="","",DATE(YEAR(A2069),12,31)-DATE(YEAR(A2069),1,1)+1)</f>
        <v/>
      </c>
      <c r="D2069">
        <f>IF(A2069="","",SUMIFS(Акты!$D$5:$D$16,Акты!$E$5:$E$16,"&lt;="&amp;A2069)-SUMIFS(Оплаты!$B$6:$B$505,Оплаты!$A$6:$A$505,"&lt;"&amp;A2069,Оплаты!$D$6:$D$505,"&lt;&gt;"))</f>
        <v/>
      </c>
      <c r="E2069">
        <f>IF(A2069="","",IF(SUMPRODUCT((Ввод!$F$12:$F$31&lt;&gt;"")*(Ввод!$F$12:$F$31&lt;=A2069)*(Ввод!$G$12:$G$31&gt;=A2069))&gt;0,1,0))</f>
        <v/>
      </c>
      <c r="G2069">
        <f>IF(A2069="","",IF(OR(B2069&lt;&gt;B2068,C2069&lt;&gt;C2068,E2069&lt;&gt;E2068),G2068+1,G2068))</f>
        <v/>
      </c>
    </row>
    <row r="2070">
      <c r="A2070" s="20">
        <f>IF(A2069="","",IF(A2069+1&gt;Ввод!$B$4,"",A2069+1))</f>
        <v/>
      </c>
      <c r="B2070">
        <f>IF(A2070="","",IFERROR(INDEX(Ввод!$B$12:$B$71,MATCH(A2070,Ввод!$D$12:$D$71,1)),""))</f>
        <v/>
      </c>
      <c r="C2070">
        <f>IF(A2070="","",DATE(YEAR(A2070),12,31)-DATE(YEAR(A2070),1,1)+1)</f>
        <v/>
      </c>
      <c r="D2070">
        <f>IF(A2070="","",SUMIFS(Акты!$D$5:$D$16,Акты!$E$5:$E$16,"&lt;="&amp;A2070)-SUMIFS(Оплаты!$B$6:$B$505,Оплаты!$A$6:$A$505,"&lt;"&amp;A2070,Оплаты!$D$6:$D$505,"&lt;&gt;"))</f>
        <v/>
      </c>
      <c r="E2070">
        <f>IF(A2070="","",IF(SUMPRODUCT((Ввод!$F$12:$F$31&lt;&gt;"")*(Ввод!$F$12:$F$31&lt;=A2070)*(Ввод!$G$12:$G$31&gt;=A2070))&gt;0,1,0))</f>
        <v/>
      </c>
      <c r="G2070">
        <f>IF(A2070="","",IF(OR(B2070&lt;&gt;B2069,C2070&lt;&gt;C2069,E2070&lt;&gt;E2069),G2069+1,G2069))</f>
        <v/>
      </c>
    </row>
    <row r="2071">
      <c r="A2071" s="20">
        <f>IF(A2070="","",IF(A2070+1&gt;Ввод!$B$4,"",A2070+1))</f>
        <v/>
      </c>
      <c r="B2071">
        <f>IF(A2071="","",IFERROR(INDEX(Ввод!$B$12:$B$71,MATCH(A2071,Ввод!$D$12:$D$71,1)),""))</f>
        <v/>
      </c>
      <c r="C2071">
        <f>IF(A2071="","",DATE(YEAR(A2071),12,31)-DATE(YEAR(A2071),1,1)+1)</f>
        <v/>
      </c>
      <c r="D2071">
        <f>IF(A2071="","",SUMIFS(Акты!$D$5:$D$16,Акты!$E$5:$E$16,"&lt;="&amp;A2071)-SUMIFS(Оплаты!$B$6:$B$505,Оплаты!$A$6:$A$505,"&lt;"&amp;A2071,Оплаты!$D$6:$D$505,"&lt;&gt;"))</f>
        <v/>
      </c>
      <c r="E2071">
        <f>IF(A2071="","",IF(SUMPRODUCT((Ввод!$F$12:$F$31&lt;&gt;"")*(Ввод!$F$12:$F$31&lt;=A2071)*(Ввод!$G$12:$G$31&gt;=A2071))&gt;0,1,0))</f>
        <v/>
      </c>
      <c r="G2071">
        <f>IF(A2071="","",IF(OR(B2071&lt;&gt;B2070,C2071&lt;&gt;C2070,E2071&lt;&gt;E2070),G2070+1,G2070))</f>
        <v/>
      </c>
    </row>
    <row r="2072">
      <c r="A2072" s="20">
        <f>IF(A2071="","",IF(A2071+1&gt;Ввод!$B$4,"",A2071+1))</f>
        <v/>
      </c>
      <c r="B2072">
        <f>IF(A2072="","",IFERROR(INDEX(Ввод!$B$12:$B$71,MATCH(A2072,Ввод!$D$12:$D$71,1)),""))</f>
        <v/>
      </c>
      <c r="C2072">
        <f>IF(A2072="","",DATE(YEAR(A2072),12,31)-DATE(YEAR(A2072),1,1)+1)</f>
        <v/>
      </c>
      <c r="D2072">
        <f>IF(A2072="","",SUMIFS(Акты!$D$5:$D$16,Акты!$E$5:$E$16,"&lt;="&amp;A2072)-SUMIFS(Оплаты!$B$6:$B$505,Оплаты!$A$6:$A$505,"&lt;"&amp;A2072,Оплаты!$D$6:$D$505,"&lt;&gt;"))</f>
        <v/>
      </c>
      <c r="E2072">
        <f>IF(A2072="","",IF(SUMPRODUCT((Ввод!$F$12:$F$31&lt;&gt;"")*(Ввод!$F$12:$F$31&lt;=A2072)*(Ввод!$G$12:$G$31&gt;=A2072))&gt;0,1,0))</f>
        <v/>
      </c>
      <c r="G2072">
        <f>IF(A2072="","",IF(OR(B2072&lt;&gt;B2071,C2072&lt;&gt;C2071,E2072&lt;&gt;E2071),G2071+1,G2071))</f>
        <v/>
      </c>
    </row>
    <row r="2073">
      <c r="A2073" s="20">
        <f>IF(A2072="","",IF(A2072+1&gt;Ввод!$B$4,"",A2072+1))</f>
        <v/>
      </c>
      <c r="B2073">
        <f>IF(A2073="","",IFERROR(INDEX(Ввод!$B$12:$B$71,MATCH(A2073,Ввод!$D$12:$D$71,1)),""))</f>
        <v/>
      </c>
      <c r="C2073">
        <f>IF(A2073="","",DATE(YEAR(A2073),12,31)-DATE(YEAR(A2073),1,1)+1)</f>
        <v/>
      </c>
      <c r="D2073">
        <f>IF(A2073="","",SUMIFS(Акты!$D$5:$D$16,Акты!$E$5:$E$16,"&lt;="&amp;A2073)-SUMIFS(Оплаты!$B$6:$B$505,Оплаты!$A$6:$A$505,"&lt;"&amp;A2073,Оплаты!$D$6:$D$505,"&lt;&gt;"))</f>
        <v/>
      </c>
      <c r="E2073">
        <f>IF(A2073="","",IF(SUMPRODUCT((Ввод!$F$12:$F$31&lt;&gt;"")*(Ввод!$F$12:$F$31&lt;=A2073)*(Ввод!$G$12:$G$31&gt;=A2073))&gt;0,1,0))</f>
        <v/>
      </c>
      <c r="G2073">
        <f>IF(A2073="","",IF(OR(B2073&lt;&gt;B2072,C2073&lt;&gt;C2072,E2073&lt;&gt;E2072),G2072+1,G2072))</f>
        <v/>
      </c>
    </row>
    <row r="2074">
      <c r="A2074" s="20">
        <f>IF(A2073="","",IF(A2073+1&gt;Ввод!$B$4,"",A2073+1))</f>
        <v/>
      </c>
      <c r="B2074">
        <f>IF(A2074="","",IFERROR(INDEX(Ввод!$B$12:$B$71,MATCH(A2074,Ввод!$D$12:$D$71,1)),""))</f>
        <v/>
      </c>
      <c r="C2074">
        <f>IF(A2074="","",DATE(YEAR(A2074),12,31)-DATE(YEAR(A2074),1,1)+1)</f>
        <v/>
      </c>
      <c r="D2074">
        <f>IF(A2074="","",SUMIFS(Акты!$D$5:$D$16,Акты!$E$5:$E$16,"&lt;="&amp;A2074)-SUMIFS(Оплаты!$B$6:$B$505,Оплаты!$A$6:$A$505,"&lt;"&amp;A2074,Оплаты!$D$6:$D$505,"&lt;&gt;"))</f>
        <v/>
      </c>
      <c r="E2074">
        <f>IF(A2074="","",IF(SUMPRODUCT((Ввод!$F$12:$F$31&lt;&gt;"")*(Ввод!$F$12:$F$31&lt;=A2074)*(Ввод!$G$12:$G$31&gt;=A2074))&gt;0,1,0))</f>
        <v/>
      </c>
      <c r="G2074">
        <f>IF(A2074="","",IF(OR(B2074&lt;&gt;B2073,C2074&lt;&gt;C2073,E2074&lt;&gt;E2073),G2073+1,G2073))</f>
        <v/>
      </c>
    </row>
    <row r="2075">
      <c r="A2075" s="20">
        <f>IF(A2074="","",IF(A2074+1&gt;Ввод!$B$4,"",A2074+1))</f>
        <v/>
      </c>
      <c r="B2075">
        <f>IF(A2075="","",IFERROR(INDEX(Ввод!$B$12:$B$71,MATCH(A2075,Ввод!$D$12:$D$71,1)),""))</f>
        <v/>
      </c>
      <c r="C2075">
        <f>IF(A2075="","",DATE(YEAR(A2075),12,31)-DATE(YEAR(A2075),1,1)+1)</f>
        <v/>
      </c>
      <c r="D2075">
        <f>IF(A2075="","",SUMIFS(Акты!$D$5:$D$16,Акты!$E$5:$E$16,"&lt;="&amp;A2075)-SUMIFS(Оплаты!$B$6:$B$505,Оплаты!$A$6:$A$505,"&lt;"&amp;A2075,Оплаты!$D$6:$D$505,"&lt;&gt;"))</f>
        <v/>
      </c>
      <c r="E2075">
        <f>IF(A2075="","",IF(SUMPRODUCT((Ввод!$F$12:$F$31&lt;&gt;"")*(Ввод!$F$12:$F$31&lt;=A2075)*(Ввод!$G$12:$G$31&gt;=A2075))&gt;0,1,0))</f>
        <v/>
      </c>
      <c r="G2075">
        <f>IF(A2075="","",IF(OR(B2075&lt;&gt;B2074,C2075&lt;&gt;C2074,E2075&lt;&gt;E2074),G2074+1,G2074))</f>
        <v/>
      </c>
    </row>
    <row r="2076">
      <c r="A2076" s="20">
        <f>IF(A2075="","",IF(A2075+1&gt;Ввод!$B$4,"",A2075+1))</f>
        <v/>
      </c>
      <c r="B2076">
        <f>IF(A2076="","",IFERROR(INDEX(Ввод!$B$12:$B$71,MATCH(A2076,Ввод!$D$12:$D$71,1)),""))</f>
        <v/>
      </c>
      <c r="C2076">
        <f>IF(A2076="","",DATE(YEAR(A2076),12,31)-DATE(YEAR(A2076),1,1)+1)</f>
        <v/>
      </c>
      <c r="D2076">
        <f>IF(A2076="","",SUMIFS(Акты!$D$5:$D$16,Акты!$E$5:$E$16,"&lt;="&amp;A2076)-SUMIFS(Оплаты!$B$6:$B$505,Оплаты!$A$6:$A$505,"&lt;"&amp;A2076,Оплаты!$D$6:$D$505,"&lt;&gt;"))</f>
        <v/>
      </c>
      <c r="E2076">
        <f>IF(A2076="","",IF(SUMPRODUCT((Ввод!$F$12:$F$31&lt;&gt;"")*(Ввод!$F$12:$F$31&lt;=A2076)*(Ввод!$G$12:$G$31&gt;=A2076))&gt;0,1,0))</f>
        <v/>
      </c>
      <c r="G2076">
        <f>IF(A2076="","",IF(OR(B2076&lt;&gt;B2075,C2076&lt;&gt;C2075,E2076&lt;&gt;E2075),G2075+1,G2075))</f>
        <v/>
      </c>
    </row>
    <row r="2077">
      <c r="A2077" s="20">
        <f>IF(A2076="","",IF(A2076+1&gt;Ввод!$B$4,"",A2076+1))</f>
        <v/>
      </c>
      <c r="B2077">
        <f>IF(A2077="","",IFERROR(INDEX(Ввод!$B$12:$B$71,MATCH(A2077,Ввод!$D$12:$D$71,1)),""))</f>
        <v/>
      </c>
      <c r="C2077">
        <f>IF(A2077="","",DATE(YEAR(A2077),12,31)-DATE(YEAR(A2077),1,1)+1)</f>
        <v/>
      </c>
      <c r="D2077">
        <f>IF(A2077="","",SUMIFS(Акты!$D$5:$D$16,Акты!$E$5:$E$16,"&lt;="&amp;A2077)-SUMIFS(Оплаты!$B$6:$B$505,Оплаты!$A$6:$A$505,"&lt;"&amp;A2077,Оплаты!$D$6:$D$505,"&lt;&gt;"))</f>
        <v/>
      </c>
      <c r="E2077">
        <f>IF(A2077="","",IF(SUMPRODUCT((Ввод!$F$12:$F$31&lt;&gt;"")*(Ввод!$F$12:$F$31&lt;=A2077)*(Ввод!$G$12:$G$31&gt;=A2077))&gt;0,1,0))</f>
        <v/>
      </c>
      <c r="G2077">
        <f>IF(A2077="","",IF(OR(B2077&lt;&gt;B2076,C2077&lt;&gt;C2076,E2077&lt;&gt;E2076),G2076+1,G2076))</f>
        <v/>
      </c>
    </row>
    <row r="2078">
      <c r="A2078" s="20">
        <f>IF(A2077="","",IF(A2077+1&gt;Ввод!$B$4,"",A2077+1))</f>
        <v/>
      </c>
      <c r="B2078">
        <f>IF(A2078="","",IFERROR(INDEX(Ввод!$B$12:$B$71,MATCH(A2078,Ввод!$D$12:$D$71,1)),""))</f>
        <v/>
      </c>
      <c r="C2078">
        <f>IF(A2078="","",DATE(YEAR(A2078),12,31)-DATE(YEAR(A2078),1,1)+1)</f>
        <v/>
      </c>
      <c r="D2078">
        <f>IF(A2078="","",SUMIFS(Акты!$D$5:$D$16,Акты!$E$5:$E$16,"&lt;="&amp;A2078)-SUMIFS(Оплаты!$B$6:$B$505,Оплаты!$A$6:$A$505,"&lt;"&amp;A2078,Оплаты!$D$6:$D$505,"&lt;&gt;"))</f>
        <v/>
      </c>
      <c r="E2078">
        <f>IF(A2078="","",IF(SUMPRODUCT((Ввод!$F$12:$F$31&lt;&gt;"")*(Ввод!$F$12:$F$31&lt;=A2078)*(Ввод!$G$12:$G$31&gt;=A2078))&gt;0,1,0))</f>
        <v/>
      </c>
      <c r="G2078">
        <f>IF(A2078="","",IF(OR(B2078&lt;&gt;B2077,C2078&lt;&gt;C2077,E2078&lt;&gt;E2077),G2077+1,G2077))</f>
        <v/>
      </c>
    </row>
    <row r="2079">
      <c r="A2079" s="20">
        <f>IF(A2078="","",IF(A2078+1&gt;Ввод!$B$4,"",A2078+1))</f>
        <v/>
      </c>
      <c r="B2079">
        <f>IF(A2079="","",IFERROR(INDEX(Ввод!$B$12:$B$71,MATCH(A2079,Ввод!$D$12:$D$71,1)),""))</f>
        <v/>
      </c>
      <c r="C2079">
        <f>IF(A2079="","",DATE(YEAR(A2079),12,31)-DATE(YEAR(A2079),1,1)+1)</f>
        <v/>
      </c>
      <c r="D2079">
        <f>IF(A2079="","",SUMIFS(Акты!$D$5:$D$16,Акты!$E$5:$E$16,"&lt;="&amp;A2079)-SUMIFS(Оплаты!$B$6:$B$505,Оплаты!$A$6:$A$505,"&lt;"&amp;A2079,Оплаты!$D$6:$D$505,"&lt;&gt;"))</f>
        <v/>
      </c>
      <c r="E2079">
        <f>IF(A2079="","",IF(SUMPRODUCT((Ввод!$F$12:$F$31&lt;&gt;"")*(Ввод!$F$12:$F$31&lt;=A2079)*(Ввод!$G$12:$G$31&gt;=A2079))&gt;0,1,0))</f>
        <v/>
      </c>
      <c r="G2079">
        <f>IF(A2079="","",IF(OR(B2079&lt;&gt;B2078,C2079&lt;&gt;C2078,E2079&lt;&gt;E2078),G2078+1,G2078))</f>
        <v/>
      </c>
    </row>
    <row r="2080">
      <c r="A2080" s="20">
        <f>IF(A2079="","",IF(A2079+1&gt;Ввод!$B$4,"",A2079+1))</f>
        <v/>
      </c>
      <c r="B2080">
        <f>IF(A2080="","",IFERROR(INDEX(Ввод!$B$12:$B$71,MATCH(A2080,Ввод!$D$12:$D$71,1)),""))</f>
        <v/>
      </c>
      <c r="C2080">
        <f>IF(A2080="","",DATE(YEAR(A2080),12,31)-DATE(YEAR(A2080),1,1)+1)</f>
        <v/>
      </c>
      <c r="D2080">
        <f>IF(A2080="","",SUMIFS(Акты!$D$5:$D$16,Акты!$E$5:$E$16,"&lt;="&amp;A2080)-SUMIFS(Оплаты!$B$6:$B$505,Оплаты!$A$6:$A$505,"&lt;"&amp;A2080,Оплаты!$D$6:$D$505,"&lt;&gt;"))</f>
        <v/>
      </c>
      <c r="E2080">
        <f>IF(A2080="","",IF(SUMPRODUCT((Ввод!$F$12:$F$31&lt;&gt;"")*(Ввод!$F$12:$F$31&lt;=A2080)*(Ввод!$G$12:$G$31&gt;=A2080))&gt;0,1,0))</f>
        <v/>
      </c>
      <c r="G2080">
        <f>IF(A2080="","",IF(OR(B2080&lt;&gt;B2079,C2080&lt;&gt;C2079,E2080&lt;&gt;E2079),G2079+1,G2079))</f>
        <v/>
      </c>
    </row>
    <row r="2081">
      <c r="A2081" s="20">
        <f>IF(A2080="","",IF(A2080+1&gt;Ввод!$B$4,"",A2080+1))</f>
        <v/>
      </c>
      <c r="B2081">
        <f>IF(A2081="","",IFERROR(INDEX(Ввод!$B$12:$B$71,MATCH(A2081,Ввод!$D$12:$D$71,1)),""))</f>
        <v/>
      </c>
      <c r="C2081">
        <f>IF(A2081="","",DATE(YEAR(A2081),12,31)-DATE(YEAR(A2081),1,1)+1)</f>
        <v/>
      </c>
      <c r="D2081">
        <f>IF(A2081="","",SUMIFS(Акты!$D$5:$D$16,Акты!$E$5:$E$16,"&lt;="&amp;A2081)-SUMIFS(Оплаты!$B$6:$B$505,Оплаты!$A$6:$A$505,"&lt;"&amp;A2081,Оплаты!$D$6:$D$505,"&lt;&gt;"))</f>
        <v/>
      </c>
      <c r="E2081">
        <f>IF(A2081="","",IF(SUMPRODUCT((Ввод!$F$12:$F$31&lt;&gt;"")*(Ввод!$F$12:$F$31&lt;=A2081)*(Ввод!$G$12:$G$31&gt;=A2081))&gt;0,1,0))</f>
        <v/>
      </c>
      <c r="G2081">
        <f>IF(A2081="","",IF(OR(B2081&lt;&gt;B2080,C2081&lt;&gt;C2080,E2081&lt;&gt;E2080),G2080+1,G2080))</f>
        <v/>
      </c>
    </row>
    <row r="2082">
      <c r="A2082" s="20">
        <f>IF(A2081="","",IF(A2081+1&gt;Ввод!$B$4,"",A2081+1))</f>
        <v/>
      </c>
      <c r="B2082">
        <f>IF(A2082="","",IFERROR(INDEX(Ввод!$B$12:$B$71,MATCH(A2082,Ввод!$D$12:$D$71,1)),""))</f>
        <v/>
      </c>
      <c r="C2082">
        <f>IF(A2082="","",DATE(YEAR(A2082),12,31)-DATE(YEAR(A2082),1,1)+1)</f>
        <v/>
      </c>
      <c r="D2082">
        <f>IF(A2082="","",SUMIFS(Акты!$D$5:$D$16,Акты!$E$5:$E$16,"&lt;="&amp;A2082)-SUMIFS(Оплаты!$B$6:$B$505,Оплаты!$A$6:$A$505,"&lt;"&amp;A2082,Оплаты!$D$6:$D$505,"&lt;&gt;"))</f>
        <v/>
      </c>
      <c r="E2082">
        <f>IF(A2082="","",IF(SUMPRODUCT((Ввод!$F$12:$F$31&lt;&gt;"")*(Ввод!$F$12:$F$31&lt;=A2082)*(Ввод!$G$12:$G$31&gt;=A2082))&gt;0,1,0))</f>
        <v/>
      </c>
      <c r="G2082">
        <f>IF(A2082="","",IF(OR(B2082&lt;&gt;B2081,C2082&lt;&gt;C2081,E2082&lt;&gt;E2081),G2081+1,G2081))</f>
        <v/>
      </c>
    </row>
    <row r="2083">
      <c r="A2083" s="20">
        <f>IF(A2082="","",IF(A2082+1&gt;Ввод!$B$4,"",A2082+1))</f>
        <v/>
      </c>
      <c r="B2083">
        <f>IF(A2083="","",IFERROR(INDEX(Ввод!$B$12:$B$71,MATCH(A2083,Ввод!$D$12:$D$71,1)),""))</f>
        <v/>
      </c>
      <c r="C2083">
        <f>IF(A2083="","",DATE(YEAR(A2083),12,31)-DATE(YEAR(A2083),1,1)+1)</f>
        <v/>
      </c>
      <c r="D2083">
        <f>IF(A2083="","",SUMIFS(Акты!$D$5:$D$16,Акты!$E$5:$E$16,"&lt;="&amp;A2083)-SUMIFS(Оплаты!$B$6:$B$505,Оплаты!$A$6:$A$505,"&lt;"&amp;A2083,Оплаты!$D$6:$D$505,"&lt;&gt;"))</f>
        <v/>
      </c>
      <c r="E2083">
        <f>IF(A2083="","",IF(SUMPRODUCT((Ввод!$F$12:$F$31&lt;&gt;"")*(Ввод!$F$12:$F$31&lt;=A2083)*(Ввод!$G$12:$G$31&gt;=A2083))&gt;0,1,0))</f>
        <v/>
      </c>
      <c r="G2083">
        <f>IF(A2083="","",IF(OR(B2083&lt;&gt;B2082,C2083&lt;&gt;C2082,E2083&lt;&gt;E2082),G2082+1,G2082))</f>
        <v/>
      </c>
    </row>
    <row r="2084">
      <c r="A2084" s="20">
        <f>IF(A2083="","",IF(A2083+1&gt;Ввод!$B$4,"",A2083+1))</f>
        <v/>
      </c>
      <c r="B2084">
        <f>IF(A2084="","",IFERROR(INDEX(Ввод!$B$12:$B$71,MATCH(A2084,Ввод!$D$12:$D$71,1)),""))</f>
        <v/>
      </c>
      <c r="C2084">
        <f>IF(A2084="","",DATE(YEAR(A2084),12,31)-DATE(YEAR(A2084),1,1)+1)</f>
        <v/>
      </c>
      <c r="D2084">
        <f>IF(A2084="","",SUMIFS(Акты!$D$5:$D$16,Акты!$E$5:$E$16,"&lt;="&amp;A2084)-SUMIFS(Оплаты!$B$6:$B$505,Оплаты!$A$6:$A$505,"&lt;"&amp;A2084,Оплаты!$D$6:$D$505,"&lt;&gt;"))</f>
        <v/>
      </c>
      <c r="E2084">
        <f>IF(A2084="","",IF(SUMPRODUCT((Ввод!$F$12:$F$31&lt;&gt;"")*(Ввод!$F$12:$F$31&lt;=A2084)*(Ввод!$G$12:$G$31&gt;=A2084))&gt;0,1,0))</f>
        <v/>
      </c>
      <c r="G2084">
        <f>IF(A2084="","",IF(OR(B2084&lt;&gt;B2083,C2084&lt;&gt;C2083,E2084&lt;&gt;E2083),G2083+1,G2083))</f>
        <v/>
      </c>
    </row>
    <row r="2085">
      <c r="A2085" s="20">
        <f>IF(A2084="","",IF(A2084+1&gt;Ввод!$B$4,"",A2084+1))</f>
        <v/>
      </c>
      <c r="B2085">
        <f>IF(A2085="","",IFERROR(INDEX(Ввод!$B$12:$B$71,MATCH(A2085,Ввод!$D$12:$D$71,1)),""))</f>
        <v/>
      </c>
      <c r="C2085">
        <f>IF(A2085="","",DATE(YEAR(A2085),12,31)-DATE(YEAR(A2085),1,1)+1)</f>
        <v/>
      </c>
      <c r="D2085">
        <f>IF(A2085="","",SUMIFS(Акты!$D$5:$D$16,Акты!$E$5:$E$16,"&lt;="&amp;A2085)-SUMIFS(Оплаты!$B$6:$B$505,Оплаты!$A$6:$A$505,"&lt;"&amp;A2085,Оплаты!$D$6:$D$505,"&lt;&gt;"))</f>
        <v/>
      </c>
      <c r="E2085">
        <f>IF(A2085="","",IF(SUMPRODUCT((Ввод!$F$12:$F$31&lt;&gt;"")*(Ввод!$F$12:$F$31&lt;=A2085)*(Ввод!$G$12:$G$31&gt;=A2085))&gt;0,1,0))</f>
        <v/>
      </c>
      <c r="G2085">
        <f>IF(A2085="","",IF(OR(B2085&lt;&gt;B2084,C2085&lt;&gt;C2084,E2085&lt;&gt;E2084),G2084+1,G2084))</f>
        <v/>
      </c>
    </row>
    <row r="2086">
      <c r="A2086" s="20">
        <f>IF(A2085="","",IF(A2085+1&gt;Ввод!$B$4,"",A2085+1))</f>
        <v/>
      </c>
      <c r="B2086">
        <f>IF(A2086="","",IFERROR(INDEX(Ввод!$B$12:$B$71,MATCH(A2086,Ввод!$D$12:$D$71,1)),""))</f>
        <v/>
      </c>
      <c r="C2086">
        <f>IF(A2086="","",DATE(YEAR(A2086),12,31)-DATE(YEAR(A2086),1,1)+1)</f>
        <v/>
      </c>
      <c r="D2086">
        <f>IF(A2086="","",SUMIFS(Акты!$D$5:$D$16,Акты!$E$5:$E$16,"&lt;="&amp;A2086)-SUMIFS(Оплаты!$B$6:$B$505,Оплаты!$A$6:$A$505,"&lt;"&amp;A2086,Оплаты!$D$6:$D$505,"&lt;&gt;"))</f>
        <v/>
      </c>
      <c r="E2086">
        <f>IF(A2086="","",IF(SUMPRODUCT((Ввод!$F$12:$F$31&lt;&gt;"")*(Ввод!$F$12:$F$31&lt;=A2086)*(Ввод!$G$12:$G$31&gt;=A2086))&gt;0,1,0))</f>
        <v/>
      </c>
      <c r="G2086">
        <f>IF(A2086="","",IF(OR(B2086&lt;&gt;B2085,C2086&lt;&gt;C2085,E2086&lt;&gt;E2085),G2085+1,G2085))</f>
        <v/>
      </c>
    </row>
    <row r="2087">
      <c r="A2087" s="20">
        <f>IF(A2086="","",IF(A2086+1&gt;Ввод!$B$4,"",A2086+1))</f>
        <v/>
      </c>
      <c r="B2087">
        <f>IF(A2087="","",IFERROR(INDEX(Ввод!$B$12:$B$71,MATCH(A2087,Ввод!$D$12:$D$71,1)),""))</f>
        <v/>
      </c>
      <c r="C2087">
        <f>IF(A2087="","",DATE(YEAR(A2087),12,31)-DATE(YEAR(A2087),1,1)+1)</f>
        <v/>
      </c>
      <c r="D2087">
        <f>IF(A2087="","",SUMIFS(Акты!$D$5:$D$16,Акты!$E$5:$E$16,"&lt;="&amp;A2087)-SUMIFS(Оплаты!$B$6:$B$505,Оплаты!$A$6:$A$505,"&lt;"&amp;A2087,Оплаты!$D$6:$D$505,"&lt;&gt;"))</f>
        <v/>
      </c>
      <c r="E2087">
        <f>IF(A2087="","",IF(SUMPRODUCT((Ввод!$F$12:$F$31&lt;&gt;"")*(Ввод!$F$12:$F$31&lt;=A2087)*(Ввод!$G$12:$G$31&gt;=A2087))&gt;0,1,0))</f>
        <v/>
      </c>
      <c r="G2087">
        <f>IF(A2087="","",IF(OR(B2087&lt;&gt;B2086,C2087&lt;&gt;C2086,E2087&lt;&gt;E2086),G2086+1,G2086))</f>
        <v/>
      </c>
    </row>
    <row r="2088">
      <c r="A2088" s="20">
        <f>IF(A2087="","",IF(A2087+1&gt;Ввод!$B$4,"",A2087+1))</f>
        <v/>
      </c>
      <c r="B2088">
        <f>IF(A2088="","",IFERROR(INDEX(Ввод!$B$12:$B$71,MATCH(A2088,Ввод!$D$12:$D$71,1)),""))</f>
        <v/>
      </c>
      <c r="C2088">
        <f>IF(A2088="","",DATE(YEAR(A2088),12,31)-DATE(YEAR(A2088),1,1)+1)</f>
        <v/>
      </c>
      <c r="D2088">
        <f>IF(A2088="","",SUMIFS(Акты!$D$5:$D$16,Акты!$E$5:$E$16,"&lt;="&amp;A2088)-SUMIFS(Оплаты!$B$6:$B$505,Оплаты!$A$6:$A$505,"&lt;"&amp;A2088,Оплаты!$D$6:$D$505,"&lt;&gt;"))</f>
        <v/>
      </c>
      <c r="E2088">
        <f>IF(A2088="","",IF(SUMPRODUCT((Ввод!$F$12:$F$31&lt;&gt;"")*(Ввод!$F$12:$F$31&lt;=A2088)*(Ввод!$G$12:$G$31&gt;=A2088))&gt;0,1,0))</f>
        <v/>
      </c>
      <c r="G2088">
        <f>IF(A2088="","",IF(OR(B2088&lt;&gt;B2087,C2088&lt;&gt;C2087,E2088&lt;&gt;E2087),G2087+1,G2087))</f>
        <v/>
      </c>
    </row>
    <row r="2089">
      <c r="A2089" s="20">
        <f>IF(A2088="","",IF(A2088+1&gt;Ввод!$B$4,"",A2088+1))</f>
        <v/>
      </c>
      <c r="B2089">
        <f>IF(A2089="","",IFERROR(INDEX(Ввод!$B$12:$B$71,MATCH(A2089,Ввод!$D$12:$D$71,1)),""))</f>
        <v/>
      </c>
      <c r="C2089">
        <f>IF(A2089="","",DATE(YEAR(A2089),12,31)-DATE(YEAR(A2089),1,1)+1)</f>
        <v/>
      </c>
      <c r="D2089">
        <f>IF(A2089="","",SUMIFS(Акты!$D$5:$D$16,Акты!$E$5:$E$16,"&lt;="&amp;A2089)-SUMIFS(Оплаты!$B$6:$B$505,Оплаты!$A$6:$A$505,"&lt;"&amp;A2089,Оплаты!$D$6:$D$505,"&lt;&gt;"))</f>
        <v/>
      </c>
      <c r="E2089">
        <f>IF(A2089="","",IF(SUMPRODUCT((Ввод!$F$12:$F$31&lt;&gt;"")*(Ввод!$F$12:$F$31&lt;=A2089)*(Ввод!$G$12:$G$31&gt;=A2089))&gt;0,1,0))</f>
        <v/>
      </c>
      <c r="G2089">
        <f>IF(A2089="","",IF(OR(B2089&lt;&gt;B2088,C2089&lt;&gt;C2088,E2089&lt;&gt;E2088),G2088+1,G2088))</f>
        <v/>
      </c>
    </row>
    <row r="2090">
      <c r="A2090" s="20">
        <f>IF(A2089="","",IF(A2089+1&gt;Ввод!$B$4,"",A2089+1))</f>
        <v/>
      </c>
      <c r="B2090">
        <f>IF(A2090="","",IFERROR(INDEX(Ввод!$B$12:$B$71,MATCH(A2090,Ввод!$D$12:$D$71,1)),""))</f>
        <v/>
      </c>
      <c r="C2090">
        <f>IF(A2090="","",DATE(YEAR(A2090),12,31)-DATE(YEAR(A2090),1,1)+1)</f>
        <v/>
      </c>
      <c r="D2090">
        <f>IF(A2090="","",SUMIFS(Акты!$D$5:$D$16,Акты!$E$5:$E$16,"&lt;="&amp;A2090)-SUMIFS(Оплаты!$B$6:$B$505,Оплаты!$A$6:$A$505,"&lt;"&amp;A2090,Оплаты!$D$6:$D$505,"&lt;&gt;"))</f>
        <v/>
      </c>
      <c r="E2090">
        <f>IF(A2090="","",IF(SUMPRODUCT((Ввод!$F$12:$F$31&lt;&gt;"")*(Ввод!$F$12:$F$31&lt;=A2090)*(Ввод!$G$12:$G$31&gt;=A2090))&gt;0,1,0))</f>
        <v/>
      </c>
      <c r="G2090">
        <f>IF(A2090="","",IF(OR(B2090&lt;&gt;B2089,C2090&lt;&gt;C2089,E2090&lt;&gt;E2089),G2089+1,G2089))</f>
        <v/>
      </c>
    </row>
    <row r="2091">
      <c r="A2091" s="20">
        <f>IF(A2090="","",IF(A2090+1&gt;Ввод!$B$4,"",A2090+1))</f>
        <v/>
      </c>
      <c r="B2091">
        <f>IF(A2091="","",IFERROR(INDEX(Ввод!$B$12:$B$71,MATCH(A2091,Ввод!$D$12:$D$71,1)),""))</f>
        <v/>
      </c>
      <c r="C2091">
        <f>IF(A2091="","",DATE(YEAR(A2091),12,31)-DATE(YEAR(A2091),1,1)+1)</f>
        <v/>
      </c>
      <c r="D2091">
        <f>IF(A2091="","",SUMIFS(Акты!$D$5:$D$16,Акты!$E$5:$E$16,"&lt;="&amp;A2091)-SUMIFS(Оплаты!$B$6:$B$505,Оплаты!$A$6:$A$505,"&lt;"&amp;A2091,Оплаты!$D$6:$D$505,"&lt;&gt;"))</f>
        <v/>
      </c>
      <c r="E2091">
        <f>IF(A2091="","",IF(SUMPRODUCT((Ввод!$F$12:$F$31&lt;&gt;"")*(Ввод!$F$12:$F$31&lt;=A2091)*(Ввод!$G$12:$G$31&gt;=A2091))&gt;0,1,0))</f>
        <v/>
      </c>
      <c r="G2091">
        <f>IF(A2091="","",IF(OR(B2091&lt;&gt;B2090,C2091&lt;&gt;C2090,E2091&lt;&gt;E2090),G2090+1,G2090))</f>
        <v/>
      </c>
    </row>
    <row r="2092">
      <c r="A2092" s="20">
        <f>IF(A2091="","",IF(A2091+1&gt;Ввод!$B$4,"",A2091+1))</f>
        <v/>
      </c>
      <c r="B2092">
        <f>IF(A2092="","",IFERROR(INDEX(Ввод!$B$12:$B$71,MATCH(A2092,Ввод!$D$12:$D$71,1)),""))</f>
        <v/>
      </c>
      <c r="C2092">
        <f>IF(A2092="","",DATE(YEAR(A2092),12,31)-DATE(YEAR(A2092),1,1)+1)</f>
        <v/>
      </c>
      <c r="D2092">
        <f>IF(A2092="","",SUMIFS(Акты!$D$5:$D$16,Акты!$E$5:$E$16,"&lt;="&amp;A2092)-SUMIFS(Оплаты!$B$6:$B$505,Оплаты!$A$6:$A$505,"&lt;"&amp;A2092,Оплаты!$D$6:$D$505,"&lt;&gt;"))</f>
        <v/>
      </c>
      <c r="E2092">
        <f>IF(A2092="","",IF(SUMPRODUCT((Ввод!$F$12:$F$31&lt;&gt;"")*(Ввод!$F$12:$F$31&lt;=A2092)*(Ввод!$G$12:$G$31&gt;=A2092))&gt;0,1,0))</f>
        <v/>
      </c>
      <c r="G2092">
        <f>IF(A2092="","",IF(OR(B2092&lt;&gt;B2091,C2092&lt;&gt;C2091,E2092&lt;&gt;E2091),G2091+1,G2091))</f>
        <v/>
      </c>
    </row>
    <row r="2093">
      <c r="A2093" s="20">
        <f>IF(A2092="","",IF(A2092+1&gt;Ввод!$B$4,"",A2092+1))</f>
        <v/>
      </c>
      <c r="B2093">
        <f>IF(A2093="","",IFERROR(INDEX(Ввод!$B$12:$B$71,MATCH(A2093,Ввод!$D$12:$D$71,1)),""))</f>
        <v/>
      </c>
      <c r="C2093">
        <f>IF(A2093="","",DATE(YEAR(A2093),12,31)-DATE(YEAR(A2093),1,1)+1)</f>
        <v/>
      </c>
      <c r="D2093">
        <f>IF(A2093="","",SUMIFS(Акты!$D$5:$D$16,Акты!$E$5:$E$16,"&lt;="&amp;A2093)-SUMIFS(Оплаты!$B$6:$B$505,Оплаты!$A$6:$A$505,"&lt;"&amp;A2093,Оплаты!$D$6:$D$505,"&lt;&gt;"))</f>
        <v/>
      </c>
      <c r="E2093">
        <f>IF(A2093="","",IF(SUMPRODUCT((Ввод!$F$12:$F$31&lt;&gt;"")*(Ввод!$F$12:$F$31&lt;=A2093)*(Ввод!$G$12:$G$31&gt;=A2093))&gt;0,1,0))</f>
        <v/>
      </c>
      <c r="G2093">
        <f>IF(A2093="","",IF(OR(B2093&lt;&gt;B2092,C2093&lt;&gt;C2092,E2093&lt;&gt;E2092),G2092+1,G2092))</f>
        <v/>
      </c>
    </row>
    <row r="2094">
      <c r="A2094" s="20">
        <f>IF(A2093="","",IF(A2093+1&gt;Ввод!$B$4,"",A2093+1))</f>
        <v/>
      </c>
      <c r="B2094">
        <f>IF(A2094="","",IFERROR(INDEX(Ввод!$B$12:$B$71,MATCH(A2094,Ввод!$D$12:$D$71,1)),""))</f>
        <v/>
      </c>
      <c r="C2094">
        <f>IF(A2094="","",DATE(YEAR(A2094),12,31)-DATE(YEAR(A2094),1,1)+1)</f>
        <v/>
      </c>
      <c r="D2094">
        <f>IF(A2094="","",SUMIFS(Акты!$D$5:$D$16,Акты!$E$5:$E$16,"&lt;="&amp;A2094)-SUMIFS(Оплаты!$B$6:$B$505,Оплаты!$A$6:$A$505,"&lt;"&amp;A2094,Оплаты!$D$6:$D$505,"&lt;&gt;"))</f>
        <v/>
      </c>
      <c r="E2094">
        <f>IF(A2094="","",IF(SUMPRODUCT((Ввод!$F$12:$F$31&lt;&gt;"")*(Ввод!$F$12:$F$31&lt;=A2094)*(Ввод!$G$12:$G$31&gt;=A2094))&gt;0,1,0))</f>
        <v/>
      </c>
      <c r="G2094">
        <f>IF(A2094="","",IF(OR(B2094&lt;&gt;B2093,C2094&lt;&gt;C2093,E2094&lt;&gt;E2093),G2093+1,G2093))</f>
        <v/>
      </c>
    </row>
    <row r="2095">
      <c r="A2095" s="20">
        <f>IF(A2094="","",IF(A2094+1&gt;Ввод!$B$4,"",A2094+1))</f>
        <v/>
      </c>
      <c r="B2095">
        <f>IF(A2095="","",IFERROR(INDEX(Ввод!$B$12:$B$71,MATCH(A2095,Ввод!$D$12:$D$71,1)),""))</f>
        <v/>
      </c>
      <c r="C2095">
        <f>IF(A2095="","",DATE(YEAR(A2095),12,31)-DATE(YEAR(A2095),1,1)+1)</f>
        <v/>
      </c>
      <c r="D2095">
        <f>IF(A2095="","",SUMIFS(Акты!$D$5:$D$16,Акты!$E$5:$E$16,"&lt;="&amp;A2095)-SUMIFS(Оплаты!$B$6:$B$505,Оплаты!$A$6:$A$505,"&lt;"&amp;A2095,Оплаты!$D$6:$D$505,"&lt;&gt;"))</f>
        <v/>
      </c>
      <c r="E2095">
        <f>IF(A2095="","",IF(SUMPRODUCT((Ввод!$F$12:$F$31&lt;&gt;"")*(Ввод!$F$12:$F$31&lt;=A2095)*(Ввод!$G$12:$G$31&gt;=A2095))&gt;0,1,0))</f>
        <v/>
      </c>
      <c r="G2095">
        <f>IF(A2095="","",IF(OR(B2095&lt;&gt;B2094,C2095&lt;&gt;C2094,E2095&lt;&gt;E2094),G2094+1,G2094))</f>
        <v/>
      </c>
    </row>
    <row r="2096">
      <c r="A2096" s="20">
        <f>IF(A2095="","",IF(A2095+1&gt;Ввод!$B$4,"",A2095+1))</f>
        <v/>
      </c>
      <c r="B2096">
        <f>IF(A2096="","",IFERROR(INDEX(Ввод!$B$12:$B$71,MATCH(A2096,Ввод!$D$12:$D$71,1)),""))</f>
        <v/>
      </c>
      <c r="C2096">
        <f>IF(A2096="","",DATE(YEAR(A2096),12,31)-DATE(YEAR(A2096),1,1)+1)</f>
        <v/>
      </c>
      <c r="D2096">
        <f>IF(A2096="","",SUMIFS(Акты!$D$5:$D$16,Акты!$E$5:$E$16,"&lt;="&amp;A2096)-SUMIFS(Оплаты!$B$6:$B$505,Оплаты!$A$6:$A$505,"&lt;"&amp;A2096,Оплаты!$D$6:$D$505,"&lt;&gt;"))</f>
        <v/>
      </c>
      <c r="E2096">
        <f>IF(A2096="","",IF(SUMPRODUCT((Ввод!$F$12:$F$31&lt;&gt;"")*(Ввод!$F$12:$F$31&lt;=A2096)*(Ввод!$G$12:$G$31&gt;=A2096))&gt;0,1,0))</f>
        <v/>
      </c>
      <c r="G2096">
        <f>IF(A2096="","",IF(OR(B2096&lt;&gt;B2095,C2096&lt;&gt;C2095,E2096&lt;&gt;E2095),G2095+1,G2095))</f>
        <v/>
      </c>
    </row>
    <row r="2097">
      <c r="A2097" s="20">
        <f>IF(A2096="","",IF(A2096+1&gt;Ввод!$B$4,"",A2096+1))</f>
        <v/>
      </c>
      <c r="B2097">
        <f>IF(A2097="","",IFERROR(INDEX(Ввод!$B$12:$B$71,MATCH(A2097,Ввод!$D$12:$D$71,1)),""))</f>
        <v/>
      </c>
      <c r="C2097">
        <f>IF(A2097="","",DATE(YEAR(A2097),12,31)-DATE(YEAR(A2097),1,1)+1)</f>
        <v/>
      </c>
      <c r="D2097">
        <f>IF(A2097="","",SUMIFS(Акты!$D$5:$D$16,Акты!$E$5:$E$16,"&lt;="&amp;A2097)-SUMIFS(Оплаты!$B$6:$B$505,Оплаты!$A$6:$A$505,"&lt;"&amp;A2097,Оплаты!$D$6:$D$505,"&lt;&gt;"))</f>
        <v/>
      </c>
      <c r="E2097">
        <f>IF(A2097="","",IF(SUMPRODUCT((Ввод!$F$12:$F$31&lt;&gt;"")*(Ввод!$F$12:$F$31&lt;=A2097)*(Ввод!$G$12:$G$31&gt;=A2097))&gt;0,1,0))</f>
        <v/>
      </c>
      <c r="G2097">
        <f>IF(A2097="","",IF(OR(B2097&lt;&gt;B2096,C2097&lt;&gt;C2096,E2097&lt;&gt;E2096),G2096+1,G2096))</f>
        <v/>
      </c>
    </row>
    <row r="2098">
      <c r="A2098" s="20">
        <f>IF(A2097="","",IF(A2097+1&gt;Ввод!$B$4,"",A2097+1))</f>
        <v/>
      </c>
      <c r="B2098">
        <f>IF(A2098="","",IFERROR(INDEX(Ввод!$B$12:$B$71,MATCH(A2098,Ввод!$D$12:$D$71,1)),""))</f>
        <v/>
      </c>
      <c r="C2098">
        <f>IF(A2098="","",DATE(YEAR(A2098),12,31)-DATE(YEAR(A2098),1,1)+1)</f>
        <v/>
      </c>
      <c r="D2098">
        <f>IF(A2098="","",SUMIFS(Акты!$D$5:$D$16,Акты!$E$5:$E$16,"&lt;="&amp;A2098)-SUMIFS(Оплаты!$B$6:$B$505,Оплаты!$A$6:$A$505,"&lt;"&amp;A2098,Оплаты!$D$6:$D$505,"&lt;&gt;"))</f>
        <v/>
      </c>
      <c r="E2098">
        <f>IF(A2098="","",IF(SUMPRODUCT((Ввод!$F$12:$F$31&lt;&gt;"")*(Ввод!$F$12:$F$31&lt;=A2098)*(Ввод!$G$12:$G$31&gt;=A2098))&gt;0,1,0))</f>
        <v/>
      </c>
      <c r="G2098">
        <f>IF(A2098="","",IF(OR(B2098&lt;&gt;B2097,C2098&lt;&gt;C2097,E2098&lt;&gt;E2097),G2097+1,G2097))</f>
        <v/>
      </c>
    </row>
    <row r="2099">
      <c r="A2099" s="20">
        <f>IF(A2098="","",IF(A2098+1&gt;Ввод!$B$4,"",A2098+1))</f>
        <v/>
      </c>
      <c r="B2099">
        <f>IF(A2099="","",IFERROR(INDEX(Ввод!$B$12:$B$71,MATCH(A2099,Ввод!$D$12:$D$71,1)),""))</f>
        <v/>
      </c>
      <c r="C2099">
        <f>IF(A2099="","",DATE(YEAR(A2099),12,31)-DATE(YEAR(A2099),1,1)+1)</f>
        <v/>
      </c>
      <c r="D2099">
        <f>IF(A2099="","",SUMIFS(Акты!$D$5:$D$16,Акты!$E$5:$E$16,"&lt;="&amp;A2099)-SUMIFS(Оплаты!$B$6:$B$505,Оплаты!$A$6:$A$505,"&lt;"&amp;A2099,Оплаты!$D$6:$D$505,"&lt;&gt;"))</f>
        <v/>
      </c>
      <c r="E2099">
        <f>IF(A2099="","",IF(SUMPRODUCT((Ввод!$F$12:$F$31&lt;&gt;"")*(Ввод!$F$12:$F$31&lt;=A2099)*(Ввод!$G$12:$G$31&gt;=A2099))&gt;0,1,0))</f>
        <v/>
      </c>
      <c r="G2099">
        <f>IF(A2099="","",IF(OR(B2099&lt;&gt;B2098,C2099&lt;&gt;C2098,E2099&lt;&gt;E2098),G2098+1,G2098))</f>
        <v/>
      </c>
    </row>
    <row r="2100">
      <c r="A2100" s="20">
        <f>IF(A2099="","",IF(A2099+1&gt;Ввод!$B$4,"",A2099+1))</f>
        <v/>
      </c>
      <c r="B2100">
        <f>IF(A2100="","",IFERROR(INDEX(Ввод!$B$12:$B$71,MATCH(A2100,Ввод!$D$12:$D$71,1)),""))</f>
        <v/>
      </c>
      <c r="C2100">
        <f>IF(A2100="","",DATE(YEAR(A2100),12,31)-DATE(YEAR(A2100),1,1)+1)</f>
        <v/>
      </c>
      <c r="D2100">
        <f>IF(A2100="","",SUMIFS(Акты!$D$5:$D$16,Акты!$E$5:$E$16,"&lt;="&amp;A2100)-SUMIFS(Оплаты!$B$6:$B$505,Оплаты!$A$6:$A$505,"&lt;"&amp;A2100,Оплаты!$D$6:$D$505,"&lt;&gt;"))</f>
        <v/>
      </c>
      <c r="E2100">
        <f>IF(A2100="","",IF(SUMPRODUCT((Ввод!$F$12:$F$31&lt;&gt;"")*(Ввод!$F$12:$F$31&lt;=A2100)*(Ввод!$G$12:$G$31&gt;=A2100))&gt;0,1,0))</f>
        <v/>
      </c>
      <c r="G2100">
        <f>IF(A2100="","",IF(OR(B2100&lt;&gt;B2099,C2100&lt;&gt;C2099,E2100&lt;&gt;E2099),G2099+1,G2099))</f>
        <v/>
      </c>
    </row>
    <row r="2101">
      <c r="A2101" s="20">
        <f>IF(A2100="","",IF(A2100+1&gt;Ввод!$B$4,"",A2100+1))</f>
        <v/>
      </c>
      <c r="B2101">
        <f>IF(A2101="","",IFERROR(INDEX(Ввод!$B$12:$B$71,MATCH(A2101,Ввод!$D$12:$D$71,1)),""))</f>
        <v/>
      </c>
      <c r="C2101">
        <f>IF(A2101="","",DATE(YEAR(A2101),12,31)-DATE(YEAR(A2101),1,1)+1)</f>
        <v/>
      </c>
      <c r="D2101">
        <f>IF(A2101="","",SUMIFS(Акты!$D$5:$D$16,Акты!$E$5:$E$16,"&lt;="&amp;A2101)-SUMIFS(Оплаты!$B$6:$B$505,Оплаты!$A$6:$A$505,"&lt;"&amp;A2101,Оплаты!$D$6:$D$505,"&lt;&gt;"))</f>
        <v/>
      </c>
      <c r="E2101">
        <f>IF(A2101="","",IF(SUMPRODUCT((Ввод!$F$12:$F$31&lt;&gt;"")*(Ввод!$F$12:$F$31&lt;=A2101)*(Ввод!$G$12:$G$31&gt;=A2101))&gt;0,1,0))</f>
        <v/>
      </c>
      <c r="G2101">
        <f>IF(A2101="","",IF(OR(B2101&lt;&gt;B2100,C2101&lt;&gt;C2100,E2101&lt;&gt;E2100),G2100+1,G2100))</f>
        <v/>
      </c>
    </row>
    <row r="2102">
      <c r="A2102" s="20">
        <f>IF(A2101="","",IF(A2101+1&gt;Ввод!$B$4,"",A2101+1))</f>
        <v/>
      </c>
      <c r="B2102">
        <f>IF(A2102="","",IFERROR(INDEX(Ввод!$B$12:$B$71,MATCH(A2102,Ввод!$D$12:$D$71,1)),""))</f>
        <v/>
      </c>
      <c r="C2102">
        <f>IF(A2102="","",DATE(YEAR(A2102),12,31)-DATE(YEAR(A2102),1,1)+1)</f>
        <v/>
      </c>
      <c r="D2102">
        <f>IF(A2102="","",SUMIFS(Акты!$D$5:$D$16,Акты!$E$5:$E$16,"&lt;="&amp;A2102)-SUMIFS(Оплаты!$B$6:$B$505,Оплаты!$A$6:$A$505,"&lt;"&amp;A2102,Оплаты!$D$6:$D$505,"&lt;&gt;"))</f>
        <v/>
      </c>
      <c r="E2102">
        <f>IF(A2102="","",IF(SUMPRODUCT((Ввод!$F$12:$F$31&lt;&gt;"")*(Ввод!$F$12:$F$31&lt;=A2102)*(Ввод!$G$12:$G$31&gt;=A2102))&gt;0,1,0))</f>
        <v/>
      </c>
      <c r="G2102">
        <f>IF(A2102="","",IF(OR(B2102&lt;&gt;B2101,C2102&lt;&gt;C2101,E2102&lt;&gt;E2101),G2101+1,G2101))</f>
        <v/>
      </c>
    </row>
    <row r="2103">
      <c r="A2103" s="20">
        <f>IF(A2102="","",IF(A2102+1&gt;Ввод!$B$4,"",A2102+1))</f>
        <v/>
      </c>
      <c r="B2103">
        <f>IF(A2103="","",IFERROR(INDEX(Ввод!$B$12:$B$71,MATCH(A2103,Ввод!$D$12:$D$71,1)),""))</f>
        <v/>
      </c>
      <c r="C2103">
        <f>IF(A2103="","",DATE(YEAR(A2103),12,31)-DATE(YEAR(A2103),1,1)+1)</f>
        <v/>
      </c>
      <c r="D2103">
        <f>IF(A2103="","",SUMIFS(Акты!$D$5:$D$16,Акты!$E$5:$E$16,"&lt;="&amp;A2103)-SUMIFS(Оплаты!$B$6:$B$505,Оплаты!$A$6:$A$505,"&lt;"&amp;A2103,Оплаты!$D$6:$D$505,"&lt;&gt;"))</f>
        <v/>
      </c>
      <c r="E2103">
        <f>IF(A2103="","",IF(SUMPRODUCT((Ввод!$F$12:$F$31&lt;&gt;"")*(Ввод!$F$12:$F$31&lt;=A2103)*(Ввод!$G$12:$G$31&gt;=A2103))&gt;0,1,0))</f>
        <v/>
      </c>
      <c r="G2103">
        <f>IF(A2103="","",IF(OR(B2103&lt;&gt;B2102,C2103&lt;&gt;C2102,E2103&lt;&gt;E2102),G2102+1,G2102))</f>
        <v/>
      </c>
    </row>
    <row r="2104">
      <c r="A2104" s="20">
        <f>IF(A2103="","",IF(A2103+1&gt;Ввод!$B$4,"",A2103+1))</f>
        <v/>
      </c>
      <c r="B2104">
        <f>IF(A2104="","",IFERROR(INDEX(Ввод!$B$12:$B$71,MATCH(A2104,Ввод!$D$12:$D$71,1)),""))</f>
        <v/>
      </c>
      <c r="C2104">
        <f>IF(A2104="","",DATE(YEAR(A2104),12,31)-DATE(YEAR(A2104),1,1)+1)</f>
        <v/>
      </c>
      <c r="D2104">
        <f>IF(A2104="","",SUMIFS(Акты!$D$5:$D$16,Акты!$E$5:$E$16,"&lt;="&amp;A2104)-SUMIFS(Оплаты!$B$6:$B$505,Оплаты!$A$6:$A$505,"&lt;"&amp;A2104,Оплаты!$D$6:$D$505,"&lt;&gt;"))</f>
        <v/>
      </c>
      <c r="E2104">
        <f>IF(A2104="","",IF(SUMPRODUCT((Ввод!$F$12:$F$31&lt;&gt;"")*(Ввод!$F$12:$F$31&lt;=A2104)*(Ввод!$G$12:$G$31&gt;=A2104))&gt;0,1,0))</f>
        <v/>
      </c>
      <c r="G2104">
        <f>IF(A2104="","",IF(OR(B2104&lt;&gt;B2103,C2104&lt;&gt;C2103,E2104&lt;&gt;E2103),G2103+1,G2103))</f>
        <v/>
      </c>
    </row>
    <row r="2105">
      <c r="A2105" s="20">
        <f>IF(A2104="","",IF(A2104+1&gt;Ввод!$B$4,"",A2104+1))</f>
        <v/>
      </c>
      <c r="B2105">
        <f>IF(A2105="","",IFERROR(INDEX(Ввод!$B$12:$B$71,MATCH(A2105,Ввод!$D$12:$D$71,1)),""))</f>
        <v/>
      </c>
      <c r="C2105">
        <f>IF(A2105="","",DATE(YEAR(A2105),12,31)-DATE(YEAR(A2105),1,1)+1)</f>
        <v/>
      </c>
      <c r="D2105">
        <f>IF(A2105="","",SUMIFS(Акты!$D$5:$D$16,Акты!$E$5:$E$16,"&lt;="&amp;A2105)-SUMIFS(Оплаты!$B$6:$B$505,Оплаты!$A$6:$A$505,"&lt;"&amp;A2105,Оплаты!$D$6:$D$505,"&lt;&gt;"))</f>
        <v/>
      </c>
      <c r="E2105">
        <f>IF(A2105="","",IF(SUMPRODUCT((Ввод!$F$12:$F$31&lt;&gt;"")*(Ввод!$F$12:$F$31&lt;=A2105)*(Ввод!$G$12:$G$31&gt;=A2105))&gt;0,1,0))</f>
        <v/>
      </c>
      <c r="G2105">
        <f>IF(A2105="","",IF(OR(B2105&lt;&gt;B2104,C2105&lt;&gt;C2104,E2105&lt;&gt;E2104),G2104+1,G2104))</f>
        <v/>
      </c>
    </row>
    <row r="2106">
      <c r="A2106" s="20">
        <f>IF(A2105="","",IF(A2105+1&gt;Ввод!$B$4,"",A2105+1))</f>
        <v/>
      </c>
      <c r="B2106">
        <f>IF(A2106="","",IFERROR(INDEX(Ввод!$B$12:$B$71,MATCH(A2106,Ввод!$D$12:$D$71,1)),""))</f>
        <v/>
      </c>
      <c r="C2106">
        <f>IF(A2106="","",DATE(YEAR(A2106),12,31)-DATE(YEAR(A2106),1,1)+1)</f>
        <v/>
      </c>
      <c r="D2106">
        <f>IF(A2106="","",SUMIFS(Акты!$D$5:$D$16,Акты!$E$5:$E$16,"&lt;="&amp;A2106)-SUMIFS(Оплаты!$B$6:$B$505,Оплаты!$A$6:$A$505,"&lt;"&amp;A2106,Оплаты!$D$6:$D$505,"&lt;&gt;"))</f>
        <v/>
      </c>
      <c r="E2106">
        <f>IF(A2106="","",IF(SUMPRODUCT((Ввод!$F$12:$F$31&lt;&gt;"")*(Ввод!$F$12:$F$31&lt;=A2106)*(Ввод!$G$12:$G$31&gt;=A2106))&gt;0,1,0))</f>
        <v/>
      </c>
      <c r="G2106">
        <f>IF(A2106="","",IF(OR(B2106&lt;&gt;B2105,C2106&lt;&gt;C2105,E2106&lt;&gt;E2105),G2105+1,G2105))</f>
        <v/>
      </c>
    </row>
    <row r="2107">
      <c r="A2107" s="20">
        <f>IF(A2106="","",IF(A2106+1&gt;Ввод!$B$4,"",A2106+1))</f>
        <v/>
      </c>
      <c r="B2107">
        <f>IF(A2107="","",IFERROR(INDEX(Ввод!$B$12:$B$71,MATCH(A2107,Ввод!$D$12:$D$71,1)),""))</f>
        <v/>
      </c>
      <c r="C2107">
        <f>IF(A2107="","",DATE(YEAR(A2107),12,31)-DATE(YEAR(A2107),1,1)+1)</f>
        <v/>
      </c>
      <c r="D2107">
        <f>IF(A2107="","",SUMIFS(Акты!$D$5:$D$16,Акты!$E$5:$E$16,"&lt;="&amp;A2107)-SUMIFS(Оплаты!$B$6:$B$505,Оплаты!$A$6:$A$505,"&lt;"&amp;A2107,Оплаты!$D$6:$D$505,"&lt;&gt;"))</f>
        <v/>
      </c>
      <c r="E2107">
        <f>IF(A2107="","",IF(SUMPRODUCT((Ввод!$F$12:$F$31&lt;&gt;"")*(Ввод!$F$12:$F$31&lt;=A2107)*(Ввод!$G$12:$G$31&gt;=A2107))&gt;0,1,0))</f>
        <v/>
      </c>
      <c r="G2107">
        <f>IF(A2107="","",IF(OR(B2107&lt;&gt;B2106,C2107&lt;&gt;C2106,E2107&lt;&gt;E2106),G2106+1,G2106))</f>
        <v/>
      </c>
    </row>
    <row r="2108">
      <c r="A2108" s="20">
        <f>IF(A2107="","",IF(A2107+1&gt;Ввод!$B$4,"",A2107+1))</f>
        <v/>
      </c>
      <c r="B2108">
        <f>IF(A2108="","",IFERROR(INDEX(Ввод!$B$12:$B$71,MATCH(A2108,Ввод!$D$12:$D$71,1)),""))</f>
        <v/>
      </c>
      <c r="C2108">
        <f>IF(A2108="","",DATE(YEAR(A2108),12,31)-DATE(YEAR(A2108),1,1)+1)</f>
        <v/>
      </c>
      <c r="D2108">
        <f>IF(A2108="","",SUMIFS(Акты!$D$5:$D$16,Акты!$E$5:$E$16,"&lt;="&amp;A2108)-SUMIFS(Оплаты!$B$6:$B$505,Оплаты!$A$6:$A$505,"&lt;"&amp;A2108,Оплаты!$D$6:$D$505,"&lt;&gt;"))</f>
        <v/>
      </c>
      <c r="E2108">
        <f>IF(A2108="","",IF(SUMPRODUCT((Ввод!$F$12:$F$31&lt;&gt;"")*(Ввод!$F$12:$F$31&lt;=A2108)*(Ввод!$G$12:$G$31&gt;=A2108))&gt;0,1,0))</f>
        <v/>
      </c>
      <c r="G2108">
        <f>IF(A2108="","",IF(OR(B2108&lt;&gt;B2107,C2108&lt;&gt;C2107,E2108&lt;&gt;E2107),G2107+1,G2107))</f>
        <v/>
      </c>
    </row>
    <row r="2109">
      <c r="A2109" s="20">
        <f>IF(A2108="","",IF(A2108+1&gt;Ввод!$B$4,"",A2108+1))</f>
        <v/>
      </c>
      <c r="B2109">
        <f>IF(A2109="","",IFERROR(INDEX(Ввод!$B$12:$B$71,MATCH(A2109,Ввод!$D$12:$D$71,1)),""))</f>
        <v/>
      </c>
      <c r="C2109">
        <f>IF(A2109="","",DATE(YEAR(A2109),12,31)-DATE(YEAR(A2109),1,1)+1)</f>
        <v/>
      </c>
      <c r="D2109">
        <f>IF(A2109="","",SUMIFS(Акты!$D$5:$D$16,Акты!$E$5:$E$16,"&lt;="&amp;A2109)-SUMIFS(Оплаты!$B$6:$B$505,Оплаты!$A$6:$A$505,"&lt;"&amp;A2109,Оплаты!$D$6:$D$505,"&lt;&gt;"))</f>
        <v/>
      </c>
      <c r="E2109">
        <f>IF(A2109="","",IF(SUMPRODUCT((Ввод!$F$12:$F$31&lt;&gt;"")*(Ввод!$F$12:$F$31&lt;=A2109)*(Ввод!$G$12:$G$31&gt;=A2109))&gt;0,1,0))</f>
        <v/>
      </c>
      <c r="G2109">
        <f>IF(A2109="","",IF(OR(B2109&lt;&gt;B2108,C2109&lt;&gt;C2108,E2109&lt;&gt;E2108),G2108+1,G2108))</f>
        <v/>
      </c>
    </row>
    <row r="2110">
      <c r="A2110" s="20">
        <f>IF(A2109="","",IF(A2109+1&gt;Ввод!$B$4,"",A2109+1))</f>
        <v/>
      </c>
      <c r="B2110">
        <f>IF(A2110="","",IFERROR(INDEX(Ввод!$B$12:$B$71,MATCH(A2110,Ввод!$D$12:$D$71,1)),""))</f>
        <v/>
      </c>
      <c r="C2110">
        <f>IF(A2110="","",DATE(YEAR(A2110),12,31)-DATE(YEAR(A2110),1,1)+1)</f>
        <v/>
      </c>
      <c r="D2110">
        <f>IF(A2110="","",SUMIFS(Акты!$D$5:$D$16,Акты!$E$5:$E$16,"&lt;="&amp;A2110)-SUMIFS(Оплаты!$B$6:$B$505,Оплаты!$A$6:$A$505,"&lt;"&amp;A2110,Оплаты!$D$6:$D$505,"&lt;&gt;"))</f>
        <v/>
      </c>
      <c r="E2110">
        <f>IF(A2110="","",IF(SUMPRODUCT((Ввод!$F$12:$F$31&lt;&gt;"")*(Ввод!$F$12:$F$31&lt;=A2110)*(Ввод!$G$12:$G$31&gt;=A2110))&gt;0,1,0))</f>
        <v/>
      </c>
      <c r="G2110">
        <f>IF(A2110="","",IF(OR(B2110&lt;&gt;B2109,C2110&lt;&gt;C2109,E2110&lt;&gt;E2109),G2109+1,G2109))</f>
        <v/>
      </c>
    </row>
    <row r="2111">
      <c r="A2111" s="20">
        <f>IF(A2110="","",IF(A2110+1&gt;Ввод!$B$4,"",A2110+1))</f>
        <v/>
      </c>
      <c r="B2111">
        <f>IF(A2111="","",IFERROR(INDEX(Ввод!$B$12:$B$71,MATCH(A2111,Ввод!$D$12:$D$71,1)),""))</f>
        <v/>
      </c>
      <c r="C2111">
        <f>IF(A2111="","",DATE(YEAR(A2111),12,31)-DATE(YEAR(A2111),1,1)+1)</f>
        <v/>
      </c>
      <c r="D2111">
        <f>IF(A2111="","",SUMIFS(Акты!$D$5:$D$16,Акты!$E$5:$E$16,"&lt;="&amp;A2111)-SUMIFS(Оплаты!$B$6:$B$505,Оплаты!$A$6:$A$505,"&lt;"&amp;A2111,Оплаты!$D$6:$D$505,"&lt;&gt;"))</f>
        <v/>
      </c>
      <c r="E2111">
        <f>IF(A2111="","",IF(SUMPRODUCT((Ввод!$F$12:$F$31&lt;&gt;"")*(Ввод!$F$12:$F$31&lt;=A2111)*(Ввод!$G$12:$G$31&gt;=A2111))&gt;0,1,0))</f>
        <v/>
      </c>
      <c r="G2111">
        <f>IF(A2111="","",IF(OR(B2111&lt;&gt;B2110,C2111&lt;&gt;C2110,E2111&lt;&gt;E2110),G2110+1,G2110))</f>
        <v/>
      </c>
    </row>
    <row r="2112">
      <c r="A2112" s="20">
        <f>IF(A2111="","",IF(A2111+1&gt;Ввод!$B$4,"",A2111+1))</f>
        <v/>
      </c>
      <c r="B2112">
        <f>IF(A2112="","",IFERROR(INDEX(Ввод!$B$12:$B$71,MATCH(A2112,Ввод!$D$12:$D$71,1)),""))</f>
        <v/>
      </c>
      <c r="C2112">
        <f>IF(A2112="","",DATE(YEAR(A2112),12,31)-DATE(YEAR(A2112),1,1)+1)</f>
        <v/>
      </c>
      <c r="D2112">
        <f>IF(A2112="","",SUMIFS(Акты!$D$5:$D$16,Акты!$E$5:$E$16,"&lt;="&amp;A2112)-SUMIFS(Оплаты!$B$6:$B$505,Оплаты!$A$6:$A$505,"&lt;"&amp;A2112,Оплаты!$D$6:$D$505,"&lt;&gt;"))</f>
        <v/>
      </c>
      <c r="E2112">
        <f>IF(A2112="","",IF(SUMPRODUCT((Ввод!$F$12:$F$31&lt;&gt;"")*(Ввод!$F$12:$F$31&lt;=A2112)*(Ввод!$G$12:$G$31&gt;=A2112))&gt;0,1,0))</f>
        <v/>
      </c>
      <c r="G2112">
        <f>IF(A2112="","",IF(OR(B2112&lt;&gt;B2111,C2112&lt;&gt;C2111,E2112&lt;&gt;E2111),G2111+1,G2111))</f>
        <v/>
      </c>
    </row>
    <row r="2113">
      <c r="A2113" s="20">
        <f>IF(A2112="","",IF(A2112+1&gt;Ввод!$B$4,"",A2112+1))</f>
        <v/>
      </c>
      <c r="B2113">
        <f>IF(A2113="","",IFERROR(INDEX(Ввод!$B$12:$B$71,MATCH(A2113,Ввод!$D$12:$D$71,1)),""))</f>
        <v/>
      </c>
      <c r="C2113">
        <f>IF(A2113="","",DATE(YEAR(A2113),12,31)-DATE(YEAR(A2113),1,1)+1)</f>
        <v/>
      </c>
      <c r="D2113">
        <f>IF(A2113="","",SUMIFS(Акты!$D$5:$D$16,Акты!$E$5:$E$16,"&lt;="&amp;A2113)-SUMIFS(Оплаты!$B$6:$B$505,Оплаты!$A$6:$A$505,"&lt;"&amp;A2113,Оплаты!$D$6:$D$505,"&lt;&gt;"))</f>
        <v/>
      </c>
      <c r="E2113">
        <f>IF(A2113="","",IF(SUMPRODUCT((Ввод!$F$12:$F$31&lt;&gt;"")*(Ввод!$F$12:$F$31&lt;=A2113)*(Ввод!$G$12:$G$31&gt;=A2113))&gt;0,1,0))</f>
        <v/>
      </c>
      <c r="G2113">
        <f>IF(A2113="","",IF(OR(B2113&lt;&gt;B2112,C2113&lt;&gt;C2112,E2113&lt;&gt;E2112),G2112+1,G2112))</f>
        <v/>
      </c>
    </row>
    <row r="2114">
      <c r="A2114" s="20">
        <f>IF(A2113="","",IF(A2113+1&gt;Ввод!$B$4,"",A2113+1))</f>
        <v/>
      </c>
      <c r="B2114">
        <f>IF(A2114="","",IFERROR(INDEX(Ввод!$B$12:$B$71,MATCH(A2114,Ввод!$D$12:$D$71,1)),""))</f>
        <v/>
      </c>
      <c r="C2114">
        <f>IF(A2114="","",DATE(YEAR(A2114),12,31)-DATE(YEAR(A2114),1,1)+1)</f>
        <v/>
      </c>
      <c r="D2114">
        <f>IF(A2114="","",SUMIFS(Акты!$D$5:$D$16,Акты!$E$5:$E$16,"&lt;="&amp;A2114)-SUMIFS(Оплаты!$B$6:$B$505,Оплаты!$A$6:$A$505,"&lt;"&amp;A2114,Оплаты!$D$6:$D$505,"&lt;&gt;"))</f>
        <v/>
      </c>
      <c r="E2114">
        <f>IF(A2114="","",IF(SUMPRODUCT((Ввод!$F$12:$F$31&lt;&gt;"")*(Ввод!$F$12:$F$31&lt;=A2114)*(Ввод!$G$12:$G$31&gt;=A2114))&gt;0,1,0))</f>
        <v/>
      </c>
      <c r="G2114">
        <f>IF(A2114="","",IF(OR(B2114&lt;&gt;B2113,C2114&lt;&gt;C2113,E2114&lt;&gt;E2113),G2113+1,G2113))</f>
        <v/>
      </c>
    </row>
    <row r="2115">
      <c r="A2115" s="20">
        <f>IF(A2114="","",IF(A2114+1&gt;Ввод!$B$4,"",A2114+1))</f>
        <v/>
      </c>
      <c r="B2115">
        <f>IF(A2115="","",IFERROR(INDEX(Ввод!$B$12:$B$71,MATCH(A2115,Ввод!$D$12:$D$71,1)),""))</f>
        <v/>
      </c>
      <c r="C2115">
        <f>IF(A2115="","",DATE(YEAR(A2115),12,31)-DATE(YEAR(A2115),1,1)+1)</f>
        <v/>
      </c>
      <c r="D2115">
        <f>IF(A2115="","",SUMIFS(Акты!$D$5:$D$16,Акты!$E$5:$E$16,"&lt;="&amp;A2115)-SUMIFS(Оплаты!$B$6:$B$505,Оплаты!$A$6:$A$505,"&lt;"&amp;A2115,Оплаты!$D$6:$D$505,"&lt;&gt;"))</f>
        <v/>
      </c>
      <c r="E2115">
        <f>IF(A2115="","",IF(SUMPRODUCT((Ввод!$F$12:$F$31&lt;&gt;"")*(Ввод!$F$12:$F$31&lt;=A2115)*(Ввод!$G$12:$G$31&gt;=A2115))&gt;0,1,0))</f>
        <v/>
      </c>
      <c r="G2115">
        <f>IF(A2115="","",IF(OR(B2115&lt;&gt;B2114,C2115&lt;&gt;C2114,E2115&lt;&gt;E2114),G2114+1,G2114))</f>
        <v/>
      </c>
    </row>
    <row r="2116">
      <c r="A2116" s="20">
        <f>IF(A2115="","",IF(A2115+1&gt;Ввод!$B$4,"",A2115+1))</f>
        <v/>
      </c>
      <c r="B2116">
        <f>IF(A2116="","",IFERROR(INDEX(Ввод!$B$12:$B$71,MATCH(A2116,Ввод!$D$12:$D$71,1)),""))</f>
        <v/>
      </c>
      <c r="C2116">
        <f>IF(A2116="","",DATE(YEAR(A2116),12,31)-DATE(YEAR(A2116),1,1)+1)</f>
        <v/>
      </c>
      <c r="D2116">
        <f>IF(A2116="","",SUMIFS(Акты!$D$5:$D$16,Акты!$E$5:$E$16,"&lt;="&amp;A2116)-SUMIFS(Оплаты!$B$6:$B$505,Оплаты!$A$6:$A$505,"&lt;"&amp;A2116,Оплаты!$D$6:$D$505,"&lt;&gt;"))</f>
        <v/>
      </c>
      <c r="E2116">
        <f>IF(A2116="","",IF(SUMPRODUCT((Ввод!$F$12:$F$31&lt;&gt;"")*(Ввод!$F$12:$F$31&lt;=A2116)*(Ввод!$G$12:$G$31&gt;=A2116))&gt;0,1,0))</f>
        <v/>
      </c>
      <c r="G2116">
        <f>IF(A2116="","",IF(OR(B2116&lt;&gt;B2115,C2116&lt;&gt;C2115,E2116&lt;&gt;E2115),G2115+1,G2115))</f>
        <v/>
      </c>
    </row>
    <row r="2117">
      <c r="A2117" s="20">
        <f>IF(A2116="","",IF(A2116+1&gt;Ввод!$B$4,"",A2116+1))</f>
        <v/>
      </c>
      <c r="B2117">
        <f>IF(A2117="","",IFERROR(INDEX(Ввод!$B$12:$B$71,MATCH(A2117,Ввод!$D$12:$D$71,1)),""))</f>
        <v/>
      </c>
      <c r="C2117">
        <f>IF(A2117="","",DATE(YEAR(A2117),12,31)-DATE(YEAR(A2117),1,1)+1)</f>
        <v/>
      </c>
      <c r="D2117">
        <f>IF(A2117="","",SUMIFS(Акты!$D$5:$D$16,Акты!$E$5:$E$16,"&lt;="&amp;A2117)-SUMIFS(Оплаты!$B$6:$B$505,Оплаты!$A$6:$A$505,"&lt;"&amp;A2117,Оплаты!$D$6:$D$505,"&lt;&gt;"))</f>
        <v/>
      </c>
      <c r="E2117">
        <f>IF(A2117="","",IF(SUMPRODUCT((Ввод!$F$12:$F$31&lt;&gt;"")*(Ввод!$F$12:$F$31&lt;=A2117)*(Ввод!$G$12:$G$31&gt;=A2117))&gt;0,1,0))</f>
        <v/>
      </c>
      <c r="G2117">
        <f>IF(A2117="","",IF(OR(B2117&lt;&gt;B2116,C2117&lt;&gt;C2116,E2117&lt;&gt;E2116),G2116+1,G2116))</f>
        <v/>
      </c>
    </row>
    <row r="2118">
      <c r="A2118" s="20">
        <f>IF(A2117="","",IF(A2117+1&gt;Ввод!$B$4,"",A2117+1))</f>
        <v/>
      </c>
      <c r="B2118">
        <f>IF(A2118="","",IFERROR(INDEX(Ввод!$B$12:$B$71,MATCH(A2118,Ввод!$D$12:$D$71,1)),""))</f>
        <v/>
      </c>
      <c r="C2118">
        <f>IF(A2118="","",DATE(YEAR(A2118),12,31)-DATE(YEAR(A2118),1,1)+1)</f>
        <v/>
      </c>
      <c r="D2118">
        <f>IF(A2118="","",SUMIFS(Акты!$D$5:$D$16,Акты!$E$5:$E$16,"&lt;="&amp;A2118)-SUMIFS(Оплаты!$B$6:$B$505,Оплаты!$A$6:$A$505,"&lt;"&amp;A2118,Оплаты!$D$6:$D$505,"&lt;&gt;"))</f>
        <v/>
      </c>
      <c r="E2118">
        <f>IF(A2118="","",IF(SUMPRODUCT((Ввод!$F$12:$F$31&lt;&gt;"")*(Ввод!$F$12:$F$31&lt;=A2118)*(Ввод!$G$12:$G$31&gt;=A2118))&gt;0,1,0))</f>
        <v/>
      </c>
      <c r="G2118">
        <f>IF(A2118="","",IF(OR(B2118&lt;&gt;B2117,C2118&lt;&gt;C2117,E2118&lt;&gt;E2117),G2117+1,G2117))</f>
        <v/>
      </c>
    </row>
    <row r="2119">
      <c r="A2119" s="20">
        <f>IF(A2118="","",IF(A2118+1&gt;Ввод!$B$4,"",A2118+1))</f>
        <v/>
      </c>
      <c r="B2119">
        <f>IF(A2119="","",IFERROR(INDEX(Ввод!$B$12:$B$71,MATCH(A2119,Ввод!$D$12:$D$71,1)),""))</f>
        <v/>
      </c>
      <c r="C2119">
        <f>IF(A2119="","",DATE(YEAR(A2119),12,31)-DATE(YEAR(A2119),1,1)+1)</f>
        <v/>
      </c>
      <c r="D2119">
        <f>IF(A2119="","",SUMIFS(Акты!$D$5:$D$16,Акты!$E$5:$E$16,"&lt;="&amp;A2119)-SUMIFS(Оплаты!$B$6:$B$505,Оплаты!$A$6:$A$505,"&lt;"&amp;A2119,Оплаты!$D$6:$D$505,"&lt;&gt;"))</f>
        <v/>
      </c>
      <c r="E2119">
        <f>IF(A2119="","",IF(SUMPRODUCT((Ввод!$F$12:$F$31&lt;&gt;"")*(Ввод!$F$12:$F$31&lt;=A2119)*(Ввод!$G$12:$G$31&gt;=A2119))&gt;0,1,0))</f>
        <v/>
      </c>
      <c r="G2119">
        <f>IF(A2119="","",IF(OR(B2119&lt;&gt;B2118,C2119&lt;&gt;C2118,E2119&lt;&gt;E2118),G2118+1,G2118))</f>
        <v/>
      </c>
    </row>
    <row r="2120">
      <c r="A2120" s="20">
        <f>IF(A2119="","",IF(A2119+1&gt;Ввод!$B$4,"",A2119+1))</f>
        <v/>
      </c>
      <c r="B2120">
        <f>IF(A2120="","",IFERROR(INDEX(Ввод!$B$12:$B$71,MATCH(A2120,Ввод!$D$12:$D$71,1)),""))</f>
        <v/>
      </c>
      <c r="C2120">
        <f>IF(A2120="","",DATE(YEAR(A2120),12,31)-DATE(YEAR(A2120),1,1)+1)</f>
        <v/>
      </c>
      <c r="D2120">
        <f>IF(A2120="","",SUMIFS(Акты!$D$5:$D$16,Акты!$E$5:$E$16,"&lt;="&amp;A2120)-SUMIFS(Оплаты!$B$6:$B$505,Оплаты!$A$6:$A$505,"&lt;"&amp;A2120,Оплаты!$D$6:$D$505,"&lt;&gt;"))</f>
        <v/>
      </c>
      <c r="E2120">
        <f>IF(A2120="","",IF(SUMPRODUCT((Ввод!$F$12:$F$31&lt;&gt;"")*(Ввод!$F$12:$F$31&lt;=A2120)*(Ввод!$G$12:$G$31&gt;=A2120))&gt;0,1,0))</f>
        <v/>
      </c>
      <c r="G2120">
        <f>IF(A2120="","",IF(OR(B2120&lt;&gt;B2119,C2120&lt;&gt;C2119,E2120&lt;&gt;E2119),G2119+1,G2119))</f>
        <v/>
      </c>
    </row>
    <row r="2121">
      <c r="A2121" s="20">
        <f>IF(A2120="","",IF(A2120+1&gt;Ввод!$B$4,"",A2120+1))</f>
        <v/>
      </c>
      <c r="B2121">
        <f>IF(A2121="","",IFERROR(INDEX(Ввод!$B$12:$B$71,MATCH(A2121,Ввод!$D$12:$D$71,1)),""))</f>
        <v/>
      </c>
      <c r="C2121">
        <f>IF(A2121="","",DATE(YEAR(A2121),12,31)-DATE(YEAR(A2121),1,1)+1)</f>
        <v/>
      </c>
      <c r="D2121">
        <f>IF(A2121="","",SUMIFS(Акты!$D$5:$D$16,Акты!$E$5:$E$16,"&lt;="&amp;A2121)-SUMIFS(Оплаты!$B$6:$B$505,Оплаты!$A$6:$A$505,"&lt;"&amp;A2121,Оплаты!$D$6:$D$505,"&lt;&gt;"))</f>
        <v/>
      </c>
      <c r="E2121">
        <f>IF(A2121="","",IF(SUMPRODUCT((Ввод!$F$12:$F$31&lt;&gt;"")*(Ввод!$F$12:$F$31&lt;=A2121)*(Ввод!$G$12:$G$31&gt;=A2121))&gt;0,1,0))</f>
        <v/>
      </c>
      <c r="G2121">
        <f>IF(A2121="","",IF(OR(B2121&lt;&gt;B2120,C2121&lt;&gt;C2120,E2121&lt;&gt;E2120),G2120+1,G2120))</f>
        <v/>
      </c>
    </row>
    <row r="2122">
      <c r="A2122" s="20">
        <f>IF(A2121="","",IF(A2121+1&gt;Ввод!$B$4,"",A2121+1))</f>
        <v/>
      </c>
      <c r="B2122">
        <f>IF(A2122="","",IFERROR(INDEX(Ввод!$B$12:$B$71,MATCH(A2122,Ввод!$D$12:$D$71,1)),""))</f>
        <v/>
      </c>
      <c r="C2122">
        <f>IF(A2122="","",DATE(YEAR(A2122),12,31)-DATE(YEAR(A2122),1,1)+1)</f>
        <v/>
      </c>
      <c r="D2122">
        <f>IF(A2122="","",SUMIFS(Акты!$D$5:$D$16,Акты!$E$5:$E$16,"&lt;="&amp;A2122)-SUMIFS(Оплаты!$B$6:$B$505,Оплаты!$A$6:$A$505,"&lt;"&amp;A2122,Оплаты!$D$6:$D$505,"&lt;&gt;"))</f>
        <v/>
      </c>
      <c r="E2122">
        <f>IF(A2122="","",IF(SUMPRODUCT((Ввод!$F$12:$F$31&lt;&gt;"")*(Ввод!$F$12:$F$31&lt;=A2122)*(Ввод!$G$12:$G$31&gt;=A2122))&gt;0,1,0))</f>
        <v/>
      </c>
      <c r="G2122">
        <f>IF(A2122="","",IF(OR(B2122&lt;&gt;B2121,C2122&lt;&gt;C2121,E2122&lt;&gt;E2121),G2121+1,G2121))</f>
        <v/>
      </c>
    </row>
    <row r="2123">
      <c r="A2123" s="20">
        <f>IF(A2122="","",IF(A2122+1&gt;Ввод!$B$4,"",A2122+1))</f>
        <v/>
      </c>
      <c r="B2123">
        <f>IF(A2123="","",IFERROR(INDEX(Ввод!$B$12:$B$71,MATCH(A2123,Ввод!$D$12:$D$71,1)),""))</f>
        <v/>
      </c>
      <c r="C2123">
        <f>IF(A2123="","",DATE(YEAR(A2123),12,31)-DATE(YEAR(A2123),1,1)+1)</f>
        <v/>
      </c>
      <c r="D2123">
        <f>IF(A2123="","",SUMIFS(Акты!$D$5:$D$16,Акты!$E$5:$E$16,"&lt;="&amp;A2123)-SUMIFS(Оплаты!$B$6:$B$505,Оплаты!$A$6:$A$505,"&lt;"&amp;A2123,Оплаты!$D$6:$D$505,"&lt;&gt;"))</f>
        <v/>
      </c>
      <c r="E2123">
        <f>IF(A2123="","",IF(SUMPRODUCT((Ввод!$F$12:$F$31&lt;&gt;"")*(Ввод!$F$12:$F$31&lt;=A2123)*(Ввод!$G$12:$G$31&gt;=A2123))&gt;0,1,0))</f>
        <v/>
      </c>
      <c r="G2123">
        <f>IF(A2123="","",IF(OR(B2123&lt;&gt;B2122,C2123&lt;&gt;C2122,E2123&lt;&gt;E2122),G2122+1,G2122))</f>
        <v/>
      </c>
    </row>
    <row r="2124">
      <c r="A2124" s="20">
        <f>IF(A2123="","",IF(A2123+1&gt;Ввод!$B$4,"",A2123+1))</f>
        <v/>
      </c>
      <c r="B2124">
        <f>IF(A2124="","",IFERROR(INDEX(Ввод!$B$12:$B$71,MATCH(A2124,Ввод!$D$12:$D$71,1)),""))</f>
        <v/>
      </c>
      <c r="C2124">
        <f>IF(A2124="","",DATE(YEAR(A2124),12,31)-DATE(YEAR(A2124),1,1)+1)</f>
        <v/>
      </c>
      <c r="D2124">
        <f>IF(A2124="","",SUMIFS(Акты!$D$5:$D$16,Акты!$E$5:$E$16,"&lt;="&amp;A2124)-SUMIFS(Оплаты!$B$6:$B$505,Оплаты!$A$6:$A$505,"&lt;"&amp;A2124,Оплаты!$D$6:$D$505,"&lt;&gt;"))</f>
        <v/>
      </c>
      <c r="E2124">
        <f>IF(A2124="","",IF(SUMPRODUCT((Ввод!$F$12:$F$31&lt;&gt;"")*(Ввод!$F$12:$F$31&lt;=A2124)*(Ввод!$G$12:$G$31&gt;=A2124))&gt;0,1,0))</f>
        <v/>
      </c>
      <c r="G2124">
        <f>IF(A2124="","",IF(OR(B2124&lt;&gt;B2123,C2124&lt;&gt;C2123,E2124&lt;&gt;E2123),G2123+1,G2123))</f>
        <v/>
      </c>
    </row>
    <row r="2125">
      <c r="A2125" s="20">
        <f>IF(A2124="","",IF(A2124+1&gt;Ввод!$B$4,"",A2124+1))</f>
        <v/>
      </c>
      <c r="B2125">
        <f>IF(A2125="","",IFERROR(INDEX(Ввод!$B$12:$B$71,MATCH(A2125,Ввод!$D$12:$D$71,1)),""))</f>
        <v/>
      </c>
      <c r="C2125">
        <f>IF(A2125="","",DATE(YEAR(A2125),12,31)-DATE(YEAR(A2125),1,1)+1)</f>
        <v/>
      </c>
      <c r="D2125">
        <f>IF(A2125="","",SUMIFS(Акты!$D$5:$D$16,Акты!$E$5:$E$16,"&lt;="&amp;A2125)-SUMIFS(Оплаты!$B$6:$B$505,Оплаты!$A$6:$A$505,"&lt;"&amp;A2125,Оплаты!$D$6:$D$505,"&lt;&gt;"))</f>
        <v/>
      </c>
      <c r="E2125">
        <f>IF(A2125="","",IF(SUMPRODUCT((Ввод!$F$12:$F$31&lt;&gt;"")*(Ввод!$F$12:$F$31&lt;=A2125)*(Ввод!$G$12:$G$31&gt;=A2125))&gt;0,1,0))</f>
        <v/>
      </c>
      <c r="G2125">
        <f>IF(A2125="","",IF(OR(B2125&lt;&gt;B2124,C2125&lt;&gt;C2124,E2125&lt;&gt;E2124),G2124+1,G2124))</f>
        <v/>
      </c>
    </row>
    <row r="2126">
      <c r="A2126" s="20">
        <f>IF(A2125="","",IF(A2125+1&gt;Ввод!$B$4,"",A2125+1))</f>
        <v/>
      </c>
      <c r="B2126">
        <f>IF(A2126="","",IFERROR(INDEX(Ввод!$B$12:$B$71,MATCH(A2126,Ввод!$D$12:$D$71,1)),""))</f>
        <v/>
      </c>
      <c r="C2126">
        <f>IF(A2126="","",DATE(YEAR(A2126),12,31)-DATE(YEAR(A2126),1,1)+1)</f>
        <v/>
      </c>
      <c r="D2126">
        <f>IF(A2126="","",SUMIFS(Акты!$D$5:$D$16,Акты!$E$5:$E$16,"&lt;="&amp;A2126)-SUMIFS(Оплаты!$B$6:$B$505,Оплаты!$A$6:$A$505,"&lt;"&amp;A2126,Оплаты!$D$6:$D$505,"&lt;&gt;"))</f>
        <v/>
      </c>
      <c r="E2126">
        <f>IF(A2126="","",IF(SUMPRODUCT((Ввод!$F$12:$F$31&lt;&gt;"")*(Ввод!$F$12:$F$31&lt;=A2126)*(Ввод!$G$12:$G$31&gt;=A2126))&gt;0,1,0))</f>
        <v/>
      </c>
      <c r="G2126">
        <f>IF(A2126="","",IF(OR(B2126&lt;&gt;B2125,C2126&lt;&gt;C2125,E2126&lt;&gt;E2125),G2125+1,G2125))</f>
        <v/>
      </c>
    </row>
    <row r="2127">
      <c r="A2127" s="20">
        <f>IF(A2126="","",IF(A2126+1&gt;Ввод!$B$4,"",A2126+1))</f>
        <v/>
      </c>
      <c r="B2127">
        <f>IF(A2127="","",IFERROR(INDEX(Ввод!$B$12:$B$71,MATCH(A2127,Ввод!$D$12:$D$71,1)),""))</f>
        <v/>
      </c>
      <c r="C2127">
        <f>IF(A2127="","",DATE(YEAR(A2127),12,31)-DATE(YEAR(A2127),1,1)+1)</f>
        <v/>
      </c>
      <c r="D2127">
        <f>IF(A2127="","",SUMIFS(Акты!$D$5:$D$16,Акты!$E$5:$E$16,"&lt;="&amp;A2127)-SUMIFS(Оплаты!$B$6:$B$505,Оплаты!$A$6:$A$505,"&lt;"&amp;A2127,Оплаты!$D$6:$D$505,"&lt;&gt;"))</f>
        <v/>
      </c>
      <c r="E2127">
        <f>IF(A2127="","",IF(SUMPRODUCT((Ввод!$F$12:$F$31&lt;&gt;"")*(Ввод!$F$12:$F$31&lt;=A2127)*(Ввод!$G$12:$G$31&gt;=A2127))&gt;0,1,0))</f>
        <v/>
      </c>
      <c r="G2127">
        <f>IF(A2127="","",IF(OR(B2127&lt;&gt;B2126,C2127&lt;&gt;C2126,E2127&lt;&gt;E2126),G2126+1,G2126))</f>
        <v/>
      </c>
    </row>
    <row r="2128">
      <c r="A2128" s="20">
        <f>IF(A2127="","",IF(A2127+1&gt;Ввод!$B$4,"",A2127+1))</f>
        <v/>
      </c>
      <c r="B2128">
        <f>IF(A2128="","",IFERROR(INDEX(Ввод!$B$12:$B$71,MATCH(A2128,Ввод!$D$12:$D$71,1)),""))</f>
        <v/>
      </c>
      <c r="C2128">
        <f>IF(A2128="","",DATE(YEAR(A2128),12,31)-DATE(YEAR(A2128),1,1)+1)</f>
        <v/>
      </c>
      <c r="D2128">
        <f>IF(A2128="","",SUMIFS(Акты!$D$5:$D$16,Акты!$E$5:$E$16,"&lt;="&amp;A2128)-SUMIFS(Оплаты!$B$6:$B$505,Оплаты!$A$6:$A$505,"&lt;"&amp;A2128,Оплаты!$D$6:$D$505,"&lt;&gt;"))</f>
        <v/>
      </c>
      <c r="E2128">
        <f>IF(A2128="","",IF(SUMPRODUCT((Ввод!$F$12:$F$31&lt;&gt;"")*(Ввод!$F$12:$F$31&lt;=A2128)*(Ввод!$G$12:$G$31&gt;=A2128))&gt;0,1,0))</f>
        <v/>
      </c>
      <c r="G2128">
        <f>IF(A2128="","",IF(OR(B2128&lt;&gt;B2127,C2128&lt;&gt;C2127,E2128&lt;&gt;E2127),G2127+1,G2127))</f>
        <v/>
      </c>
    </row>
    <row r="2129">
      <c r="A2129" s="20">
        <f>IF(A2128="","",IF(A2128+1&gt;Ввод!$B$4,"",A2128+1))</f>
        <v/>
      </c>
      <c r="B2129">
        <f>IF(A2129="","",IFERROR(INDEX(Ввод!$B$12:$B$71,MATCH(A2129,Ввод!$D$12:$D$71,1)),""))</f>
        <v/>
      </c>
      <c r="C2129">
        <f>IF(A2129="","",DATE(YEAR(A2129),12,31)-DATE(YEAR(A2129),1,1)+1)</f>
        <v/>
      </c>
      <c r="D2129">
        <f>IF(A2129="","",SUMIFS(Акты!$D$5:$D$16,Акты!$E$5:$E$16,"&lt;="&amp;A2129)-SUMIFS(Оплаты!$B$6:$B$505,Оплаты!$A$6:$A$505,"&lt;"&amp;A2129,Оплаты!$D$6:$D$505,"&lt;&gt;"))</f>
        <v/>
      </c>
      <c r="E2129">
        <f>IF(A2129="","",IF(SUMPRODUCT((Ввод!$F$12:$F$31&lt;&gt;"")*(Ввод!$F$12:$F$31&lt;=A2129)*(Ввод!$G$12:$G$31&gt;=A2129))&gt;0,1,0))</f>
        <v/>
      </c>
      <c r="G2129">
        <f>IF(A2129="","",IF(OR(B2129&lt;&gt;B2128,C2129&lt;&gt;C2128,E2129&lt;&gt;E2128),G2128+1,G2128))</f>
        <v/>
      </c>
    </row>
    <row r="2130">
      <c r="A2130" s="20">
        <f>IF(A2129="","",IF(A2129+1&gt;Ввод!$B$4,"",A2129+1))</f>
        <v/>
      </c>
      <c r="B2130">
        <f>IF(A2130="","",IFERROR(INDEX(Ввод!$B$12:$B$71,MATCH(A2130,Ввод!$D$12:$D$71,1)),""))</f>
        <v/>
      </c>
      <c r="C2130">
        <f>IF(A2130="","",DATE(YEAR(A2130),12,31)-DATE(YEAR(A2130),1,1)+1)</f>
        <v/>
      </c>
      <c r="D2130">
        <f>IF(A2130="","",SUMIFS(Акты!$D$5:$D$16,Акты!$E$5:$E$16,"&lt;="&amp;A2130)-SUMIFS(Оплаты!$B$6:$B$505,Оплаты!$A$6:$A$505,"&lt;"&amp;A2130,Оплаты!$D$6:$D$505,"&lt;&gt;"))</f>
        <v/>
      </c>
      <c r="E2130">
        <f>IF(A2130="","",IF(SUMPRODUCT((Ввод!$F$12:$F$31&lt;&gt;"")*(Ввод!$F$12:$F$31&lt;=A2130)*(Ввод!$G$12:$G$31&gt;=A2130))&gt;0,1,0))</f>
        <v/>
      </c>
      <c r="G2130">
        <f>IF(A2130="","",IF(OR(B2130&lt;&gt;B2129,C2130&lt;&gt;C2129,E2130&lt;&gt;E2129),G2129+1,G2129))</f>
        <v/>
      </c>
    </row>
    <row r="2131">
      <c r="A2131" s="20">
        <f>IF(A2130="","",IF(A2130+1&gt;Ввод!$B$4,"",A2130+1))</f>
        <v/>
      </c>
      <c r="B2131">
        <f>IF(A2131="","",IFERROR(INDEX(Ввод!$B$12:$B$71,MATCH(A2131,Ввод!$D$12:$D$71,1)),""))</f>
        <v/>
      </c>
      <c r="C2131">
        <f>IF(A2131="","",DATE(YEAR(A2131),12,31)-DATE(YEAR(A2131),1,1)+1)</f>
        <v/>
      </c>
      <c r="D2131">
        <f>IF(A2131="","",SUMIFS(Акты!$D$5:$D$16,Акты!$E$5:$E$16,"&lt;="&amp;A2131)-SUMIFS(Оплаты!$B$6:$B$505,Оплаты!$A$6:$A$505,"&lt;"&amp;A2131,Оплаты!$D$6:$D$505,"&lt;&gt;"))</f>
        <v/>
      </c>
      <c r="E2131">
        <f>IF(A2131="","",IF(SUMPRODUCT((Ввод!$F$12:$F$31&lt;&gt;"")*(Ввод!$F$12:$F$31&lt;=A2131)*(Ввод!$G$12:$G$31&gt;=A2131))&gt;0,1,0))</f>
        <v/>
      </c>
      <c r="G2131">
        <f>IF(A2131="","",IF(OR(B2131&lt;&gt;B2130,C2131&lt;&gt;C2130,E2131&lt;&gt;E2130),G2130+1,G2130))</f>
        <v/>
      </c>
    </row>
    <row r="2132">
      <c r="A2132" s="20">
        <f>IF(A2131="","",IF(A2131+1&gt;Ввод!$B$4,"",A2131+1))</f>
        <v/>
      </c>
      <c r="B2132">
        <f>IF(A2132="","",IFERROR(INDEX(Ввод!$B$12:$B$71,MATCH(A2132,Ввод!$D$12:$D$71,1)),""))</f>
        <v/>
      </c>
      <c r="C2132">
        <f>IF(A2132="","",DATE(YEAR(A2132),12,31)-DATE(YEAR(A2132),1,1)+1)</f>
        <v/>
      </c>
      <c r="D2132">
        <f>IF(A2132="","",SUMIFS(Акты!$D$5:$D$16,Акты!$E$5:$E$16,"&lt;="&amp;A2132)-SUMIFS(Оплаты!$B$6:$B$505,Оплаты!$A$6:$A$505,"&lt;"&amp;A2132,Оплаты!$D$6:$D$505,"&lt;&gt;"))</f>
        <v/>
      </c>
      <c r="E2132">
        <f>IF(A2132="","",IF(SUMPRODUCT((Ввод!$F$12:$F$31&lt;&gt;"")*(Ввод!$F$12:$F$31&lt;=A2132)*(Ввод!$G$12:$G$31&gt;=A2132))&gt;0,1,0))</f>
        <v/>
      </c>
      <c r="G2132">
        <f>IF(A2132="","",IF(OR(B2132&lt;&gt;B2131,C2132&lt;&gt;C2131,E2132&lt;&gt;E2131),G2131+1,G2131))</f>
        <v/>
      </c>
    </row>
    <row r="2133">
      <c r="A2133" s="20">
        <f>IF(A2132="","",IF(A2132+1&gt;Ввод!$B$4,"",A2132+1))</f>
        <v/>
      </c>
      <c r="B2133">
        <f>IF(A2133="","",IFERROR(INDEX(Ввод!$B$12:$B$71,MATCH(A2133,Ввод!$D$12:$D$71,1)),""))</f>
        <v/>
      </c>
      <c r="C2133">
        <f>IF(A2133="","",DATE(YEAR(A2133),12,31)-DATE(YEAR(A2133),1,1)+1)</f>
        <v/>
      </c>
      <c r="D2133">
        <f>IF(A2133="","",SUMIFS(Акты!$D$5:$D$16,Акты!$E$5:$E$16,"&lt;="&amp;A2133)-SUMIFS(Оплаты!$B$6:$B$505,Оплаты!$A$6:$A$505,"&lt;"&amp;A2133,Оплаты!$D$6:$D$505,"&lt;&gt;"))</f>
        <v/>
      </c>
      <c r="E2133">
        <f>IF(A2133="","",IF(SUMPRODUCT((Ввод!$F$12:$F$31&lt;&gt;"")*(Ввод!$F$12:$F$31&lt;=A2133)*(Ввод!$G$12:$G$31&gt;=A2133))&gt;0,1,0))</f>
        <v/>
      </c>
      <c r="G2133">
        <f>IF(A2133="","",IF(OR(B2133&lt;&gt;B2132,C2133&lt;&gt;C2132,E2133&lt;&gt;E2132),G2132+1,G2132))</f>
        <v/>
      </c>
    </row>
    <row r="2134">
      <c r="A2134" s="20">
        <f>IF(A2133="","",IF(A2133+1&gt;Ввод!$B$4,"",A2133+1))</f>
        <v/>
      </c>
      <c r="B2134">
        <f>IF(A2134="","",IFERROR(INDEX(Ввод!$B$12:$B$71,MATCH(A2134,Ввод!$D$12:$D$71,1)),""))</f>
        <v/>
      </c>
      <c r="C2134">
        <f>IF(A2134="","",DATE(YEAR(A2134),12,31)-DATE(YEAR(A2134),1,1)+1)</f>
        <v/>
      </c>
      <c r="D2134">
        <f>IF(A2134="","",SUMIFS(Акты!$D$5:$D$16,Акты!$E$5:$E$16,"&lt;="&amp;A2134)-SUMIFS(Оплаты!$B$6:$B$505,Оплаты!$A$6:$A$505,"&lt;"&amp;A2134,Оплаты!$D$6:$D$505,"&lt;&gt;"))</f>
        <v/>
      </c>
      <c r="E2134">
        <f>IF(A2134="","",IF(SUMPRODUCT((Ввод!$F$12:$F$31&lt;&gt;"")*(Ввод!$F$12:$F$31&lt;=A2134)*(Ввод!$G$12:$G$31&gt;=A2134))&gt;0,1,0))</f>
        <v/>
      </c>
      <c r="G2134">
        <f>IF(A2134="","",IF(OR(B2134&lt;&gt;B2133,C2134&lt;&gt;C2133,E2134&lt;&gt;E2133),G2133+1,G2133))</f>
        <v/>
      </c>
    </row>
    <row r="2135">
      <c r="A2135" s="20">
        <f>IF(A2134="","",IF(A2134+1&gt;Ввод!$B$4,"",A2134+1))</f>
        <v/>
      </c>
      <c r="B2135">
        <f>IF(A2135="","",IFERROR(INDEX(Ввод!$B$12:$B$71,MATCH(A2135,Ввод!$D$12:$D$71,1)),""))</f>
        <v/>
      </c>
      <c r="C2135">
        <f>IF(A2135="","",DATE(YEAR(A2135),12,31)-DATE(YEAR(A2135),1,1)+1)</f>
        <v/>
      </c>
      <c r="D2135">
        <f>IF(A2135="","",SUMIFS(Акты!$D$5:$D$16,Акты!$E$5:$E$16,"&lt;="&amp;A2135)-SUMIFS(Оплаты!$B$6:$B$505,Оплаты!$A$6:$A$505,"&lt;"&amp;A2135,Оплаты!$D$6:$D$505,"&lt;&gt;"))</f>
        <v/>
      </c>
      <c r="E2135">
        <f>IF(A2135="","",IF(SUMPRODUCT((Ввод!$F$12:$F$31&lt;&gt;"")*(Ввод!$F$12:$F$31&lt;=A2135)*(Ввод!$G$12:$G$31&gt;=A2135))&gt;0,1,0))</f>
        <v/>
      </c>
      <c r="G2135">
        <f>IF(A2135="","",IF(OR(B2135&lt;&gt;B2134,C2135&lt;&gt;C2134,E2135&lt;&gt;E2134),G2134+1,G2134))</f>
        <v/>
      </c>
    </row>
    <row r="2136">
      <c r="A2136" s="20">
        <f>IF(A2135="","",IF(A2135+1&gt;Ввод!$B$4,"",A2135+1))</f>
        <v/>
      </c>
      <c r="B2136">
        <f>IF(A2136="","",IFERROR(INDEX(Ввод!$B$12:$B$71,MATCH(A2136,Ввод!$D$12:$D$71,1)),""))</f>
        <v/>
      </c>
      <c r="C2136">
        <f>IF(A2136="","",DATE(YEAR(A2136),12,31)-DATE(YEAR(A2136),1,1)+1)</f>
        <v/>
      </c>
      <c r="D2136">
        <f>IF(A2136="","",SUMIFS(Акты!$D$5:$D$16,Акты!$E$5:$E$16,"&lt;="&amp;A2136)-SUMIFS(Оплаты!$B$6:$B$505,Оплаты!$A$6:$A$505,"&lt;"&amp;A2136,Оплаты!$D$6:$D$505,"&lt;&gt;"))</f>
        <v/>
      </c>
      <c r="E2136">
        <f>IF(A2136="","",IF(SUMPRODUCT((Ввод!$F$12:$F$31&lt;&gt;"")*(Ввод!$F$12:$F$31&lt;=A2136)*(Ввод!$G$12:$G$31&gt;=A2136))&gt;0,1,0))</f>
        <v/>
      </c>
      <c r="G2136">
        <f>IF(A2136="","",IF(OR(B2136&lt;&gt;B2135,C2136&lt;&gt;C2135,E2136&lt;&gt;E2135),G2135+1,G2135))</f>
        <v/>
      </c>
    </row>
    <row r="2137">
      <c r="A2137" s="20">
        <f>IF(A2136="","",IF(A2136+1&gt;Ввод!$B$4,"",A2136+1))</f>
        <v/>
      </c>
      <c r="B2137">
        <f>IF(A2137="","",IFERROR(INDEX(Ввод!$B$12:$B$71,MATCH(A2137,Ввод!$D$12:$D$71,1)),""))</f>
        <v/>
      </c>
      <c r="C2137">
        <f>IF(A2137="","",DATE(YEAR(A2137),12,31)-DATE(YEAR(A2137),1,1)+1)</f>
        <v/>
      </c>
      <c r="D2137">
        <f>IF(A2137="","",SUMIFS(Акты!$D$5:$D$16,Акты!$E$5:$E$16,"&lt;="&amp;A2137)-SUMIFS(Оплаты!$B$6:$B$505,Оплаты!$A$6:$A$505,"&lt;"&amp;A2137,Оплаты!$D$6:$D$505,"&lt;&gt;"))</f>
        <v/>
      </c>
      <c r="E2137">
        <f>IF(A2137="","",IF(SUMPRODUCT((Ввод!$F$12:$F$31&lt;&gt;"")*(Ввод!$F$12:$F$31&lt;=A2137)*(Ввод!$G$12:$G$31&gt;=A2137))&gt;0,1,0))</f>
        <v/>
      </c>
      <c r="G2137">
        <f>IF(A2137="","",IF(OR(B2137&lt;&gt;B2136,C2137&lt;&gt;C2136,E2137&lt;&gt;E2136),G2136+1,G2136))</f>
        <v/>
      </c>
    </row>
    <row r="2138">
      <c r="A2138" s="20">
        <f>IF(A2137="","",IF(A2137+1&gt;Ввод!$B$4,"",A2137+1))</f>
        <v/>
      </c>
      <c r="B2138">
        <f>IF(A2138="","",IFERROR(INDEX(Ввод!$B$12:$B$71,MATCH(A2138,Ввод!$D$12:$D$71,1)),""))</f>
        <v/>
      </c>
      <c r="C2138">
        <f>IF(A2138="","",DATE(YEAR(A2138),12,31)-DATE(YEAR(A2138),1,1)+1)</f>
        <v/>
      </c>
      <c r="D2138">
        <f>IF(A2138="","",SUMIFS(Акты!$D$5:$D$16,Акты!$E$5:$E$16,"&lt;="&amp;A2138)-SUMIFS(Оплаты!$B$6:$B$505,Оплаты!$A$6:$A$505,"&lt;"&amp;A2138,Оплаты!$D$6:$D$505,"&lt;&gt;"))</f>
        <v/>
      </c>
      <c r="E2138">
        <f>IF(A2138="","",IF(SUMPRODUCT((Ввод!$F$12:$F$31&lt;&gt;"")*(Ввод!$F$12:$F$31&lt;=A2138)*(Ввод!$G$12:$G$31&gt;=A2138))&gt;0,1,0))</f>
        <v/>
      </c>
      <c r="G2138">
        <f>IF(A2138="","",IF(OR(B2138&lt;&gt;B2137,C2138&lt;&gt;C2137,E2138&lt;&gt;E2137),G2137+1,G2137))</f>
        <v/>
      </c>
    </row>
    <row r="2139">
      <c r="A2139" s="20">
        <f>IF(A2138="","",IF(A2138+1&gt;Ввод!$B$4,"",A2138+1))</f>
        <v/>
      </c>
      <c r="B2139">
        <f>IF(A2139="","",IFERROR(INDEX(Ввод!$B$12:$B$71,MATCH(A2139,Ввод!$D$12:$D$71,1)),""))</f>
        <v/>
      </c>
      <c r="C2139">
        <f>IF(A2139="","",DATE(YEAR(A2139),12,31)-DATE(YEAR(A2139),1,1)+1)</f>
        <v/>
      </c>
      <c r="D2139">
        <f>IF(A2139="","",SUMIFS(Акты!$D$5:$D$16,Акты!$E$5:$E$16,"&lt;="&amp;A2139)-SUMIFS(Оплаты!$B$6:$B$505,Оплаты!$A$6:$A$505,"&lt;"&amp;A2139,Оплаты!$D$6:$D$505,"&lt;&gt;"))</f>
        <v/>
      </c>
      <c r="E2139">
        <f>IF(A2139="","",IF(SUMPRODUCT((Ввод!$F$12:$F$31&lt;&gt;"")*(Ввод!$F$12:$F$31&lt;=A2139)*(Ввод!$G$12:$G$31&gt;=A2139))&gt;0,1,0))</f>
        <v/>
      </c>
      <c r="G2139">
        <f>IF(A2139="","",IF(OR(B2139&lt;&gt;B2138,C2139&lt;&gt;C2138,E2139&lt;&gt;E2138),G2138+1,G2138))</f>
        <v/>
      </c>
    </row>
    <row r="2140">
      <c r="A2140" s="20">
        <f>IF(A2139="","",IF(A2139+1&gt;Ввод!$B$4,"",A2139+1))</f>
        <v/>
      </c>
      <c r="B2140">
        <f>IF(A2140="","",IFERROR(INDEX(Ввод!$B$12:$B$71,MATCH(A2140,Ввод!$D$12:$D$71,1)),""))</f>
        <v/>
      </c>
      <c r="C2140">
        <f>IF(A2140="","",DATE(YEAR(A2140),12,31)-DATE(YEAR(A2140),1,1)+1)</f>
        <v/>
      </c>
      <c r="D2140">
        <f>IF(A2140="","",SUMIFS(Акты!$D$5:$D$16,Акты!$E$5:$E$16,"&lt;="&amp;A2140)-SUMIFS(Оплаты!$B$6:$B$505,Оплаты!$A$6:$A$505,"&lt;"&amp;A2140,Оплаты!$D$6:$D$505,"&lt;&gt;"))</f>
        <v/>
      </c>
      <c r="E2140">
        <f>IF(A2140="","",IF(SUMPRODUCT((Ввод!$F$12:$F$31&lt;&gt;"")*(Ввод!$F$12:$F$31&lt;=A2140)*(Ввод!$G$12:$G$31&gt;=A2140))&gt;0,1,0))</f>
        <v/>
      </c>
      <c r="G2140">
        <f>IF(A2140="","",IF(OR(B2140&lt;&gt;B2139,C2140&lt;&gt;C2139,E2140&lt;&gt;E2139),G2139+1,G2139))</f>
        <v/>
      </c>
    </row>
    <row r="2141">
      <c r="A2141" s="20">
        <f>IF(A2140="","",IF(A2140+1&gt;Ввод!$B$4,"",A2140+1))</f>
        <v/>
      </c>
      <c r="B2141">
        <f>IF(A2141="","",IFERROR(INDEX(Ввод!$B$12:$B$71,MATCH(A2141,Ввод!$D$12:$D$71,1)),""))</f>
        <v/>
      </c>
      <c r="C2141">
        <f>IF(A2141="","",DATE(YEAR(A2141),12,31)-DATE(YEAR(A2141),1,1)+1)</f>
        <v/>
      </c>
      <c r="D2141">
        <f>IF(A2141="","",SUMIFS(Акты!$D$5:$D$16,Акты!$E$5:$E$16,"&lt;="&amp;A2141)-SUMIFS(Оплаты!$B$6:$B$505,Оплаты!$A$6:$A$505,"&lt;"&amp;A2141,Оплаты!$D$6:$D$505,"&lt;&gt;"))</f>
        <v/>
      </c>
      <c r="E2141">
        <f>IF(A2141="","",IF(SUMPRODUCT((Ввод!$F$12:$F$31&lt;&gt;"")*(Ввод!$F$12:$F$31&lt;=A2141)*(Ввод!$G$12:$G$31&gt;=A2141))&gt;0,1,0))</f>
        <v/>
      </c>
      <c r="G2141">
        <f>IF(A2141="","",IF(OR(B2141&lt;&gt;B2140,C2141&lt;&gt;C2140,E2141&lt;&gt;E2140),G2140+1,G2140))</f>
        <v/>
      </c>
    </row>
    <row r="2142">
      <c r="A2142" s="20">
        <f>IF(A2141="","",IF(A2141+1&gt;Ввод!$B$4,"",A2141+1))</f>
        <v/>
      </c>
      <c r="B2142">
        <f>IF(A2142="","",IFERROR(INDEX(Ввод!$B$12:$B$71,MATCH(A2142,Ввод!$D$12:$D$71,1)),""))</f>
        <v/>
      </c>
      <c r="C2142">
        <f>IF(A2142="","",DATE(YEAR(A2142),12,31)-DATE(YEAR(A2142),1,1)+1)</f>
        <v/>
      </c>
      <c r="D2142">
        <f>IF(A2142="","",SUMIFS(Акты!$D$5:$D$16,Акты!$E$5:$E$16,"&lt;="&amp;A2142)-SUMIFS(Оплаты!$B$6:$B$505,Оплаты!$A$6:$A$505,"&lt;"&amp;A2142,Оплаты!$D$6:$D$505,"&lt;&gt;"))</f>
        <v/>
      </c>
      <c r="E2142">
        <f>IF(A2142="","",IF(SUMPRODUCT((Ввод!$F$12:$F$31&lt;&gt;"")*(Ввод!$F$12:$F$31&lt;=A2142)*(Ввод!$G$12:$G$31&gt;=A2142))&gt;0,1,0))</f>
        <v/>
      </c>
      <c r="G2142">
        <f>IF(A2142="","",IF(OR(B2142&lt;&gt;B2141,C2142&lt;&gt;C2141,E2142&lt;&gt;E2141),G2141+1,G2141))</f>
        <v/>
      </c>
    </row>
    <row r="2143">
      <c r="A2143" s="20">
        <f>IF(A2142="","",IF(A2142+1&gt;Ввод!$B$4,"",A2142+1))</f>
        <v/>
      </c>
      <c r="B2143">
        <f>IF(A2143="","",IFERROR(INDEX(Ввод!$B$12:$B$71,MATCH(A2143,Ввод!$D$12:$D$71,1)),""))</f>
        <v/>
      </c>
      <c r="C2143">
        <f>IF(A2143="","",DATE(YEAR(A2143),12,31)-DATE(YEAR(A2143),1,1)+1)</f>
        <v/>
      </c>
      <c r="D2143">
        <f>IF(A2143="","",SUMIFS(Акты!$D$5:$D$16,Акты!$E$5:$E$16,"&lt;="&amp;A2143)-SUMIFS(Оплаты!$B$6:$B$505,Оплаты!$A$6:$A$505,"&lt;"&amp;A2143,Оплаты!$D$6:$D$505,"&lt;&gt;"))</f>
        <v/>
      </c>
      <c r="E2143">
        <f>IF(A2143="","",IF(SUMPRODUCT((Ввод!$F$12:$F$31&lt;&gt;"")*(Ввод!$F$12:$F$31&lt;=A2143)*(Ввод!$G$12:$G$31&gt;=A2143))&gt;0,1,0))</f>
        <v/>
      </c>
      <c r="G2143">
        <f>IF(A2143="","",IF(OR(B2143&lt;&gt;B2142,C2143&lt;&gt;C2142,E2143&lt;&gt;E2142),G2142+1,G2142))</f>
        <v/>
      </c>
    </row>
    <row r="2144">
      <c r="A2144" s="20">
        <f>IF(A2143="","",IF(A2143+1&gt;Ввод!$B$4,"",A2143+1))</f>
        <v/>
      </c>
      <c r="B2144">
        <f>IF(A2144="","",IFERROR(INDEX(Ввод!$B$12:$B$71,MATCH(A2144,Ввод!$D$12:$D$71,1)),""))</f>
        <v/>
      </c>
      <c r="C2144">
        <f>IF(A2144="","",DATE(YEAR(A2144),12,31)-DATE(YEAR(A2144),1,1)+1)</f>
        <v/>
      </c>
      <c r="D2144">
        <f>IF(A2144="","",SUMIFS(Акты!$D$5:$D$16,Акты!$E$5:$E$16,"&lt;="&amp;A2144)-SUMIFS(Оплаты!$B$6:$B$505,Оплаты!$A$6:$A$505,"&lt;"&amp;A2144,Оплаты!$D$6:$D$505,"&lt;&gt;"))</f>
        <v/>
      </c>
      <c r="E2144">
        <f>IF(A2144="","",IF(SUMPRODUCT((Ввод!$F$12:$F$31&lt;&gt;"")*(Ввод!$F$12:$F$31&lt;=A2144)*(Ввод!$G$12:$G$31&gt;=A2144))&gt;0,1,0))</f>
        <v/>
      </c>
      <c r="G2144">
        <f>IF(A2144="","",IF(OR(B2144&lt;&gt;B2143,C2144&lt;&gt;C2143,E2144&lt;&gt;E2143),G2143+1,G2143))</f>
        <v/>
      </c>
    </row>
    <row r="2145">
      <c r="A2145" s="20">
        <f>IF(A2144="","",IF(A2144+1&gt;Ввод!$B$4,"",A2144+1))</f>
        <v/>
      </c>
      <c r="B2145">
        <f>IF(A2145="","",IFERROR(INDEX(Ввод!$B$12:$B$71,MATCH(A2145,Ввод!$D$12:$D$71,1)),""))</f>
        <v/>
      </c>
      <c r="C2145">
        <f>IF(A2145="","",DATE(YEAR(A2145),12,31)-DATE(YEAR(A2145),1,1)+1)</f>
        <v/>
      </c>
      <c r="D2145">
        <f>IF(A2145="","",SUMIFS(Акты!$D$5:$D$16,Акты!$E$5:$E$16,"&lt;="&amp;A2145)-SUMIFS(Оплаты!$B$6:$B$505,Оплаты!$A$6:$A$505,"&lt;"&amp;A2145,Оплаты!$D$6:$D$505,"&lt;&gt;"))</f>
        <v/>
      </c>
      <c r="E2145">
        <f>IF(A2145="","",IF(SUMPRODUCT((Ввод!$F$12:$F$31&lt;&gt;"")*(Ввод!$F$12:$F$31&lt;=A2145)*(Ввод!$G$12:$G$31&gt;=A2145))&gt;0,1,0))</f>
        <v/>
      </c>
      <c r="G2145">
        <f>IF(A2145="","",IF(OR(B2145&lt;&gt;B2144,C2145&lt;&gt;C2144,E2145&lt;&gt;E2144),G2144+1,G2144))</f>
        <v/>
      </c>
    </row>
    <row r="2146">
      <c r="A2146" s="20">
        <f>IF(A2145="","",IF(A2145+1&gt;Ввод!$B$4,"",A2145+1))</f>
        <v/>
      </c>
      <c r="B2146">
        <f>IF(A2146="","",IFERROR(INDEX(Ввод!$B$12:$B$71,MATCH(A2146,Ввод!$D$12:$D$71,1)),""))</f>
        <v/>
      </c>
      <c r="C2146">
        <f>IF(A2146="","",DATE(YEAR(A2146),12,31)-DATE(YEAR(A2146),1,1)+1)</f>
        <v/>
      </c>
      <c r="D2146">
        <f>IF(A2146="","",SUMIFS(Акты!$D$5:$D$16,Акты!$E$5:$E$16,"&lt;="&amp;A2146)-SUMIFS(Оплаты!$B$6:$B$505,Оплаты!$A$6:$A$505,"&lt;"&amp;A2146,Оплаты!$D$6:$D$505,"&lt;&gt;"))</f>
        <v/>
      </c>
      <c r="E2146">
        <f>IF(A2146="","",IF(SUMPRODUCT((Ввод!$F$12:$F$31&lt;&gt;"")*(Ввод!$F$12:$F$31&lt;=A2146)*(Ввод!$G$12:$G$31&gt;=A2146))&gt;0,1,0))</f>
        <v/>
      </c>
      <c r="G2146">
        <f>IF(A2146="","",IF(OR(B2146&lt;&gt;B2145,C2146&lt;&gt;C2145,E2146&lt;&gt;E2145),G2145+1,G2145))</f>
        <v/>
      </c>
    </row>
    <row r="2147">
      <c r="A2147" s="20">
        <f>IF(A2146="","",IF(A2146+1&gt;Ввод!$B$4,"",A2146+1))</f>
        <v/>
      </c>
      <c r="B2147">
        <f>IF(A2147="","",IFERROR(INDEX(Ввод!$B$12:$B$71,MATCH(A2147,Ввод!$D$12:$D$71,1)),""))</f>
        <v/>
      </c>
      <c r="C2147">
        <f>IF(A2147="","",DATE(YEAR(A2147),12,31)-DATE(YEAR(A2147),1,1)+1)</f>
        <v/>
      </c>
      <c r="D2147">
        <f>IF(A2147="","",SUMIFS(Акты!$D$5:$D$16,Акты!$E$5:$E$16,"&lt;="&amp;A2147)-SUMIFS(Оплаты!$B$6:$B$505,Оплаты!$A$6:$A$505,"&lt;"&amp;A2147,Оплаты!$D$6:$D$505,"&lt;&gt;"))</f>
        <v/>
      </c>
      <c r="E2147">
        <f>IF(A2147="","",IF(SUMPRODUCT((Ввод!$F$12:$F$31&lt;&gt;"")*(Ввод!$F$12:$F$31&lt;=A2147)*(Ввод!$G$12:$G$31&gt;=A2147))&gt;0,1,0))</f>
        <v/>
      </c>
      <c r="G2147">
        <f>IF(A2147="","",IF(OR(B2147&lt;&gt;B2146,C2147&lt;&gt;C2146,E2147&lt;&gt;E2146),G2146+1,G2146))</f>
        <v/>
      </c>
    </row>
    <row r="2148">
      <c r="A2148" s="20">
        <f>IF(A2147="","",IF(A2147+1&gt;Ввод!$B$4,"",A2147+1))</f>
        <v/>
      </c>
      <c r="B2148">
        <f>IF(A2148="","",IFERROR(INDEX(Ввод!$B$12:$B$71,MATCH(A2148,Ввод!$D$12:$D$71,1)),""))</f>
        <v/>
      </c>
      <c r="C2148">
        <f>IF(A2148="","",DATE(YEAR(A2148),12,31)-DATE(YEAR(A2148),1,1)+1)</f>
        <v/>
      </c>
      <c r="D2148">
        <f>IF(A2148="","",SUMIFS(Акты!$D$5:$D$16,Акты!$E$5:$E$16,"&lt;="&amp;A2148)-SUMIFS(Оплаты!$B$6:$B$505,Оплаты!$A$6:$A$505,"&lt;"&amp;A2148,Оплаты!$D$6:$D$505,"&lt;&gt;"))</f>
        <v/>
      </c>
      <c r="E2148">
        <f>IF(A2148="","",IF(SUMPRODUCT((Ввод!$F$12:$F$31&lt;&gt;"")*(Ввод!$F$12:$F$31&lt;=A2148)*(Ввод!$G$12:$G$31&gt;=A2148))&gt;0,1,0))</f>
        <v/>
      </c>
      <c r="G2148">
        <f>IF(A2148="","",IF(OR(B2148&lt;&gt;B2147,C2148&lt;&gt;C2147,E2148&lt;&gt;E2147),G2147+1,G2147))</f>
        <v/>
      </c>
    </row>
    <row r="2149">
      <c r="A2149" s="20">
        <f>IF(A2148="","",IF(A2148+1&gt;Ввод!$B$4,"",A2148+1))</f>
        <v/>
      </c>
      <c r="B2149">
        <f>IF(A2149="","",IFERROR(INDEX(Ввод!$B$12:$B$71,MATCH(A2149,Ввод!$D$12:$D$71,1)),""))</f>
        <v/>
      </c>
      <c r="C2149">
        <f>IF(A2149="","",DATE(YEAR(A2149),12,31)-DATE(YEAR(A2149),1,1)+1)</f>
        <v/>
      </c>
      <c r="D2149">
        <f>IF(A2149="","",SUMIFS(Акты!$D$5:$D$16,Акты!$E$5:$E$16,"&lt;="&amp;A2149)-SUMIFS(Оплаты!$B$6:$B$505,Оплаты!$A$6:$A$505,"&lt;"&amp;A2149,Оплаты!$D$6:$D$505,"&lt;&gt;"))</f>
        <v/>
      </c>
      <c r="E2149">
        <f>IF(A2149="","",IF(SUMPRODUCT((Ввод!$F$12:$F$31&lt;&gt;"")*(Ввод!$F$12:$F$31&lt;=A2149)*(Ввод!$G$12:$G$31&gt;=A2149))&gt;0,1,0))</f>
        <v/>
      </c>
      <c r="G2149">
        <f>IF(A2149="","",IF(OR(B2149&lt;&gt;B2148,C2149&lt;&gt;C2148,E2149&lt;&gt;E2148),G2148+1,G2148))</f>
        <v/>
      </c>
    </row>
    <row r="2150">
      <c r="A2150" s="20">
        <f>IF(A2149="","",IF(A2149+1&gt;Ввод!$B$4,"",A2149+1))</f>
        <v/>
      </c>
      <c r="B2150">
        <f>IF(A2150="","",IFERROR(INDEX(Ввод!$B$12:$B$71,MATCH(A2150,Ввод!$D$12:$D$71,1)),""))</f>
        <v/>
      </c>
      <c r="C2150">
        <f>IF(A2150="","",DATE(YEAR(A2150),12,31)-DATE(YEAR(A2150),1,1)+1)</f>
        <v/>
      </c>
      <c r="D2150">
        <f>IF(A2150="","",SUMIFS(Акты!$D$5:$D$16,Акты!$E$5:$E$16,"&lt;="&amp;A2150)-SUMIFS(Оплаты!$B$6:$B$505,Оплаты!$A$6:$A$505,"&lt;"&amp;A2150,Оплаты!$D$6:$D$505,"&lt;&gt;"))</f>
        <v/>
      </c>
      <c r="E2150">
        <f>IF(A2150="","",IF(SUMPRODUCT((Ввод!$F$12:$F$31&lt;&gt;"")*(Ввод!$F$12:$F$31&lt;=A2150)*(Ввод!$G$12:$G$31&gt;=A2150))&gt;0,1,0))</f>
        <v/>
      </c>
      <c r="G2150">
        <f>IF(A2150="","",IF(OR(B2150&lt;&gt;B2149,C2150&lt;&gt;C2149,E2150&lt;&gt;E2149),G2149+1,G2149))</f>
        <v/>
      </c>
    </row>
    <row r="2151">
      <c r="A2151" s="20">
        <f>IF(A2150="","",IF(A2150+1&gt;Ввод!$B$4,"",A2150+1))</f>
        <v/>
      </c>
      <c r="B2151">
        <f>IF(A2151="","",IFERROR(INDEX(Ввод!$B$12:$B$71,MATCH(A2151,Ввод!$D$12:$D$71,1)),""))</f>
        <v/>
      </c>
      <c r="C2151">
        <f>IF(A2151="","",DATE(YEAR(A2151),12,31)-DATE(YEAR(A2151),1,1)+1)</f>
        <v/>
      </c>
      <c r="D2151">
        <f>IF(A2151="","",SUMIFS(Акты!$D$5:$D$16,Акты!$E$5:$E$16,"&lt;="&amp;A2151)-SUMIFS(Оплаты!$B$6:$B$505,Оплаты!$A$6:$A$505,"&lt;"&amp;A2151,Оплаты!$D$6:$D$505,"&lt;&gt;"))</f>
        <v/>
      </c>
      <c r="E2151">
        <f>IF(A2151="","",IF(SUMPRODUCT((Ввод!$F$12:$F$31&lt;&gt;"")*(Ввод!$F$12:$F$31&lt;=A2151)*(Ввод!$G$12:$G$31&gt;=A2151))&gt;0,1,0))</f>
        <v/>
      </c>
      <c r="G2151">
        <f>IF(A2151="","",IF(OR(B2151&lt;&gt;B2150,C2151&lt;&gt;C2150,E2151&lt;&gt;E2150),G2150+1,G2150))</f>
        <v/>
      </c>
    </row>
    <row r="2152">
      <c r="A2152" s="20">
        <f>IF(A2151="","",IF(A2151+1&gt;Ввод!$B$4,"",A2151+1))</f>
        <v/>
      </c>
      <c r="B2152">
        <f>IF(A2152="","",IFERROR(INDEX(Ввод!$B$12:$B$71,MATCH(A2152,Ввод!$D$12:$D$71,1)),""))</f>
        <v/>
      </c>
      <c r="C2152">
        <f>IF(A2152="","",DATE(YEAR(A2152),12,31)-DATE(YEAR(A2152),1,1)+1)</f>
        <v/>
      </c>
      <c r="D2152">
        <f>IF(A2152="","",SUMIFS(Акты!$D$5:$D$16,Акты!$E$5:$E$16,"&lt;="&amp;A2152)-SUMIFS(Оплаты!$B$6:$B$505,Оплаты!$A$6:$A$505,"&lt;"&amp;A2152,Оплаты!$D$6:$D$505,"&lt;&gt;"))</f>
        <v/>
      </c>
      <c r="E2152">
        <f>IF(A2152="","",IF(SUMPRODUCT((Ввод!$F$12:$F$31&lt;&gt;"")*(Ввод!$F$12:$F$31&lt;=A2152)*(Ввод!$G$12:$G$31&gt;=A2152))&gt;0,1,0))</f>
        <v/>
      </c>
      <c r="G2152">
        <f>IF(A2152="","",IF(OR(B2152&lt;&gt;B2151,C2152&lt;&gt;C2151,E2152&lt;&gt;E2151),G2151+1,G2151))</f>
        <v/>
      </c>
    </row>
    <row r="2153">
      <c r="A2153" s="20">
        <f>IF(A2152="","",IF(A2152+1&gt;Ввод!$B$4,"",A2152+1))</f>
        <v/>
      </c>
      <c r="B2153">
        <f>IF(A2153="","",IFERROR(INDEX(Ввод!$B$12:$B$71,MATCH(A2153,Ввод!$D$12:$D$71,1)),""))</f>
        <v/>
      </c>
      <c r="C2153">
        <f>IF(A2153="","",DATE(YEAR(A2153),12,31)-DATE(YEAR(A2153),1,1)+1)</f>
        <v/>
      </c>
      <c r="D2153">
        <f>IF(A2153="","",SUMIFS(Акты!$D$5:$D$16,Акты!$E$5:$E$16,"&lt;="&amp;A2153)-SUMIFS(Оплаты!$B$6:$B$505,Оплаты!$A$6:$A$505,"&lt;"&amp;A2153,Оплаты!$D$6:$D$505,"&lt;&gt;"))</f>
        <v/>
      </c>
      <c r="E2153">
        <f>IF(A2153="","",IF(SUMPRODUCT((Ввод!$F$12:$F$31&lt;&gt;"")*(Ввод!$F$12:$F$31&lt;=A2153)*(Ввод!$G$12:$G$31&gt;=A2153))&gt;0,1,0))</f>
        <v/>
      </c>
      <c r="G2153">
        <f>IF(A2153="","",IF(OR(B2153&lt;&gt;B2152,C2153&lt;&gt;C2152,E2153&lt;&gt;E2152),G2152+1,G2152))</f>
        <v/>
      </c>
    </row>
    <row r="2154">
      <c r="A2154" s="20">
        <f>IF(A2153="","",IF(A2153+1&gt;Ввод!$B$4,"",A2153+1))</f>
        <v/>
      </c>
      <c r="B2154">
        <f>IF(A2154="","",IFERROR(INDEX(Ввод!$B$12:$B$71,MATCH(A2154,Ввод!$D$12:$D$71,1)),""))</f>
        <v/>
      </c>
      <c r="C2154">
        <f>IF(A2154="","",DATE(YEAR(A2154),12,31)-DATE(YEAR(A2154),1,1)+1)</f>
        <v/>
      </c>
      <c r="D2154">
        <f>IF(A2154="","",SUMIFS(Акты!$D$5:$D$16,Акты!$E$5:$E$16,"&lt;="&amp;A2154)-SUMIFS(Оплаты!$B$6:$B$505,Оплаты!$A$6:$A$505,"&lt;"&amp;A2154,Оплаты!$D$6:$D$505,"&lt;&gt;"))</f>
        <v/>
      </c>
      <c r="E2154">
        <f>IF(A2154="","",IF(SUMPRODUCT((Ввод!$F$12:$F$31&lt;&gt;"")*(Ввод!$F$12:$F$31&lt;=A2154)*(Ввод!$G$12:$G$31&gt;=A2154))&gt;0,1,0))</f>
        <v/>
      </c>
      <c r="G2154">
        <f>IF(A2154="","",IF(OR(B2154&lt;&gt;B2153,C2154&lt;&gt;C2153,E2154&lt;&gt;E2153),G2153+1,G2153))</f>
        <v/>
      </c>
    </row>
    <row r="2155">
      <c r="A2155" s="20">
        <f>IF(A2154="","",IF(A2154+1&gt;Ввод!$B$4,"",A2154+1))</f>
        <v/>
      </c>
      <c r="B2155">
        <f>IF(A2155="","",IFERROR(INDEX(Ввод!$B$12:$B$71,MATCH(A2155,Ввод!$D$12:$D$71,1)),""))</f>
        <v/>
      </c>
      <c r="C2155">
        <f>IF(A2155="","",DATE(YEAR(A2155),12,31)-DATE(YEAR(A2155),1,1)+1)</f>
        <v/>
      </c>
      <c r="D2155">
        <f>IF(A2155="","",SUMIFS(Акты!$D$5:$D$16,Акты!$E$5:$E$16,"&lt;="&amp;A2155)-SUMIFS(Оплаты!$B$6:$B$505,Оплаты!$A$6:$A$505,"&lt;"&amp;A2155,Оплаты!$D$6:$D$505,"&lt;&gt;"))</f>
        <v/>
      </c>
      <c r="E2155">
        <f>IF(A2155="","",IF(SUMPRODUCT((Ввод!$F$12:$F$31&lt;&gt;"")*(Ввод!$F$12:$F$31&lt;=A2155)*(Ввод!$G$12:$G$31&gt;=A2155))&gt;0,1,0))</f>
        <v/>
      </c>
      <c r="G2155">
        <f>IF(A2155="","",IF(OR(B2155&lt;&gt;B2154,C2155&lt;&gt;C2154,E2155&lt;&gt;E2154),G2154+1,G2154))</f>
        <v/>
      </c>
    </row>
    <row r="2156">
      <c r="A2156" s="20">
        <f>IF(A2155="","",IF(A2155+1&gt;Ввод!$B$4,"",A2155+1))</f>
        <v/>
      </c>
      <c r="B2156">
        <f>IF(A2156="","",IFERROR(INDEX(Ввод!$B$12:$B$71,MATCH(A2156,Ввод!$D$12:$D$71,1)),""))</f>
        <v/>
      </c>
      <c r="C2156">
        <f>IF(A2156="","",DATE(YEAR(A2156),12,31)-DATE(YEAR(A2156),1,1)+1)</f>
        <v/>
      </c>
      <c r="D2156">
        <f>IF(A2156="","",SUMIFS(Акты!$D$5:$D$16,Акты!$E$5:$E$16,"&lt;="&amp;A2156)-SUMIFS(Оплаты!$B$6:$B$505,Оплаты!$A$6:$A$505,"&lt;"&amp;A2156,Оплаты!$D$6:$D$505,"&lt;&gt;"))</f>
        <v/>
      </c>
      <c r="E2156">
        <f>IF(A2156="","",IF(SUMPRODUCT((Ввод!$F$12:$F$31&lt;&gt;"")*(Ввод!$F$12:$F$31&lt;=A2156)*(Ввод!$G$12:$G$31&gt;=A2156))&gt;0,1,0))</f>
        <v/>
      </c>
      <c r="G2156">
        <f>IF(A2156="","",IF(OR(B2156&lt;&gt;B2155,C2156&lt;&gt;C2155,E2156&lt;&gt;E2155),G2155+1,G2155))</f>
        <v/>
      </c>
    </row>
    <row r="2157">
      <c r="A2157" s="20">
        <f>IF(A2156="","",IF(A2156+1&gt;Ввод!$B$4,"",A2156+1))</f>
        <v/>
      </c>
      <c r="B2157">
        <f>IF(A2157="","",IFERROR(INDEX(Ввод!$B$12:$B$71,MATCH(A2157,Ввод!$D$12:$D$71,1)),""))</f>
        <v/>
      </c>
      <c r="C2157">
        <f>IF(A2157="","",DATE(YEAR(A2157),12,31)-DATE(YEAR(A2157),1,1)+1)</f>
        <v/>
      </c>
      <c r="D2157">
        <f>IF(A2157="","",SUMIFS(Акты!$D$5:$D$16,Акты!$E$5:$E$16,"&lt;="&amp;A2157)-SUMIFS(Оплаты!$B$6:$B$505,Оплаты!$A$6:$A$505,"&lt;"&amp;A2157,Оплаты!$D$6:$D$505,"&lt;&gt;"))</f>
        <v/>
      </c>
      <c r="E2157">
        <f>IF(A2157="","",IF(SUMPRODUCT((Ввод!$F$12:$F$31&lt;&gt;"")*(Ввод!$F$12:$F$31&lt;=A2157)*(Ввод!$G$12:$G$31&gt;=A2157))&gt;0,1,0))</f>
        <v/>
      </c>
      <c r="G2157">
        <f>IF(A2157="","",IF(OR(B2157&lt;&gt;B2156,C2157&lt;&gt;C2156,E2157&lt;&gt;E2156),G2156+1,G2156))</f>
        <v/>
      </c>
    </row>
    <row r="2158">
      <c r="A2158" s="20">
        <f>IF(A2157="","",IF(A2157+1&gt;Ввод!$B$4,"",A2157+1))</f>
        <v/>
      </c>
      <c r="B2158">
        <f>IF(A2158="","",IFERROR(INDEX(Ввод!$B$12:$B$71,MATCH(A2158,Ввод!$D$12:$D$71,1)),""))</f>
        <v/>
      </c>
      <c r="C2158">
        <f>IF(A2158="","",DATE(YEAR(A2158),12,31)-DATE(YEAR(A2158),1,1)+1)</f>
        <v/>
      </c>
      <c r="D2158">
        <f>IF(A2158="","",SUMIFS(Акты!$D$5:$D$16,Акты!$E$5:$E$16,"&lt;="&amp;A2158)-SUMIFS(Оплаты!$B$6:$B$505,Оплаты!$A$6:$A$505,"&lt;"&amp;A2158,Оплаты!$D$6:$D$505,"&lt;&gt;"))</f>
        <v/>
      </c>
      <c r="E2158">
        <f>IF(A2158="","",IF(SUMPRODUCT((Ввод!$F$12:$F$31&lt;&gt;"")*(Ввод!$F$12:$F$31&lt;=A2158)*(Ввод!$G$12:$G$31&gt;=A2158))&gt;0,1,0))</f>
        <v/>
      </c>
      <c r="G2158">
        <f>IF(A2158="","",IF(OR(B2158&lt;&gt;B2157,C2158&lt;&gt;C2157,E2158&lt;&gt;E2157),G2157+1,G2157))</f>
        <v/>
      </c>
    </row>
    <row r="2159">
      <c r="A2159" s="20">
        <f>IF(A2158="","",IF(A2158+1&gt;Ввод!$B$4,"",A2158+1))</f>
        <v/>
      </c>
      <c r="B2159">
        <f>IF(A2159="","",IFERROR(INDEX(Ввод!$B$12:$B$71,MATCH(A2159,Ввод!$D$12:$D$71,1)),""))</f>
        <v/>
      </c>
      <c r="C2159">
        <f>IF(A2159="","",DATE(YEAR(A2159),12,31)-DATE(YEAR(A2159),1,1)+1)</f>
        <v/>
      </c>
      <c r="D2159">
        <f>IF(A2159="","",SUMIFS(Акты!$D$5:$D$16,Акты!$E$5:$E$16,"&lt;="&amp;A2159)-SUMIFS(Оплаты!$B$6:$B$505,Оплаты!$A$6:$A$505,"&lt;"&amp;A2159,Оплаты!$D$6:$D$505,"&lt;&gt;"))</f>
        <v/>
      </c>
      <c r="E2159">
        <f>IF(A2159="","",IF(SUMPRODUCT((Ввод!$F$12:$F$31&lt;&gt;"")*(Ввод!$F$12:$F$31&lt;=A2159)*(Ввод!$G$12:$G$31&gt;=A2159))&gt;0,1,0))</f>
        <v/>
      </c>
      <c r="G2159">
        <f>IF(A2159="","",IF(OR(B2159&lt;&gt;B2158,C2159&lt;&gt;C2158,E2159&lt;&gt;E2158),G2158+1,G2158))</f>
        <v/>
      </c>
    </row>
    <row r="2160">
      <c r="A2160" s="20">
        <f>IF(A2159="","",IF(A2159+1&gt;Ввод!$B$4,"",A2159+1))</f>
        <v/>
      </c>
      <c r="B2160">
        <f>IF(A2160="","",IFERROR(INDEX(Ввод!$B$12:$B$71,MATCH(A2160,Ввод!$D$12:$D$71,1)),""))</f>
        <v/>
      </c>
      <c r="C2160">
        <f>IF(A2160="","",DATE(YEAR(A2160),12,31)-DATE(YEAR(A2160),1,1)+1)</f>
        <v/>
      </c>
      <c r="D2160">
        <f>IF(A2160="","",SUMIFS(Акты!$D$5:$D$16,Акты!$E$5:$E$16,"&lt;="&amp;A2160)-SUMIFS(Оплаты!$B$6:$B$505,Оплаты!$A$6:$A$505,"&lt;"&amp;A2160,Оплаты!$D$6:$D$505,"&lt;&gt;"))</f>
        <v/>
      </c>
      <c r="E2160">
        <f>IF(A2160="","",IF(SUMPRODUCT((Ввод!$F$12:$F$31&lt;&gt;"")*(Ввод!$F$12:$F$31&lt;=A2160)*(Ввод!$G$12:$G$31&gt;=A2160))&gt;0,1,0))</f>
        <v/>
      </c>
      <c r="G2160">
        <f>IF(A2160="","",IF(OR(B2160&lt;&gt;B2159,C2160&lt;&gt;C2159,E2160&lt;&gt;E2159),G2159+1,G2159))</f>
        <v/>
      </c>
    </row>
    <row r="2161">
      <c r="A2161" s="20">
        <f>IF(A2160="","",IF(A2160+1&gt;Ввод!$B$4,"",A2160+1))</f>
        <v/>
      </c>
      <c r="B2161">
        <f>IF(A2161="","",IFERROR(INDEX(Ввод!$B$12:$B$71,MATCH(A2161,Ввод!$D$12:$D$71,1)),""))</f>
        <v/>
      </c>
      <c r="C2161">
        <f>IF(A2161="","",DATE(YEAR(A2161),12,31)-DATE(YEAR(A2161),1,1)+1)</f>
        <v/>
      </c>
      <c r="D2161">
        <f>IF(A2161="","",SUMIFS(Акты!$D$5:$D$16,Акты!$E$5:$E$16,"&lt;="&amp;A2161)-SUMIFS(Оплаты!$B$6:$B$505,Оплаты!$A$6:$A$505,"&lt;"&amp;A2161,Оплаты!$D$6:$D$505,"&lt;&gt;"))</f>
        <v/>
      </c>
      <c r="E2161">
        <f>IF(A2161="","",IF(SUMPRODUCT((Ввод!$F$12:$F$31&lt;&gt;"")*(Ввод!$F$12:$F$31&lt;=A2161)*(Ввод!$G$12:$G$31&gt;=A2161))&gt;0,1,0))</f>
        <v/>
      </c>
      <c r="G2161">
        <f>IF(A2161="","",IF(OR(B2161&lt;&gt;B2160,C2161&lt;&gt;C2160,E2161&lt;&gt;E2160),G2160+1,G2160))</f>
        <v/>
      </c>
    </row>
    <row r="2162">
      <c r="A2162" s="20">
        <f>IF(A2161="","",IF(A2161+1&gt;Ввод!$B$4,"",A2161+1))</f>
        <v/>
      </c>
      <c r="B2162">
        <f>IF(A2162="","",IFERROR(INDEX(Ввод!$B$12:$B$71,MATCH(A2162,Ввод!$D$12:$D$71,1)),""))</f>
        <v/>
      </c>
      <c r="C2162">
        <f>IF(A2162="","",DATE(YEAR(A2162),12,31)-DATE(YEAR(A2162),1,1)+1)</f>
        <v/>
      </c>
      <c r="D2162">
        <f>IF(A2162="","",SUMIFS(Акты!$D$5:$D$16,Акты!$E$5:$E$16,"&lt;="&amp;A2162)-SUMIFS(Оплаты!$B$6:$B$505,Оплаты!$A$6:$A$505,"&lt;"&amp;A2162,Оплаты!$D$6:$D$505,"&lt;&gt;"))</f>
        <v/>
      </c>
      <c r="E2162">
        <f>IF(A2162="","",IF(SUMPRODUCT((Ввод!$F$12:$F$31&lt;&gt;"")*(Ввод!$F$12:$F$31&lt;=A2162)*(Ввод!$G$12:$G$31&gt;=A2162))&gt;0,1,0))</f>
        <v/>
      </c>
      <c r="G2162">
        <f>IF(A2162="","",IF(OR(B2162&lt;&gt;B2161,C2162&lt;&gt;C2161,E2162&lt;&gt;E2161),G2161+1,G2161))</f>
        <v/>
      </c>
    </row>
    <row r="2163">
      <c r="A2163" s="20">
        <f>IF(A2162="","",IF(A2162+1&gt;Ввод!$B$4,"",A2162+1))</f>
        <v/>
      </c>
      <c r="B2163">
        <f>IF(A2163="","",IFERROR(INDEX(Ввод!$B$12:$B$71,MATCH(A2163,Ввод!$D$12:$D$71,1)),""))</f>
        <v/>
      </c>
      <c r="C2163">
        <f>IF(A2163="","",DATE(YEAR(A2163),12,31)-DATE(YEAR(A2163),1,1)+1)</f>
        <v/>
      </c>
      <c r="D2163">
        <f>IF(A2163="","",SUMIFS(Акты!$D$5:$D$16,Акты!$E$5:$E$16,"&lt;="&amp;A2163)-SUMIFS(Оплаты!$B$6:$B$505,Оплаты!$A$6:$A$505,"&lt;"&amp;A2163,Оплаты!$D$6:$D$505,"&lt;&gt;"))</f>
        <v/>
      </c>
      <c r="E2163">
        <f>IF(A2163="","",IF(SUMPRODUCT((Ввод!$F$12:$F$31&lt;&gt;"")*(Ввод!$F$12:$F$31&lt;=A2163)*(Ввод!$G$12:$G$31&gt;=A2163))&gt;0,1,0))</f>
        <v/>
      </c>
      <c r="G2163">
        <f>IF(A2163="","",IF(OR(B2163&lt;&gt;B2162,C2163&lt;&gt;C2162,E2163&lt;&gt;E2162),G2162+1,G2162))</f>
        <v/>
      </c>
    </row>
    <row r="2164">
      <c r="A2164" s="20">
        <f>IF(A2163="","",IF(A2163+1&gt;Ввод!$B$4,"",A2163+1))</f>
        <v/>
      </c>
      <c r="B2164">
        <f>IF(A2164="","",IFERROR(INDEX(Ввод!$B$12:$B$71,MATCH(A2164,Ввод!$D$12:$D$71,1)),""))</f>
        <v/>
      </c>
      <c r="C2164">
        <f>IF(A2164="","",DATE(YEAR(A2164),12,31)-DATE(YEAR(A2164),1,1)+1)</f>
        <v/>
      </c>
      <c r="D2164">
        <f>IF(A2164="","",SUMIFS(Акты!$D$5:$D$16,Акты!$E$5:$E$16,"&lt;="&amp;A2164)-SUMIFS(Оплаты!$B$6:$B$505,Оплаты!$A$6:$A$505,"&lt;"&amp;A2164,Оплаты!$D$6:$D$505,"&lt;&gt;"))</f>
        <v/>
      </c>
      <c r="E2164">
        <f>IF(A2164="","",IF(SUMPRODUCT((Ввод!$F$12:$F$31&lt;&gt;"")*(Ввод!$F$12:$F$31&lt;=A2164)*(Ввод!$G$12:$G$31&gt;=A2164))&gt;0,1,0))</f>
        <v/>
      </c>
      <c r="G2164">
        <f>IF(A2164="","",IF(OR(B2164&lt;&gt;B2163,C2164&lt;&gt;C2163,E2164&lt;&gt;E2163),G2163+1,G2163))</f>
        <v/>
      </c>
    </row>
    <row r="2165">
      <c r="A2165" s="20">
        <f>IF(A2164="","",IF(A2164+1&gt;Ввод!$B$4,"",A2164+1))</f>
        <v/>
      </c>
      <c r="B2165">
        <f>IF(A2165="","",IFERROR(INDEX(Ввод!$B$12:$B$71,MATCH(A2165,Ввод!$D$12:$D$71,1)),""))</f>
        <v/>
      </c>
      <c r="C2165">
        <f>IF(A2165="","",DATE(YEAR(A2165),12,31)-DATE(YEAR(A2165),1,1)+1)</f>
        <v/>
      </c>
      <c r="D2165">
        <f>IF(A2165="","",SUMIFS(Акты!$D$5:$D$16,Акты!$E$5:$E$16,"&lt;="&amp;A2165)-SUMIFS(Оплаты!$B$6:$B$505,Оплаты!$A$6:$A$505,"&lt;"&amp;A2165,Оплаты!$D$6:$D$505,"&lt;&gt;"))</f>
        <v/>
      </c>
      <c r="E2165">
        <f>IF(A2165="","",IF(SUMPRODUCT((Ввод!$F$12:$F$31&lt;&gt;"")*(Ввод!$F$12:$F$31&lt;=A2165)*(Ввод!$G$12:$G$31&gt;=A2165))&gt;0,1,0))</f>
        <v/>
      </c>
      <c r="G2165">
        <f>IF(A2165="","",IF(OR(B2165&lt;&gt;B2164,C2165&lt;&gt;C2164,E2165&lt;&gt;E2164),G2164+1,G2164))</f>
        <v/>
      </c>
    </row>
    <row r="2166">
      <c r="A2166" s="20">
        <f>IF(A2165="","",IF(A2165+1&gt;Ввод!$B$4,"",A2165+1))</f>
        <v/>
      </c>
      <c r="B2166">
        <f>IF(A2166="","",IFERROR(INDEX(Ввод!$B$12:$B$71,MATCH(A2166,Ввод!$D$12:$D$71,1)),""))</f>
        <v/>
      </c>
      <c r="C2166">
        <f>IF(A2166="","",DATE(YEAR(A2166),12,31)-DATE(YEAR(A2166),1,1)+1)</f>
        <v/>
      </c>
      <c r="D2166">
        <f>IF(A2166="","",SUMIFS(Акты!$D$5:$D$16,Акты!$E$5:$E$16,"&lt;="&amp;A2166)-SUMIFS(Оплаты!$B$6:$B$505,Оплаты!$A$6:$A$505,"&lt;"&amp;A2166,Оплаты!$D$6:$D$505,"&lt;&gt;"))</f>
        <v/>
      </c>
      <c r="E2166">
        <f>IF(A2166="","",IF(SUMPRODUCT((Ввод!$F$12:$F$31&lt;&gt;"")*(Ввод!$F$12:$F$31&lt;=A2166)*(Ввод!$G$12:$G$31&gt;=A2166))&gt;0,1,0))</f>
        <v/>
      </c>
      <c r="G2166">
        <f>IF(A2166="","",IF(OR(B2166&lt;&gt;B2165,C2166&lt;&gt;C2165,E2166&lt;&gt;E2165),G2165+1,G2165))</f>
        <v/>
      </c>
    </row>
    <row r="2167">
      <c r="A2167" s="20">
        <f>IF(A2166="","",IF(A2166+1&gt;Ввод!$B$4,"",A2166+1))</f>
        <v/>
      </c>
      <c r="B2167">
        <f>IF(A2167="","",IFERROR(INDEX(Ввод!$B$12:$B$71,MATCH(A2167,Ввод!$D$12:$D$71,1)),""))</f>
        <v/>
      </c>
      <c r="C2167">
        <f>IF(A2167="","",DATE(YEAR(A2167),12,31)-DATE(YEAR(A2167),1,1)+1)</f>
        <v/>
      </c>
      <c r="D2167">
        <f>IF(A2167="","",SUMIFS(Акты!$D$5:$D$16,Акты!$E$5:$E$16,"&lt;="&amp;A2167)-SUMIFS(Оплаты!$B$6:$B$505,Оплаты!$A$6:$A$505,"&lt;"&amp;A2167,Оплаты!$D$6:$D$505,"&lt;&gt;"))</f>
        <v/>
      </c>
      <c r="E2167">
        <f>IF(A2167="","",IF(SUMPRODUCT((Ввод!$F$12:$F$31&lt;&gt;"")*(Ввод!$F$12:$F$31&lt;=A2167)*(Ввод!$G$12:$G$31&gt;=A2167))&gt;0,1,0))</f>
        <v/>
      </c>
      <c r="G2167">
        <f>IF(A2167="","",IF(OR(B2167&lt;&gt;B2166,C2167&lt;&gt;C2166,E2167&lt;&gt;E2166),G2166+1,G2166))</f>
        <v/>
      </c>
    </row>
    <row r="2168">
      <c r="A2168" s="20">
        <f>IF(A2167="","",IF(A2167+1&gt;Ввод!$B$4,"",A2167+1))</f>
        <v/>
      </c>
      <c r="B2168">
        <f>IF(A2168="","",IFERROR(INDEX(Ввод!$B$12:$B$71,MATCH(A2168,Ввод!$D$12:$D$71,1)),""))</f>
        <v/>
      </c>
      <c r="C2168">
        <f>IF(A2168="","",DATE(YEAR(A2168),12,31)-DATE(YEAR(A2168),1,1)+1)</f>
        <v/>
      </c>
      <c r="D2168">
        <f>IF(A2168="","",SUMIFS(Акты!$D$5:$D$16,Акты!$E$5:$E$16,"&lt;="&amp;A2168)-SUMIFS(Оплаты!$B$6:$B$505,Оплаты!$A$6:$A$505,"&lt;"&amp;A2168,Оплаты!$D$6:$D$505,"&lt;&gt;"))</f>
        <v/>
      </c>
      <c r="E2168">
        <f>IF(A2168="","",IF(SUMPRODUCT((Ввод!$F$12:$F$31&lt;&gt;"")*(Ввод!$F$12:$F$31&lt;=A2168)*(Ввод!$G$12:$G$31&gt;=A2168))&gt;0,1,0))</f>
        <v/>
      </c>
      <c r="G2168">
        <f>IF(A2168="","",IF(OR(B2168&lt;&gt;B2167,C2168&lt;&gt;C2167,E2168&lt;&gt;E2167),G2167+1,G2167))</f>
        <v/>
      </c>
    </row>
    <row r="2169">
      <c r="A2169" s="20">
        <f>IF(A2168="","",IF(A2168+1&gt;Ввод!$B$4,"",A2168+1))</f>
        <v/>
      </c>
      <c r="B2169">
        <f>IF(A2169="","",IFERROR(INDEX(Ввод!$B$12:$B$71,MATCH(A2169,Ввод!$D$12:$D$71,1)),""))</f>
        <v/>
      </c>
      <c r="C2169">
        <f>IF(A2169="","",DATE(YEAR(A2169),12,31)-DATE(YEAR(A2169),1,1)+1)</f>
        <v/>
      </c>
      <c r="D2169">
        <f>IF(A2169="","",SUMIFS(Акты!$D$5:$D$16,Акты!$E$5:$E$16,"&lt;="&amp;A2169)-SUMIFS(Оплаты!$B$6:$B$505,Оплаты!$A$6:$A$505,"&lt;"&amp;A2169,Оплаты!$D$6:$D$505,"&lt;&gt;"))</f>
        <v/>
      </c>
      <c r="E2169">
        <f>IF(A2169="","",IF(SUMPRODUCT((Ввод!$F$12:$F$31&lt;&gt;"")*(Ввод!$F$12:$F$31&lt;=A2169)*(Ввод!$G$12:$G$31&gt;=A2169))&gt;0,1,0))</f>
        <v/>
      </c>
      <c r="G2169">
        <f>IF(A2169="","",IF(OR(B2169&lt;&gt;B2168,C2169&lt;&gt;C2168,E2169&lt;&gt;E2168),G2168+1,G2168))</f>
        <v/>
      </c>
    </row>
    <row r="2170">
      <c r="A2170" s="20">
        <f>IF(A2169="","",IF(A2169+1&gt;Ввод!$B$4,"",A2169+1))</f>
        <v/>
      </c>
      <c r="B2170">
        <f>IF(A2170="","",IFERROR(INDEX(Ввод!$B$12:$B$71,MATCH(A2170,Ввод!$D$12:$D$71,1)),""))</f>
        <v/>
      </c>
      <c r="C2170">
        <f>IF(A2170="","",DATE(YEAR(A2170),12,31)-DATE(YEAR(A2170),1,1)+1)</f>
        <v/>
      </c>
      <c r="D2170">
        <f>IF(A2170="","",SUMIFS(Акты!$D$5:$D$16,Акты!$E$5:$E$16,"&lt;="&amp;A2170)-SUMIFS(Оплаты!$B$6:$B$505,Оплаты!$A$6:$A$505,"&lt;"&amp;A2170,Оплаты!$D$6:$D$505,"&lt;&gt;"))</f>
        <v/>
      </c>
      <c r="E2170">
        <f>IF(A2170="","",IF(SUMPRODUCT((Ввод!$F$12:$F$31&lt;&gt;"")*(Ввод!$F$12:$F$31&lt;=A2170)*(Ввод!$G$12:$G$31&gt;=A2170))&gt;0,1,0))</f>
        <v/>
      </c>
      <c r="G2170">
        <f>IF(A2170="","",IF(OR(B2170&lt;&gt;B2169,C2170&lt;&gt;C2169,E2170&lt;&gt;E2169),G2169+1,G2169))</f>
        <v/>
      </c>
    </row>
    <row r="2171">
      <c r="A2171" s="20">
        <f>IF(A2170="","",IF(A2170+1&gt;Ввод!$B$4,"",A2170+1))</f>
        <v/>
      </c>
      <c r="B2171">
        <f>IF(A2171="","",IFERROR(INDEX(Ввод!$B$12:$B$71,MATCH(A2171,Ввод!$D$12:$D$71,1)),""))</f>
        <v/>
      </c>
      <c r="C2171">
        <f>IF(A2171="","",DATE(YEAR(A2171),12,31)-DATE(YEAR(A2171),1,1)+1)</f>
        <v/>
      </c>
      <c r="D2171">
        <f>IF(A2171="","",SUMIFS(Акты!$D$5:$D$16,Акты!$E$5:$E$16,"&lt;="&amp;A2171)-SUMIFS(Оплаты!$B$6:$B$505,Оплаты!$A$6:$A$505,"&lt;"&amp;A2171,Оплаты!$D$6:$D$505,"&lt;&gt;"))</f>
        <v/>
      </c>
      <c r="E2171">
        <f>IF(A2171="","",IF(SUMPRODUCT((Ввод!$F$12:$F$31&lt;&gt;"")*(Ввод!$F$12:$F$31&lt;=A2171)*(Ввод!$G$12:$G$31&gt;=A2171))&gt;0,1,0))</f>
        <v/>
      </c>
      <c r="G2171">
        <f>IF(A2171="","",IF(OR(B2171&lt;&gt;B2170,C2171&lt;&gt;C2170,E2171&lt;&gt;E2170),G2170+1,G2170))</f>
        <v/>
      </c>
    </row>
    <row r="2172">
      <c r="A2172" s="20">
        <f>IF(A2171="","",IF(A2171+1&gt;Ввод!$B$4,"",A2171+1))</f>
        <v/>
      </c>
      <c r="B2172">
        <f>IF(A2172="","",IFERROR(INDEX(Ввод!$B$12:$B$71,MATCH(A2172,Ввод!$D$12:$D$71,1)),""))</f>
        <v/>
      </c>
      <c r="C2172">
        <f>IF(A2172="","",DATE(YEAR(A2172),12,31)-DATE(YEAR(A2172),1,1)+1)</f>
        <v/>
      </c>
      <c r="D2172">
        <f>IF(A2172="","",SUMIFS(Акты!$D$5:$D$16,Акты!$E$5:$E$16,"&lt;="&amp;A2172)-SUMIFS(Оплаты!$B$6:$B$505,Оплаты!$A$6:$A$505,"&lt;"&amp;A2172,Оплаты!$D$6:$D$505,"&lt;&gt;"))</f>
        <v/>
      </c>
      <c r="E2172">
        <f>IF(A2172="","",IF(SUMPRODUCT((Ввод!$F$12:$F$31&lt;&gt;"")*(Ввод!$F$12:$F$31&lt;=A2172)*(Ввод!$G$12:$G$31&gt;=A2172))&gt;0,1,0))</f>
        <v/>
      </c>
      <c r="G2172">
        <f>IF(A2172="","",IF(OR(B2172&lt;&gt;B2171,C2172&lt;&gt;C2171,E2172&lt;&gt;E2171),G2171+1,G2171))</f>
        <v/>
      </c>
    </row>
    <row r="2173">
      <c r="A2173" s="20">
        <f>IF(A2172="","",IF(A2172+1&gt;Ввод!$B$4,"",A2172+1))</f>
        <v/>
      </c>
      <c r="B2173">
        <f>IF(A2173="","",IFERROR(INDEX(Ввод!$B$12:$B$71,MATCH(A2173,Ввод!$D$12:$D$71,1)),""))</f>
        <v/>
      </c>
      <c r="C2173">
        <f>IF(A2173="","",DATE(YEAR(A2173),12,31)-DATE(YEAR(A2173),1,1)+1)</f>
        <v/>
      </c>
      <c r="D2173">
        <f>IF(A2173="","",SUMIFS(Акты!$D$5:$D$16,Акты!$E$5:$E$16,"&lt;="&amp;A2173)-SUMIFS(Оплаты!$B$6:$B$505,Оплаты!$A$6:$A$505,"&lt;"&amp;A2173,Оплаты!$D$6:$D$505,"&lt;&gt;"))</f>
        <v/>
      </c>
      <c r="E2173">
        <f>IF(A2173="","",IF(SUMPRODUCT((Ввод!$F$12:$F$31&lt;&gt;"")*(Ввод!$F$12:$F$31&lt;=A2173)*(Ввод!$G$12:$G$31&gt;=A2173))&gt;0,1,0))</f>
        <v/>
      </c>
      <c r="G2173">
        <f>IF(A2173="","",IF(OR(B2173&lt;&gt;B2172,C2173&lt;&gt;C2172,E2173&lt;&gt;E2172),G2172+1,G2172))</f>
        <v/>
      </c>
    </row>
    <row r="2174">
      <c r="A2174" s="20">
        <f>IF(A2173="","",IF(A2173+1&gt;Ввод!$B$4,"",A2173+1))</f>
        <v/>
      </c>
      <c r="B2174">
        <f>IF(A2174="","",IFERROR(INDEX(Ввод!$B$12:$B$71,MATCH(A2174,Ввод!$D$12:$D$71,1)),""))</f>
        <v/>
      </c>
      <c r="C2174">
        <f>IF(A2174="","",DATE(YEAR(A2174),12,31)-DATE(YEAR(A2174),1,1)+1)</f>
        <v/>
      </c>
      <c r="D2174">
        <f>IF(A2174="","",SUMIFS(Акты!$D$5:$D$16,Акты!$E$5:$E$16,"&lt;="&amp;A2174)-SUMIFS(Оплаты!$B$6:$B$505,Оплаты!$A$6:$A$505,"&lt;"&amp;A2174,Оплаты!$D$6:$D$505,"&lt;&gt;"))</f>
        <v/>
      </c>
      <c r="E2174">
        <f>IF(A2174="","",IF(SUMPRODUCT((Ввод!$F$12:$F$31&lt;&gt;"")*(Ввод!$F$12:$F$31&lt;=A2174)*(Ввод!$G$12:$G$31&gt;=A2174))&gt;0,1,0))</f>
        <v/>
      </c>
      <c r="G2174">
        <f>IF(A2174="","",IF(OR(B2174&lt;&gt;B2173,C2174&lt;&gt;C2173,E2174&lt;&gt;E2173),G2173+1,G2173))</f>
        <v/>
      </c>
    </row>
    <row r="2175">
      <c r="A2175" s="20">
        <f>IF(A2174="","",IF(A2174+1&gt;Ввод!$B$4,"",A2174+1))</f>
        <v/>
      </c>
      <c r="B2175">
        <f>IF(A2175="","",IFERROR(INDEX(Ввод!$B$12:$B$71,MATCH(A2175,Ввод!$D$12:$D$71,1)),""))</f>
        <v/>
      </c>
      <c r="C2175">
        <f>IF(A2175="","",DATE(YEAR(A2175),12,31)-DATE(YEAR(A2175),1,1)+1)</f>
        <v/>
      </c>
      <c r="D2175">
        <f>IF(A2175="","",SUMIFS(Акты!$D$5:$D$16,Акты!$E$5:$E$16,"&lt;="&amp;A2175)-SUMIFS(Оплаты!$B$6:$B$505,Оплаты!$A$6:$A$505,"&lt;"&amp;A2175,Оплаты!$D$6:$D$505,"&lt;&gt;"))</f>
        <v/>
      </c>
      <c r="E2175">
        <f>IF(A2175="","",IF(SUMPRODUCT((Ввод!$F$12:$F$31&lt;&gt;"")*(Ввод!$F$12:$F$31&lt;=A2175)*(Ввод!$G$12:$G$31&gt;=A2175))&gt;0,1,0))</f>
        <v/>
      </c>
      <c r="G2175">
        <f>IF(A2175="","",IF(OR(B2175&lt;&gt;B2174,C2175&lt;&gt;C2174,E2175&lt;&gt;E2174),G2174+1,G2174))</f>
        <v/>
      </c>
    </row>
    <row r="2176">
      <c r="A2176" s="20">
        <f>IF(A2175="","",IF(A2175+1&gt;Ввод!$B$4,"",A2175+1))</f>
        <v/>
      </c>
      <c r="B2176">
        <f>IF(A2176="","",IFERROR(INDEX(Ввод!$B$12:$B$71,MATCH(A2176,Ввод!$D$12:$D$71,1)),""))</f>
        <v/>
      </c>
      <c r="C2176">
        <f>IF(A2176="","",DATE(YEAR(A2176),12,31)-DATE(YEAR(A2176),1,1)+1)</f>
        <v/>
      </c>
      <c r="D2176">
        <f>IF(A2176="","",SUMIFS(Акты!$D$5:$D$16,Акты!$E$5:$E$16,"&lt;="&amp;A2176)-SUMIFS(Оплаты!$B$6:$B$505,Оплаты!$A$6:$A$505,"&lt;"&amp;A2176,Оплаты!$D$6:$D$505,"&lt;&gt;"))</f>
        <v/>
      </c>
      <c r="E2176">
        <f>IF(A2176="","",IF(SUMPRODUCT((Ввод!$F$12:$F$31&lt;&gt;"")*(Ввод!$F$12:$F$31&lt;=A2176)*(Ввод!$G$12:$G$31&gt;=A2176))&gt;0,1,0))</f>
        <v/>
      </c>
      <c r="G2176">
        <f>IF(A2176="","",IF(OR(B2176&lt;&gt;B2175,C2176&lt;&gt;C2175,E2176&lt;&gt;E2175),G2175+1,G2175))</f>
        <v/>
      </c>
    </row>
    <row r="2177">
      <c r="A2177" s="20">
        <f>IF(A2176="","",IF(A2176+1&gt;Ввод!$B$4,"",A2176+1))</f>
        <v/>
      </c>
      <c r="B2177">
        <f>IF(A2177="","",IFERROR(INDEX(Ввод!$B$12:$B$71,MATCH(A2177,Ввод!$D$12:$D$71,1)),""))</f>
        <v/>
      </c>
      <c r="C2177">
        <f>IF(A2177="","",DATE(YEAR(A2177),12,31)-DATE(YEAR(A2177),1,1)+1)</f>
        <v/>
      </c>
      <c r="D2177">
        <f>IF(A2177="","",SUMIFS(Акты!$D$5:$D$16,Акты!$E$5:$E$16,"&lt;="&amp;A2177)-SUMIFS(Оплаты!$B$6:$B$505,Оплаты!$A$6:$A$505,"&lt;"&amp;A2177,Оплаты!$D$6:$D$505,"&lt;&gt;"))</f>
        <v/>
      </c>
      <c r="E2177">
        <f>IF(A2177="","",IF(SUMPRODUCT((Ввод!$F$12:$F$31&lt;&gt;"")*(Ввод!$F$12:$F$31&lt;=A2177)*(Ввод!$G$12:$G$31&gt;=A2177))&gt;0,1,0))</f>
        <v/>
      </c>
      <c r="G2177">
        <f>IF(A2177="","",IF(OR(B2177&lt;&gt;B2176,C2177&lt;&gt;C2176,E2177&lt;&gt;E2176),G2176+1,G2176))</f>
        <v/>
      </c>
    </row>
    <row r="2178">
      <c r="A2178" s="20">
        <f>IF(A2177="","",IF(A2177+1&gt;Ввод!$B$4,"",A2177+1))</f>
        <v/>
      </c>
      <c r="B2178">
        <f>IF(A2178="","",IFERROR(INDEX(Ввод!$B$12:$B$71,MATCH(A2178,Ввод!$D$12:$D$71,1)),""))</f>
        <v/>
      </c>
      <c r="C2178">
        <f>IF(A2178="","",DATE(YEAR(A2178),12,31)-DATE(YEAR(A2178),1,1)+1)</f>
        <v/>
      </c>
      <c r="D2178">
        <f>IF(A2178="","",SUMIFS(Акты!$D$5:$D$16,Акты!$E$5:$E$16,"&lt;="&amp;A2178)-SUMIFS(Оплаты!$B$6:$B$505,Оплаты!$A$6:$A$505,"&lt;"&amp;A2178,Оплаты!$D$6:$D$505,"&lt;&gt;"))</f>
        <v/>
      </c>
      <c r="E2178">
        <f>IF(A2178="","",IF(SUMPRODUCT((Ввод!$F$12:$F$31&lt;&gt;"")*(Ввод!$F$12:$F$31&lt;=A2178)*(Ввод!$G$12:$G$31&gt;=A2178))&gt;0,1,0))</f>
        <v/>
      </c>
      <c r="G2178">
        <f>IF(A2178="","",IF(OR(B2178&lt;&gt;B2177,C2178&lt;&gt;C2177,E2178&lt;&gt;E2177),G2177+1,G2177))</f>
        <v/>
      </c>
    </row>
    <row r="2179">
      <c r="A2179" s="20">
        <f>IF(A2178="","",IF(A2178+1&gt;Ввод!$B$4,"",A2178+1))</f>
        <v/>
      </c>
      <c r="B2179">
        <f>IF(A2179="","",IFERROR(INDEX(Ввод!$B$12:$B$71,MATCH(A2179,Ввод!$D$12:$D$71,1)),""))</f>
        <v/>
      </c>
      <c r="C2179">
        <f>IF(A2179="","",DATE(YEAR(A2179),12,31)-DATE(YEAR(A2179),1,1)+1)</f>
        <v/>
      </c>
      <c r="D2179">
        <f>IF(A2179="","",SUMIFS(Акты!$D$5:$D$16,Акты!$E$5:$E$16,"&lt;="&amp;A2179)-SUMIFS(Оплаты!$B$6:$B$505,Оплаты!$A$6:$A$505,"&lt;"&amp;A2179,Оплаты!$D$6:$D$505,"&lt;&gt;"))</f>
        <v/>
      </c>
      <c r="E2179">
        <f>IF(A2179="","",IF(SUMPRODUCT((Ввод!$F$12:$F$31&lt;&gt;"")*(Ввод!$F$12:$F$31&lt;=A2179)*(Ввод!$G$12:$G$31&gt;=A2179))&gt;0,1,0))</f>
        <v/>
      </c>
      <c r="G2179">
        <f>IF(A2179="","",IF(OR(B2179&lt;&gt;B2178,C2179&lt;&gt;C2178,E2179&lt;&gt;E2178),G2178+1,G2178))</f>
        <v/>
      </c>
    </row>
    <row r="2180">
      <c r="A2180" s="20">
        <f>IF(A2179="","",IF(A2179+1&gt;Ввод!$B$4,"",A2179+1))</f>
        <v/>
      </c>
      <c r="B2180">
        <f>IF(A2180="","",IFERROR(INDEX(Ввод!$B$12:$B$71,MATCH(A2180,Ввод!$D$12:$D$71,1)),""))</f>
        <v/>
      </c>
      <c r="C2180">
        <f>IF(A2180="","",DATE(YEAR(A2180),12,31)-DATE(YEAR(A2180),1,1)+1)</f>
        <v/>
      </c>
      <c r="D2180">
        <f>IF(A2180="","",SUMIFS(Акты!$D$5:$D$16,Акты!$E$5:$E$16,"&lt;="&amp;A2180)-SUMIFS(Оплаты!$B$6:$B$505,Оплаты!$A$6:$A$505,"&lt;"&amp;A2180,Оплаты!$D$6:$D$505,"&lt;&gt;"))</f>
        <v/>
      </c>
      <c r="E2180">
        <f>IF(A2180="","",IF(SUMPRODUCT((Ввод!$F$12:$F$31&lt;&gt;"")*(Ввод!$F$12:$F$31&lt;=A2180)*(Ввод!$G$12:$G$31&gt;=A2180))&gt;0,1,0))</f>
        <v/>
      </c>
      <c r="G2180">
        <f>IF(A2180="","",IF(OR(B2180&lt;&gt;B2179,C2180&lt;&gt;C2179,E2180&lt;&gt;E2179),G2179+1,G2179))</f>
        <v/>
      </c>
    </row>
    <row r="2181">
      <c r="A2181" s="20">
        <f>IF(A2180="","",IF(A2180+1&gt;Ввод!$B$4,"",A2180+1))</f>
        <v/>
      </c>
      <c r="B2181">
        <f>IF(A2181="","",IFERROR(INDEX(Ввод!$B$12:$B$71,MATCH(A2181,Ввод!$D$12:$D$71,1)),""))</f>
        <v/>
      </c>
      <c r="C2181">
        <f>IF(A2181="","",DATE(YEAR(A2181),12,31)-DATE(YEAR(A2181),1,1)+1)</f>
        <v/>
      </c>
      <c r="D2181">
        <f>IF(A2181="","",SUMIFS(Акты!$D$5:$D$16,Акты!$E$5:$E$16,"&lt;="&amp;A2181)-SUMIFS(Оплаты!$B$6:$B$505,Оплаты!$A$6:$A$505,"&lt;"&amp;A2181,Оплаты!$D$6:$D$505,"&lt;&gt;"))</f>
        <v/>
      </c>
      <c r="E2181">
        <f>IF(A2181="","",IF(SUMPRODUCT((Ввод!$F$12:$F$31&lt;&gt;"")*(Ввод!$F$12:$F$31&lt;=A2181)*(Ввод!$G$12:$G$31&gt;=A2181))&gt;0,1,0))</f>
        <v/>
      </c>
      <c r="G2181">
        <f>IF(A2181="","",IF(OR(B2181&lt;&gt;B2180,C2181&lt;&gt;C2180,E2181&lt;&gt;E2180),G2180+1,G2180))</f>
        <v/>
      </c>
    </row>
    <row r="2182">
      <c r="A2182" s="20">
        <f>IF(A2181="","",IF(A2181+1&gt;Ввод!$B$4,"",A2181+1))</f>
        <v/>
      </c>
      <c r="B2182">
        <f>IF(A2182="","",IFERROR(INDEX(Ввод!$B$12:$B$71,MATCH(A2182,Ввод!$D$12:$D$71,1)),""))</f>
        <v/>
      </c>
      <c r="C2182">
        <f>IF(A2182="","",DATE(YEAR(A2182),12,31)-DATE(YEAR(A2182),1,1)+1)</f>
        <v/>
      </c>
      <c r="D2182">
        <f>IF(A2182="","",SUMIFS(Акты!$D$5:$D$16,Акты!$E$5:$E$16,"&lt;="&amp;A2182)-SUMIFS(Оплаты!$B$6:$B$505,Оплаты!$A$6:$A$505,"&lt;"&amp;A2182,Оплаты!$D$6:$D$505,"&lt;&gt;"))</f>
        <v/>
      </c>
      <c r="E2182">
        <f>IF(A2182="","",IF(SUMPRODUCT((Ввод!$F$12:$F$31&lt;&gt;"")*(Ввод!$F$12:$F$31&lt;=A2182)*(Ввод!$G$12:$G$31&gt;=A2182))&gt;0,1,0))</f>
        <v/>
      </c>
      <c r="G2182">
        <f>IF(A2182="","",IF(OR(B2182&lt;&gt;B2181,C2182&lt;&gt;C2181,E2182&lt;&gt;E2181),G2181+1,G2181))</f>
        <v/>
      </c>
    </row>
    <row r="2183">
      <c r="A2183" s="20">
        <f>IF(A2182="","",IF(A2182+1&gt;Ввод!$B$4,"",A2182+1))</f>
        <v/>
      </c>
      <c r="B2183">
        <f>IF(A2183="","",IFERROR(INDEX(Ввод!$B$12:$B$71,MATCH(A2183,Ввод!$D$12:$D$71,1)),""))</f>
        <v/>
      </c>
      <c r="C2183">
        <f>IF(A2183="","",DATE(YEAR(A2183),12,31)-DATE(YEAR(A2183),1,1)+1)</f>
        <v/>
      </c>
      <c r="D2183">
        <f>IF(A2183="","",SUMIFS(Акты!$D$5:$D$16,Акты!$E$5:$E$16,"&lt;="&amp;A2183)-SUMIFS(Оплаты!$B$6:$B$505,Оплаты!$A$6:$A$505,"&lt;"&amp;A2183,Оплаты!$D$6:$D$505,"&lt;&gt;"))</f>
        <v/>
      </c>
      <c r="E2183">
        <f>IF(A2183="","",IF(SUMPRODUCT((Ввод!$F$12:$F$31&lt;&gt;"")*(Ввод!$F$12:$F$31&lt;=A2183)*(Ввод!$G$12:$G$31&gt;=A2183))&gt;0,1,0))</f>
        <v/>
      </c>
      <c r="G2183">
        <f>IF(A2183="","",IF(OR(B2183&lt;&gt;B2182,C2183&lt;&gt;C2182,E2183&lt;&gt;E2182),G2182+1,G2182))</f>
        <v/>
      </c>
    </row>
    <row r="2184">
      <c r="A2184" s="20">
        <f>IF(A2183="","",IF(A2183+1&gt;Ввод!$B$4,"",A2183+1))</f>
        <v/>
      </c>
      <c r="B2184">
        <f>IF(A2184="","",IFERROR(INDEX(Ввод!$B$12:$B$71,MATCH(A2184,Ввод!$D$12:$D$71,1)),""))</f>
        <v/>
      </c>
      <c r="C2184">
        <f>IF(A2184="","",DATE(YEAR(A2184),12,31)-DATE(YEAR(A2184),1,1)+1)</f>
        <v/>
      </c>
      <c r="D2184">
        <f>IF(A2184="","",SUMIFS(Акты!$D$5:$D$16,Акты!$E$5:$E$16,"&lt;="&amp;A2184)-SUMIFS(Оплаты!$B$6:$B$505,Оплаты!$A$6:$A$505,"&lt;"&amp;A2184,Оплаты!$D$6:$D$505,"&lt;&gt;"))</f>
        <v/>
      </c>
      <c r="E2184">
        <f>IF(A2184="","",IF(SUMPRODUCT((Ввод!$F$12:$F$31&lt;&gt;"")*(Ввод!$F$12:$F$31&lt;=A2184)*(Ввод!$G$12:$G$31&gt;=A2184))&gt;0,1,0))</f>
        <v/>
      </c>
      <c r="G2184">
        <f>IF(A2184="","",IF(OR(B2184&lt;&gt;B2183,C2184&lt;&gt;C2183,E2184&lt;&gt;E2183),G2183+1,G2183))</f>
        <v/>
      </c>
    </row>
    <row r="2185">
      <c r="A2185" s="20">
        <f>IF(A2184="","",IF(A2184+1&gt;Ввод!$B$4,"",A2184+1))</f>
        <v/>
      </c>
      <c r="B2185">
        <f>IF(A2185="","",IFERROR(INDEX(Ввод!$B$12:$B$71,MATCH(A2185,Ввод!$D$12:$D$71,1)),""))</f>
        <v/>
      </c>
      <c r="C2185">
        <f>IF(A2185="","",DATE(YEAR(A2185),12,31)-DATE(YEAR(A2185),1,1)+1)</f>
        <v/>
      </c>
      <c r="D2185">
        <f>IF(A2185="","",SUMIFS(Акты!$D$5:$D$16,Акты!$E$5:$E$16,"&lt;="&amp;A2185)-SUMIFS(Оплаты!$B$6:$B$505,Оплаты!$A$6:$A$505,"&lt;"&amp;A2185,Оплаты!$D$6:$D$505,"&lt;&gt;"))</f>
        <v/>
      </c>
      <c r="E2185">
        <f>IF(A2185="","",IF(SUMPRODUCT((Ввод!$F$12:$F$31&lt;&gt;"")*(Ввод!$F$12:$F$31&lt;=A2185)*(Ввод!$G$12:$G$31&gt;=A2185))&gt;0,1,0))</f>
        <v/>
      </c>
      <c r="G2185">
        <f>IF(A2185="","",IF(OR(B2185&lt;&gt;B2184,C2185&lt;&gt;C2184,E2185&lt;&gt;E2184),G2184+1,G2184))</f>
        <v/>
      </c>
    </row>
    <row r="2186">
      <c r="A2186" s="20">
        <f>IF(A2185="","",IF(A2185+1&gt;Ввод!$B$4,"",A2185+1))</f>
        <v/>
      </c>
      <c r="B2186">
        <f>IF(A2186="","",IFERROR(INDEX(Ввод!$B$12:$B$71,MATCH(A2186,Ввод!$D$12:$D$71,1)),""))</f>
        <v/>
      </c>
      <c r="C2186">
        <f>IF(A2186="","",DATE(YEAR(A2186),12,31)-DATE(YEAR(A2186),1,1)+1)</f>
        <v/>
      </c>
      <c r="D2186">
        <f>IF(A2186="","",SUMIFS(Акты!$D$5:$D$16,Акты!$E$5:$E$16,"&lt;="&amp;A2186)-SUMIFS(Оплаты!$B$6:$B$505,Оплаты!$A$6:$A$505,"&lt;"&amp;A2186,Оплаты!$D$6:$D$505,"&lt;&gt;"))</f>
        <v/>
      </c>
      <c r="E2186">
        <f>IF(A2186="","",IF(SUMPRODUCT((Ввод!$F$12:$F$31&lt;&gt;"")*(Ввод!$F$12:$F$31&lt;=A2186)*(Ввод!$G$12:$G$31&gt;=A2186))&gt;0,1,0))</f>
        <v/>
      </c>
      <c r="G2186">
        <f>IF(A2186="","",IF(OR(B2186&lt;&gt;B2185,C2186&lt;&gt;C2185,E2186&lt;&gt;E2185),G2185+1,G2185))</f>
        <v/>
      </c>
    </row>
    <row r="2187">
      <c r="A2187" s="20">
        <f>IF(A2186="","",IF(A2186+1&gt;Ввод!$B$4,"",A2186+1))</f>
        <v/>
      </c>
      <c r="B2187">
        <f>IF(A2187="","",IFERROR(INDEX(Ввод!$B$12:$B$71,MATCH(A2187,Ввод!$D$12:$D$71,1)),""))</f>
        <v/>
      </c>
      <c r="C2187">
        <f>IF(A2187="","",DATE(YEAR(A2187),12,31)-DATE(YEAR(A2187),1,1)+1)</f>
        <v/>
      </c>
      <c r="D2187">
        <f>IF(A2187="","",SUMIFS(Акты!$D$5:$D$16,Акты!$E$5:$E$16,"&lt;="&amp;A2187)-SUMIFS(Оплаты!$B$6:$B$505,Оплаты!$A$6:$A$505,"&lt;"&amp;A2187,Оплаты!$D$6:$D$505,"&lt;&gt;"))</f>
        <v/>
      </c>
      <c r="E2187">
        <f>IF(A2187="","",IF(SUMPRODUCT((Ввод!$F$12:$F$31&lt;&gt;"")*(Ввод!$F$12:$F$31&lt;=A2187)*(Ввод!$G$12:$G$31&gt;=A2187))&gt;0,1,0))</f>
        <v/>
      </c>
      <c r="G2187">
        <f>IF(A2187="","",IF(OR(B2187&lt;&gt;B2186,C2187&lt;&gt;C2186,E2187&lt;&gt;E2186),G2186+1,G2186))</f>
        <v/>
      </c>
    </row>
    <row r="2188">
      <c r="A2188" s="20">
        <f>IF(A2187="","",IF(A2187+1&gt;Ввод!$B$4,"",A2187+1))</f>
        <v/>
      </c>
      <c r="B2188">
        <f>IF(A2188="","",IFERROR(INDEX(Ввод!$B$12:$B$71,MATCH(A2188,Ввод!$D$12:$D$71,1)),""))</f>
        <v/>
      </c>
      <c r="C2188">
        <f>IF(A2188="","",DATE(YEAR(A2188),12,31)-DATE(YEAR(A2188),1,1)+1)</f>
        <v/>
      </c>
      <c r="D2188">
        <f>IF(A2188="","",SUMIFS(Акты!$D$5:$D$16,Акты!$E$5:$E$16,"&lt;="&amp;A2188)-SUMIFS(Оплаты!$B$6:$B$505,Оплаты!$A$6:$A$505,"&lt;"&amp;A2188,Оплаты!$D$6:$D$505,"&lt;&gt;"))</f>
        <v/>
      </c>
      <c r="E2188">
        <f>IF(A2188="","",IF(SUMPRODUCT((Ввод!$F$12:$F$31&lt;&gt;"")*(Ввод!$F$12:$F$31&lt;=A2188)*(Ввод!$G$12:$G$31&gt;=A2188))&gt;0,1,0))</f>
        <v/>
      </c>
      <c r="G2188">
        <f>IF(A2188="","",IF(OR(B2188&lt;&gt;B2187,C2188&lt;&gt;C2187,E2188&lt;&gt;E2187),G2187+1,G2187))</f>
        <v/>
      </c>
    </row>
    <row r="2189">
      <c r="A2189" s="20">
        <f>IF(A2188="","",IF(A2188+1&gt;Ввод!$B$4,"",A2188+1))</f>
        <v/>
      </c>
      <c r="B2189">
        <f>IF(A2189="","",IFERROR(INDEX(Ввод!$B$12:$B$71,MATCH(A2189,Ввод!$D$12:$D$71,1)),""))</f>
        <v/>
      </c>
      <c r="C2189">
        <f>IF(A2189="","",DATE(YEAR(A2189),12,31)-DATE(YEAR(A2189),1,1)+1)</f>
        <v/>
      </c>
      <c r="D2189">
        <f>IF(A2189="","",SUMIFS(Акты!$D$5:$D$16,Акты!$E$5:$E$16,"&lt;="&amp;A2189)-SUMIFS(Оплаты!$B$6:$B$505,Оплаты!$A$6:$A$505,"&lt;"&amp;A2189,Оплаты!$D$6:$D$505,"&lt;&gt;"))</f>
        <v/>
      </c>
      <c r="E2189">
        <f>IF(A2189="","",IF(SUMPRODUCT((Ввод!$F$12:$F$31&lt;&gt;"")*(Ввод!$F$12:$F$31&lt;=A2189)*(Ввод!$G$12:$G$31&gt;=A2189))&gt;0,1,0))</f>
        <v/>
      </c>
      <c r="G2189">
        <f>IF(A2189="","",IF(OR(B2189&lt;&gt;B2188,C2189&lt;&gt;C2188,E2189&lt;&gt;E2188),G2188+1,G2188))</f>
        <v/>
      </c>
    </row>
    <row r="2190">
      <c r="A2190" s="20">
        <f>IF(A2189="","",IF(A2189+1&gt;Ввод!$B$4,"",A2189+1))</f>
        <v/>
      </c>
      <c r="B2190">
        <f>IF(A2190="","",IFERROR(INDEX(Ввод!$B$12:$B$71,MATCH(A2190,Ввод!$D$12:$D$71,1)),""))</f>
        <v/>
      </c>
      <c r="C2190">
        <f>IF(A2190="","",DATE(YEAR(A2190),12,31)-DATE(YEAR(A2190),1,1)+1)</f>
        <v/>
      </c>
      <c r="D2190">
        <f>IF(A2190="","",SUMIFS(Акты!$D$5:$D$16,Акты!$E$5:$E$16,"&lt;="&amp;A2190)-SUMIFS(Оплаты!$B$6:$B$505,Оплаты!$A$6:$A$505,"&lt;"&amp;A2190,Оплаты!$D$6:$D$505,"&lt;&gt;"))</f>
        <v/>
      </c>
      <c r="E2190">
        <f>IF(A2190="","",IF(SUMPRODUCT((Ввод!$F$12:$F$31&lt;&gt;"")*(Ввод!$F$12:$F$31&lt;=A2190)*(Ввод!$G$12:$G$31&gt;=A2190))&gt;0,1,0))</f>
        <v/>
      </c>
      <c r="G2190">
        <f>IF(A2190="","",IF(OR(B2190&lt;&gt;B2189,C2190&lt;&gt;C2189,E2190&lt;&gt;E2189),G2189+1,G2189))</f>
        <v/>
      </c>
    </row>
    <row r="2191">
      <c r="A2191" s="20">
        <f>IF(A2190="","",IF(A2190+1&gt;Ввод!$B$4,"",A2190+1))</f>
        <v/>
      </c>
      <c r="B2191">
        <f>IF(A2191="","",IFERROR(INDEX(Ввод!$B$12:$B$71,MATCH(A2191,Ввод!$D$12:$D$71,1)),""))</f>
        <v/>
      </c>
      <c r="C2191">
        <f>IF(A2191="","",DATE(YEAR(A2191),12,31)-DATE(YEAR(A2191),1,1)+1)</f>
        <v/>
      </c>
      <c r="D2191">
        <f>IF(A2191="","",SUMIFS(Акты!$D$5:$D$16,Акты!$E$5:$E$16,"&lt;="&amp;A2191)-SUMIFS(Оплаты!$B$6:$B$505,Оплаты!$A$6:$A$505,"&lt;"&amp;A2191,Оплаты!$D$6:$D$505,"&lt;&gt;"))</f>
        <v/>
      </c>
      <c r="E2191">
        <f>IF(A2191="","",IF(SUMPRODUCT((Ввод!$F$12:$F$31&lt;&gt;"")*(Ввод!$F$12:$F$31&lt;=A2191)*(Ввод!$G$12:$G$31&gt;=A2191))&gt;0,1,0))</f>
        <v/>
      </c>
      <c r="G2191">
        <f>IF(A2191="","",IF(OR(B2191&lt;&gt;B2190,C2191&lt;&gt;C2190,E2191&lt;&gt;E2190),G2190+1,G2190))</f>
        <v/>
      </c>
    </row>
    <row r="2192">
      <c r="A2192" s="20">
        <f>IF(A2191="","",IF(A2191+1&gt;Ввод!$B$4,"",A2191+1))</f>
        <v/>
      </c>
      <c r="B2192">
        <f>IF(A2192="","",IFERROR(INDEX(Ввод!$B$12:$B$71,MATCH(A2192,Ввод!$D$12:$D$71,1)),""))</f>
        <v/>
      </c>
      <c r="C2192">
        <f>IF(A2192="","",DATE(YEAR(A2192),12,31)-DATE(YEAR(A2192),1,1)+1)</f>
        <v/>
      </c>
      <c r="D2192">
        <f>IF(A2192="","",SUMIFS(Акты!$D$5:$D$16,Акты!$E$5:$E$16,"&lt;="&amp;A2192)-SUMIFS(Оплаты!$B$6:$B$505,Оплаты!$A$6:$A$505,"&lt;"&amp;A2192,Оплаты!$D$6:$D$505,"&lt;&gt;"))</f>
        <v/>
      </c>
      <c r="E2192">
        <f>IF(A2192="","",IF(SUMPRODUCT((Ввод!$F$12:$F$31&lt;&gt;"")*(Ввод!$F$12:$F$31&lt;=A2192)*(Ввод!$G$12:$G$31&gt;=A2192))&gt;0,1,0))</f>
        <v/>
      </c>
      <c r="G2192">
        <f>IF(A2192="","",IF(OR(B2192&lt;&gt;B2191,C2192&lt;&gt;C2191,E2192&lt;&gt;E2191),G2191+1,G2191))</f>
        <v/>
      </c>
    </row>
    <row r="2193">
      <c r="A2193" s="20">
        <f>IF(A2192="","",IF(A2192+1&gt;Ввод!$B$4,"",A2192+1))</f>
        <v/>
      </c>
      <c r="B2193">
        <f>IF(A2193="","",IFERROR(INDEX(Ввод!$B$12:$B$71,MATCH(A2193,Ввод!$D$12:$D$71,1)),""))</f>
        <v/>
      </c>
      <c r="C2193">
        <f>IF(A2193="","",DATE(YEAR(A2193),12,31)-DATE(YEAR(A2193),1,1)+1)</f>
        <v/>
      </c>
      <c r="D2193">
        <f>IF(A2193="","",SUMIFS(Акты!$D$5:$D$16,Акты!$E$5:$E$16,"&lt;="&amp;A2193)-SUMIFS(Оплаты!$B$6:$B$505,Оплаты!$A$6:$A$505,"&lt;"&amp;A2193,Оплаты!$D$6:$D$505,"&lt;&gt;"))</f>
        <v/>
      </c>
      <c r="E2193">
        <f>IF(A2193="","",IF(SUMPRODUCT((Ввод!$F$12:$F$31&lt;&gt;"")*(Ввод!$F$12:$F$31&lt;=A2193)*(Ввод!$G$12:$G$31&gt;=A2193))&gt;0,1,0))</f>
        <v/>
      </c>
      <c r="G2193">
        <f>IF(A2193="","",IF(OR(B2193&lt;&gt;B2192,C2193&lt;&gt;C2192,E2193&lt;&gt;E2192),G2192+1,G2192))</f>
        <v/>
      </c>
    </row>
    <row r="2194">
      <c r="A2194" s="20">
        <f>IF(A2193="","",IF(A2193+1&gt;Ввод!$B$4,"",A2193+1))</f>
        <v/>
      </c>
      <c r="B2194">
        <f>IF(A2194="","",IFERROR(INDEX(Ввод!$B$12:$B$71,MATCH(A2194,Ввод!$D$12:$D$71,1)),""))</f>
        <v/>
      </c>
      <c r="C2194">
        <f>IF(A2194="","",DATE(YEAR(A2194),12,31)-DATE(YEAR(A2194),1,1)+1)</f>
        <v/>
      </c>
      <c r="D2194">
        <f>IF(A2194="","",SUMIFS(Акты!$D$5:$D$16,Акты!$E$5:$E$16,"&lt;="&amp;A2194)-SUMIFS(Оплаты!$B$6:$B$505,Оплаты!$A$6:$A$505,"&lt;"&amp;A2194,Оплаты!$D$6:$D$505,"&lt;&gt;"))</f>
        <v/>
      </c>
      <c r="E2194">
        <f>IF(A2194="","",IF(SUMPRODUCT((Ввод!$F$12:$F$31&lt;&gt;"")*(Ввод!$F$12:$F$31&lt;=A2194)*(Ввод!$G$12:$G$31&gt;=A2194))&gt;0,1,0))</f>
        <v/>
      </c>
      <c r="G2194">
        <f>IF(A2194="","",IF(OR(B2194&lt;&gt;B2193,C2194&lt;&gt;C2193,E2194&lt;&gt;E2193),G2193+1,G2193))</f>
        <v/>
      </c>
    </row>
    <row r="2195">
      <c r="A2195" s="20">
        <f>IF(A2194="","",IF(A2194+1&gt;Ввод!$B$4,"",A2194+1))</f>
        <v/>
      </c>
      <c r="B2195">
        <f>IF(A2195="","",IFERROR(INDEX(Ввод!$B$12:$B$71,MATCH(A2195,Ввод!$D$12:$D$71,1)),""))</f>
        <v/>
      </c>
      <c r="C2195">
        <f>IF(A2195="","",DATE(YEAR(A2195),12,31)-DATE(YEAR(A2195),1,1)+1)</f>
        <v/>
      </c>
      <c r="D2195">
        <f>IF(A2195="","",SUMIFS(Акты!$D$5:$D$16,Акты!$E$5:$E$16,"&lt;="&amp;A2195)-SUMIFS(Оплаты!$B$6:$B$505,Оплаты!$A$6:$A$505,"&lt;"&amp;A2195,Оплаты!$D$6:$D$505,"&lt;&gt;"))</f>
        <v/>
      </c>
      <c r="E2195">
        <f>IF(A2195="","",IF(SUMPRODUCT((Ввод!$F$12:$F$31&lt;&gt;"")*(Ввод!$F$12:$F$31&lt;=A2195)*(Ввод!$G$12:$G$31&gt;=A2195))&gt;0,1,0))</f>
        <v/>
      </c>
      <c r="G2195">
        <f>IF(A2195="","",IF(OR(B2195&lt;&gt;B2194,C2195&lt;&gt;C2194,E2195&lt;&gt;E2194),G2194+1,G2194))</f>
        <v/>
      </c>
    </row>
    <row r="2196">
      <c r="A2196" s="20">
        <f>IF(A2195="","",IF(A2195+1&gt;Ввод!$B$4,"",A2195+1))</f>
        <v/>
      </c>
      <c r="B2196">
        <f>IF(A2196="","",IFERROR(INDEX(Ввод!$B$12:$B$71,MATCH(A2196,Ввод!$D$12:$D$71,1)),""))</f>
        <v/>
      </c>
      <c r="C2196">
        <f>IF(A2196="","",DATE(YEAR(A2196),12,31)-DATE(YEAR(A2196),1,1)+1)</f>
        <v/>
      </c>
      <c r="D2196">
        <f>IF(A2196="","",SUMIFS(Акты!$D$5:$D$16,Акты!$E$5:$E$16,"&lt;="&amp;A2196)-SUMIFS(Оплаты!$B$6:$B$505,Оплаты!$A$6:$A$505,"&lt;"&amp;A2196,Оплаты!$D$6:$D$505,"&lt;&gt;"))</f>
        <v/>
      </c>
      <c r="E2196">
        <f>IF(A2196="","",IF(SUMPRODUCT((Ввод!$F$12:$F$31&lt;&gt;"")*(Ввод!$F$12:$F$31&lt;=A2196)*(Ввод!$G$12:$G$31&gt;=A2196))&gt;0,1,0))</f>
        <v/>
      </c>
      <c r="G2196">
        <f>IF(A2196="","",IF(OR(B2196&lt;&gt;B2195,C2196&lt;&gt;C2195,E2196&lt;&gt;E2195),G2195+1,G2195))</f>
        <v/>
      </c>
    </row>
    <row r="2197">
      <c r="A2197" s="20">
        <f>IF(A2196="","",IF(A2196+1&gt;Ввод!$B$4,"",A2196+1))</f>
        <v/>
      </c>
      <c r="B2197">
        <f>IF(A2197="","",IFERROR(INDEX(Ввод!$B$12:$B$71,MATCH(A2197,Ввод!$D$12:$D$71,1)),""))</f>
        <v/>
      </c>
      <c r="C2197">
        <f>IF(A2197="","",DATE(YEAR(A2197),12,31)-DATE(YEAR(A2197),1,1)+1)</f>
        <v/>
      </c>
      <c r="D2197">
        <f>IF(A2197="","",SUMIFS(Акты!$D$5:$D$16,Акты!$E$5:$E$16,"&lt;="&amp;A2197)-SUMIFS(Оплаты!$B$6:$B$505,Оплаты!$A$6:$A$505,"&lt;"&amp;A2197,Оплаты!$D$6:$D$505,"&lt;&gt;"))</f>
        <v/>
      </c>
      <c r="E2197">
        <f>IF(A2197="","",IF(SUMPRODUCT((Ввод!$F$12:$F$31&lt;&gt;"")*(Ввод!$F$12:$F$31&lt;=A2197)*(Ввод!$G$12:$G$31&gt;=A2197))&gt;0,1,0))</f>
        <v/>
      </c>
      <c r="G2197">
        <f>IF(A2197="","",IF(OR(B2197&lt;&gt;B2196,C2197&lt;&gt;C2196,E2197&lt;&gt;E2196),G2196+1,G2196))</f>
        <v/>
      </c>
    </row>
    <row r="2198">
      <c r="A2198" s="20">
        <f>IF(A2197="","",IF(A2197+1&gt;Ввод!$B$4,"",A2197+1))</f>
        <v/>
      </c>
      <c r="B2198">
        <f>IF(A2198="","",IFERROR(INDEX(Ввод!$B$12:$B$71,MATCH(A2198,Ввод!$D$12:$D$71,1)),""))</f>
        <v/>
      </c>
      <c r="C2198">
        <f>IF(A2198="","",DATE(YEAR(A2198),12,31)-DATE(YEAR(A2198),1,1)+1)</f>
        <v/>
      </c>
      <c r="D2198">
        <f>IF(A2198="","",SUMIFS(Акты!$D$5:$D$16,Акты!$E$5:$E$16,"&lt;="&amp;A2198)-SUMIFS(Оплаты!$B$6:$B$505,Оплаты!$A$6:$A$505,"&lt;"&amp;A2198,Оплаты!$D$6:$D$505,"&lt;&gt;"))</f>
        <v/>
      </c>
      <c r="E2198">
        <f>IF(A2198="","",IF(SUMPRODUCT((Ввод!$F$12:$F$31&lt;&gt;"")*(Ввод!$F$12:$F$31&lt;=A2198)*(Ввод!$G$12:$G$31&gt;=A2198))&gt;0,1,0))</f>
        <v/>
      </c>
      <c r="G2198">
        <f>IF(A2198="","",IF(OR(B2198&lt;&gt;B2197,C2198&lt;&gt;C2197,E2198&lt;&gt;E2197),G2197+1,G2197))</f>
        <v/>
      </c>
    </row>
    <row r="2199">
      <c r="A2199" s="20">
        <f>IF(A2198="","",IF(A2198+1&gt;Ввод!$B$4,"",A2198+1))</f>
        <v/>
      </c>
      <c r="B2199">
        <f>IF(A2199="","",IFERROR(INDEX(Ввод!$B$12:$B$71,MATCH(A2199,Ввод!$D$12:$D$71,1)),""))</f>
        <v/>
      </c>
      <c r="C2199">
        <f>IF(A2199="","",DATE(YEAR(A2199),12,31)-DATE(YEAR(A2199),1,1)+1)</f>
        <v/>
      </c>
      <c r="D2199">
        <f>IF(A2199="","",SUMIFS(Акты!$D$5:$D$16,Акты!$E$5:$E$16,"&lt;="&amp;A2199)-SUMIFS(Оплаты!$B$6:$B$505,Оплаты!$A$6:$A$505,"&lt;"&amp;A2199,Оплаты!$D$6:$D$505,"&lt;&gt;"))</f>
        <v/>
      </c>
      <c r="E2199">
        <f>IF(A2199="","",IF(SUMPRODUCT((Ввод!$F$12:$F$31&lt;&gt;"")*(Ввод!$F$12:$F$31&lt;=A2199)*(Ввод!$G$12:$G$31&gt;=A2199))&gt;0,1,0))</f>
        <v/>
      </c>
      <c r="G2199">
        <f>IF(A2199="","",IF(OR(B2199&lt;&gt;B2198,C2199&lt;&gt;C2198,E2199&lt;&gt;E2198),G2198+1,G2198))</f>
        <v/>
      </c>
    </row>
    <row r="2200">
      <c r="A2200" s="20">
        <f>IF(A2199="","",IF(A2199+1&gt;Ввод!$B$4,"",A2199+1))</f>
        <v/>
      </c>
      <c r="B2200">
        <f>IF(A2200="","",IFERROR(INDEX(Ввод!$B$12:$B$71,MATCH(A2200,Ввод!$D$12:$D$71,1)),""))</f>
        <v/>
      </c>
      <c r="C2200">
        <f>IF(A2200="","",DATE(YEAR(A2200),12,31)-DATE(YEAR(A2200),1,1)+1)</f>
        <v/>
      </c>
      <c r="D2200">
        <f>IF(A2200="","",SUMIFS(Акты!$D$5:$D$16,Акты!$E$5:$E$16,"&lt;="&amp;A2200)-SUMIFS(Оплаты!$B$6:$B$505,Оплаты!$A$6:$A$505,"&lt;"&amp;A2200,Оплаты!$D$6:$D$505,"&lt;&gt;"))</f>
        <v/>
      </c>
      <c r="E2200">
        <f>IF(A2200="","",IF(SUMPRODUCT((Ввод!$F$12:$F$31&lt;&gt;"")*(Ввод!$F$12:$F$31&lt;=A2200)*(Ввод!$G$12:$G$31&gt;=A2200))&gt;0,1,0))</f>
        <v/>
      </c>
      <c r="G2200">
        <f>IF(A2200="","",IF(OR(B2200&lt;&gt;B2199,C2200&lt;&gt;C2199,E2200&lt;&gt;E2199),G2199+1,G2199))</f>
        <v/>
      </c>
    </row>
    <row r="2201">
      <c r="A2201" s="20">
        <f>IF(A2200="","",IF(A2200+1&gt;Ввод!$B$4,"",A2200+1))</f>
        <v/>
      </c>
      <c r="B2201">
        <f>IF(A2201="","",IFERROR(INDEX(Ввод!$B$12:$B$71,MATCH(A2201,Ввод!$D$12:$D$71,1)),""))</f>
        <v/>
      </c>
      <c r="C2201">
        <f>IF(A2201="","",DATE(YEAR(A2201),12,31)-DATE(YEAR(A2201),1,1)+1)</f>
        <v/>
      </c>
      <c r="D2201">
        <f>IF(A2201="","",SUMIFS(Акты!$D$5:$D$16,Акты!$E$5:$E$16,"&lt;="&amp;A2201)-SUMIFS(Оплаты!$B$6:$B$505,Оплаты!$A$6:$A$505,"&lt;"&amp;A2201,Оплаты!$D$6:$D$505,"&lt;&gt;"))</f>
        <v/>
      </c>
      <c r="E2201">
        <f>IF(A2201="","",IF(SUMPRODUCT((Ввод!$F$12:$F$31&lt;&gt;"")*(Ввод!$F$12:$F$31&lt;=A2201)*(Ввод!$G$12:$G$31&gt;=A2201))&gt;0,1,0))</f>
        <v/>
      </c>
      <c r="G2201">
        <f>IF(A2201="","",IF(OR(B2201&lt;&gt;B2200,C2201&lt;&gt;C2200,E2201&lt;&gt;E2200),G2200+1,G2200))</f>
        <v/>
      </c>
    </row>
    <row r="2202">
      <c r="A2202" s="20">
        <f>IF(A2201="","",IF(A2201+1&gt;Ввод!$B$4,"",A2201+1))</f>
        <v/>
      </c>
      <c r="B2202">
        <f>IF(A2202="","",IFERROR(INDEX(Ввод!$B$12:$B$71,MATCH(A2202,Ввод!$D$12:$D$71,1)),""))</f>
        <v/>
      </c>
      <c r="C2202">
        <f>IF(A2202="","",DATE(YEAR(A2202),12,31)-DATE(YEAR(A2202),1,1)+1)</f>
        <v/>
      </c>
      <c r="D2202">
        <f>IF(A2202="","",SUMIFS(Акты!$D$5:$D$16,Акты!$E$5:$E$16,"&lt;="&amp;A2202)-SUMIFS(Оплаты!$B$6:$B$505,Оплаты!$A$6:$A$505,"&lt;"&amp;A2202,Оплаты!$D$6:$D$505,"&lt;&gt;"))</f>
        <v/>
      </c>
      <c r="E2202">
        <f>IF(A2202="","",IF(SUMPRODUCT((Ввод!$F$12:$F$31&lt;&gt;"")*(Ввод!$F$12:$F$31&lt;=A2202)*(Ввод!$G$12:$G$31&gt;=A2202))&gt;0,1,0))</f>
        <v/>
      </c>
      <c r="G2202">
        <f>IF(A2202="","",IF(OR(B2202&lt;&gt;B2201,C2202&lt;&gt;C2201,E2202&lt;&gt;E2201),G2201+1,G2201))</f>
        <v/>
      </c>
    </row>
    <row r="2203">
      <c r="A2203" s="20">
        <f>IF(A2202="","",IF(A2202+1&gt;Ввод!$B$4,"",A2202+1))</f>
        <v/>
      </c>
      <c r="B2203">
        <f>IF(A2203="","",IFERROR(INDEX(Ввод!$B$12:$B$71,MATCH(A2203,Ввод!$D$12:$D$71,1)),""))</f>
        <v/>
      </c>
      <c r="C2203">
        <f>IF(A2203="","",DATE(YEAR(A2203),12,31)-DATE(YEAR(A2203),1,1)+1)</f>
        <v/>
      </c>
      <c r="D2203">
        <f>IF(A2203="","",SUMIFS(Акты!$D$5:$D$16,Акты!$E$5:$E$16,"&lt;="&amp;A2203)-SUMIFS(Оплаты!$B$6:$B$505,Оплаты!$A$6:$A$505,"&lt;"&amp;A2203,Оплаты!$D$6:$D$505,"&lt;&gt;"))</f>
        <v/>
      </c>
      <c r="E2203">
        <f>IF(A2203="","",IF(SUMPRODUCT((Ввод!$F$12:$F$31&lt;&gt;"")*(Ввод!$F$12:$F$31&lt;=A2203)*(Ввод!$G$12:$G$31&gt;=A2203))&gt;0,1,0))</f>
        <v/>
      </c>
      <c r="G2203">
        <f>IF(A2203="","",IF(OR(B2203&lt;&gt;B2202,C2203&lt;&gt;C2202,E2203&lt;&gt;E2202),G2202+1,G2202))</f>
        <v/>
      </c>
    </row>
    <row r="2204">
      <c r="A2204" s="20">
        <f>IF(A2203="","",IF(A2203+1&gt;Ввод!$B$4,"",A2203+1))</f>
        <v/>
      </c>
      <c r="B2204">
        <f>IF(A2204="","",IFERROR(INDEX(Ввод!$B$12:$B$71,MATCH(A2204,Ввод!$D$12:$D$71,1)),""))</f>
        <v/>
      </c>
      <c r="C2204">
        <f>IF(A2204="","",DATE(YEAR(A2204),12,31)-DATE(YEAR(A2204),1,1)+1)</f>
        <v/>
      </c>
      <c r="D2204">
        <f>IF(A2204="","",SUMIFS(Акты!$D$5:$D$16,Акты!$E$5:$E$16,"&lt;="&amp;A2204)-SUMIFS(Оплаты!$B$6:$B$505,Оплаты!$A$6:$A$505,"&lt;"&amp;A2204,Оплаты!$D$6:$D$505,"&lt;&gt;"))</f>
        <v/>
      </c>
      <c r="E2204">
        <f>IF(A2204="","",IF(SUMPRODUCT((Ввод!$F$12:$F$31&lt;&gt;"")*(Ввод!$F$12:$F$31&lt;=A2204)*(Ввод!$G$12:$G$31&gt;=A2204))&gt;0,1,0))</f>
        <v/>
      </c>
      <c r="G2204">
        <f>IF(A2204="","",IF(OR(B2204&lt;&gt;B2203,C2204&lt;&gt;C2203,E2204&lt;&gt;E2203),G2203+1,G2203))</f>
        <v/>
      </c>
    </row>
    <row r="2205">
      <c r="A2205" s="20">
        <f>IF(A2204="","",IF(A2204+1&gt;Ввод!$B$4,"",A2204+1))</f>
        <v/>
      </c>
      <c r="B2205">
        <f>IF(A2205="","",IFERROR(INDEX(Ввод!$B$12:$B$71,MATCH(A2205,Ввод!$D$12:$D$71,1)),""))</f>
        <v/>
      </c>
      <c r="C2205">
        <f>IF(A2205="","",DATE(YEAR(A2205),12,31)-DATE(YEAR(A2205),1,1)+1)</f>
        <v/>
      </c>
      <c r="D2205">
        <f>IF(A2205="","",SUMIFS(Акты!$D$5:$D$16,Акты!$E$5:$E$16,"&lt;="&amp;A2205)-SUMIFS(Оплаты!$B$6:$B$505,Оплаты!$A$6:$A$505,"&lt;"&amp;A2205,Оплаты!$D$6:$D$505,"&lt;&gt;"))</f>
        <v/>
      </c>
      <c r="E2205">
        <f>IF(A2205="","",IF(SUMPRODUCT((Ввод!$F$12:$F$31&lt;&gt;"")*(Ввод!$F$12:$F$31&lt;=A2205)*(Ввод!$G$12:$G$31&gt;=A2205))&gt;0,1,0))</f>
        <v/>
      </c>
      <c r="G2205">
        <f>IF(A2205="","",IF(OR(B2205&lt;&gt;B2204,C2205&lt;&gt;C2204,E2205&lt;&gt;E2204),G2204+1,G2204))</f>
        <v/>
      </c>
    </row>
    <row r="2206">
      <c r="A2206" s="20">
        <f>IF(A2205="","",IF(A2205+1&gt;Ввод!$B$4,"",A2205+1))</f>
        <v/>
      </c>
      <c r="B2206">
        <f>IF(A2206="","",IFERROR(INDEX(Ввод!$B$12:$B$71,MATCH(A2206,Ввод!$D$12:$D$71,1)),""))</f>
        <v/>
      </c>
      <c r="C2206">
        <f>IF(A2206="","",DATE(YEAR(A2206),12,31)-DATE(YEAR(A2206),1,1)+1)</f>
        <v/>
      </c>
      <c r="D2206">
        <f>IF(A2206="","",SUMIFS(Акты!$D$5:$D$16,Акты!$E$5:$E$16,"&lt;="&amp;A2206)-SUMIFS(Оплаты!$B$6:$B$505,Оплаты!$A$6:$A$505,"&lt;"&amp;A2206,Оплаты!$D$6:$D$505,"&lt;&gt;"))</f>
        <v/>
      </c>
      <c r="E2206">
        <f>IF(A2206="","",IF(SUMPRODUCT((Ввод!$F$12:$F$31&lt;&gt;"")*(Ввод!$F$12:$F$31&lt;=A2206)*(Ввод!$G$12:$G$31&gt;=A2206))&gt;0,1,0))</f>
        <v/>
      </c>
      <c r="G2206">
        <f>IF(A2206="","",IF(OR(B2206&lt;&gt;B2205,C2206&lt;&gt;C2205,E2206&lt;&gt;E2205),G2205+1,G2205))</f>
        <v/>
      </c>
    </row>
    <row r="2207">
      <c r="A2207" s="20">
        <f>IF(A2206="","",IF(A2206+1&gt;Ввод!$B$4,"",A2206+1))</f>
        <v/>
      </c>
      <c r="B2207">
        <f>IF(A2207="","",IFERROR(INDEX(Ввод!$B$12:$B$71,MATCH(A2207,Ввод!$D$12:$D$71,1)),""))</f>
        <v/>
      </c>
      <c r="C2207">
        <f>IF(A2207="","",DATE(YEAR(A2207),12,31)-DATE(YEAR(A2207),1,1)+1)</f>
        <v/>
      </c>
      <c r="D2207">
        <f>IF(A2207="","",SUMIFS(Акты!$D$5:$D$16,Акты!$E$5:$E$16,"&lt;="&amp;A2207)-SUMIFS(Оплаты!$B$6:$B$505,Оплаты!$A$6:$A$505,"&lt;"&amp;A2207,Оплаты!$D$6:$D$505,"&lt;&gt;"))</f>
        <v/>
      </c>
      <c r="E2207">
        <f>IF(A2207="","",IF(SUMPRODUCT((Ввод!$F$12:$F$31&lt;&gt;"")*(Ввод!$F$12:$F$31&lt;=A2207)*(Ввод!$G$12:$G$31&gt;=A2207))&gt;0,1,0))</f>
        <v/>
      </c>
      <c r="G2207">
        <f>IF(A2207="","",IF(OR(B2207&lt;&gt;B2206,C2207&lt;&gt;C2206,E2207&lt;&gt;E2206),G2206+1,G2206))</f>
        <v/>
      </c>
    </row>
    <row r="2208">
      <c r="A2208" s="20">
        <f>IF(A2207="","",IF(A2207+1&gt;Ввод!$B$4,"",A2207+1))</f>
        <v/>
      </c>
      <c r="B2208">
        <f>IF(A2208="","",IFERROR(INDEX(Ввод!$B$12:$B$71,MATCH(A2208,Ввод!$D$12:$D$71,1)),""))</f>
        <v/>
      </c>
      <c r="C2208">
        <f>IF(A2208="","",DATE(YEAR(A2208),12,31)-DATE(YEAR(A2208),1,1)+1)</f>
        <v/>
      </c>
      <c r="D2208">
        <f>IF(A2208="","",SUMIFS(Акты!$D$5:$D$16,Акты!$E$5:$E$16,"&lt;="&amp;A2208)-SUMIFS(Оплаты!$B$6:$B$505,Оплаты!$A$6:$A$505,"&lt;"&amp;A2208,Оплаты!$D$6:$D$505,"&lt;&gt;"))</f>
        <v/>
      </c>
      <c r="E2208">
        <f>IF(A2208="","",IF(SUMPRODUCT((Ввод!$F$12:$F$31&lt;&gt;"")*(Ввод!$F$12:$F$31&lt;=A2208)*(Ввод!$G$12:$G$31&gt;=A2208))&gt;0,1,0))</f>
        <v/>
      </c>
      <c r="G2208">
        <f>IF(A2208="","",IF(OR(B2208&lt;&gt;B2207,C2208&lt;&gt;C2207,E2208&lt;&gt;E2207),G2207+1,G2207))</f>
        <v/>
      </c>
    </row>
    <row r="2209">
      <c r="A2209" s="20">
        <f>IF(A2208="","",IF(A2208+1&gt;Ввод!$B$4,"",A2208+1))</f>
        <v/>
      </c>
      <c r="B2209">
        <f>IF(A2209="","",IFERROR(INDEX(Ввод!$B$12:$B$71,MATCH(A2209,Ввод!$D$12:$D$71,1)),""))</f>
        <v/>
      </c>
      <c r="C2209">
        <f>IF(A2209="","",DATE(YEAR(A2209),12,31)-DATE(YEAR(A2209),1,1)+1)</f>
        <v/>
      </c>
      <c r="D2209">
        <f>IF(A2209="","",SUMIFS(Акты!$D$5:$D$16,Акты!$E$5:$E$16,"&lt;="&amp;A2209)-SUMIFS(Оплаты!$B$6:$B$505,Оплаты!$A$6:$A$505,"&lt;"&amp;A2209,Оплаты!$D$6:$D$505,"&lt;&gt;"))</f>
        <v/>
      </c>
      <c r="E2209">
        <f>IF(A2209="","",IF(SUMPRODUCT((Ввод!$F$12:$F$31&lt;&gt;"")*(Ввод!$F$12:$F$31&lt;=A2209)*(Ввод!$G$12:$G$31&gt;=A2209))&gt;0,1,0))</f>
        <v/>
      </c>
      <c r="G2209">
        <f>IF(A2209="","",IF(OR(B2209&lt;&gt;B2208,C2209&lt;&gt;C2208,E2209&lt;&gt;E2208),G2208+1,G2208))</f>
        <v/>
      </c>
    </row>
    <row r="2210">
      <c r="A2210" s="20">
        <f>IF(A2209="","",IF(A2209+1&gt;Ввод!$B$4,"",A2209+1))</f>
        <v/>
      </c>
      <c r="B2210">
        <f>IF(A2210="","",IFERROR(INDEX(Ввод!$B$12:$B$71,MATCH(A2210,Ввод!$D$12:$D$71,1)),""))</f>
        <v/>
      </c>
      <c r="C2210">
        <f>IF(A2210="","",DATE(YEAR(A2210),12,31)-DATE(YEAR(A2210),1,1)+1)</f>
        <v/>
      </c>
      <c r="D2210">
        <f>IF(A2210="","",SUMIFS(Акты!$D$5:$D$16,Акты!$E$5:$E$16,"&lt;="&amp;A2210)-SUMIFS(Оплаты!$B$6:$B$505,Оплаты!$A$6:$A$505,"&lt;"&amp;A2210,Оплаты!$D$6:$D$505,"&lt;&gt;"))</f>
        <v/>
      </c>
      <c r="E2210">
        <f>IF(A2210="","",IF(SUMPRODUCT((Ввод!$F$12:$F$31&lt;&gt;"")*(Ввод!$F$12:$F$31&lt;=A2210)*(Ввод!$G$12:$G$31&gt;=A2210))&gt;0,1,0))</f>
        <v/>
      </c>
      <c r="G2210">
        <f>IF(A2210="","",IF(OR(B2210&lt;&gt;B2209,C2210&lt;&gt;C2209,E2210&lt;&gt;E2209),G2209+1,G2209))</f>
        <v/>
      </c>
    </row>
    <row r="2211">
      <c r="A2211" s="20">
        <f>IF(A2210="","",IF(A2210+1&gt;Ввод!$B$4,"",A2210+1))</f>
        <v/>
      </c>
      <c r="B2211">
        <f>IF(A2211="","",IFERROR(INDEX(Ввод!$B$12:$B$71,MATCH(A2211,Ввод!$D$12:$D$71,1)),""))</f>
        <v/>
      </c>
      <c r="C2211">
        <f>IF(A2211="","",DATE(YEAR(A2211),12,31)-DATE(YEAR(A2211),1,1)+1)</f>
        <v/>
      </c>
      <c r="D2211">
        <f>IF(A2211="","",SUMIFS(Акты!$D$5:$D$16,Акты!$E$5:$E$16,"&lt;="&amp;A2211)-SUMIFS(Оплаты!$B$6:$B$505,Оплаты!$A$6:$A$505,"&lt;"&amp;A2211,Оплаты!$D$6:$D$505,"&lt;&gt;"))</f>
        <v/>
      </c>
      <c r="E2211">
        <f>IF(A2211="","",IF(SUMPRODUCT((Ввод!$F$12:$F$31&lt;&gt;"")*(Ввод!$F$12:$F$31&lt;=A2211)*(Ввод!$G$12:$G$31&gt;=A2211))&gt;0,1,0))</f>
        <v/>
      </c>
      <c r="G2211">
        <f>IF(A2211="","",IF(OR(B2211&lt;&gt;B2210,C2211&lt;&gt;C2210,E2211&lt;&gt;E2210),G2210+1,G2210))</f>
        <v/>
      </c>
    </row>
    <row r="2212">
      <c r="A2212" s="20">
        <f>IF(A2211="","",IF(A2211+1&gt;Ввод!$B$4,"",A2211+1))</f>
        <v/>
      </c>
      <c r="B2212">
        <f>IF(A2212="","",IFERROR(INDEX(Ввод!$B$12:$B$71,MATCH(A2212,Ввод!$D$12:$D$71,1)),""))</f>
        <v/>
      </c>
      <c r="C2212">
        <f>IF(A2212="","",DATE(YEAR(A2212),12,31)-DATE(YEAR(A2212),1,1)+1)</f>
        <v/>
      </c>
      <c r="D2212">
        <f>IF(A2212="","",SUMIFS(Акты!$D$5:$D$16,Акты!$E$5:$E$16,"&lt;="&amp;A2212)-SUMIFS(Оплаты!$B$6:$B$505,Оплаты!$A$6:$A$505,"&lt;"&amp;A2212,Оплаты!$D$6:$D$505,"&lt;&gt;"))</f>
        <v/>
      </c>
      <c r="E2212">
        <f>IF(A2212="","",IF(SUMPRODUCT((Ввод!$F$12:$F$31&lt;&gt;"")*(Ввод!$F$12:$F$31&lt;=A2212)*(Ввод!$G$12:$G$31&gt;=A2212))&gt;0,1,0))</f>
        <v/>
      </c>
      <c r="G2212">
        <f>IF(A2212="","",IF(OR(B2212&lt;&gt;B2211,C2212&lt;&gt;C2211,E2212&lt;&gt;E2211),G2211+1,G2211))</f>
        <v/>
      </c>
    </row>
    <row r="2213">
      <c r="A2213" s="20">
        <f>IF(A2212="","",IF(A2212+1&gt;Ввод!$B$4,"",A2212+1))</f>
        <v/>
      </c>
      <c r="B2213">
        <f>IF(A2213="","",IFERROR(INDEX(Ввод!$B$12:$B$71,MATCH(A2213,Ввод!$D$12:$D$71,1)),""))</f>
        <v/>
      </c>
      <c r="C2213">
        <f>IF(A2213="","",DATE(YEAR(A2213),12,31)-DATE(YEAR(A2213),1,1)+1)</f>
        <v/>
      </c>
      <c r="D2213">
        <f>IF(A2213="","",SUMIFS(Акты!$D$5:$D$16,Акты!$E$5:$E$16,"&lt;="&amp;A2213)-SUMIFS(Оплаты!$B$6:$B$505,Оплаты!$A$6:$A$505,"&lt;"&amp;A2213,Оплаты!$D$6:$D$505,"&lt;&gt;"))</f>
        <v/>
      </c>
      <c r="E2213">
        <f>IF(A2213="","",IF(SUMPRODUCT((Ввод!$F$12:$F$31&lt;&gt;"")*(Ввод!$F$12:$F$31&lt;=A2213)*(Ввод!$G$12:$G$31&gt;=A2213))&gt;0,1,0))</f>
        <v/>
      </c>
      <c r="G2213">
        <f>IF(A2213="","",IF(OR(B2213&lt;&gt;B2212,C2213&lt;&gt;C2212,E2213&lt;&gt;E2212),G2212+1,G2212))</f>
        <v/>
      </c>
    </row>
    <row r="2214">
      <c r="A2214" s="20">
        <f>IF(A2213="","",IF(A2213+1&gt;Ввод!$B$4,"",A2213+1))</f>
        <v/>
      </c>
      <c r="B2214">
        <f>IF(A2214="","",IFERROR(INDEX(Ввод!$B$12:$B$71,MATCH(A2214,Ввод!$D$12:$D$71,1)),""))</f>
        <v/>
      </c>
      <c r="C2214">
        <f>IF(A2214="","",DATE(YEAR(A2214),12,31)-DATE(YEAR(A2214),1,1)+1)</f>
        <v/>
      </c>
      <c r="D2214">
        <f>IF(A2214="","",SUMIFS(Акты!$D$5:$D$16,Акты!$E$5:$E$16,"&lt;="&amp;A2214)-SUMIFS(Оплаты!$B$6:$B$505,Оплаты!$A$6:$A$505,"&lt;"&amp;A2214,Оплаты!$D$6:$D$505,"&lt;&gt;"))</f>
        <v/>
      </c>
      <c r="E2214">
        <f>IF(A2214="","",IF(SUMPRODUCT((Ввод!$F$12:$F$31&lt;&gt;"")*(Ввод!$F$12:$F$31&lt;=A2214)*(Ввод!$G$12:$G$31&gt;=A2214))&gt;0,1,0))</f>
        <v/>
      </c>
      <c r="G2214">
        <f>IF(A2214="","",IF(OR(B2214&lt;&gt;B2213,C2214&lt;&gt;C2213,E2214&lt;&gt;E2213),G2213+1,G2213))</f>
        <v/>
      </c>
    </row>
    <row r="2215">
      <c r="A2215" s="20">
        <f>IF(A2214="","",IF(A2214+1&gt;Ввод!$B$4,"",A2214+1))</f>
        <v/>
      </c>
      <c r="B2215">
        <f>IF(A2215="","",IFERROR(INDEX(Ввод!$B$12:$B$71,MATCH(A2215,Ввод!$D$12:$D$71,1)),""))</f>
        <v/>
      </c>
      <c r="C2215">
        <f>IF(A2215="","",DATE(YEAR(A2215),12,31)-DATE(YEAR(A2215),1,1)+1)</f>
        <v/>
      </c>
      <c r="D2215">
        <f>IF(A2215="","",SUMIFS(Акты!$D$5:$D$16,Акты!$E$5:$E$16,"&lt;="&amp;A2215)-SUMIFS(Оплаты!$B$6:$B$505,Оплаты!$A$6:$A$505,"&lt;"&amp;A2215,Оплаты!$D$6:$D$505,"&lt;&gt;"))</f>
        <v/>
      </c>
      <c r="E2215">
        <f>IF(A2215="","",IF(SUMPRODUCT((Ввод!$F$12:$F$31&lt;&gt;"")*(Ввод!$F$12:$F$31&lt;=A2215)*(Ввод!$G$12:$G$31&gt;=A2215))&gt;0,1,0))</f>
        <v/>
      </c>
      <c r="G2215">
        <f>IF(A2215="","",IF(OR(B2215&lt;&gt;B2214,C2215&lt;&gt;C2214,E2215&lt;&gt;E2214),G2214+1,G2214))</f>
        <v/>
      </c>
    </row>
    <row r="2216">
      <c r="A2216" s="20">
        <f>IF(A2215="","",IF(A2215+1&gt;Ввод!$B$4,"",A2215+1))</f>
        <v/>
      </c>
      <c r="B2216">
        <f>IF(A2216="","",IFERROR(INDEX(Ввод!$B$12:$B$71,MATCH(A2216,Ввод!$D$12:$D$71,1)),""))</f>
        <v/>
      </c>
      <c r="C2216">
        <f>IF(A2216="","",DATE(YEAR(A2216),12,31)-DATE(YEAR(A2216),1,1)+1)</f>
        <v/>
      </c>
      <c r="D2216">
        <f>IF(A2216="","",SUMIFS(Акты!$D$5:$D$16,Акты!$E$5:$E$16,"&lt;="&amp;A2216)-SUMIFS(Оплаты!$B$6:$B$505,Оплаты!$A$6:$A$505,"&lt;"&amp;A2216,Оплаты!$D$6:$D$505,"&lt;&gt;"))</f>
        <v/>
      </c>
      <c r="E2216">
        <f>IF(A2216="","",IF(SUMPRODUCT((Ввод!$F$12:$F$31&lt;&gt;"")*(Ввод!$F$12:$F$31&lt;=A2216)*(Ввод!$G$12:$G$31&gt;=A2216))&gt;0,1,0))</f>
        <v/>
      </c>
      <c r="G2216">
        <f>IF(A2216="","",IF(OR(B2216&lt;&gt;B2215,C2216&lt;&gt;C2215,E2216&lt;&gt;E2215),G2215+1,G2215))</f>
        <v/>
      </c>
    </row>
    <row r="2217">
      <c r="A2217" s="20">
        <f>IF(A2216="","",IF(A2216+1&gt;Ввод!$B$4,"",A2216+1))</f>
        <v/>
      </c>
      <c r="B2217">
        <f>IF(A2217="","",IFERROR(INDEX(Ввод!$B$12:$B$71,MATCH(A2217,Ввод!$D$12:$D$71,1)),""))</f>
        <v/>
      </c>
      <c r="C2217">
        <f>IF(A2217="","",DATE(YEAR(A2217),12,31)-DATE(YEAR(A2217),1,1)+1)</f>
        <v/>
      </c>
      <c r="D2217">
        <f>IF(A2217="","",SUMIFS(Акты!$D$5:$D$16,Акты!$E$5:$E$16,"&lt;="&amp;A2217)-SUMIFS(Оплаты!$B$6:$B$505,Оплаты!$A$6:$A$505,"&lt;"&amp;A2217,Оплаты!$D$6:$D$505,"&lt;&gt;"))</f>
        <v/>
      </c>
      <c r="E2217">
        <f>IF(A2217="","",IF(SUMPRODUCT((Ввод!$F$12:$F$31&lt;&gt;"")*(Ввод!$F$12:$F$31&lt;=A2217)*(Ввод!$G$12:$G$31&gt;=A2217))&gt;0,1,0))</f>
        <v/>
      </c>
      <c r="G2217">
        <f>IF(A2217="","",IF(OR(B2217&lt;&gt;B2216,C2217&lt;&gt;C2216,E2217&lt;&gt;E2216),G2216+1,G2216))</f>
        <v/>
      </c>
    </row>
    <row r="2218">
      <c r="A2218" s="20">
        <f>IF(A2217="","",IF(A2217+1&gt;Ввод!$B$4,"",A2217+1))</f>
        <v/>
      </c>
      <c r="B2218">
        <f>IF(A2218="","",IFERROR(INDEX(Ввод!$B$12:$B$71,MATCH(A2218,Ввод!$D$12:$D$71,1)),""))</f>
        <v/>
      </c>
      <c r="C2218">
        <f>IF(A2218="","",DATE(YEAR(A2218),12,31)-DATE(YEAR(A2218),1,1)+1)</f>
        <v/>
      </c>
      <c r="D2218">
        <f>IF(A2218="","",SUMIFS(Акты!$D$5:$D$16,Акты!$E$5:$E$16,"&lt;="&amp;A2218)-SUMIFS(Оплаты!$B$6:$B$505,Оплаты!$A$6:$A$505,"&lt;"&amp;A2218,Оплаты!$D$6:$D$505,"&lt;&gt;"))</f>
        <v/>
      </c>
      <c r="E2218">
        <f>IF(A2218="","",IF(SUMPRODUCT((Ввод!$F$12:$F$31&lt;&gt;"")*(Ввод!$F$12:$F$31&lt;=A2218)*(Ввод!$G$12:$G$31&gt;=A2218))&gt;0,1,0))</f>
        <v/>
      </c>
      <c r="G2218">
        <f>IF(A2218="","",IF(OR(B2218&lt;&gt;B2217,C2218&lt;&gt;C2217,E2218&lt;&gt;E2217),G2217+1,G2217))</f>
        <v/>
      </c>
    </row>
    <row r="2219">
      <c r="A2219" s="20">
        <f>IF(A2218="","",IF(A2218+1&gt;Ввод!$B$4,"",A2218+1))</f>
        <v/>
      </c>
      <c r="B2219">
        <f>IF(A2219="","",IFERROR(INDEX(Ввод!$B$12:$B$71,MATCH(A2219,Ввод!$D$12:$D$71,1)),""))</f>
        <v/>
      </c>
      <c r="C2219">
        <f>IF(A2219="","",DATE(YEAR(A2219),12,31)-DATE(YEAR(A2219),1,1)+1)</f>
        <v/>
      </c>
      <c r="D2219">
        <f>IF(A2219="","",SUMIFS(Акты!$D$5:$D$16,Акты!$E$5:$E$16,"&lt;="&amp;A2219)-SUMIFS(Оплаты!$B$6:$B$505,Оплаты!$A$6:$A$505,"&lt;"&amp;A2219,Оплаты!$D$6:$D$505,"&lt;&gt;"))</f>
        <v/>
      </c>
      <c r="E2219">
        <f>IF(A2219="","",IF(SUMPRODUCT((Ввод!$F$12:$F$31&lt;&gt;"")*(Ввод!$F$12:$F$31&lt;=A2219)*(Ввод!$G$12:$G$31&gt;=A2219))&gt;0,1,0))</f>
        <v/>
      </c>
      <c r="G2219">
        <f>IF(A2219="","",IF(OR(B2219&lt;&gt;B2218,C2219&lt;&gt;C2218,E2219&lt;&gt;E2218),G2218+1,G2218))</f>
        <v/>
      </c>
    </row>
    <row r="2220">
      <c r="A2220" s="20">
        <f>IF(A2219="","",IF(A2219+1&gt;Ввод!$B$4,"",A2219+1))</f>
        <v/>
      </c>
      <c r="B2220">
        <f>IF(A2220="","",IFERROR(INDEX(Ввод!$B$12:$B$71,MATCH(A2220,Ввод!$D$12:$D$71,1)),""))</f>
        <v/>
      </c>
      <c r="C2220">
        <f>IF(A2220="","",DATE(YEAR(A2220),12,31)-DATE(YEAR(A2220),1,1)+1)</f>
        <v/>
      </c>
      <c r="D2220">
        <f>IF(A2220="","",SUMIFS(Акты!$D$5:$D$16,Акты!$E$5:$E$16,"&lt;="&amp;A2220)-SUMIFS(Оплаты!$B$6:$B$505,Оплаты!$A$6:$A$505,"&lt;"&amp;A2220,Оплаты!$D$6:$D$505,"&lt;&gt;"))</f>
        <v/>
      </c>
      <c r="E2220">
        <f>IF(A2220="","",IF(SUMPRODUCT((Ввод!$F$12:$F$31&lt;&gt;"")*(Ввод!$F$12:$F$31&lt;=A2220)*(Ввод!$G$12:$G$31&gt;=A2220))&gt;0,1,0))</f>
        <v/>
      </c>
      <c r="G2220">
        <f>IF(A2220="","",IF(OR(B2220&lt;&gt;B2219,C2220&lt;&gt;C2219,E2220&lt;&gt;E2219),G2219+1,G2219))</f>
        <v/>
      </c>
    </row>
    <row r="2221">
      <c r="A2221" s="20">
        <f>IF(A2220="","",IF(A2220+1&gt;Ввод!$B$4,"",A2220+1))</f>
        <v/>
      </c>
      <c r="B2221">
        <f>IF(A2221="","",IFERROR(INDEX(Ввод!$B$12:$B$71,MATCH(A2221,Ввод!$D$12:$D$71,1)),""))</f>
        <v/>
      </c>
      <c r="C2221">
        <f>IF(A2221="","",DATE(YEAR(A2221),12,31)-DATE(YEAR(A2221),1,1)+1)</f>
        <v/>
      </c>
      <c r="D2221">
        <f>IF(A2221="","",SUMIFS(Акты!$D$5:$D$16,Акты!$E$5:$E$16,"&lt;="&amp;A2221)-SUMIFS(Оплаты!$B$6:$B$505,Оплаты!$A$6:$A$505,"&lt;"&amp;A2221,Оплаты!$D$6:$D$505,"&lt;&gt;"))</f>
        <v/>
      </c>
      <c r="E2221">
        <f>IF(A2221="","",IF(SUMPRODUCT((Ввод!$F$12:$F$31&lt;&gt;"")*(Ввод!$F$12:$F$31&lt;=A2221)*(Ввод!$G$12:$G$31&gt;=A2221))&gt;0,1,0))</f>
        <v/>
      </c>
      <c r="G2221">
        <f>IF(A2221="","",IF(OR(B2221&lt;&gt;B2220,C2221&lt;&gt;C2220,E2221&lt;&gt;E2220),G2220+1,G2220))</f>
        <v/>
      </c>
    </row>
    <row r="2222">
      <c r="A2222" s="20">
        <f>IF(A2221="","",IF(A2221+1&gt;Ввод!$B$4,"",A2221+1))</f>
        <v/>
      </c>
      <c r="B2222">
        <f>IF(A2222="","",IFERROR(INDEX(Ввод!$B$12:$B$71,MATCH(A2222,Ввод!$D$12:$D$71,1)),""))</f>
        <v/>
      </c>
      <c r="C2222">
        <f>IF(A2222="","",DATE(YEAR(A2222),12,31)-DATE(YEAR(A2222),1,1)+1)</f>
        <v/>
      </c>
      <c r="D2222">
        <f>IF(A2222="","",SUMIFS(Акты!$D$5:$D$16,Акты!$E$5:$E$16,"&lt;="&amp;A2222)-SUMIFS(Оплаты!$B$6:$B$505,Оплаты!$A$6:$A$505,"&lt;"&amp;A2222,Оплаты!$D$6:$D$505,"&lt;&gt;"))</f>
        <v/>
      </c>
      <c r="E2222">
        <f>IF(A2222="","",IF(SUMPRODUCT((Ввод!$F$12:$F$31&lt;&gt;"")*(Ввод!$F$12:$F$31&lt;=A2222)*(Ввод!$G$12:$G$31&gt;=A2222))&gt;0,1,0))</f>
        <v/>
      </c>
      <c r="G2222">
        <f>IF(A2222="","",IF(OR(B2222&lt;&gt;B2221,C2222&lt;&gt;C2221,E2222&lt;&gt;E2221),G2221+1,G2221))</f>
        <v/>
      </c>
    </row>
    <row r="2223">
      <c r="A2223" s="20">
        <f>IF(A2222="","",IF(A2222+1&gt;Ввод!$B$4,"",A2222+1))</f>
        <v/>
      </c>
      <c r="B2223">
        <f>IF(A2223="","",IFERROR(INDEX(Ввод!$B$12:$B$71,MATCH(A2223,Ввод!$D$12:$D$71,1)),""))</f>
        <v/>
      </c>
      <c r="C2223">
        <f>IF(A2223="","",DATE(YEAR(A2223),12,31)-DATE(YEAR(A2223),1,1)+1)</f>
        <v/>
      </c>
      <c r="D2223">
        <f>IF(A2223="","",SUMIFS(Акты!$D$5:$D$16,Акты!$E$5:$E$16,"&lt;="&amp;A2223)-SUMIFS(Оплаты!$B$6:$B$505,Оплаты!$A$6:$A$505,"&lt;"&amp;A2223,Оплаты!$D$6:$D$505,"&lt;&gt;"))</f>
        <v/>
      </c>
      <c r="E2223">
        <f>IF(A2223="","",IF(SUMPRODUCT((Ввод!$F$12:$F$31&lt;&gt;"")*(Ввод!$F$12:$F$31&lt;=A2223)*(Ввод!$G$12:$G$31&gt;=A2223))&gt;0,1,0))</f>
        <v/>
      </c>
      <c r="G2223">
        <f>IF(A2223="","",IF(OR(B2223&lt;&gt;B2222,C2223&lt;&gt;C2222,E2223&lt;&gt;E2222),G2222+1,G2222))</f>
        <v/>
      </c>
    </row>
    <row r="2224">
      <c r="A2224" s="20">
        <f>IF(A2223="","",IF(A2223+1&gt;Ввод!$B$4,"",A2223+1))</f>
        <v/>
      </c>
      <c r="B2224">
        <f>IF(A2224="","",IFERROR(INDEX(Ввод!$B$12:$B$71,MATCH(A2224,Ввод!$D$12:$D$71,1)),""))</f>
        <v/>
      </c>
      <c r="C2224">
        <f>IF(A2224="","",DATE(YEAR(A2224),12,31)-DATE(YEAR(A2224),1,1)+1)</f>
        <v/>
      </c>
      <c r="D2224">
        <f>IF(A2224="","",SUMIFS(Акты!$D$5:$D$16,Акты!$E$5:$E$16,"&lt;="&amp;A2224)-SUMIFS(Оплаты!$B$6:$B$505,Оплаты!$A$6:$A$505,"&lt;"&amp;A2224,Оплаты!$D$6:$D$505,"&lt;&gt;"))</f>
        <v/>
      </c>
      <c r="E2224">
        <f>IF(A2224="","",IF(SUMPRODUCT((Ввод!$F$12:$F$31&lt;&gt;"")*(Ввод!$F$12:$F$31&lt;=A2224)*(Ввод!$G$12:$G$31&gt;=A2224))&gt;0,1,0))</f>
        <v/>
      </c>
      <c r="G2224">
        <f>IF(A2224="","",IF(OR(B2224&lt;&gt;B2223,C2224&lt;&gt;C2223,E2224&lt;&gt;E2223),G2223+1,G2223))</f>
        <v/>
      </c>
    </row>
    <row r="2225">
      <c r="A2225" s="20">
        <f>IF(A2224="","",IF(A2224+1&gt;Ввод!$B$4,"",A2224+1))</f>
        <v/>
      </c>
      <c r="B2225">
        <f>IF(A2225="","",IFERROR(INDEX(Ввод!$B$12:$B$71,MATCH(A2225,Ввод!$D$12:$D$71,1)),""))</f>
        <v/>
      </c>
      <c r="C2225">
        <f>IF(A2225="","",DATE(YEAR(A2225),12,31)-DATE(YEAR(A2225),1,1)+1)</f>
        <v/>
      </c>
      <c r="D2225">
        <f>IF(A2225="","",SUMIFS(Акты!$D$5:$D$16,Акты!$E$5:$E$16,"&lt;="&amp;A2225)-SUMIFS(Оплаты!$B$6:$B$505,Оплаты!$A$6:$A$505,"&lt;"&amp;A2225,Оплаты!$D$6:$D$505,"&lt;&gt;"))</f>
        <v/>
      </c>
      <c r="E2225">
        <f>IF(A2225="","",IF(SUMPRODUCT((Ввод!$F$12:$F$31&lt;&gt;"")*(Ввод!$F$12:$F$31&lt;=A2225)*(Ввод!$G$12:$G$31&gt;=A2225))&gt;0,1,0))</f>
        <v/>
      </c>
      <c r="G2225">
        <f>IF(A2225="","",IF(OR(B2225&lt;&gt;B2224,C2225&lt;&gt;C2224,E2225&lt;&gt;E2224),G2224+1,G2224))</f>
        <v/>
      </c>
    </row>
    <row r="2226">
      <c r="A2226" s="20">
        <f>IF(A2225="","",IF(A2225+1&gt;Ввод!$B$4,"",A2225+1))</f>
        <v/>
      </c>
      <c r="B2226">
        <f>IF(A2226="","",IFERROR(INDEX(Ввод!$B$12:$B$71,MATCH(A2226,Ввод!$D$12:$D$71,1)),""))</f>
        <v/>
      </c>
      <c r="C2226">
        <f>IF(A2226="","",DATE(YEAR(A2226),12,31)-DATE(YEAR(A2226),1,1)+1)</f>
        <v/>
      </c>
      <c r="D2226">
        <f>IF(A2226="","",SUMIFS(Акты!$D$5:$D$16,Акты!$E$5:$E$16,"&lt;="&amp;A2226)-SUMIFS(Оплаты!$B$6:$B$505,Оплаты!$A$6:$A$505,"&lt;"&amp;A2226,Оплаты!$D$6:$D$505,"&lt;&gt;"))</f>
        <v/>
      </c>
      <c r="E2226">
        <f>IF(A2226="","",IF(SUMPRODUCT((Ввод!$F$12:$F$31&lt;&gt;"")*(Ввод!$F$12:$F$31&lt;=A2226)*(Ввод!$G$12:$G$31&gt;=A2226))&gt;0,1,0))</f>
        <v/>
      </c>
      <c r="G2226">
        <f>IF(A2226="","",IF(OR(B2226&lt;&gt;B2225,C2226&lt;&gt;C2225,E2226&lt;&gt;E2225),G2225+1,G2225))</f>
        <v/>
      </c>
    </row>
    <row r="2227">
      <c r="A2227" s="20">
        <f>IF(A2226="","",IF(A2226+1&gt;Ввод!$B$4,"",A2226+1))</f>
        <v/>
      </c>
      <c r="B2227">
        <f>IF(A2227="","",IFERROR(INDEX(Ввод!$B$12:$B$71,MATCH(A2227,Ввод!$D$12:$D$71,1)),""))</f>
        <v/>
      </c>
      <c r="C2227">
        <f>IF(A2227="","",DATE(YEAR(A2227),12,31)-DATE(YEAR(A2227),1,1)+1)</f>
        <v/>
      </c>
      <c r="D2227">
        <f>IF(A2227="","",SUMIFS(Акты!$D$5:$D$16,Акты!$E$5:$E$16,"&lt;="&amp;A2227)-SUMIFS(Оплаты!$B$6:$B$505,Оплаты!$A$6:$A$505,"&lt;"&amp;A2227,Оплаты!$D$6:$D$505,"&lt;&gt;"))</f>
        <v/>
      </c>
      <c r="E2227">
        <f>IF(A2227="","",IF(SUMPRODUCT((Ввод!$F$12:$F$31&lt;&gt;"")*(Ввод!$F$12:$F$31&lt;=A2227)*(Ввод!$G$12:$G$31&gt;=A2227))&gt;0,1,0))</f>
        <v/>
      </c>
      <c r="G2227">
        <f>IF(A2227="","",IF(OR(B2227&lt;&gt;B2226,C2227&lt;&gt;C2226,E2227&lt;&gt;E2226),G2226+1,G2226))</f>
        <v/>
      </c>
    </row>
    <row r="2228">
      <c r="A2228" s="20">
        <f>IF(A2227="","",IF(A2227+1&gt;Ввод!$B$4,"",A2227+1))</f>
        <v/>
      </c>
      <c r="B2228">
        <f>IF(A2228="","",IFERROR(INDEX(Ввод!$B$12:$B$71,MATCH(A2228,Ввод!$D$12:$D$71,1)),""))</f>
        <v/>
      </c>
      <c r="C2228">
        <f>IF(A2228="","",DATE(YEAR(A2228),12,31)-DATE(YEAR(A2228),1,1)+1)</f>
        <v/>
      </c>
      <c r="D2228">
        <f>IF(A2228="","",SUMIFS(Акты!$D$5:$D$16,Акты!$E$5:$E$16,"&lt;="&amp;A2228)-SUMIFS(Оплаты!$B$6:$B$505,Оплаты!$A$6:$A$505,"&lt;"&amp;A2228,Оплаты!$D$6:$D$505,"&lt;&gt;"))</f>
        <v/>
      </c>
      <c r="E2228">
        <f>IF(A2228="","",IF(SUMPRODUCT((Ввод!$F$12:$F$31&lt;&gt;"")*(Ввод!$F$12:$F$31&lt;=A2228)*(Ввод!$G$12:$G$31&gt;=A2228))&gt;0,1,0))</f>
        <v/>
      </c>
      <c r="G2228">
        <f>IF(A2228="","",IF(OR(B2228&lt;&gt;B2227,C2228&lt;&gt;C2227,E2228&lt;&gt;E2227),G2227+1,G2227))</f>
        <v/>
      </c>
    </row>
    <row r="2229">
      <c r="A2229" s="20">
        <f>IF(A2228="","",IF(A2228+1&gt;Ввод!$B$4,"",A2228+1))</f>
        <v/>
      </c>
      <c r="B2229">
        <f>IF(A2229="","",IFERROR(INDEX(Ввод!$B$12:$B$71,MATCH(A2229,Ввод!$D$12:$D$71,1)),""))</f>
        <v/>
      </c>
      <c r="C2229">
        <f>IF(A2229="","",DATE(YEAR(A2229),12,31)-DATE(YEAR(A2229),1,1)+1)</f>
        <v/>
      </c>
      <c r="D2229">
        <f>IF(A2229="","",SUMIFS(Акты!$D$5:$D$16,Акты!$E$5:$E$16,"&lt;="&amp;A2229)-SUMIFS(Оплаты!$B$6:$B$505,Оплаты!$A$6:$A$505,"&lt;"&amp;A2229,Оплаты!$D$6:$D$505,"&lt;&gt;"))</f>
        <v/>
      </c>
      <c r="E2229">
        <f>IF(A2229="","",IF(SUMPRODUCT((Ввод!$F$12:$F$31&lt;&gt;"")*(Ввод!$F$12:$F$31&lt;=A2229)*(Ввод!$G$12:$G$31&gt;=A2229))&gt;0,1,0))</f>
        <v/>
      </c>
      <c r="G2229">
        <f>IF(A2229="","",IF(OR(B2229&lt;&gt;B2228,C2229&lt;&gt;C2228,E2229&lt;&gt;E2228),G2228+1,G2228))</f>
        <v/>
      </c>
    </row>
    <row r="2230">
      <c r="A2230" s="20">
        <f>IF(A2229="","",IF(A2229+1&gt;Ввод!$B$4,"",A2229+1))</f>
        <v/>
      </c>
      <c r="B2230">
        <f>IF(A2230="","",IFERROR(INDEX(Ввод!$B$12:$B$71,MATCH(A2230,Ввод!$D$12:$D$71,1)),""))</f>
        <v/>
      </c>
      <c r="C2230">
        <f>IF(A2230="","",DATE(YEAR(A2230),12,31)-DATE(YEAR(A2230),1,1)+1)</f>
        <v/>
      </c>
      <c r="D2230">
        <f>IF(A2230="","",SUMIFS(Акты!$D$5:$D$16,Акты!$E$5:$E$16,"&lt;="&amp;A2230)-SUMIFS(Оплаты!$B$6:$B$505,Оплаты!$A$6:$A$505,"&lt;"&amp;A2230,Оплаты!$D$6:$D$505,"&lt;&gt;"))</f>
        <v/>
      </c>
      <c r="E2230">
        <f>IF(A2230="","",IF(SUMPRODUCT((Ввод!$F$12:$F$31&lt;&gt;"")*(Ввод!$F$12:$F$31&lt;=A2230)*(Ввод!$G$12:$G$31&gt;=A2230))&gt;0,1,0))</f>
        <v/>
      </c>
      <c r="G2230">
        <f>IF(A2230="","",IF(OR(B2230&lt;&gt;B2229,C2230&lt;&gt;C2229,E2230&lt;&gt;E2229),G2229+1,G2229))</f>
        <v/>
      </c>
    </row>
    <row r="2231">
      <c r="A2231" s="20">
        <f>IF(A2230="","",IF(A2230+1&gt;Ввод!$B$4,"",A2230+1))</f>
        <v/>
      </c>
      <c r="B2231">
        <f>IF(A2231="","",IFERROR(INDEX(Ввод!$B$12:$B$71,MATCH(A2231,Ввод!$D$12:$D$71,1)),""))</f>
        <v/>
      </c>
      <c r="C2231">
        <f>IF(A2231="","",DATE(YEAR(A2231),12,31)-DATE(YEAR(A2231),1,1)+1)</f>
        <v/>
      </c>
      <c r="D2231">
        <f>IF(A2231="","",SUMIFS(Акты!$D$5:$D$16,Акты!$E$5:$E$16,"&lt;="&amp;A2231)-SUMIFS(Оплаты!$B$6:$B$505,Оплаты!$A$6:$A$505,"&lt;"&amp;A2231,Оплаты!$D$6:$D$505,"&lt;&gt;"))</f>
        <v/>
      </c>
      <c r="E2231">
        <f>IF(A2231="","",IF(SUMPRODUCT((Ввод!$F$12:$F$31&lt;&gt;"")*(Ввод!$F$12:$F$31&lt;=A2231)*(Ввод!$G$12:$G$31&gt;=A2231))&gt;0,1,0))</f>
        <v/>
      </c>
      <c r="G2231">
        <f>IF(A2231="","",IF(OR(B2231&lt;&gt;B2230,C2231&lt;&gt;C2230,E2231&lt;&gt;E2230),G2230+1,G2230))</f>
        <v/>
      </c>
    </row>
    <row r="2232">
      <c r="A2232" s="20">
        <f>IF(A2231="","",IF(A2231+1&gt;Ввод!$B$4,"",A2231+1))</f>
        <v/>
      </c>
      <c r="B2232">
        <f>IF(A2232="","",IFERROR(INDEX(Ввод!$B$12:$B$71,MATCH(A2232,Ввод!$D$12:$D$71,1)),""))</f>
        <v/>
      </c>
      <c r="C2232">
        <f>IF(A2232="","",DATE(YEAR(A2232),12,31)-DATE(YEAR(A2232),1,1)+1)</f>
        <v/>
      </c>
      <c r="D2232">
        <f>IF(A2232="","",SUMIFS(Акты!$D$5:$D$16,Акты!$E$5:$E$16,"&lt;="&amp;A2232)-SUMIFS(Оплаты!$B$6:$B$505,Оплаты!$A$6:$A$505,"&lt;"&amp;A2232,Оплаты!$D$6:$D$505,"&lt;&gt;"))</f>
        <v/>
      </c>
      <c r="E2232">
        <f>IF(A2232="","",IF(SUMPRODUCT((Ввод!$F$12:$F$31&lt;&gt;"")*(Ввод!$F$12:$F$31&lt;=A2232)*(Ввод!$G$12:$G$31&gt;=A2232))&gt;0,1,0))</f>
        <v/>
      </c>
      <c r="G2232">
        <f>IF(A2232="","",IF(OR(B2232&lt;&gt;B2231,C2232&lt;&gt;C2231,E2232&lt;&gt;E2231),G2231+1,G2231))</f>
        <v/>
      </c>
    </row>
    <row r="2233">
      <c r="A2233" s="20">
        <f>IF(A2232="","",IF(A2232+1&gt;Ввод!$B$4,"",A2232+1))</f>
        <v/>
      </c>
      <c r="B2233">
        <f>IF(A2233="","",IFERROR(INDEX(Ввод!$B$12:$B$71,MATCH(A2233,Ввод!$D$12:$D$71,1)),""))</f>
        <v/>
      </c>
      <c r="C2233">
        <f>IF(A2233="","",DATE(YEAR(A2233),12,31)-DATE(YEAR(A2233),1,1)+1)</f>
        <v/>
      </c>
      <c r="D2233">
        <f>IF(A2233="","",SUMIFS(Акты!$D$5:$D$16,Акты!$E$5:$E$16,"&lt;="&amp;A2233)-SUMIFS(Оплаты!$B$6:$B$505,Оплаты!$A$6:$A$505,"&lt;"&amp;A2233,Оплаты!$D$6:$D$505,"&lt;&gt;"))</f>
        <v/>
      </c>
      <c r="E2233">
        <f>IF(A2233="","",IF(SUMPRODUCT((Ввод!$F$12:$F$31&lt;&gt;"")*(Ввод!$F$12:$F$31&lt;=A2233)*(Ввод!$G$12:$G$31&gt;=A2233))&gt;0,1,0))</f>
        <v/>
      </c>
      <c r="G2233">
        <f>IF(A2233="","",IF(OR(B2233&lt;&gt;B2232,C2233&lt;&gt;C2232,E2233&lt;&gt;E2232),G2232+1,G2232))</f>
        <v/>
      </c>
    </row>
    <row r="2234">
      <c r="A2234" s="20">
        <f>IF(A2233="","",IF(A2233+1&gt;Ввод!$B$4,"",A2233+1))</f>
        <v/>
      </c>
      <c r="B2234">
        <f>IF(A2234="","",IFERROR(INDEX(Ввод!$B$12:$B$71,MATCH(A2234,Ввод!$D$12:$D$71,1)),""))</f>
        <v/>
      </c>
      <c r="C2234">
        <f>IF(A2234="","",DATE(YEAR(A2234),12,31)-DATE(YEAR(A2234),1,1)+1)</f>
        <v/>
      </c>
      <c r="D2234">
        <f>IF(A2234="","",SUMIFS(Акты!$D$5:$D$16,Акты!$E$5:$E$16,"&lt;="&amp;A2234)-SUMIFS(Оплаты!$B$6:$B$505,Оплаты!$A$6:$A$505,"&lt;"&amp;A2234,Оплаты!$D$6:$D$505,"&lt;&gt;"))</f>
        <v/>
      </c>
      <c r="E2234">
        <f>IF(A2234="","",IF(SUMPRODUCT((Ввод!$F$12:$F$31&lt;&gt;"")*(Ввод!$F$12:$F$31&lt;=A2234)*(Ввод!$G$12:$G$31&gt;=A2234))&gt;0,1,0))</f>
        <v/>
      </c>
      <c r="G2234">
        <f>IF(A2234="","",IF(OR(B2234&lt;&gt;B2233,C2234&lt;&gt;C2233,E2234&lt;&gt;E2233),G2233+1,G2233))</f>
        <v/>
      </c>
    </row>
    <row r="2235">
      <c r="A2235" s="20">
        <f>IF(A2234="","",IF(A2234+1&gt;Ввод!$B$4,"",A2234+1))</f>
        <v/>
      </c>
      <c r="B2235">
        <f>IF(A2235="","",IFERROR(INDEX(Ввод!$B$12:$B$71,MATCH(A2235,Ввод!$D$12:$D$71,1)),""))</f>
        <v/>
      </c>
      <c r="C2235">
        <f>IF(A2235="","",DATE(YEAR(A2235),12,31)-DATE(YEAR(A2235),1,1)+1)</f>
        <v/>
      </c>
      <c r="D2235">
        <f>IF(A2235="","",SUMIFS(Акты!$D$5:$D$16,Акты!$E$5:$E$16,"&lt;="&amp;A2235)-SUMIFS(Оплаты!$B$6:$B$505,Оплаты!$A$6:$A$505,"&lt;"&amp;A2235,Оплаты!$D$6:$D$505,"&lt;&gt;"))</f>
        <v/>
      </c>
      <c r="E2235">
        <f>IF(A2235="","",IF(SUMPRODUCT((Ввод!$F$12:$F$31&lt;&gt;"")*(Ввод!$F$12:$F$31&lt;=A2235)*(Ввод!$G$12:$G$31&gt;=A2235))&gt;0,1,0))</f>
        <v/>
      </c>
      <c r="G2235">
        <f>IF(A2235="","",IF(OR(B2235&lt;&gt;B2234,C2235&lt;&gt;C2234,E2235&lt;&gt;E2234),G2234+1,G2234))</f>
        <v/>
      </c>
    </row>
    <row r="2236">
      <c r="A2236" s="20">
        <f>IF(A2235="","",IF(A2235+1&gt;Ввод!$B$4,"",A2235+1))</f>
        <v/>
      </c>
      <c r="B2236">
        <f>IF(A2236="","",IFERROR(INDEX(Ввод!$B$12:$B$71,MATCH(A2236,Ввод!$D$12:$D$71,1)),""))</f>
        <v/>
      </c>
      <c r="C2236">
        <f>IF(A2236="","",DATE(YEAR(A2236),12,31)-DATE(YEAR(A2236),1,1)+1)</f>
        <v/>
      </c>
      <c r="D2236">
        <f>IF(A2236="","",SUMIFS(Акты!$D$5:$D$16,Акты!$E$5:$E$16,"&lt;="&amp;A2236)-SUMIFS(Оплаты!$B$6:$B$505,Оплаты!$A$6:$A$505,"&lt;"&amp;A2236,Оплаты!$D$6:$D$505,"&lt;&gt;"))</f>
        <v/>
      </c>
      <c r="E2236">
        <f>IF(A2236="","",IF(SUMPRODUCT((Ввод!$F$12:$F$31&lt;&gt;"")*(Ввод!$F$12:$F$31&lt;=A2236)*(Ввод!$G$12:$G$31&gt;=A2236))&gt;0,1,0))</f>
        <v/>
      </c>
      <c r="G2236">
        <f>IF(A2236="","",IF(OR(B2236&lt;&gt;B2235,C2236&lt;&gt;C2235,E2236&lt;&gt;E2235),G2235+1,G2235))</f>
        <v/>
      </c>
    </row>
    <row r="2237">
      <c r="A2237" s="20">
        <f>IF(A2236="","",IF(A2236+1&gt;Ввод!$B$4,"",A2236+1))</f>
        <v/>
      </c>
      <c r="B2237">
        <f>IF(A2237="","",IFERROR(INDEX(Ввод!$B$12:$B$71,MATCH(A2237,Ввод!$D$12:$D$71,1)),""))</f>
        <v/>
      </c>
      <c r="C2237">
        <f>IF(A2237="","",DATE(YEAR(A2237),12,31)-DATE(YEAR(A2237),1,1)+1)</f>
        <v/>
      </c>
      <c r="D2237">
        <f>IF(A2237="","",SUMIFS(Акты!$D$5:$D$16,Акты!$E$5:$E$16,"&lt;="&amp;A2237)-SUMIFS(Оплаты!$B$6:$B$505,Оплаты!$A$6:$A$505,"&lt;"&amp;A2237,Оплаты!$D$6:$D$505,"&lt;&gt;"))</f>
        <v/>
      </c>
      <c r="E2237">
        <f>IF(A2237="","",IF(SUMPRODUCT((Ввод!$F$12:$F$31&lt;&gt;"")*(Ввод!$F$12:$F$31&lt;=A2237)*(Ввод!$G$12:$G$31&gt;=A2237))&gt;0,1,0))</f>
        <v/>
      </c>
      <c r="G2237">
        <f>IF(A2237="","",IF(OR(B2237&lt;&gt;B2236,C2237&lt;&gt;C2236,E2237&lt;&gt;E2236),G2236+1,G2236))</f>
        <v/>
      </c>
    </row>
    <row r="2238">
      <c r="A2238" s="20">
        <f>IF(A2237="","",IF(A2237+1&gt;Ввод!$B$4,"",A2237+1))</f>
        <v/>
      </c>
      <c r="B2238">
        <f>IF(A2238="","",IFERROR(INDEX(Ввод!$B$12:$B$71,MATCH(A2238,Ввод!$D$12:$D$71,1)),""))</f>
        <v/>
      </c>
      <c r="C2238">
        <f>IF(A2238="","",DATE(YEAR(A2238),12,31)-DATE(YEAR(A2238),1,1)+1)</f>
        <v/>
      </c>
      <c r="D2238">
        <f>IF(A2238="","",SUMIFS(Акты!$D$5:$D$16,Акты!$E$5:$E$16,"&lt;="&amp;A2238)-SUMIFS(Оплаты!$B$6:$B$505,Оплаты!$A$6:$A$505,"&lt;"&amp;A2238,Оплаты!$D$6:$D$505,"&lt;&gt;"))</f>
        <v/>
      </c>
      <c r="E2238">
        <f>IF(A2238="","",IF(SUMPRODUCT((Ввод!$F$12:$F$31&lt;&gt;"")*(Ввод!$F$12:$F$31&lt;=A2238)*(Ввод!$G$12:$G$31&gt;=A2238))&gt;0,1,0))</f>
        <v/>
      </c>
      <c r="G2238">
        <f>IF(A2238="","",IF(OR(B2238&lt;&gt;B2237,C2238&lt;&gt;C2237,E2238&lt;&gt;E2237),G2237+1,G2237))</f>
        <v/>
      </c>
    </row>
    <row r="2239">
      <c r="A2239" s="20">
        <f>IF(A2238="","",IF(A2238+1&gt;Ввод!$B$4,"",A2238+1))</f>
        <v/>
      </c>
      <c r="B2239">
        <f>IF(A2239="","",IFERROR(INDEX(Ввод!$B$12:$B$71,MATCH(A2239,Ввод!$D$12:$D$71,1)),""))</f>
        <v/>
      </c>
      <c r="C2239">
        <f>IF(A2239="","",DATE(YEAR(A2239),12,31)-DATE(YEAR(A2239),1,1)+1)</f>
        <v/>
      </c>
      <c r="D2239">
        <f>IF(A2239="","",SUMIFS(Акты!$D$5:$D$16,Акты!$E$5:$E$16,"&lt;="&amp;A2239)-SUMIFS(Оплаты!$B$6:$B$505,Оплаты!$A$6:$A$505,"&lt;"&amp;A2239,Оплаты!$D$6:$D$505,"&lt;&gt;"))</f>
        <v/>
      </c>
      <c r="E2239">
        <f>IF(A2239="","",IF(SUMPRODUCT((Ввод!$F$12:$F$31&lt;&gt;"")*(Ввод!$F$12:$F$31&lt;=A2239)*(Ввод!$G$12:$G$31&gt;=A2239))&gt;0,1,0))</f>
        <v/>
      </c>
      <c r="G2239">
        <f>IF(A2239="","",IF(OR(B2239&lt;&gt;B2238,C2239&lt;&gt;C2238,E2239&lt;&gt;E2238),G2238+1,G2238))</f>
        <v/>
      </c>
    </row>
    <row r="2240">
      <c r="A2240" s="20">
        <f>IF(A2239="","",IF(A2239+1&gt;Ввод!$B$4,"",A2239+1))</f>
        <v/>
      </c>
      <c r="B2240">
        <f>IF(A2240="","",IFERROR(INDEX(Ввод!$B$12:$B$71,MATCH(A2240,Ввод!$D$12:$D$71,1)),""))</f>
        <v/>
      </c>
      <c r="C2240">
        <f>IF(A2240="","",DATE(YEAR(A2240),12,31)-DATE(YEAR(A2240),1,1)+1)</f>
        <v/>
      </c>
      <c r="D2240">
        <f>IF(A2240="","",SUMIFS(Акты!$D$5:$D$16,Акты!$E$5:$E$16,"&lt;="&amp;A2240)-SUMIFS(Оплаты!$B$6:$B$505,Оплаты!$A$6:$A$505,"&lt;"&amp;A2240,Оплаты!$D$6:$D$505,"&lt;&gt;"))</f>
        <v/>
      </c>
      <c r="E2240">
        <f>IF(A2240="","",IF(SUMPRODUCT((Ввод!$F$12:$F$31&lt;&gt;"")*(Ввод!$F$12:$F$31&lt;=A2240)*(Ввод!$G$12:$G$31&gt;=A2240))&gt;0,1,0))</f>
        <v/>
      </c>
      <c r="G2240">
        <f>IF(A2240="","",IF(OR(B2240&lt;&gt;B2239,C2240&lt;&gt;C2239,E2240&lt;&gt;E2239),G2239+1,G2239))</f>
        <v/>
      </c>
    </row>
    <row r="2241">
      <c r="A2241" s="20">
        <f>IF(A2240="","",IF(A2240+1&gt;Ввод!$B$4,"",A2240+1))</f>
        <v/>
      </c>
      <c r="B2241">
        <f>IF(A2241="","",IFERROR(INDEX(Ввод!$B$12:$B$71,MATCH(A2241,Ввод!$D$12:$D$71,1)),""))</f>
        <v/>
      </c>
      <c r="C2241">
        <f>IF(A2241="","",DATE(YEAR(A2241),12,31)-DATE(YEAR(A2241),1,1)+1)</f>
        <v/>
      </c>
      <c r="D2241">
        <f>IF(A2241="","",SUMIFS(Акты!$D$5:$D$16,Акты!$E$5:$E$16,"&lt;="&amp;A2241)-SUMIFS(Оплаты!$B$6:$B$505,Оплаты!$A$6:$A$505,"&lt;"&amp;A2241,Оплаты!$D$6:$D$505,"&lt;&gt;"))</f>
        <v/>
      </c>
      <c r="E2241">
        <f>IF(A2241="","",IF(SUMPRODUCT((Ввод!$F$12:$F$31&lt;&gt;"")*(Ввод!$F$12:$F$31&lt;=A2241)*(Ввод!$G$12:$G$31&gt;=A2241))&gt;0,1,0))</f>
        <v/>
      </c>
      <c r="G2241">
        <f>IF(A2241="","",IF(OR(B2241&lt;&gt;B2240,C2241&lt;&gt;C2240,E2241&lt;&gt;E2240),G2240+1,G2240))</f>
        <v/>
      </c>
    </row>
    <row r="2242">
      <c r="A2242" s="20">
        <f>IF(A2241="","",IF(A2241+1&gt;Ввод!$B$4,"",A2241+1))</f>
        <v/>
      </c>
      <c r="B2242">
        <f>IF(A2242="","",IFERROR(INDEX(Ввод!$B$12:$B$71,MATCH(A2242,Ввод!$D$12:$D$71,1)),""))</f>
        <v/>
      </c>
      <c r="C2242">
        <f>IF(A2242="","",DATE(YEAR(A2242),12,31)-DATE(YEAR(A2242),1,1)+1)</f>
        <v/>
      </c>
      <c r="D2242">
        <f>IF(A2242="","",SUMIFS(Акты!$D$5:$D$16,Акты!$E$5:$E$16,"&lt;="&amp;A2242)-SUMIFS(Оплаты!$B$6:$B$505,Оплаты!$A$6:$A$505,"&lt;"&amp;A2242,Оплаты!$D$6:$D$505,"&lt;&gt;"))</f>
        <v/>
      </c>
      <c r="E2242">
        <f>IF(A2242="","",IF(SUMPRODUCT((Ввод!$F$12:$F$31&lt;&gt;"")*(Ввод!$F$12:$F$31&lt;=A2242)*(Ввод!$G$12:$G$31&gt;=A2242))&gt;0,1,0))</f>
        <v/>
      </c>
      <c r="G2242">
        <f>IF(A2242="","",IF(OR(B2242&lt;&gt;B2241,C2242&lt;&gt;C2241,E2242&lt;&gt;E2241),G2241+1,G2241))</f>
        <v/>
      </c>
    </row>
    <row r="2243">
      <c r="A2243" s="20">
        <f>IF(A2242="","",IF(A2242+1&gt;Ввод!$B$4,"",A2242+1))</f>
        <v/>
      </c>
      <c r="B2243">
        <f>IF(A2243="","",IFERROR(INDEX(Ввод!$B$12:$B$71,MATCH(A2243,Ввод!$D$12:$D$71,1)),""))</f>
        <v/>
      </c>
      <c r="C2243">
        <f>IF(A2243="","",DATE(YEAR(A2243),12,31)-DATE(YEAR(A2243),1,1)+1)</f>
        <v/>
      </c>
      <c r="D2243">
        <f>IF(A2243="","",SUMIFS(Акты!$D$5:$D$16,Акты!$E$5:$E$16,"&lt;="&amp;A2243)-SUMIFS(Оплаты!$B$6:$B$505,Оплаты!$A$6:$A$505,"&lt;"&amp;A2243,Оплаты!$D$6:$D$505,"&lt;&gt;"))</f>
        <v/>
      </c>
      <c r="E2243">
        <f>IF(A2243="","",IF(SUMPRODUCT((Ввод!$F$12:$F$31&lt;&gt;"")*(Ввод!$F$12:$F$31&lt;=A2243)*(Ввод!$G$12:$G$31&gt;=A2243))&gt;0,1,0))</f>
        <v/>
      </c>
      <c r="G2243">
        <f>IF(A2243="","",IF(OR(B2243&lt;&gt;B2242,C2243&lt;&gt;C2242,E2243&lt;&gt;E2242),G2242+1,G2242))</f>
        <v/>
      </c>
    </row>
    <row r="2244">
      <c r="A2244" s="20">
        <f>IF(A2243="","",IF(A2243+1&gt;Ввод!$B$4,"",A2243+1))</f>
        <v/>
      </c>
      <c r="B2244">
        <f>IF(A2244="","",IFERROR(INDEX(Ввод!$B$12:$B$71,MATCH(A2244,Ввод!$D$12:$D$71,1)),""))</f>
        <v/>
      </c>
      <c r="C2244">
        <f>IF(A2244="","",DATE(YEAR(A2244),12,31)-DATE(YEAR(A2244),1,1)+1)</f>
        <v/>
      </c>
      <c r="D2244">
        <f>IF(A2244="","",SUMIFS(Акты!$D$5:$D$16,Акты!$E$5:$E$16,"&lt;="&amp;A2244)-SUMIFS(Оплаты!$B$6:$B$505,Оплаты!$A$6:$A$505,"&lt;"&amp;A2244,Оплаты!$D$6:$D$505,"&lt;&gt;"))</f>
        <v/>
      </c>
      <c r="E2244">
        <f>IF(A2244="","",IF(SUMPRODUCT((Ввод!$F$12:$F$31&lt;&gt;"")*(Ввод!$F$12:$F$31&lt;=A2244)*(Ввод!$G$12:$G$31&gt;=A2244))&gt;0,1,0))</f>
        <v/>
      </c>
      <c r="G2244">
        <f>IF(A2244="","",IF(OR(B2244&lt;&gt;B2243,C2244&lt;&gt;C2243,E2244&lt;&gt;E2243),G2243+1,G2243))</f>
        <v/>
      </c>
    </row>
    <row r="2245">
      <c r="A2245" s="20">
        <f>IF(A2244="","",IF(A2244+1&gt;Ввод!$B$4,"",A2244+1))</f>
        <v/>
      </c>
      <c r="B2245">
        <f>IF(A2245="","",IFERROR(INDEX(Ввод!$B$12:$B$71,MATCH(A2245,Ввод!$D$12:$D$71,1)),""))</f>
        <v/>
      </c>
      <c r="C2245">
        <f>IF(A2245="","",DATE(YEAR(A2245),12,31)-DATE(YEAR(A2245),1,1)+1)</f>
        <v/>
      </c>
      <c r="D2245">
        <f>IF(A2245="","",SUMIFS(Акты!$D$5:$D$16,Акты!$E$5:$E$16,"&lt;="&amp;A2245)-SUMIFS(Оплаты!$B$6:$B$505,Оплаты!$A$6:$A$505,"&lt;"&amp;A2245,Оплаты!$D$6:$D$505,"&lt;&gt;"))</f>
        <v/>
      </c>
      <c r="E2245">
        <f>IF(A2245="","",IF(SUMPRODUCT((Ввод!$F$12:$F$31&lt;&gt;"")*(Ввод!$F$12:$F$31&lt;=A2245)*(Ввод!$G$12:$G$31&gt;=A2245))&gt;0,1,0))</f>
        <v/>
      </c>
      <c r="G2245">
        <f>IF(A2245="","",IF(OR(B2245&lt;&gt;B2244,C2245&lt;&gt;C2244,E2245&lt;&gt;E2244),G2244+1,G2244))</f>
        <v/>
      </c>
    </row>
    <row r="2246">
      <c r="A2246" s="20">
        <f>IF(A2245="","",IF(A2245+1&gt;Ввод!$B$4,"",A2245+1))</f>
        <v/>
      </c>
      <c r="B2246">
        <f>IF(A2246="","",IFERROR(INDEX(Ввод!$B$12:$B$71,MATCH(A2246,Ввод!$D$12:$D$71,1)),""))</f>
        <v/>
      </c>
      <c r="C2246">
        <f>IF(A2246="","",DATE(YEAR(A2246),12,31)-DATE(YEAR(A2246),1,1)+1)</f>
        <v/>
      </c>
      <c r="D2246">
        <f>IF(A2246="","",SUMIFS(Акты!$D$5:$D$16,Акты!$E$5:$E$16,"&lt;="&amp;A2246)-SUMIFS(Оплаты!$B$6:$B$505,Оплаты!$A$6:$A$505,"&lt;"&amp;A2246,Оплаты!$D$6:$D$505,"&lt;&gt;"))</f>
        <v/>
      </c>
      <c r="E2246">
        <f>IF(A2246="","",IF(SUMPRODUCT((Ввод!$F$12:$F$31&lt;&gt;"")*(Ввод!$F$12:$F$31&lt;=A2246)*(Ввод!$G$12:$G$31&gt;=A2246))&gt;0,1,0))</f>
        <v/>
      </c>
      <c r="G2246">
        <f>IF(A2246="","",IF(OR(B2246&lt;&gt;B2245,C2246&lt;&gt;C2245,E2246&lt;&gt;E2245),G2245+1,G2245))</f>
        <v/>
      </c>
    </row>
    <row r="2247">
      <c r="A2247" s="20">
        <f>IF(A2246="","",IF(A2246+1&gt;Ввод!$B$4,"",A2246+1))</f>
        <v/>
      </c>
      <c r="B2247">
        <f>IF(A2247="","",IFERROR(INDEX(Ввод!$B$12:$B$71,MATCH(A2247,Ввод!$D$12:$D$71,1)),""))</f>
        <v/>
      </c>
      <c r="C2247">
        <f>IF(A2247="","",DATE(YEAR(A2247),12,31)-DATE(YEAR(A2247),1,1)+1)</f>
        <v/>
      </c>
      <c r="D2247">
        <f>IF(A2247="","",SUMIFS(Акты!$D$5:$D$16,Акты!$E$5:$E$16,"&lt;="&amp;A2247)-SUMIFS(Оплаты!$B$6:$B$505,Оплаты!$A$6:$A$505,"&lt;"&amp;A2247,Оплаты!$D$6:$D$505,"&lt;&gt;"))</f>
        <v/>
      </c>
      <c r="E2247">
        <f>IF(A2247="","",IF(SUMPRODUCT((Ввод!$F$12:$F$31&lt;&gt;"")*(Ввод!$F$12:$F$31&lt;=A2247)*(Ввод!$G$12:$G$31&gt;=A2247))&gt;0,1,0))</f>
        <v/>
      </c>
      <c r="G2247">
        <f>IF(A2247="","",IF(OR(B2247&lt;&gt;B2246,C2247&lt;&gt;C2246,E2247&lt;&gt;E2246),G2246+1,G2246))</f>
        <v/>
      </c>
    </row>
    <row r="2248">
      <c r="A2248" s="20">
        <f>IF(A2247="","",IF(A2247+1&gt;Ввод!$B$4,"",A2247+1))</f>
        <v/>
      </c>
      <c r="B2248">
        <f>IF(A2248="","",IFERROR(INDEX(Ввод!$B$12:$B$71,MATCH(A2248,Ввод!$D$12:$D$71,1)),""))</f>
        <v/>
      </c>
      <c r="C2248">
        <f>IF(A2248="","",DATE(YEAR(A2248),12,31)-DATE(YEAR(A2248),1,1)+1)</f>
        <v/>
      </c>
      <c r="D2248">
        <f>IF(A2248="","",SUMIFS(Акты!$D$5:$D$16,Акты!$E$5:$E$16,"&lt;="&amp;A2248)-SUMIFS(Оплаты!$B$6:$B$505,Оплаты!$A$6:$A$505,"&lt;"&amp;A2248,Оплаты!$D$6:$D$505,"&lt;&gt;"))</f>
        <v/>
      </c>
      <c r="E2248">
        <f>IF(A2248="","",IF(SUMPRODUCT((Ввод!$F$12:$F$31&lt;&gt;"")*(Ввод!$F$12:$F$31&lt;=A2248)*(Ввод!$G$12:$G$31&gt;=A2248))&gt;0,1,0))</f>
        <v/>
      </c>
      <c r="G2248">
        <f>IF(A2248="","",IF(OR(B2248&lt;&gt;B2247,C2248&lt;&gt;C2247,E2248&lt;&gt;E2247),G2247+1,G2247))</f>
        <v/>
      </c>
    </row>
    <row r="2249">
      <c r="A2249" s="20">
        <f>IF(A2248="","",IF(A2248+1&gt;Ввод!$B$4,"",A2248+1))</f>
        <v/>
      </c>
      <c r="B2249">
        <f>IF(A2249="","",IFERROR(INDEX(Ввод!$B$12:$B$71,MATCH(A2249,Ввод!$D$12:$D$71,1)),""))</f>
        <v/>
      </c>
      <c r="C2249">
        <f>IF(A2249="","",DATE(YEAR(A2249),12,31)-DATE(YEAR(A2249),1,1)+1)</f>
        <v/>
      </c>
      <c r="D2249">
        <f>IF(A2249="","",SUMIFS(Акты!$D$5:$D$16,Акты!$E$5:$E$16,"&lt;="&amp;A2249)-SUMIFS(Оплаты!$B$6:$B$505,Оплаты!$A$6:$A$505,"&lt;"&amp;A2249,Оплаты!$D$6:$D$505,"&lt;&gt;"))</f>
        <v/>
      </c>
      <c r="E2249">
        <f>IF(A2249="","",IF(SUMPRODUCT((Ввод!$F$12:$F$31&lt;&gt;"")*(Ввод!$F$12:$F$31&lt;=A2249)*(Ввод!$G$12:$G$31&gt;=A2249))&gt;0,1,0))</f>
        <v/>
      </c>
      <c r="G2249">
        <f>IF(A2249="","",IF(OR(B2249&lt;&gt;B2248,C2249&lt;&gt;C2248,E2249&lt;&gt;E2248),G2248+1,G2248))</f>
        <v/>
      </c>
    </row>
    <row r="2250">
      <c r="A2250" s="20">
        <f>IF(A2249="","",IF(A2249+1&gt;Ввод!$B$4,"",A2249+1))</f>
        <v/>
      </c>
      <c r="B2250">
        <f>IF(A2250="","",IFERROR(INDEX(Ввод!$B$12:$B$71,MATCH(A2250,Ввод!$D$12:$D$71,1)),""))</f>
        <v/>
      </c>
      <c r="C2250">
        <f>IF(A2250="","",DATE(YEAR(A2250),12,31)-DATE(YEAR(A2250),1,1)+1)</f>
        <v/>
      </c>
      <c r="D2250">
        <f>IF(A2250="","",SUMIFS(Акты!$D$5:$D$16,Акты!$E$5:$E$16,"&lt;="&amp;A2250)-SUMIFS(Оплаты!$B$6:$B$505,Оплаты!$A$6:$A$505,"&lt;"&amp;A2250,Оплаты!$D$6:$D$505,"&lt;&gt;"))</f>
        <v/>
      </c>
      <c r="E2250">
        <f>IF(A2250="","",IF(SUMPRODUCT((Ввод!$F$12:$F$31&lt;&gt;"")*(Ввод!$F$12:$F$31&lt;=A2250)*(Ввод!$G$12:$G$31&gt;=A2250))&gt;0,1,0))</f>
        <v/>
      </c>
      <c r="G2250">
        <f>IF(A2250="","",IF(OR(B2250&lt;&gt;B2249,C2250&lt;&gt;C2249,E2250&lt;&gt;E2249),G2249+1,G2249))</f>
        <v/>
      </c>
    </row>
    <row r="2251">
      <c r="A2251" s="20">
        <f>IF(A2250="","",IF(A2250+1&gt;Ввод!$B$4,"",A2250+1))</f>
        <v/>
      </c>
      <c r="B2251">
        <f>IF(A2251="","",IFERROR(INDEX(Ввод!$B$12:$B$71,MATCH(A2251,Ввод!$D$12:$D$71,1)),""))</f>
        <v/>
      </c>
      <c r="C2251">
        <f>IF(A2251="","",DATE(YEAR(A2251),12,31)-DATE(YEAR(A2251),1,1)+1)</f>
        <v/>
      </c>
      <c r="D2251">
        <f>IF(A2251="","",SUMIFS(Акты!$D$5:$D$16,Акты!$E$5:$E$16,"&lt;="&amp;A2251)-SUMIFS(Оплаты!$B$6:$B$505,Оплаты!$A$6:$A$505,"&lt;"&amp;A2251,Оплаты!$D$6:$D$505,"&lt;&gt;"))</f>
        <v/>
      </c>
      <c r="E2251">
        <f>IF(A2251="","",IF(SUMPRODUCT((Ввод!$F$12:$F$31&lt;&gt;"")*(Ввод!$F$12:$F$31&lt;=A2251)*(Ввод!$G$12:$G$31&gt;=A2251))&gt;0,1,0))</f>
        <v/>
      </c>
      <c r="G2251">
        <f>IF(A2251="","",IF(OR(B2251&lt;&gt;B2250,C2251&lt;&gt;C2250,E2251&lt;&gt;E2250),G2250+1,G2250))</f>
        <v/>
      </c>
    </row>
    <row r="2252">
      <c r="A2252" s="20">
        <f>IF(A2251="","",IF(A2251+1&gt;Ввод!$B$4,"",A2251+1))</f>
        <v/>
      </c>
      <c r="B2252">
        <f>IF(A2252="","",IFERROR(INDEX(Ввод!$B$12:$B$71,MATCH(A2252,Ввод!$D$12:$D$71,1)),""))</f>
        <v/>
      </c>
      <c r="C2252">
        <f>IF(A2252="","",DATE(YEAR(A2252),12,31)-DATE(YEAR(A2252),1,1)+1)</f>
        <v/>
      </c>
      <c r="D2252">
        <f>IF(A2252="","",SUMIFS(Акты!$D$5:$D$16,Акты!$E$5:$E$16,"&lt;="&amp;A2252)-SUMIFS(Оплаты!$B$6:$B$505,Оплаты!$A$6:$A$505,"&lt;"&amp;A2252,Оплаты!$D$6:$D$505,"&lt;&gt;"))</f>
        <v/>
      </c>
      <c r="E2252">
        <f>IF(A2252="","",IF(SUMPRODUCT((Ввод!$F$12:$F$31&lt;&gt;"")*(Ввод!$F$12:$F$31&lt;=A2252)*(Ввод!$G$12:$G$31&gt;=A2252))&gt;0,1,0))</f>
        <v/>
      </c>
      <c r="G2252">
        <f>IF(A2252="","",IF(OR(B2252&lt;&gt;B2251,C2252&lt;&gt;C2251,E2252&lt;&gt;E2251),G2251+1,G2251))</f>
        <v/>
      </c>
    </row>
    <row r="2253">
      <c r="A2253" s="20">
        <f>IF(A2252="","",IF(A2252+1&gt;Ввод!$B$4,"",A2252+1))</f>
        <v/>
      </c>
      <c r="B2253">
        <f>IF(A2253="","",IFERROR(INDEX(Ввод!$B$12:$B$71,MATCH(A2253,Ввод!$D$12:$D$71,1)),""))</f>
        <v/>
      </c>
      <c r="C2253">
        <f>IF(A2253="","",DATE(YEAR(A2253),12,31)-DATE(YEAR(A2253),1,1)+1)</f>
        <v/>
      </c>
      <c r="D2253">
        <f>IF(A2253="","",SUMIFS(Акты!$D$5:$D$16,Акты!$E$5:$E$16,"&lt;="&amp;A2253)-SUMIFS(Оплаты!$B$6:$B$505,Оплаты!$A$6:$A$505,"&lt;"&amp;A2253,Оплаты!$D$6:$D$505,"&lt;&gt;"))</f>
        <v/>
      </c>
      <c r="E2253">
        <f>IF(A2253="","",IF(SUMPRODUCT((Ввод!$F$12:$F$31&lt;&gt;"")*(Ввод!$F$12:$F$31&lt;=A2253)*(Ввод!$G$12:$G$31&gt;=A2253))&gt;0,1,0))</f>
        <v/>
      </c>
      <c r="G2253">
        <f>IF(A2253="","",IF(OR(B2253&lt;&gt;B2252,C2253&lt;&gt;C2252,E2253&lt;&gt;E2252),G2252+1,G2252))</f>
        <v/>
      </c>
    </row>
    <row r="2254">
      <c r="A2254" s="20">
        <f>IF(A2253="","",IF(A2253+1&gt;Ввод!$B$4,"",A2253+1))</f>
        <v/>
      </c>
      <c r="B2254">
        <f>IF(A2254="","",IFERROR(INDEX(Ввод!$B$12:$B$71,MATCH(A2254,Ввод!$D$12:$D$71,1)),""))</f>
        <v/>
      </c>
      <c r="C2254">
        <f>IF(A2254="","",DATE(YEAR(A2254),12,31)-DATE(YEAR(A2254),1,1)+1)</f>
        <v/>
      </c>
      <c r="D2254">
        <f>IF(A2254="","",SUMIFS(Акты!$D$5:$D$16,Акты!$E$5:$E$16,"&lt;="&amp;A2254)-SUMIFS(Оплаты!$B$6:$B$505,Оплаты!$A$6:$A$505,"&lt;"&amp;A2254,Оплаты!$D$6:$D$505,"&lt;&gt;"))</f>
        <v/>
      </c>
      <c r="E2254">
        <f>IF(A2254="","",IF(SUMPRODUCT((Ввод!$F$12:$F$31&lt;&gt;"")*(Ввод!$F$12:$F$31&lt;=A2254)*(Ввод!$G$12:$G$31&gt;=A2254))&gt;0,1,0))</f>
        <v/>
      </c>
      <c r="G2254">
        <f>IF(A2254="","",IF(OR(B2254&lt;&gt;B2253,C2254&lt;&gt;C2253,E2254&lt;&gt;E2253),G2253+1,G2253))</f>
        <v/>
      </c>
    </row>
    <row r="2255">
      <c r="A2255" s="20">
        <f>IF(A2254="","",IF(A2254+1&gt;Ввод!$B$4,"",A2254+1))</f>
        <v/>
      </c>
      <c r="B2255">
        <f>IF(A2255="","",IFERROR(INDEX(Ввод!$B$12:$B$71,MATCH(A2255,Ввод!$D$12:$D$71,1)),""))</f>
        <v/>
      </c>
      <c r="C2255">
        <f>IF(A2255="","",DATE(YEAR(A2255),12,31)-DATE(YEAR(A2255),1,1)+1)</f>
        <v/>
      </c>
      <c r="D2255">
        <f>IF(A2255="","",SUMIFS(Акты!$D$5:$D$16,Акты!$E$5:$E$16,"&lt;="&amp;A2255)-SUMIFS(Оплаты!$B$6:$B$505,Оплаты!$A$6:$A$505,"&lt;"&amp;A2255,Оплаты!$D$6:$D$505,"&lt;&gt;"))</f>
        <v/>
      </c>
      <c r="E2255">
        <f>IF(A2255="","",IF(SUMPRODUCT((Ввод!$F$12:$F$31&lt;&gt;"")*(Ввод!$F$12:$F$31&lt;=A2255)*(Ввод!$G$12:$G$31&gt;=A2255))&gt;0,1,0))</f>
        <v/>
      </c>
      <c r="G2255">
        <f>IF(A2255="","",IF(OR(B2255&lt;&gt;B2254,C2255&lt;&gt;C2254,E2255&lt;&gt;E2254),G2254+1,G2254))</f>
        <v/>
      </c>
    </row>
    <row r="2256">
      <c r="A2256" s="20">
        <f>IF(A2255="","",IF(A2255+1&gt;Ввод!$B$4,"",A2255+1))</f>
        <v/>
      </c>
      <c r="B2256">
        <f>IF(A2256="","",IFERROR(INDEX(Ввод!$B$12:$B$71,MATCH(A2256,Ввод!$D$12:$D$71,1)),""))</f>
        <v/>
      </c>
      <c r="C2256">
        <f>IF(A2256="","",DATE(YEAR(A2256),12,31)-DATE(YEAR(A2256),1,1)+1)</f>
        <v/>
      </c>
      <c r="D2256">
        <f>IF(A2256="","",SUMIFS(Акты!$D$5:$D$16,Акты!$E$5:$E$16,"&lt;="&amp;A2256)-SUMIFS(Оплаты!$B$6:$B$505,Оплаты!$A$6:$A$505,"&lt;"&amp;A2256,Оплаты!$D$6:$D$505,"&lt;&gt;"))</f>
        <v/>
      </c>
      <c r="E2256">
        <f>IF(A2256="","",IF(SUMPRODUCT((Ввод!$F$12:$F$31&lt;&gt;"")*(Ввод!$F$12:$F$31&lt;=A2256)*(Ввод!$G$12:$G$31&gt;=A2256))&gt;0,1,0))</f>
        <v/>
      </c>
      <c r="G2256">
        <f>IF(A2256="","",IF(OR(B2256&lt;&gt;B2255,C2256&lt;&gt;C2255,E2256&lt;&gt;E2255),G2255+1,G2255))</f>
        <v/>
      </c>
    </row>
    <row r="2257">
      <c r="A2257" s="20">
        <f>IF(A2256="","",IF(A2256+1&gt;Ввод!$B$4,"",A2256+1))</f>
        <v/>
      </c>
      <c r="B2257">
        <f>IF(A2257="","",IFERROR(INDEX(Ввод!$B$12:$B$71,MATCH(A2257,Ввод!$D$12:$D$71,1)),""))</f>
        <v/>
      </c>
      <c r="C2257">
        <f>IF(A2257="","",DATE(YEAR(A2257),12,31)-DATE(YEAR(A2257),1,1)+1)</f>
        <v/>
      </c>
      <c r="D2257">
        <f>IF(A2257="","",SUMIFS(Акты!$D$5:$D$16,Акты!$E$5:$E$16,"&lt;="&amp;A2257)-SUMIFS(Оплаты!$B$6:$B$505,Оплаты!$A$6:$A$505,"&lt;"&amp;A2257,Оплаты!$D$6:$D$505,"&lt;&gt;"))</f>
        <v/>
      </c>
      <c r="E2257">
        <f>IF(A2257="","",IF(SUMPRODUCT((Ввод!$F$12:$F$31&lt;&gt;"")*(Ввод!$F$12:$F$31&lt;=A2257)*(Ввод!$G$12:$G$31&gt;=A2257))&gt;0,1,0))</f>
        <v/>
      </c>
      <c r="G2257">
        <f>IF(A2257="","",IF(OR(B2257&lt;&gt;B2256,C2257&lt;&gt;C2256,E2257&lt;&gt;E2256),G2256+1,G2256))</f>
        <v/>
      </c>
    </row>
    <row r="2258">
      <c r="A2258" s="20">
        <f>IF(A2257="","",IF(A2257+1&gt;Ввод!$B$4,"",A2257+1))</f>
        <v/>
      </c>
      <c r="B2258">
        <f>IF(A2258="","",IFERROR(INDEX(Ввод!$B$12:$B$71,MATCH(A2258,Ввод!$D$12:$D$71,1)),""))</f>
        <v/>
      </c>
      <c r="C2258">
        <f>IF(A2258="","",DATE(YEAR(A2258),12,31)-DATE(YEAR(A2258),1,1)+1)</f>
        <v/>
      </c>
      <c r="D2258">
        <f>IF(A2258="","",SUMIFS(Акты!$D$5:$D$16,Акты!$E$5:$E$16,"&lt;="&amp;A2258)-SUMIFS(Оплаты!$B$6:$B$505,Оплаты!$A$6:$A$505,"&lt;"&amp;A2258,Оплаты!$D$6:$D$505,"&lt;&gt;"))</f>
        <v/>
      </c>
      <c r="E2258">
        <f>IF(A2258="","",IF(SUMPRODUCT((Ввод!$F$12:$F$31&lt;&gt;"")*(Ввод!$F$12:$F$31&lt;=A2258)*(Ввод!$G$12:$G$31&gt;=A2258))&gt;0,1,0))</f>
        <v/>
      </c>
      <c r="G2258">
        <f>IF(A2258="","",IF(OR(B2258&lt;&gt;B2257,C2258&lt;&gt;C2257,E2258&lt;&gt;E2257),G2257+1,G2257))</f>
        <v/>
      </c>
    </row>
    <row r="2259">
      <c r="A2259" s="20">
        <f>IF(A2258="","",IF(A2258+1&gt;Ввод!$B$4,"",A2258+1))</f>
        <v/>
      </c>
      <c r="B2259">
        <f>IF(A2259="","",IFERROR(INDEX(Ввод!$B$12:$B$71,MATCH(A2259,Ввод!$D$12:$D$71,1)),""))</f>
        <v/>
      </c>
      <c r="C2259">
        <f>IF(A2259="","",DATE(YEAR(A2259),12,31)-DATE(YEAR(A2259),1,1)+1)</f>
        <v/>
      </c>
      <c r="D2259">
        <f>IF(A2259="","",SUMIFS(Акты!$D$5:$D$16,Акты!$E$5:$E$16,"&lt;="&amp;A2259)-SUMIFS(Оплаты!$B$6:$B$505,Оплаты!$A$6:$A$505,"&lt;"&amp;A2259,Оплаты!$D$6:$D$505,"&lt;&gt;"))</f>
        <v/>
      </c>
      <c r="E2259">
        <f>IF(A2259="","",IF(SUMPRODUCT((Ввод!$F$12:$F$31&lt;&gt;"")*(Ввод!$F$12:$F$31&lt;=A2259)*(Ввод!$G$12:$G$31&gt;=A2259))&gt;0,1,0))</f>
        <v/>
      </c>
      <c r="G2259">
        <f>IF(A2259="","",IF(OR(B2259&lt;&gt;B2258,C2259&lt;&gt;C2258,E2259&lt;&gt;E2258),G2258+1,G2258))</f>
        <v/>
      </c>
    </row>
    <row r="2260">
      <c r="A2260" s="20">
        <f>IF(A2259="","",IF(A2259+1&gt;Ввод!$B$4,"",A2259+1))</f>
        <v/>
      </c>
      <c r="B2260">
        <f>IF(A2260="","",IFERROR(INDEX(Ввод!$B$12:$B$71,MATCH(A2260,Ввод!$D$12:$D$71,1)),""))</f>
        <v/>
      </c>
      <c r="C2260">
        <f>IF(A2260="","",DATE(YEAR(A2260),12,31)-DATE(YEAR(A2260),1,1)+1)</f>
        <v/>
      </c>
      <c r="D2260">
        <f>IF(A2260="","",SUMIFS(Акты!$D$5:$D$16,Акты!$E$5:$E$16,"&lt;="&amp;A2260)-SUMIFS(Оплаты!$B$6:$B$505,Оплаты!$A$6:$A$505,"&lt;"&amp;A2260,Оплаты!$D$6:$D$505,"&lt;&gt;"))</f>
        <v/>
      </c>
      <c r="E2260">
        <f>IF(A2260="","",IF(SUMPRODUCT((Ввод!$F$12:$F$31&lt;&gt;"")*(Ввод!$F$12:$F$31&lt;=A2260)*(Ввод!$G$12:$G$31&gt;=A2260))&gt;0,1,0))</f>
        <v/>
      </c>
      <c r="G2260">
        <f>IF(A2260="","",IF(OR(B2260&lt;&gt;B2259,C2260&lt;&gt;C2259,E2260&lt;&gt;E2259),G2259+1,G2259))</f>
        <v/>
      </c>
    </row>
    <row r="2261">
      <c r="A2261" s="20">
        <f>IF(A2260="","",IF(A2260+1&gt;Ввод!$B$4,"",A2260+1))</f>
        <v/>
      </c>
      <c r="B2261">
        <f>IF(A2261="","",IFERROR(INDEX(Ввод!$B$12:$B$71,MATCH(A2261,Ввод!$D$12:$D$71,1)),""))</f>
        <v/>
      </c>
      <c r="C2261">
        <f>IF(A2261="","",DATE(YEAR(A2261),12,31)-DATE(YEAR(A2261),1,1)+1)</f>
        <v/>
      </c>
      <c r="D2261">
        <f>IF(A2261="","",SUMIFS(Акты!$D$5:$D$16,Акты!$E$5:$E$16,"&lt;="&amp;A2261)-SUMIFS(Оплаты!$B$6:$B$505,Оплаты!$A$6:$A$505,"&lt;"&amp;A2261,Оплаты!$D$6:$D$505,"&lt;&gt;"))</f>
        <v/>
      </c>
      <c r="E2261">
        <f>IF(A2261="","",IF(SUMPRODUCT((Ввод!$F$12:$F$31&lt;&gt;"")*(Ввод!$F$12:$F$31&lt;=A2261)*(Ввод!$G$12:$G$31&gt;=A2261))&gt;0,1,0))</f>
        <v/>
      </c>
      <c r="G2261">
        <f>IF(A2261="","",IF(OR(B2261&lt;&gt;B2260,C2261&lt;&gt;C2260,E2261&lt;&gt;E2260),G2260+1,G2260))</f>
        <v/>
      </c>
    </row>
    <row r="2262">
      <c r="A2262" s="20">
        <f>IF(A2261="","",IF(A2261+1&gt;Ввод!$B$4,"",A2261+1))</f>
        <v/>
      </c>
      <c r="B2262">
        <f>IF(A2262="","",IFERROR(INDEX(Ввод!$B$12:$B$71,MATCH(A2262,Ввод!$D$12:$D$71,1)),""))</f>
        <v/>
      </c>
      <c r="C2262">
        <f>IF(A2262="","",DATE(YEAR(A2262),12,31)-DATE(YEAR(A2262),1,1)+1)</f>
        <v/>
      </c>
      <c r="D2262">
        <f>IF(A2262="","",SUMIFS(Акты!$D$5:$D$16,Акты!$E$5:$E$16,"&lt;="&amp;A2262)-SUMIFS(Оплаты!$B$6:$B$505,Оплаты!$A$6:$A$505,"&lt;"&amp;A2262,Оплаты!$D$6:$D$505,"&lt;&gt;"))</f>
        <v/>
      </c>
      <c r="E2262">
        <f>IF(A2262="","",IF(SUMPRODUCT((Ввод!$F$12:$F$31&lt;&gt;"")*(Ввод!$F$12:$F$31&lt;=A2262)*(Ввод!$G$12:$G$31&gt;=A2262))&gt;0,1,0))</f>
        <v/>
      </c>
      <c r="G2262">
        <f>IF(A2262="","",IF(OR(B2262&lt;&gt;B2261,C2262&lt;&gt;C2261,E2262&lt;&gt;E2261),G2261+1,G2261))</f>
        <v/>
      </c>
    </row>
    <row r="2263">
      <c r="A2263" s="20">
        <f>IF(A2262="","",IF(A2262+1&gt;Ввод!$B$4,"",A2262+1))</f>
        <v/>
      </c>
      <c r="B2263">
        <f>IF(A2263="","",IFERROR(INDEX(Ввод!$B$12:$B$71,MATCH(A2263,Ввод!$D$12:$D$71,1)),""))</f>
        <v/>
      </c>
      <c r="C2263">
        <f>IF(A2263="","",DATE(YEAR(A2263),12,31)-DATE(YEAR(A2263),1,1)+1)</f>
        <v/>
      </c>
      <c r="D2263">
        <f>IF(A2263="","",SUMIFS(Акты!$D$5:$D$16,Акты!$E$5:$E$16,"&lt;="&amp;A2263)-SUMIFS(Оплаты!$B$6:$B$505,Оплаты!$A$6:$A$505,"&lt;"&amp;A2263,Оплаты!$D$6:$D$505,"&lt;&gt;"))</f>
        <v/>
      </c>
      <c r="E2263">
        <f>IF(A2263="","",IF(SUMPRODUCT((Ввод!$F$12:$F$31&lt;&gt;"")*(Ввод!$F$12:$F$31&lt;=A2263)*(Ввод!$G$12:$G$31&gt;=A2263))&gt;0,1,0))</f>
        <v/>
      </c>
      <c r="G2263">
        <f>IF(A2263="","",IF(OR(B2263&lt;&gt;B2262,C2263&lt;&gt;C2262,E2263&lt;&gt;E2262),G2262+1,G2262))</f>
        <v/>
      </c>
    </row>
    <row r="2264">
      <c r="A2264" s="20">
        <f>IF(A2263="","",IF(A2263+1&gt;Ввод!$B$4,"",A2263+1))</f>
        <v/>
      </c>
      <c r="B2264">
        <f>IF(A2264="","",IFERROR(INDEX(Ввод!$B$12:$B$71,MATCH(A2264,Ввод!$D$12:$D$71,1)),""))</f>
        <v/>
      </c>
      <c r="C2264">
        <f>IF(A2264="","",DATE(YEAR(A2264),12,31)-DATE(YEAR(A2264),1,1)+1)</f>
        <v/>
      </c>
      <c r="D2264">
        <f>IF(A2264="","",SUMIFS(Акты!$D$5:$D$16,Акты!$E$5:$E$16,"&lt;="&amp;A2264)-SUMIFS(Оплаты!$B$6:$B$505,Оплаты!$A$6:$A$505,"&lt;"&amp;A2264,Оплаты!$D$6:$D$505,"&lt;&gt;"))</f>
        <v/>
      </c>
      <c r="E2264">
        <f>IF(A2264="","",IF(SUMPRODUCT((Ввод!$F$12:$F$31&lt;&gt;"")*(Ввод!$F$12:$F$31&lt;=A2264)*(Ввод!$G$12:$G$31&gt;=A2264))&gt;0,1,0))</f>
        <v/>
      </c>
      <c r="G2264">
        <f>IF(A2264="","",IF(OR(B2264&lt;&gt;B2263,C2264&lt;&gt;C2263,E2264&lt;&gt;E2263),G2263+1,G2263))</f>
        <v/>
      </c>
    </row>
    <row r="2265">
      <c r="A2265" s="20">
        <f>IF(A2264="","",IF(A2264+1&gt;Ввод!$B$4,"",A2264+1))</f>
        <v/>
      </c>
      <c r="B2265">
        <f>IF(A2265="","",IFERROR(INDEX(Ввод!$B$12:$B$71,MATCH(A2265,Ввод!$D$12:$D$71,1)),""))</f>
        <v/>
      </c>
      <c r="C2265">
        <f>IF(A2265="","",DATE(YEAR(A2265),12,31)-DATE(YEAR(A2265),1,1)+1)</f>
        <v/>
      </c>
      <c r="D2265">
        <f>IF(A2265="","",SUMIFS(Акты!$D$5:$D$16,Акты!$E$5:$E$16,"&lt;="&amp;A2265)-SUMIFS(Оплаты!$B$6:$B$505,Оплаты!$A$6:$A$505,"&lt;"&amp;A2265,Оплаты!$D$6:$D$505,"&lt;&gt;"))</f>
        <v/>
      </c>
      <c r="E2265">
        <f>IF(A2265="","",IF(SUMPRODUCT((Ввод!$F$12:$F$31&lt;&gt;"")*(Ввод!$F$12:$F$31&lt;=A2265)*(Ввод!$G$12:$G$31&gt;=A2265))&gt;0,1,0))</f>
        <v/>
      </c>
      <c r="G2265">
        <f>IF(A2265="","",IF(OR(B2265&lt;&gt;B2264,C2265&lt;&gt;C2264,E2265&lt;&gt;E2264),G2264+1,G2264))</f>
        <v/>
      </c>
    </row>
    <row r="2266">
      <c r="A2266" s="20">
        <f>IF(A2265="","",IF(A2265+1&gt;Ввод!$B$4,"",A2265+1))</f>
        <v/>
      </c>
      <c r="B2266">
        <f>IF(A2266="","",IFERROR(INDEX(Ввод!$B$12:$B$71,MATCH(A2266,Ввод!$D$12:$D$71,1)),""))</f>
        <v/>
      </c>
      <c r="C2266">
        <f>IF(A2266="","",DATE(YEAR(A2266),12,31)-DATE(YEAR(A2266),1,1)+1)</f>
        <v/>
      </c>
      <c r="D2266">
        <f>IF(A2266="","",SUMIFS(Акты!$D$5:$D$16,Акты!$E$5:$E$16,"&lt;="&amp;A2266)-SUMIFS(Оплаты!$B$6:$B$505,Оплаты!$A$6:$A$505,"&lt;"&amp;A2266,Оплаты!$D$6:$D$505,"&lt;&gt;"))</f>
        <v/>
      </c>
      <c r="E2266">
        <f>IF(A2266="","",IF(SUMPRODUCT((Ввод!$F$12:$F$31&lt;&gt;"")*(Ввод!$F$12:$F$31&lt;=A2266)*(Ввод!$G$12:$G$31&gt;=A2266))&gt;0,1,0))</f>
        <v/>
      </c>
      <c r="G2266">
        <f>IF(A2266="","",IF(OR(B2266&lt;&gt;B2265,C2266&lt;&gt;C2265,E2266&lt;&gt;E2265),G2265+1,G2265))</f>
        <v/>
      </c>
    </row>
    <row r="2267">
      <c r="A2267" s="20">
        <f>IF(A2266="","",IF(A2266+1&gt;Ввод!$B$4,"",A2266+1))</f>
        <v/>
      </c>
      <c r="B2267">
        <f>IF(A2267="","",IFERROR(INDEX(Ввод!$B$12:$B$71,MATCH(A2267,Ввод!$D$12:$D$71,1)),""))</f>
        <v/>
      </c>
      <c r="C2267">
        <f>IF(A2267="","",DATE(YEAR(A2267),12,31)-DATE(YEAR(A2267),1,1)+1)</f>
        <v/>
      </c>
      <c r="D2267">
        <f>IF(A2267="","",SUMIFS(Акты!$D$5:$D$16,Акты!$E$5:$E$16,"&lt;="&amp;A2267)-SUMIFS(Оплаты!$B$6:$B$505,Оплаты!$A$6:$A$505,"&lt;"&amp;A2267,Оплаты!$D$6:$D$505,"&lt;&gt;"))</f>
        <v/>
      </c>
      <c r="E2267">
        <f>IF(A2267="","",IF(SUMPRODUCT((Ввод!$F$12:$F$31&lt;&gt;"")*(Ввод!$F$12:$F$31&lt;=A2267)*(Ввод!$G$12:$G$31&gt;=A2267))&gt;0,1,0))</f>
        <v/>
      </c>
      <c r="G2267">
        <f>IF(A2267="","",IF(OR(B2267&lt;&gt;B2266,C2267&lt;&gt;C2266,E2267&lt;&gt;E2266),G2266+1,G2266))</f>
        <v/>
      </c>
    </row>
    <row r="2268">
      <c r="A2268" s="20">
        <f>IF(A2267="","",IF(A2267+1&gt;Ввод!$B$4,"",A2267+1))</f>
        <v/>
      </c>
      <c r="B2268">
        <f>IF(A2268="","",IFERROR(INDEX(Ввод!$B$12:$B$71,MATCH(A2268,Ввод!$D$12:$D$71,1)),""))</f>
        <v/>
      </c>
      <c r="C2268">
        <f>IF(A2268="","",DATE(YEAR(A2268),12,31)-DATE(YEAR(A2268),1,1)+1)</f>
        <v/>
      </c>
      <c r="D2268">
        <f>IF(A2268="","",SUMIFS(Акты!$D$5:$D$16,Акты!$E$5:$E$16,"&lt;="&amp;A2268)-SUMIFS(Оплаты!$B$6:$B$505,Оплаты!$A$6:$A$505,"&lt;"&amp;A2268,Оплаты!$D$6:$D$505,"&lt;&gt;"))</f>
        <v/>
      </c>
      <c r="E2268">
        <f>IF(A2268="","",IF(SUMPRODUCT((Ввод!$F$12:$F$31&lt;&gt;"")*(Ввод!$F$12:$F$31&lt;=A2268)*(Ввод!$G$12:$G$31&gt;=A2268))&gt;0,1,0))</f>
        <v/>
      </c>
      <c r="G2268">
        <f>IF(A2268="","",IF(OR(B2268&lt;&gt;B2267,C2268&lt;&gt;C2267,E2268&lt;&gt;E2267),G2267+1,G2267))</f>
        <v/>
      </c>
    </row>
    <row r="2269">
      <c r="A2269" s="20">
        <f>IF(A2268="","",IF(A2268+1&gt;Ввод!$B$4,"",A2268+1))</f>
        <v/>
      </c>
      <c r="B2269">
        <f>IF(A2269="","",IFERROR(INDEX(Ввод!$B$12:$B$71,MATCH(A2269,Ввод!$D$12:$D$71,1)),""))</f>
        <v/>
      </c>
      <c r="C2269">
        <f>IF(A2269="","",DATE(YEAR(A2269),12,31)-DATE(YEAR(A2269),1,1)+1)</f>
        <v/>
      </c>
      <c r="D2269">
        <f>IF(A2269="","",SUMIFS(Акты!$D$5:$D$16,Акты!$E$5:$E$16,"&lt;="&amp;A2269)-SUMIFS(Оплаты!$B$6:$B$505,Оплаты!$A$6:$A$505,"&lt;"&amp;A2269,Оплаты!$D$6:$D$505,"&lt;&gt;"))</f>
        <v/>
      </c>
      <c r="E2269">
        <f>IF(A2269="","",IF(SUMPRODUCT((Ввод!$F$12:$F$31&lt;&gt;"")*(Ввод!$F$12:$F$31&lt;=A2269)*(Ввод!$G$12:$G$31&gt;=A2269))&gt;0,1,0))</f>
        <v/>
      </c>
      <c r="G2269">
        <f>IF(A2269="","",IF(OR(B2269&lt;&gt;B2268,C2269&lt;&gt;C2268,E2269&lt;&gt;E2268),G2268+1,G2268))</f>
        <v/>
      </c>
    </row>
    <row r="2270">
      <c r="A2270" s="20">
        <f>IF(A2269="","",IF(A2269+1&gt;Ввод!$B$4,"",A2269+1))</f>
        <v/>
      </c>
      <c r="B2270">
        <f>IF(A2270="","",IFERROR(INDEX(Ввод!$B$12:$B$71,MATCH(A2270,Ввод!$D$12:$D$71,1)),""))</f>
        <v/>
      </c>
      <c r="C2270">
        <f>IF(A2270="","",DATE(YEAR(A2270),12,31)-DATE(YEAR(A2270),1,1)+1)</f>
        <v/>
      </c>
      <c r="D2270">
        <f>IF(A2270="","",SUMIFS(Акты!$D$5:$D$16,Акты!$E$5:$E$16,"&lt;="&amp;A2270)-SUMIFS(Оплаты!$B$6:$B$505,Оплаты!$A$6:$A$505,"&lt;"&amp;A2270,Оплаты!$D$6:$D$505,"&lt;&gt;"))</f>
        <v/>
      </c>
      <c r="E2270">
        <f>IF(A2270="","",IF(SUMPRODUCT((Ввод!$F$12:$F$31&lt;&gt;"")*(Ввод!$F$12:$F$31&lt;=A2270)*(Ввод!$G$12:$G$31&gt;=A2270))&gt;0,1,0))</f>
        <v/>
      </c>
      <c r="G2270">
        <f>IF(A2270="","",IF(OR(B2270&lt;&gt;B2269,C2270&lt;&gt;C2269,E2270&lt;&gt;E2269),G2269+1,G2269))</f>
        <v/>
      </c>
    </row>
    <row r="2271">
      <c r="A2271" s="20">
        <f>IF(A2270="","",IF(A2270+1&gt;Ввод!$B$4,"",A2270+1))</f>
        <v/>
      </c>
      <c r="B2271">
        <f>IF(A2271="","",IFERROR(INDEX(Ввод!$B$12:$B$71,MATCH(A2271,Ввод!$D$12:$D$71,1)),""))</f>
        <v/>
      </c>
      <c r="C2271">
        <f>IF(A2271="","",DATE(YEAR(A2271),12,31)-DATE(YEAR(A2271),1,1)+1)</f>
        <v/>
      </c>
      <c r="D2271">
        <f>IF(A2271="","",SUMIFS(Акты!$D$5:$D$16,Акты!$E$5:$E$16,"&lt;="&amp;A2271)-SUMIFS(Оплаты!$B$6:$B$505,Оплаты!$A$6:$A$505,"&lt;"&amp;A2271,Оплаты!$D$6:$D$505,"&lt;&gt;"))</f>
        <v/>
      </c>
      <c r="E2271">
        <f>IF(A2271="","",IF(SUMPRODUCT((Ввод!$F$12:$F$31&lt;&gt;"")*(Ввод!$F$12:$F$31&lt;=A2271)*(Ввод!$G$12:$G$31&gt;=A2271))&gt;0,1,0))</f>
        <v/>
      </c>
      <c r="G2271">
        <f>IF(A2271="","",IF(OR(B2271&lt;&gt;B2270,C2271&lt;&gt;C2270,E2271&lt;&gt;E2270),G2270+1,G2270))</f>
        <v/>
      </c>
    </row>
    <row r="2272">
      <c r="A2272" s="20">
        <f>IF(A2271="","",IF(A2271+1&gt;Ввод!$B$4,"",A2271+1))</f>
        <v/>
      </c>
      <c r="B2272">
        <f>IF(A2272="","",IFERROR(INDEX(Ввод!$B$12:$B$71,MATCH(A2272,Ввод!$D$12:$D$71,1)),""))</f>
        <v/>
      </c>
      <c r="C2272">
        <f>IF(A2272="","",DATE(YEAR(A2272),12,31)-DATE(YEAR(A2272),1,1)+1)</f>
        <v/>
      </c>
      <c r="D2272">
        <f>IF(A2272="","",SUMIFS(Акты!$D$5:$D$16,Акты!$E$5:$E$16,"&lt;="&amp;A2272)-SUMIFS(Оплаты!$B$6:$B$505,Оплаты!$A$6:$A$505,"&lt;"&amp;A2272,Оплаты!$D$6:$D$505,"&lt;&gt;"))</f>
        <v/>
      </c>
      <c r="E2272">
        <f>IF(A2272="","",IF(SUMPRODUCT((Ввод!$F$12:$F$31&lt;&gt;"")*(Ввод!$F$12:$F$31&lt;=A2272)*(Ввод!$G$12:$G$31&gt;=A2272))&gt;0,1,0))</f>
        <v/>
      </c>
      <c r="G2272">
        <f>IF(A2272="","",IF(OR(B2272&lt;&gt;B2271,C2272&lt;&gt;C2271,E2272&lt;&gt;E2271),G2271+1,G2271))</f>
        <v/>
      </c>
    </row>
    <row r="2273">
      <c r="A2273" s="20">
        <f>IF(A2272="","",IF(A2272+1&gt;Ввод!$B$4,"",A2272+1))</f>
        <v/>
      </c>
      <c r="B2273">
        <f>IF(A2273="","",IFERROR(INDEX(Ввод!$B$12:$B$71,MATCH(A2273,Ввод!$D$12:$D$71,1)),""))</f>
        <v/>
      </c>
      <c r="C2273">
        <f>IF(A2273="","",DATE(YEAR(A2273),12,31)-DATE(YEAR(A2273),1,1)+1)</f>
        <v/>
      </c>
      <c r="D2273">
        <f>IF(A2273="","",SUMIFS(Акты!$D$5:$D$16,Акты!$E$5:$E$16,"&lt;="&amp;A2273)-SUMIFS(Оплаты!$B$6:$B$505,Оплаты!$A$6:$A$505,"&lt;"&amp;A2273,Оплаты!$D$6:$D$505,"&lt;&gt;"))</f>
        <v/>
      </c>
      <c r="E2273">
        <f>IF(A2273="","",IF(SUMPRODUCT((Ввод!$F$12:$F$31&lt;&gt;"")*(Ввод!$F$12:$F$31&lt;=A2273)*(Ввод!$G$12:$G$31&gt;=A2273))&gt;0,1,0))</f>
        <v/>
      </c>
      <c r="G2273">
        <f>IF(A2273="","",IF(OR(B2273&lt;&gt;B2272,C2273&lt;&gt;C2272,E2273&lt;&gt;E2272),G2272+1,G2272))</f>
        <v/>
      </c>
    </row>
    <row r="2274">
      <c r="A2274" s="20">
        <f>IF(A2273="","",IF(A2273+1&gt;Ввод!$B$4,"",A2273+1))</f>
        <v/>
      </c>
      <c r="B2274">
        <f>IF(A2274="","",IFERROR(INDEX(Ввод!$B$12:$B$71,MATCH(A2274,Ввод!$D$12:$D$71,1)),""))</f>
        <v/>
      </c>
      <c r="C2274">
        <f>IF(A2274="","",DATE(YEAR(A2274),12,31)-DATE(YEAR(A2274),1,1)+1)</f>
        <v/>
      </c>
      <c r="D2274">
        <f>IF(A2274="","",SUMIFS(Акты!$D$5:$D$16,Акты!$E$5:$E$16,"&lt;="&amp;A2274)-SUMIFS(Оплаты!$B$6:$B$505,Оплаты!$A$6:$A$505,"&lt;"&amp;A2274,Оплаты!$D$6:$D$505,"&lt;&gt;"))</f>
        <v/>
      </c>
      <c r="E2274">
        <f>IF(A2274="","",IF(SUMPRODUCT((Ввод!$F$12:$F$31&lt;&gt;"")*(Ввод!$F$12:$F$31&lt;=A2274)*(Ввод!$G$12:$G$31&gt;=A2274))&gt;0,1,0))</f>
        <v/>
      </c>
      <c r="G2274">
        <f>IF(A2274="","",IF(OR(B2274&lt;&gt;B2273,C2274&lt;&gt;C2273,E2274&lt;&gt;E2273),G2273+1,G2273))</f>
        <v/>
      </c>
    </row>
    <row r="2275">
      <c r="A2275" s="20">
        <f>IF(A2274="","",IF(A2274+1&gt;Ввод!$B$4,"",A2274+1))</f>
        <v/>
      </c>
      <c r="B2275">
        <f>IF(A2275="","",IFERROR(INDEX(Ввод!$B$12:$B$71,MATCH(A2275,Ввод!$D$12:$D$71,1)),""))</f>
        <v/>
      </c>
      <c r="C2275">
        <f>IF(A2275="","",DATE(YEAR(A2275),12,31)-DATE(YEAR(A2275),1,1)+1)</f>
        <v/>
      </c>
      <c r="D2275">
        <f>IF(A2275="","",SUMIFS(Акты!$D$5:$D$16,Акты!$E$5:$E$16,"&lt;="&amp;A2275)-SUMIFS(Оплаты!$B$6:$B$505,Оплаты!$A$6:$A$505,"&lt;"&amp;A2275,Оплаты!$D$6:$D$505,"&lt;&gt;"))</f>
        <v/>
      </c>
      <c r="E2275">
        <f>IF(A2275="","",IF(SUMPRODUCT((Ввод!$F$12:$F$31&lt;&gt;"")*(Ввод!$F$12:$F$31&lt;=A2275)*(Ввод!$G$12:$G$31&gt;=A2275))&gt;0,1,0))</f>
        <v/>
      </c>
      <c r="G2275">
        <f>IF(A2275="","",IF(OR(B2275&lt;&gt;B2274,C2275&lt;&gt;C2274,E2275&lt;&gt;E2274),G2274+1,G2274))</f>
        <v/>
      </c>
    </row>
    <row r="2276">
      <c r="A2276" s="20">
        <f>IF(A2275="","",IF(A2275+1&gt;Ввод!$B$4,"",A2275+1))</f>
        <v/>
      </c>
      <c r="B2276">
        <f>IF(A2276="","",IFERROR(INDEX(Ввод!$B$12:$B$71,MATCH(A2276,Ввод!$D$12:$D$71,1)),""))</f>
        <v/>
      </c>
      <c r="C2276">
        <f>IF(A2276="","",DATE(YEAR(A2276),12,31)-DATE(YEAR(A2276),1,1)+1)</f>
        <v/>
      </c>
      <c r="D2276">
        <f>IF(A2276="","",SUMIFS(Акты!$D$5:$D$16,Акты!$E$5:$E$16,"&lt;="&amp;A2276)-SUMIFS(Оплаты!$B$6:$B$505,Оплаты!$A$6:$A$505,"&lt;"&amp;A2276,Оплаты!$D$6:$D$505,"&lt;&gt;"))</f>
        <v/>
      </c>
      <c r="E2276">
        <f>IF(A2276="","",IF(SUMPRODUCT((Ввод!$F$12:$F$31&lt;&gt;"")*(Ввод!$F$12:$F$31&lt;=A2276)*(Ввод!$G$12:$G$31&gt;=A2276))&gt;0,1,0))</f>
        <v/>
      </c>
      <c r="G2276">
        <f>IF(A2276="","",IF(OR(B2276&lt;&gt;B2275,C2276&lt;&gt;C2275,E2276&lt;&gt;E2275),G2275+1,G2275))</f>
        <v/>
      </c>
    </row>
    <row r="2277">
      <c r="A2277" s="20">
        <f>IF(A2276="","",IF(A2276+1&gt;Ввод!$B$4,"",A2276+1))</f>
        <v/>
      </c>
      <c r="B2277">
        <f>IF(A2277="","",IFERROR(INDEX(Ввод!$B$12:$B$71,MATCH(A2277,Ввод!$D$12:$D$71,1)),""))</f>
        <v/>
      </c>
      <c r="C2277">
        <f>IF(A2277="","",DATE(YEAR(A2277),12,31)-DATE(YEAR(A2277),1,1)+1)</f>
        <v/>
      </c>
      <c r="D2277">
        <f>IF(A2277="","",SUMIFS(Акты!$D$5:$D$16,Акты!$E$5:$E$16,"&lt;="&amp;A2277)-SUMIFS(Оплаты!$B$6:$B$505,Оплаты!$A$6:$A$505,"&lt;"&amp;A2277,Оплаты!$D$6:$D$505,"&lt;&gt;"))</f>
        <v/>
      </c>
      <c r="E2277">
        <f>IF(A2277="","",IF(SUMPRODUCT((Ввод!$F$12:$F$31&lt;&gt;"")*(Ввод!$F$12:$F$31&lt;=A2277)*(Ввод!$G$12:$G$31&gt;=A2277))&gt;0,1,0))</f>
        <v/>
      </c>
      <c r="G2277">
        <f>IF(A2277="","",IF(OR(B2277&lt;&gt;B2276,C2277&lt;&gt;C2276,E2277&lt;&gt;E2276),G2276+1,G2276))</f>
        <v/>
      </c>
    </row>
    <row r="2278">
      <c r="A2278" s="20">
        <f>IF(A2277="","",IF(A2277+1&gt;Ввод!$B$4,"",A2277+1))</f>
        <v/>
      </c>
      <c r="B2278">
        <f>IF(A2278="","",IFERROR(INDEX(Ввод!$B$12:$B$71,MATCH(A2278,Ввод!$D$12:$D$71,1)),""))</f>
        <v/>
      </c>
      <c r="C2278">
        <f>IF(A2278="","",DATE(YEAR(A2278),12,31)-DATE(YEAR(A2278),1,1)+1)</f>
        <v/>
      </c>
      <c r="D2278">
        <f>IF(A2278="","",SUMIFS(Акты!$D$5:$D$16,Акты!$E$5:$E$16,"&lt;="&amp;A2278)-SUMIFS(Оплаты!$B$6:$B$505,Оплаты!$A$6:$A$505,"&lt;"&amp;A2278,Оплаты!$D$6:$D$505,"&lt;&gt;"))</f>
        <v/>
      </c>
      <c r="E2278">
        <f>IF(A2278="","",IF(SUMPRODUCT((Ввод!$F$12:$F$31&lt;&gt;"")*(Ввод!$F$12:$F$31&lt;=A2278)*(Ввод!$G$12:$G$31&gt;=A2278))&gt;0,1,0))</f>
        <v/>
      </c>
      <c r="G2278">
        <f>IF(A2278="","",IF(OR(B2278&lt;&gt;B2277,C2278&lt;&gt;C2277,E2278&lt;&gt;E2277),G2277+1,G2277))</f>
        <v/>
      </c>
    </row>
    <row r="2279">
      <c r="A2279" s="20">
        <f>IF(A2278="","",IF(A2278+1&gt;Ввод!$B$4,"",A2278+1))</f>
        <v/>
      </c>
      <c r="B2279">
        <f>IF(A2279="","",IFERROR(INDEX(Ввод!$B$12:$B$71,MATCH(A2279,Ввод!$D$12:$D$71,1)),""))</f>
        <v/>
      </c>
      <c r="C2279">
        <f>IF(A2279="","",DATE(YEAR(A2279),12,31)-DATE(YEAR(A2279),1,1)+1)</f>
        <v/>
      </c>
      <c r="D2279">
        <f>IF(A2279="","",SUMIFS(Акты!$D$5:$D$16,Акты!$E$5:$E$16,"&lt;="&amp;A2279)-SUMIFS(Оплаты!$B$6:$B$505,Оплаты!$A$6:$A$505,"&lt;"&amp;A2279,Оплаты!$D$6:$D$505,"&lt;&gt;"))</f>
        <v/>
      </c>
      <c r="E2279">
        <f>IF(A2279="","",IF(SUMPRODUCT((Ввод!$F$12:$F$31&lt;&gt;"")*(Ввод!$F$12:$F$31&lt;=A2279)*(Ввод!$G$12:$G$31&gt;=A2279))&gt;0,1,0))</f>
        <v/>
      </c>
      <c r="G2279">
        <f>IF(A2279="","",IF(OR(B2279&lt;&gt;B2278,C2279&lt;&gt;C2278,E2279&lt;&gt;E2278),G2278+1,G2278))</f>
        <v/>
      </c>
    </row>
    <row r="2280">
      <c r="A2280" s="20">
        <f>IF(A2279="","",IF(A2279+1&gt;Ввод!$B$4,"",A2279+1))</f>
        <v/>
      </c>
      <c r="B2280">
        <f>IF(A2280="","",IFERROR(INDEX(Ввод!$B$12:$B$71,MATCH(A2280,Ввод!$D$12:$D$71,1)),""))</f>
        <v/>
      </c>
      <c r="C2280">
        <f>IF(A2280="","",DATE(YEAR(A2280),12,31)-DATE(YEAR(A2280),1,1)+1)</f>
        <v/>
      </c>
      <c r="D2280">
        <f>IF(A2280="","",SUMIFS(Акты!$D$5:$D$16,Акты!$E$5:$E$16,"&lt;="&amp;A2280)-SUMIFS(Оплаты!$B$6:$B$505,Оплаты!$A$6:$A$505,"&lt;"&amp;A2280,Оплаты!$D$6:$D$505,"&lt;&gt;"))</f>
        <v/>
      </c>
      <c r="E2280">
        <f>IF(A2280="","",IF(SUMPRODUCT((Ввод!$F$12:$F$31&lt;&gt;"")*(Ввод!$F$12:$F$31&lt;=A2280)*(Ввод!$G$12:$G$31&gt;=A2280))&gt;0,1,0))</f>
        <v/>
      </c>
      <c r="G2280">
        <f>IF(A2280="","",IF(OR(B2280&lt;&gt;B2279,C2280&lt;&gt;C2279,E2280&lt;&gt;E2279),G2279+1,G2279))</f>
        <v/>
      </c>
    </row>
    <row r="2281">
      <c r="A2281" s="20">
        <f>IF(A2280="","",IF(A2280+1&gt;Ввод!$B$4,"",A2280+1))</f>
        <v/>
      </c>
      <c r="B2281">
        <f>IF(A2281="","",IFERROR(INDEX(Ввод!$B$12:$B$71,MATCH(A2281,Ввод!$D$12:$D$71,1)),""))</f>
        <v/>
      </c>
      <c r="C2281">
        <f>IF(A2281="","",DATE(YEAR(A2281),12,31)-DATE(YEAR(A2281),1,1)+1)</f>
        <v/>
      </c>
      <c r="D2281">
        <f>IF(A2281="","",SUMIFS(Акты!$D$5:$D$16,Акты!$E$5:$E$16,"&lt;="&amp;A2281)-SUMIFS(Оплаты!$B$6:$B$505,Оплаты!$A$6:$A$505,"&lt;"&amp;A2281,Оплаты!$D$6:$D$505,"&lt;&gt;"))</f>
        <v/>
      </c>
      <c r="E2281">
        <f>IF(A2281="","",IF(SUMPRODUCT((Ввод!$F$12:$F$31&lt;&gt;"")*(Ввод!$F$12:$F$31&lt;=A2281)*(Ввод!$G$12:$G$31&gt;=A2281))&gt;0,1,0))</f>
        <v/>
      </c>
      <c r="G2281">
        <f>IF(A2281="","",IF(OR(B2281&lt;&gt;B2280,C2281&lt;&gt;C2280,E2281&lt;&gt;E2280),G2280+1,G2280))</f>
        <v/>
      </c>
    </row>
    <row r="2282">
      <c r="A2282" s="20">
        <f>IF(A2281="","",IF(A2281+1&gt;Ввод!$B$4,"",A2281+1))</f>
        <v/>
      </c>
      <c r="B2282">
        <f>IF(A2282="","",IFERROR(INDEX(Ввод!$B$12:$B$71,MATCH(A2282,Ввод!$D$12:$D$71,1)),""))</f>
        <v/>
      </c>
      <c r="C2282">
        <f>IF(A2282="","",DATE(YEAR(A2282),12,31)-DATE(YEAR(A2282),1,1)+1)</f>
        <v/>
      </c>
      <c r="D2282">
        <f>IF(A2282="","",SUMIFS(Акты!$D$5:$D$16,Акты!$E$5:$E$16,"&lt;="&amp;A2282)-SUMIFS(Оплаты!$B$6:$B$505,Оплаты!$A$6:$A$505,"&lt;"&amp;A2282,Оплаты!$D$6:$D$505,"&lt;&gt;"))</f>
        <v/>
      </c>
      <c r="E2282">
        <f>IF(A2282="","",IF(SUMPRODUCT((Ввод!$F$12:$F$31&lt;&gt;"")*(Ввод!$F$12:$F$31&lt;=A2282)*(Ввод!$G$12:$G$31&gt;=A2282))&gt;0,1,0))</f>
        <v/>
      </c>
      <c r="G2282">
        <f>IF(A2282="","",IF(OR(B2282&lt;&gt;B2281,C2282&lt;&gt;C2281,E2282&lt;&gt;E2281),G2281+1,G2281))</f>
        <v/>
      </c>
    </row>
    <row r="2283">
      <c r="A2283" s="20">
        <f>IF(A2282="","",IF(A2282+1&gt;Ввод!$B$4,"",A2282+1))</f>
        <v/>
      </c>
      <c r="B2283">
        <f>IF(A2283="","",IFERROR(INDEX(Ввод!$B$12:$B$71,MATCH(A2283,Ввод!$D$12:$D$71,1)),""))</f>
        <v/>
      </c>
      <c r="C2283">
        <f>IF(A2283="","",DATE(YEAR(A2283),12,31)-DATE(YEAR(A2283),1,1)+1)</f>
        <v/>
      </c>
      <c r="D2283">
        <f>IF(A2283="","",SUMIFS(Акты!$D$5:$D$16,Акты!$E$5:$E$16,"&lt;="&amp;A2283)-SUMIFS(Оплаты!$B$6:$B$505,Оплаты!$A$6:$A$505,"&lt;"&amp;A2283,Оплаты!$D$6:$D$505,"&lt;&gt;"))</f>
        <v/>
      </c>
      <c r="E2283">
        <f>IF(A2283="","",IF(SUMPRODUCT((Ввод!$F$12:$F$31&lt;&gt;"")*(Ввод!$F$12:$F$31&lt;=A2283)*(Ввод!$G$12:$G$31&gt;=A2283))&gt;0,1,0))</f>
        <v/>
      </c>
      <c r="G2283">
        <f>IF(A2283="","",IF(OR(B2283&lt;&gt;B2282,C2283&lt;&gt;C2282,E2283&lt;&gt;E2282),G2282+1,G2282))</f>
        <v/>
      </c>
    </row>
    <row r="2284">
      <c r="A2284" s="20">
        <f>IF(A2283="","",IF(A2283+1&gt;Ввод!$B$4,"",A2283+1))</f>
        <v/>
      </c>
      <c r="B2284">
        <f>IF(A2284="","",IFERROR(INDEX(Ввод!$B$12:$B$71,MATCH(A2284,Ввод!$D$12:$D$71,1)),""))</f>
        <v/>
      </c>
      <c r="C2284">
        <f>IF(A2284="","",DATE(YEAR(A2284),12,31)-DATE(YEAR(A2284),1,1)+1)</f>
        <v/>
      </c>
      <c r="D2284">
        <f>IF(A2284="","",SUMIFS(Акты!$D$5:$D$16,Акты!$E$5:$E$16,"&lt;="&amp;A2284)-SUMIFS(Оплаты!$B$6:$B$505,Оплаты!$A$6:$A$505,"&lt;"&amp;A2284,Оплаты!$D$6:$D$505,"&lt;&gt;"))</f>
        <v/>
      </c>
      <c r="E2284">
        <f>IF(A2284="","",IF(SUMPRODUCT((Ввод!$F$12:$F$31&lt;&gt;"")*(Ввод!$F$12:$F$31&lt;=A2284)*(Ввод!$G$12:$G$31&gt;=A2284))&gt;0,1,0))</f>
        <v/>
      </c>
      <c r="G2284">
        <f>IF(A2284="","",IF(OR(B2284&lt;&gt;B2283,C2284&lt;&gt;C2283,E2284&lt;&gt;E2283),G2283+1,G2283))</f>
        <v/>
      </c>
    </row>
    <row r="2285">
      <c r="A2285" s="20">
        <f>IF(A2284="","",IF(A2284+1&gt;Ввод!$B$4,"",A2284+1))</f>
        <v/>
      </c>
      <c r="B2285">
        <f>IF(A2285="","",IFERROR(INDEX(Ввод!$B$12:$B$71,MATCH(A2285,Ввод!$D$12:$D$71,1)),""))</f>
        <v/>
      </c>
      <c r="C2285">
        <f>IF(A2285="","",DATE(YEAR(A2285),12,31)-DATE(YEAR(A2285),1,1)+1)</f>
        <v/>
      </c>
      <c r="D2285">
        <f>IF(A2285="","",SUMIFS(Акты!$D$5:$D$16,Акты!$E$5:$E$16,"&lt;="&amp;A2285)-SUMIFS(Оплаты!$B$6:$B$505,Оплаты!$A$6:$A$505,"&lt;"&amp;A2285,Оплаты!$D$6:$D$505,"&lt;&gt;"))</f>
        <v/>
      </c>
      <c r="E2285">
        <f>IF(A2285="","",IF(SUMPRODUCT((Ввод!$F$12:$F$31&lt;&gt;"")*(Ввод!$F$12:$F$31&lt;=A2285)*(Ввод!$G$12:$G$31&gt;=A2285))&gt;0,1,0))</f>
        <v/>
      </c>
      <c r="G2285">
        <f>IF(A2285="","",IF(OR(B2285&lt;&gt;B2284,C2285&lt;&gt;C2284,E2285&lt;&gt;E2284),G2284+1,G2284))</f>
        <v/>
      </c>
    </row>
    <row r="2286">
      <c r="A2286" s="20">
        <f>IF(A2285="","",IF(A2285+1&gt;Ввод!$B$4,"",A2285+1))</f>
        <v/>
      </c>
      <c r="B2286">
        <f>IF(A2286="","",IFERROR(INDEX(Ввод!$B$12:$B$71,MATCH(A2286,Ввод!$D$12:$D$71,1)),""))</f>
        <v/>
      </c>
      <c r="C2286">
        <f>IF(A2286="","",DATE(YEAR(A2286),12,31)-DATE(YEAR(A2286),1,1)+1)</f>
        <v/>
      </c>
      <c r="D2286">
        <f>IF(A2286="","",SUMIFS(Акты!$D$5:$D$16,Акты!$E$5:$E$16,"&lt;="&amp;A2286)-SUMIFS(Оплаты!$B$6:$B$505,Оплаты!$A$6:$A$505,"&lt;"&amp;A2286,Оплаты!$D$6:$D$505,"&lt;&gt;"))</f>
        <v/>
      </c>
      <c r="E2286">
        <f>IF(A2286="","",IF(SUMPRODUCT((Ввод!$F$12:$F$31&lt;&gt;"")*(Ввод!$F$12:$F$31&lt;=A2286)*(Ввод!$G$12:$G$31&gt;=A2286))&gt;0,1,0))</f>
        <v/>
      </c>
      <c r="G2286">
        <f>IF(A2286="","",IF(OR(B2286&lt;&gt;B2285,C2286&lt;&gt;C2285,E2286&lt;&gt;E2285),G2285+1,G2285))</f>
        <v/>
      </c>
    </row>
    <row r="2287">
      <c r="A2287" s="20">
        <f>IF(A2286="","",IF(A2286+1&gt;Ввод!$B$4,"",A2286+1))</f>
        <v/>
      </c>
      <c r="B2287">
        <f>IF(A2287="","",IFERROR(INDEX(Ввод!$B$12:$B$71,MATCH(A2287,Ввод!$D$12:$D$71,1)),""))</f>
        <v/>
      </c>
      <c r="C2287">
        <f>IF(A2287="","",DATE(YEAR(A2287),12,31)-DATE(YEAR(A2287),1,1)+1)</f>
        <v/>
      </c>
      <c r="D2287">
        <f>IF(A2287="","",SUMIFS(Акты!$D$5:$D$16,Акты!$E$5:$E$16,"&lt;="&amp;A2287)-SUMIFS(Оплаты!$B$6:$B$505,Оплаты!$A$6:$A$505,"&lt;"&amp;A2287,Оплаты!$D$6:$D$505,"&lt;&gt;"))</f>
        <v/>
      </c>
      <c r="E2287">
        <f>IF(A2287="","",IF(SUMPRODUCT((Ввод!$F$12:$F$31&lt;&gt;"")*(Ввод!$F$12:$F$31&lt;=A2287)*(Ввод!$G$12:$G$31&gt;=A2287))&gt;0,1,0))</f>
        <v/>
      </c>
      <c r="G2287">
        <f>IF(A2287="","",IF(OR(B2287&lt;&gt;B2286,C2287&lt;&gt;C2286,E2287&lt;&gt;E2286),G2286+1,G2286))</f>
        <v/>
      </c>
    </row>
    <row r="2288">
      <c r="A2288" s="20">
        <f>IF(A2287="","",IF(A2287+1&gt;Ввод!$B$4,"",A2287+1))</f>
        <v/>
      </c>
      <c r="B2288">
        <f>IF(A2288="","",IFERROR(INDEX(Ввод!$B$12:$B$71,MATCH(A2288,Ввод!$D$12:$D$71,1)),""))</f>
        <v/>
      </c>
      <c r="C2288">
        <f>IF(A2288="","",DATE(YEAR(A2288),12,31)-DATE(YEAR(A2288),1,1)+1)</f>
        <v/>
      </c>
      <c r="D2288">
        <f>IF(A2288="","",SUMIFS(Акты!$D$5:$D$16,Акты!$E$5:$E$16,"&lt;="&amp;A2288)-SUMIFS(Оплаты!$B$6:$B$505,Оплаты!$A$6:$A$505,"&lt;"&amp;A2288,Оплаты!$D$6:$D$505,"&lt;&gt;"))</f>
        <v/>
      </c>
      <c r="E2288">
        <f>IF(A2288="","",IF(SUMPRODUCT((Ввод!$F$12:$F$31&lt;&gt;"")*(Ввод!$F$12:$F$31&lt;=A2288)*(Ввод!$G$12:$G$31&gt;=A2288))&gt;0,1,0))</f>
        <v/>
      </c>
      <c r="G2288">
        <f>IF(A2288="","",IF(OR(B2288&lt;&gt;B2287,C2288&lt;&gt;C2287,E2288&lt;&gt;E2287),G2287+1,G2287))</f>
        <v/>
      </c>
    </row>
    <row r="2289">
      <c r="A2289" s="20">
        <f>IF(A2288="","",IF(A2288+1&gt;Ввод!$B$4,"",A2288+1))</f>
        <v/>
      </c>
      <c r="B2289">
        <f>IF(A2289="","",IFERROR(INDEX(Ввод!$B$12:$B$71,MATCH(A2289,Ввод!$D$12:$D$71,1)),""))</f>
        <v/>
      </c>
      <c r="C2289">
        <f>IF(A2289="","",DATE(YEAR(A2289),12,31)-DATE(YEAR(A2289),1,1)+1)</f>
        <v/>
      </c>
      <c r="D2289">
        <f>IF(A2289="","",SUMIFS(Акты!$D$5:$D$16,Акты!$E$5:$E$16,"&lt;="&amp;A2289)-SUMIFS(Оплаты!$B$6:$B$505,Оплаты!$A$6:$A$505,"&lt;"&amp;A2289,Оплаты!$D$6:$D$505,"&lt;&gt;"))</f>
        <v/>
      </c>
      <c r="E2289">
        <f>IF(A2289="","",IF(SUMPRODUCT((Ввод!$F$12:$F$31&lt;&gt;"")*(Ввод!$F$12:$F$31&lt;=A2289)*(Ввод!$G$12:$G$31&gt;=A2289))&gt;0,1,0))</f>
        <v/>
      </c>
      <c r="G2289">
        <f>IF(A2289="","",IF(OR(B2289&lt;&gt;B2288,C2289&lt;&gt;C2288,E2289&lt;&gt;E2288),G2288+1,G2288))</f>
        <v/>
      </c>
    </row>
    <row r="2290">
      <c r="A2290" s="20">
        <f>IF(A2289="","",IF(A2289+1&gt;Ввод!$B$4,"",A2289+1))</f>
        <v/>
      </c>
      <c r="B2290">
        <f>IF(A2290="","",IFERROR(INDEX(Ввод!$B$12:$B$71,MATCH(A2290,Ввод!$D$12:$D$71,1)),""))</f>
        <v/>
      </c>
      <c r="C2290">
        <f>IF(A2290="","",DATE(YEAR(A2290),12,31)-DATE(YEAR(A2290),1,1)+1)</f>
        <v/>
      </c>
      <c r="D2290">
        <f>IF(A2290="","",SUMIFS(Акты!$D$5:$D$16,Акты!$E$5:$E$16,"&lt;="&amp;A2290)-SUMIFS(Оплаты!$B$6:$B$505,Оплаты!$A$6:$A$505,"&lt;"&amp;A2290,Оплаты!$D$6:$D$505,"&lt;&gt;"))</f>
        <v/>
      </c>
      <c r="E2290">
        <f>IF(A2290="","",IF(SUMPRODUCT((Ввод!$F$12:$F$31&lt;&gt;"")*(Ввод!$F$12:$F$31&lt;=A2290)*(Ввод!$G$12:$G$31&gt;=A2290))&gt;0,1,0))</f>
        <v/>
      </c>
      <c r="G2290">
        <f>IF(A2290="","",IF(OR(B2290&lt;&gt;B2289,C2290&lt;&gt;C2289,E2290&lt;&gt;E2289),G2289+1,G2289))</f>
        <v/>
      </c>
    </row>
    <row r="2291">
      <c r="A2291" s="20">
        <f>IF(A2290="","",IF(A2290+1&gt;Ввод!$B$4,"",A2290+1))</f>
        <v/>
      </c>
      <c r="B2291">
        <f>IF(A2291="","",IFERROR(INDEX(Ввод!$B$12:$B$71,MATCH(A2291,Ввод!$D$12:$D$71,1)),""))</f>
        <v/>
      </c>
      <c r="C2291">
        <f>IF(A2291="","",DATE(YEAR(A2291),12,31)-DATE(YEAR(A2291),1,1)+1)</f>
        <v/>
      </c>
      <c r="D2291">
        <f>IF(A2291="","",SUMIFS(Акты!$D$5:$D$16,Акты!$E$5:$E$16,"&lt;="&amp;A2291)-SUMIFS(Оплаты!$B$6:$B$505,Оплаты!$A$6:$A$505,"&lt;"&amp;A2291,Оплаты!$D$6:$D$505,"&lt;&gt;"))</f>
        <v/>
      </c>
      <c r="E2291">
        <f>IF(A2291="","",IF(SUMPRODUCT((Ввод!$F$12:$F$31&lt;&gt;"")*(Ввод!$F$12:$F$31&lt;=A2291)*(Ввод!$G$12:$G$31&gt;=A2291))&gt;0,1,0))</f>
        <v/>
      </c>
      <c r="G2291">
        <f>IF(A2291="","",IF(OR(B2291&lt;&gt;B2290,C2291&lt;&gt;C2290,E2291&lt;&gt;E2290),G2290+1,G2290))</f>
        <v/>
      </c>
    </row>
    <row r="2292">
      <c r="A2292" s="20">
        <f>IF(A2291="","",IF(A2291+1&gt;Ввод!$B$4,"",A2291+1))</f>
        <v/>
      </c>
      <c r="B2292">
        <f>IF(A2292="","",IFERROR(INDEX(Ввод!$B$12:$B$71,MATCH(A2292,Ввод!$D$12:$D$71,1)),""))</f>
        <v/>
      </c>
      <c r="C2292">
        <f>IF(A2292="","",DATE(YEAR(A2292),12,31)-DATE(YEAR(A2292),1,1)+1)</f>
        <v/>
      </c>
      <c r="D2292">
        <f>IF(A2292="","",SUMIFS(Акты!$D$5:$D$16,Акты!$E$5:$E$16,"&lt;="&amp;A2292)-SUMIFS(Оплаты!$B$6:$B$505,Оплаты!$A$6:$A$505,"&lt;"&amp;A2292,Оплаты!$D$6:$D$505,"&lt;&gt;"))</f>
        <v/>
      </c>
      <c r="E2292">
        <f>IF(A2292="","",IF(SUMPRODUCT((Ввод!$F$12:$F$31&lt;&gt;"")*(Ввод!$F$12:$F$31&lt;=A2292)*(Ввод!$G$12:$G$31&gt;=A2292))&gt;0,1,0))</f>
        <v/>
      </c>
      <c r="G2292">
        <f>IF(A2292="","",IF(OR(B2292&lt;&gt;B2291,C2292&lt;&gt;C2291,E2292&lt;&gt;E2291),G2291+1,G2291))</f>
        <v/>
      </c>
    </row>
    <row r="2293">
      <c r="A2293" s="20">
        <f>IF(A2292="","",IF(A2292+1&gt;Ввод!$B$4,"",A2292+1))</f>
        <v/>
      </c>
      <c r="B2293">
        <f>IF(A2293="","",IFERROR(INDEX(Ввод!$B$12:$B$71,MATCH(A2293,Ввод!$D$12:$D$71,1)),""))</f>
        <v/>
      </c>
      <c r="C2293">
        <f>IF(A2293="","",DATE(YEAR(A2293),12,31)-DATE(YEAR(A2293),1,1)+1)</f>
        <v/>
      </c>
      <c r="D2293">
        <f>IF(A2293="","",SUMIFS(Акты!$D$5:$D$16,Акты!$E$5:$E$16,"&lt;="&amp;A2293)-SUMIFS(Оплаты!$B$6:$B$505,Оплаты!$A$6:$A$505,"&lt;"&amp;A2293,Оплаты!$D$6:$D$505,"&lt;&gt;"))</f>
        <v/>
      </c>
      <c r="E2293">
        <f>IF(A2293="","",IF(SUMPRODUCT((Ввод!$F$12:$F$31&lt;&gt;"")*(Ввод!$F$12:$F$31&lt;=A2293)*(Ввод!$G$12:$G$31&gt;=A2293))&gt;0,1,0))</f>
        <v/>
      </c>
      <c r="G2293">
        <f>IF(A2293="","",IF(OR(B2293&lt;&gt;B2292,C2293&lt;&gt;C2292,E2293&lt;&gt;E2292),G2292+1,G2292))</f>
        <v/>
      </c>
    </row>
    <row r="2294">
      <c r="A2294" s="20">
        <f>IF(A2293="","",IF(A2293+1&gt;Ввод!$B$4,"",A2293+1))</f>
        <v/>
      </c>
      <c r="B2294">
        <f>IF(A2294="","",IFERROR(INDEX(Ввод!$B$12:$B$71,MATCH(A2294,Ввод!$D$12:$D$71,1)),""))</f>
        <v/>
      </c>
      <c r="C2294">
        <f>IF(A2294="","",DATE(YEAR(A2294),12,31)-DATE(YEAR(A2294),1,1)+1)</f>
        <v/>
      </c>
      <c r="D2294">
        <f>IF(A2294="","",SUMIFS(Акты!$D$5:$D$16,Акты!$E$5:$E$16,"&lt;="&amp;A2294)-SUMIFS(Оплаты!$B$6:$B$505,Оплаты!$A$6:$A$505,"&lt;"&amp;A2294,Оплаты!$D$6:$D$505,"&lt;&gt;"))</f>
        <v/>
      </c>
      <c r="E2294">
        <f>IF(A2294="","",IF(SUMPRODUCT((Ввод!$F$12:$F$31&lt;&gt;"")*(Ввод!$F$12:$F$31&lt;=A2294)*(Ввод!$G$12:$G$31&gt;=A2294))&gt;0,1,0))</f>
        <v/>
      </c>
      <c r="G2294">
        <f>IF(A2294="","",IF(OR(B2294&lt;&gt;B2293,C2294&lt;&gt;C2293,E2294&lt;&gt;E2293),G2293+1,G2293))</f>
        <v/>
      </c>
    </row>
    <row r="2295">
      <c r="A2295" s="20">
        <f>IF(A2294="","",IF(A2294+1&gt;Ввод!$B$4,"",A2294+1))</f>
        <v/>
      </c>
      <c r="B2295">
        <f>IF(A2295="","",IFERROR(INDEX(Ввод!$B$12:$B$71,MATCH(A2295,Ввод!$D$12:$D$71,1)),""))</f>
        <v/>
      </c>
      <c r="C2295">
        <f>IF(A2295="","",DATE(YEAR(A2295),12,31)-DATE(YEAR(A2295),1,1)+1)</f>
        <v/>
      </c>
      <c r="D2295">
        <f>IF(A2295="","",SUMIFS(Акты!$D$5:$D$16,Акты!$E$5:$E$16,"&lt;="&amp;A2295)-SUMIFS(Оплаты!$B$6:$B$505,Оплаты!$A$6:$A$505,"&lt;"&amp;A2295,Оплаты!$D$6:$D$505,"&lt;&gt;"))</f>
        <v/>
      </c>
      <c r="E2295">
        <f>IF(A2295="","",IF(SUMPRODUCT((Ввод!$F$12:$F$31&lt;&gt;"")*(Ввод!$F$12:$F$31&lt;=A2295)*(Ввод!$G$12:$G$31&gt;=A2295))&gt;0,1,0))</f>
        <v/>
      </c>
      <c r="G2295">
        <f>IF(A2295="","",IF(OR(B2295&lt;&gt;B2294,C2295&lt;&gt;C2294,E2295&lt;&gt;E2294),G2294+1,G2294))</f>
        <v/>
      </c>
    </row>
    <row r="2296">
      <c r="A2296" s="20">
        <f>IF(A2295="","",IF(A2295+1&gt;Ввод!$B$4,"",A2295+1))</f>
        <v/>
      </c>
      <c r="B2296">
        <f>IF(A2296="","",IFERROR(INDEX(Ввод!$B$12:$B$71,MATCH(A2296,Ввод!$D$12:$D$71,1)),""))</f>
        <v/>
      </c>
      <c r="C2296">
        <f>IF(A2296="","",DATE(YEAR(A2296),12,31)-DATE(YEAR(A2296),1,1)+1)</f>
        <v/>
      </c>
      <c r="D2296">
        <f>IF(A2296="","",SUMIFS(Акты!$D$5:$D$16,Акты!$E$5:$E$16,"&lt;="&amp;A2296)-SUMIFS(Оплаты!$B$6:$B$505,Оплаты!$A$6:$A$505,"&lt;"&amp;A2296,Оплаты!$D$6:$D$505,"&lt;&gt;"))</f>
        <v/>
      </c>
      <c r="E2296">
        <f>IF(A2296="","",IF(SUMPRODUCT((Ввод!$F$12:$F$31&lt;&gt;"")*(Ввод!$F$12:$F$31&lt;=A2296)*(Ввод!$G$12:$G$31&gt;=A2296))&gt;0,1,0))</f>
        <v/>
      </c>
      <c r="G2296">
        <f>IF(A2296="","",IF(OR(B2296&lt;&gt;B2295,C2296&lt;&gt;C2295,E2296&lt;&gt;E2295),G2295+1,G2295))</f>
        <v/>
      </c>
    </row>
    <row r="2297">
      <c r="A2297" s="20">
        <f>IF(A2296="","",IF(A2296+1&gt;Ввод!$B$4,"",A2296+1))</f>
        <v/>
      </c>
      <c r="B2297">
        <f>IF(A2297="","",IFERROR(INDEX(Ввод!$B$12:$B$71,MATCH(A2297,Ввод!$D$12:$D$71,1)),""))</f>
        <v/>
      </c>
      <c r="C2297">
        <f>IF(A2297="","",DATE(YEAR(A2297),12,31)-DATE(YEAR(A2297),1,1)+1)</f>
        <v/>
      </c>
      <c r="D2297">
        <f>IF(A2297="","",SUMIFS(Акты!$D$5:$D$16,Акты!$E$5:$E$16,"&lt;="&amp;A2297)-SUMIFS(Оплаты!$B$6:$B$505,Оплаты!$A$6:$A$505,"&lt;"&amp;A2297,Оплаты!$D$6:$D$505,"&lt;&gt;"))</f>
        <v/>
      </c>
      <c r="E2297">
        <f>IF(A2297="","",IF(SUMPRODUCT((Ввод!$F$12:$F$31&lt;&gt;"")*(Ввод!$F$12:$F$31&lt;=A2297)*(Ввод!$G$12:$G$31&gt;=A2297))&gt;0,1,0))</f>
        <v/>
      </c>
      <c r="G2297">
        <f>IF(A2297="","",IF(OR(B2297&lt;&gt;B2296,C2297&lt;&gt;C2296,E2297&lt;&gt;E2296),G2296+1,G2296))</f>
        <v/>
      </c>
    </row>
    <row r="2298">
      <c r="A2298" s="20">
        <f>IF(A2297="","",IF(A2297+1&gt;Ввод!$B$4,"",A2297+1))</f>
        <v/>
      </c>
      <c r="B2298">
        <f>IF(A2298="","",IFERROR(INDEX(Ввод!$B$12:$B$71,MATCH(A2298,Ввод!$D$12:$D$71,1)),""))</f>
        <v/>
      </c>
      <c r="C2298">
        <f>IF(A2298="","",DATE(YEAR(A2298),12,31)-DATE(YEAR(A2298),1,1)+1)</f>
        <v/>
      </c>
      <c r="D2298">
        <f>IF(A2298="","",SUMIFS(Акты!$D$5:$D$16,Акты!$E$5:$E$16,"&lt;="&amp;A2298)-SUMIFS(Оплаты!$B$6:$B$505,Оплаты!$A$6:$A$505,"&lt;"&amp;A2298,Оплаты!$D$6:$D$505,"&lt;&gt;"))</f>
        <v/>
      </c>
      <c r="E2298">
        <f>IF(A2298="","",IF(SUMPRODUCT((Ввод!$F$12:$F$31&lt;&gt;"")*(Ввод!$F$12:$F$31&lt;=A2298)*(Ввод!$G$12:$G$31&gt;=A2298))&gt;0,1,0))</f>
        <v/>
      </c>
      <c r="G2298">
        <f>IF(A2298="","",IF(OR(B2298&lt;&gt;B2297,C2298&lt;&gt;C2297,E2298&lt;&gt;E2297),G2297+1,G2297))</f>
        <v/>
      </c>
    </row>
    <row r="2299">
      <c r="A2299" s="20">
        <f>IF(A2298="","",IF(A2298+1&gt;Ввод!$B$4,"",A2298+1))</f>
        <v/>
      </c>
      <c r="B2299">
        <f>IF(A2299="","",IFERROR(INDEX(Ввод!$B$12:$B$71,MATCH(A2299,Ввод!$D$12:$D$71,1)),""))</f>
        <v/>
      </c>
      <c r="C2299">
        <f>IF(A2299="","",DATE(YEAR(A2299),12,31)-DATE(YEAR(A2299),1,1)+1)</f>
        <v/>
      </c>
      <c r="D2299">
        <f>IF(A2299="","",SUMIFS(Акты!$D$5:$D$16,Акты!$E$5:$E$16,"&lt;="&amp;A2299)-SUMIFS(Оплаты!$B$6:$B$505,Оплаты!$A$6:$A$505,"&lt;"&amp;A2299,Оплаты!$D$6:$D$505,"&lt;&gt;"))</f>
        <v/>
      </c>
      <c r="E2299">
        <f>IF(A2299="","",IF(SUMPRODUCT((Ввод!$F$12:$F$31&lt;&gt;"")*(Ввод!$F$12:$F$31&lt;=A2299)*(Ввод!$G$12:$G$31&gt;=A2299))&gt;0,1,0))</f>
        <v/>
      </c>
      <c r="G2299">
        <f>IF(A2299="","",IF(OR(B2299&lt;&gt;B2298,C2299&lt;&gt;C2298,E2299&lt;&gt;E2298),G2298+1,G2298))</f>
        <v/>
      </c>
    </row>
    <row r="2300">
      <c r="A2300" s="20">
        <f>IF(A2299="","",IF(A2299+1&gt;Ввод!$B$4,"",A2299+1))</f>
        <v/>
      </c>
      <c r="B2300">
        <f>IF(A2300="","",IFERROR(INDEX(Ввод!$B$12:$B$71,MATCH(A2300,Ввод!$D$12:$D$71,1)),""))</f>
        <v/>
      </c>
      <c r="C2300">
        <f>IF(A2300="","",DATE(YEAR(A2300),12,31)-DATE(YEAR(A2300),1,1)+1)</f>
        <v/>
      </c>
      <c r="D2300">
        <f>IF(A2300="","",SUMIFS(Акты!$D$5:$D$16,Акты!$E$5:$E$16,"&lt;="&amp;A2300)-SUMIFS(Оплаты!$B$6:$B$505,Оплаты!$A$6:$A$505,"&lt;"&amp;A2300,Оплаты!$D$6:$D$505,"&lt;&gt;"))</f>
        <v/>
      </c>
      <c r="E2300">
        <f>IF(A2300="","",IF(SUMPRODUCT((Ввод!$F$12:$F$31&lt;&gt;"")*(Ввод!$F$12:$F$31&lt;=A2300)*(Ввод!$G$12:$G$31&gt;=A2300))&gt;0,1,0))</f>
        <v/>
      </c>
      <c r="G2300">
        <f>IF(A2300="","",IF(OR(B2300&lt;&gt;B2299,C2300&lt;&gt;C2299,E2300&lt;&gt;E2299),G2299+1,G2299))</f>
        <v/>
      </c>
    </row>
    <row r="2301">
      <c r="A2301" s="20">
        <f>IF(A2300="","",IF(A2300+1&gt;Ввод!$B$4,"",A2300+1))</f>
        <v/>
      </c>
      <c r="B2301">
        <f>IF(A2301="","",IFERROR(INDEX(Ввод!$B$12:$B$71,MATCH(A2301,Ввод!$D$12:$D$71,1)),""))</f>
        <v/>
      </c>
      <c r="C2301">
        <f>IF(A2301="","",DATE(YEAR(A2301),12,31)-DATE(YEAR(A2301),1,1)+1)</f>
        <v/>
      </c>
      <c r="D2301">
        <f>IF(A2301="","",SUMIFS(Акты!$D$5:$D$16,Акты!$E$5:$E$16,"&lt;="&amp;A2301)-SUMIFS(Оплаты!$B$6:$B$505,Оплаты!$A$6:$A$505,"&lt;"&amp;A2301,Оплаты!$D$6:$D$505,"&lt;&gt;"))</f>
        <v/>
      </c>
      <c r="E2301">
        <f>IF(A2301="","",IF(SUMPRODUCT((Ввод!$F$12:$F$31&lt;&gt;"")*(Ввод!$F$12:$F$31&lt;=A2301)*(Ввод!$G$12:$G$31&gt;=A2301))&gt;0,1,0))</f>
        <v/>
      </c>
      <c r="G2301">
        <f>IF(A2301="","",IF(OR(B2301&lt;&gt;B2300,C2301&lt;&gt;C2300,E2301&lt;&gt;E2300),G2300+1,G2300))</f>
        <v/>
      </c>
    </row>
    <row r="2302">
      <c r="A2302" s="20">
        <f>IF(A2301="","",IF(A2301+1&gt;Ввод!$B$4,"",A2301+1))</f>
        <v/>
      </c>
      <c r="B2302">
        <f>IF(A2302="","",IFERROR(INDEX(Ввод!$B$12:$B$71,MATCH(A2302,Ввод!$D$12:$D$71,1)),""))</f>
        <v/>
      </c>
      <c r="C2302">
        <f>IF(A2302="","",DATE(YEAR(A2302),12,31)-DATE(YEAR(A2302),1,1)+1)</f>
        <v/>
      </c>
      <c r="D2302">
        <f>IF(A2302="","",SUMIFS(Акты!$D$5:$D$16,Акты!$E$5:$E$16,"&lt;="&amp;A2302)-SUMIFS(Оплаты!$B$6:$B$505,Оплаты!$A$6:$A$505,"&lt;"&amp;A2302,Оплаты!$D$6:$D$505,"&lt;&gt;"))</f>
        <v/>
      </c>
      <c r="E2302">
        <f>IF(A2302="","",IF(SUMPRODUCT((Ввод!$F$12:$F$31&lt;&gt;"")*(Ввод!$F$12:$F$31&lt;=A2302)*(Ввод!$G$12:$G$31&gt;=A2302))&gt;0,1,0))</f>
        <v/>
      </c>
      <c r="G2302">
        <f>IF(A2302="","",IF(OR(B2302&lt;&gt;B2301,C2302&lt;&gt;C2301,E2302&lt;&gt;E2301),G2301+1,G2301))</f>
        <v/>
      </c>
    </row>
    <row r="2303">
      <c r="A2303" s="20">
        <f>IF(A2302="","",IF(A2302+1&gt;Ввод!$B$4,"",A2302+1))</f>
        <v/>
      </c>
      <c r="B2303">
        <f>IF(A2303="","",IFERROR(INDEX(Ввод!$B$12:$B$71,MATCH(A2303,Ввод!$D$12:$D$71,1)),""))</f>
        <v/>
      </c>
      <c r="C2303">
        <f>IF(A2303="","",DATE(YEAR(A2303),12,31)-DATE(YEAR(A2303),1,1)+1)</f>
        <v/>
      </c>
      <c r="D2303">
        <f>IF(A2303="","",SUMIFS(Акты!$D$5:$D$16,Акты!$E$5:$E$16,"&lt;="&amp;A2303)-SUMIFS(Оплаты!$B$6:$B$505,Оплаты!$A$6:$A$505,"&lt;"&amp;A2303,Оплаты!$D$6:$D$505,"&lt;&gt;"))</f>
        <v/>
      </c>
      <c r="E2303">
        <f>IF(A2303="","",IF(SUMPRODUCT((Ввод!$F$12:$F$31&lt;&gt;"")*(Ввод!$F$12:$F$31&lt;=A2303)*(Ввод!$G$12:$G$31&gt;=A2303))&gt;0,1,0))</f>
        <v/>
      </c>
      <c r="G2303">
        <f>IF(A2303="","",IF(OR(B2303&lt;&gt;B2302,C2303&lt;&gt;C2302,E2303&lt;&gt;E2302),G2302+1,G2302))</f>
        <v/>
      </c>
    </row>
    <row r="2304">
      <c r="A2304" s="20">
        <f>IF(A2303="","",IF(A2303+1&gt;Ввод!$B$4,"",A2303+1))</f>
        <v/>
      </c>
      <c r="B2304">
        <f>IF(A2304="","",IFERROR(INDEX(Ввод!$B$12:$B$71,MATCH(A2304,Ввод!$D$12:$D$71,1)),""))</f>
        <v/>
      </c>
      <c r="C2304">
        <f>IF(A2304="","",DATE(YEAR(A2304),12,31)-DATE(YEAR(A2304),1,1)+1)</f>
        <v/>
      </c>
      <c r="D2304">
        <f>IF(A2304="","",SUMIFS(Акты!$D$5:$D$16,Акты!$E$5:$E$16,"&lt;="&amp;A2304)-SUMIFS(Оплаты!$B$6:$B$505,Оплаты!$A$6:$A$505,"&lt;"&amp;A2304,Оплаты!$D$6:$D$505,"&lt;&gt;"))</f>
        <v/>
      </c>
      <c r="E2304">
        <f>IF(A2304="","",IF(SUMPRODUCT((Ввод!$F$12:$F$31&lt;&gt;"")*(Ввод!$F$12:$F$31&lt;=A2304)*(Ввод!$G$12:$G$31&gt;=A2304))&gt;0,1,0))</f>
        <v/>
      </c>
      <c r="G2304">
        <f>IF(A2304="","",IF(OR(B2304&lt;&gt;B2303,C2304&lt;&gt;C2303,E2304&lt;&gt;E2303),G2303+1,G2303))</f>
        <v/>
      </c>
    </row>
    <row r="2305">
      <c r="A2305" s="20">
        <f>IF(A2304="","",IF(A2304+1&gt;Ввод!$B$4,"",A2304+1))</f>
        <v/>
      </c>
      <c r="B2305">
        <f>IF(A2305="","",IFERROR(INDEX(Ввод!$B$12:$B$71,MATCH(A2305,Ввод!$D$12:$D$71,1)),""))</f>
        <v/>
      </c>
      <c r="C2305">
        <f>IF(A2305="","",DATE(YEAR(A2305),12,31)-DATE(YEAR(A2305),1,1)+1)</f>
        <v/>
      </c>
      <c r="D2305">
        <f>IF(A2305="","",SUMIFS(Акты!$D$5:$D$16,Акты!$E$5:$E$16,"&lt;="&amp;A2305)-SUMIFS(Оплаты!$B$6:$B$505,Оплаты!$A$6:$A$505,"&lt;"&amp;A2305,Оплаты!$D$6:$D$505,"&lt;&gt;"))</f>
        <v/>
      </c>
      <c r="E2305">
        <f>IF(A2305="","",IF(SUMPRODUCT((Ввод!$F$12:$F$31&lt;&gt;"")*(Ввод!$F$12:$F$31&lt;=A2305)*(Ввод!$G$12:$G$31&gt;=A2305))&gt;0,1,0))</f>
        <v/>
      </c>
      <c r="G2305">
        <f>IF(A2305="","",IF(OR(B2305&lt;&gt;B2304,C2305&lt;&gt;C2304,E2305&lt;&gt;E2304),G2304+1,G2304))</f>
        <v/>
      </c>
    </row>
    <row r="2306">
      <c r="A2306" s="20">
        <f>IF(A2305="","",IF(A2305+1&gt;Ввод!$B$4,"",A2305+1))</f>
        <v/>
      </c>
      <c r="B2306">
        <f>IF(A2306="","",IFERROR(INDEX(Ввод!$B$12:$B$71,MATCH(A2306,Ввод!$D$12:$D$71,1)),""))</f>
        <v/>
      </c>
      <c r="C2306">
        <f>IF(A2306="","",DATE(YEAR(A2306),12,31)-DATE(YEAR(A2306),1,1)+1)</f>
        <v/>
      </c>
      <c r="D2306">
        <f>IF(A2306="","",SUMIFS(Акты!$D$5:$D$16,Акты!$E$5:$E$16,"&lt;="&amp;A2306)-SUMIFS(Оплаты!$B$6:$B$505,Оплаты!$A$6:$A$505,"&lt;"&amp;A2306,Оплаты!$D$6:$D$505,"&lt;&gt;"))</f>
        <v/>
      </c>
      <c r="E2306">
        <f>IF(A2306="","",IF(SUMPRODUCT((Ввод!$F$12:$F$31&lt;&gt;"")*(Ввод!$F$12:$F$31&lt;=A2306)*(Ввод!$G$12:$G$31&gt;=A2306))&gt;0,1,0))</f>
        <v/>
      </c>
      <c r="G2306">
        <f>IF(A2306="","",IF(OR(B2306&lt;&gt;B2305,C2306&lt;&gt;C2305,E2306&lt;&gt;E2305),G2305+1,G2305))</f>
        <v/>
      </c>
    </row>
    <row r="2307">
      <c r="A2307" s="20">
        <f>IF(A2306="","",IF(A2306+1&gt;Ввод!$B$4,"",A2306+1))</f>
        <v/>
      </c>
      <c r="B2307">
        <f>IF(A2307="","",IFERROR(INDEX(Ввод!$B$12:$B$71,MATCH(A2307,Ввод!$D$12:$D$71,1)),""))</f>
        <v/>
      </c>
      <c r="C2307">
        <f>IF(A2307="","",DATE(YEAR(A2307),12,31)-DATE(YEAR(A2307),1,1)+1)</f>
        <v/>
      </c>
      <c r="D2307">
        <f>IF(A2307="","",SUMIFS(Акты!$D$5:$D$16,Акты!$E$5:$E$16,"&lt;="&amp;A2307)-SUMIFS(Оплаты!$B$6:$B$505,Оплаты!$A$6:$A$505,"&lt;"&amp;A2307,Оплаты!$D$6:$D$505,"&lt;&gt;"))</f>
        <v/>
      </c>
      <c r="E2307">
        <f>IF(A2307="","",IF(SUMPRODUCT((Ввод!$F$12:$F$31&lt;&gt;"")*(Ввод!$F$12:$F$31&lt;=A2307)*(Ввод!$G$12:$G$31&gt;=A2307))&gt;0,1,0))</f>
        <v/>
      </c>
      <c r="G2307">
        <f>IF(A2307="","",IF(OR(B2307&lt;&gt;B2306,C2307&lt;&gt;C2306,E2307&lt;&gt;E2306),G2306+1,G2306))</f>
        <v/>
      </c>
    </row>
    <row r="2308">
      <c r="A2308" s="20">
        <f>IF(A2307="","",IF(A2307+1&gt;Ввод!$B$4,"",A2307+1))</f>
        <v/>
      </c>
      <c r="B2308">
        <f>IF(A2308="","",IFERROR(INDEX(Ввод!$B$12:$B$71,MATCH(A2308,Ввод!$D$12:$D$71,1)),""))</f>
        <v/>
      </c>
      <c r="C2308">
        <f>IF(A2308="","",DATE(YEAR(A2308),12,31)-DATE(YEAR(A2308),1,1)+1)</f>
        <v/>
      </c>
      <c r="D2308">
        <f>IF(A2308="","",SUMIFS(Акты!$D$5:$D$16,Акты!$E$5:$E$16,"&lt;="&amp;A2308)-SUMIFS(Оплаты!$B$6:$B$505,Оплаты!$A$6:$A$505,"&lt;"&amp;A2308,Оплаты!$D$6:$D$505,"&lt;&gt;"))</f>
        <v/>
      </c>
      <c r="E2308">
        <f>IF(A2308="","",IF(SUMPRODUCT((Ввод!$F$12:$F$31&lt;&gt;"")*(Ввод!$F$12:$F$31&lt;=A2308)*(Ввод!$G$12:$G$31&gt;=A2308))&gt;0,1,0))</f>
        <v/>
      </c>
      <c r="G2308">
        <f>IF(A2308="","",IF(OR(B2308&lt;&gt;B2307,C2308&lt;&gt;C2307,E2308&lt;&gt;E2307),G2307+1,G2307))</f>
        <v/>
      </c>
    </row>
    <row r="2309">
      <c r="A2309" s="20">
        <f>IF(A2308="","",IF(A2308+1&gt;Ввод!$B$4,"",A2308+1))</f>
        <v/>
      </c>
      <c r="B2309">
        <f>IF(A2309="","",IFERROR(INDEX(Ввод!$B$12:$B$71,MATCH(A2309,Ввод!$D$12:$D$71,1)),""))</f>
        <v/>
      </c>
      <c r="C2309">
        <f>IF(A2309="","",DATE(YEAR(A2309),12,31)-DATE(YEAR(A2309),1,1)+1)</f>
        <v/>
      </c>
      <c r="D2309">
        <f>IF(A2309="","",SUMIFS(Акты!$D$5:$D$16,Акты!$E$5:$E$16,"&lt;="&amp;A2309)-SUMIFS(Оплаты!$B$6:$B$505,Оплаты!$A$6:$A$505,"&lt;"&amp;A2309,Оплаты!$D$6:$D$505,"&lt;&gt;"))</f>
        <v/>
      </c>
      <c r="E2309">
        <f>IF(A2309="","",IF(SUMPRODUCT((Ввод!$F$12:$F$31&lt;&gt;"")*(Ввод!$F$12:$F$31&lt;=A2309)*(Ввод!$G$12:$G$31&gt;=A2309))&gt;0,1,0))</f>
        <v/>
      </c>
      <c r="G2309">
        <f>IF(A2309="","",IF(OR(B2309&lt;&gt;B2308,C2309&lt;&gt;C2308,E2309&lt;&gt;E2308),G2308+1,G2308))</f>
        <v/>
      </c>
    </row>
    <row r="2310">
      <c r="A2310" s="20">
        <f>IF(A2309="","",IF(A2309+1&gt;Ввод!$B$4,"",A2309+1))</f>
        <v/>
      </c>
      <c r="B2310">
        <f>IF(A2310="","",IFERROR(INDEX(Ввод!$B$12:$B$71,MATCH(A2310,Ввод!$D$12:$D$71,1)),""))</f>
        <v/>
      </c>
      <c r="C2310">
        <f>IF(A2310="","",DATE(YEAR(A2310),12,31)-DATE(YEAR(A2310),1,1)+1)</f>
        <v/>
      </c>
      <c r="D2310">
        <f>IF(A2310="","",SUMIFS(Акты!$D$5:$D$16,Акты!$E$5:$E$16,"&lt;="&amp;A2310)-SUMIFS(Оплаты!$B$6:$B$505,Оплаты!$A$6:$A$505,"&lt;"&amp;A2310,Оплаты!$D$6:$D$505,"&lt;&gt;"))</f>
        <v/>
      </c>
      <c r="E2310">
        <f>IF(A2310="","",IF(SUMPRODUCT((Ввод!$F$12:$F$31&lt;&gt;"")*(Ввод!$F$12:$F$31&lt;=A2310)*(Ввод!$G$12:$G$31&gt;=A2310))&gt;0,1,0))</f>
        <v/>
      </c>
      <c r="G2310">
        <f>IF(A2310="","",IF(OR(B2310&lt;&gt;B2309,C2310&lt;&gt;C2309,E2310&lt;&gt;E2309),G2309+1,G2309))</f>
        <v/>
      </c>
    </row>
    <row r="2311">
      <c r="A2311" s="20">
        <f>IF(A2310="","",IF(A2310+1&gt;Ввод!$B$4,"",A2310+1))</f>
        <v/>
      </c>
      <c r="B2311">
        <f>IF(A2311="","",IFERROR(INDEX(Ввод!$B$12:$B$71,MATCH(A2311,Ввод!$D$12:$D$71,1)),""))</f>
        <v/>
      </c>
      <c r="C2311">
        <f>IF(A2311="","",DATE(YEAR(A2311),12,31)-DATE(YEAR(A2311),1,1)+1)</f>
        <v/>
      </c>
      <c r="D2311">
        <f>IF(A2311="","",SUMIFS(Акты!$D$5:$D$16,Акты!$E$5:$E$16,"&lt;="&amp;A2311)-SUMIFS(Оплаты!$B$6:$B$505,Оплаты!$A$6:$A$505,"&lt;"&amp;A2311,Оплаты!$D$6:$D$505,"&lt;&gt;"))</f>
        <v/>
      </c>
      <c r="E2311">
        <f>IF(A2311="","",IF(SUMPRODUCT((Ввод!$F$12:$F$31&lt;&gt;"")*(Ввод!$F$12:$F$31&lt;=A2311)*(Ввод!$G$12:$G$31&gt;=A2311))&gt;0,1,0))</f>
        <v/>
      </c>
      <c r="G2311">
        <f>IF(A2311="","",IF(OR(B2311&lt;&gt;B2310,C2311&lt;&gt;C2310,E2311&lt;&gt;E2310),G2310+1,G2310))</f>
        <v/>
      </c>
    </row>
    <row r="2312">
      <c r="A2312" s="20">
        <f>IF(A2311="","",IF(A2311+1&gt;Ввод!$B$4,"",A2311+1))</f>
        <v/>
      </c>
      <c r="B2312">
        <f>IF(A2312="","",IFERROR(INDEX(Ввод!$B$12:$B$71,MATCH(A2312,Ввод!$D$12:$D$71,1)),""))</f>
        <v/>
      </c>
      <c r="C2312">
        <f>IF(A2312="","",DATE(YEAR(A2312),12,31)-DATE(YEAR(A2312),1,1)+1)</f>
        <v/>
      </c>
      <c r="D2312">
        <f>IF(A2312="","",SUMIFS(Акты!$D$5:$D$16,Акты!$E$5:$E$16,"&lt;="&amp;A2312)-SUMIFS(Оплаты!$B$6:$B$505,Оплаты!$A$6:$A$505,"&lt;"&amp;A2312,Оплаты!$D$6:$D$505,"&lt;&gt;"))</f>
        <v/>
      </c>
      <c r="E2312">
        <f>IF(A2312="","",IF(SUMPRODUCT((Ввод!$F$12:$F$31&lt;&gt;"")*(Ввод!$F$12:$F$31&lt;=A2312)*(Ввод!$G$12:$G$31&gt;=A2312))&gt;0,1,0))</f>
        <v/>
      </c>
      <c r="G2312">
        <f>IF(A2312="","",IF(OR(B2312&lt;&gt;B2311,C2312&lt;&gt;C2311,E2312&lt;&gt;E2311),G2311+1,G2311))</f>
        <v/>
      </c>
    </row>
    <row r="2313">
      <c r="A2313" s="20">
        <f>IF(A2312="","",IF(A2312+1&gt;Ввод!$B$4,"",A2312+1))</f>
        <v/>
      </c>
      <c r="B2313">
        <f>IF(A2313="","",IFERROR(INDEX(Ввод!$B$12:$B$71,MATCH(A2313,Ввод!$D$12:$D$71,1)),""))</f>
        <v/>
      </c>
      <c r="C2313">
        <f>IF(A2313="","",DATE(YEAR(A2313),12,31)-DATE(YEAR(A2313),1,1)+1)</f>
        <v/>
      </c>
      <c r="D2313">
        <f>IF(A2313="","",SUMIFS(Акты!$D$5:$D$16,Акты!$E$5:$E$16,"&lt;="&amp;A2313)-SUMIFS(Оплаты!$B$6:$B$505,Оплаты!$A$6:$A$505,"&lt;"&amp;A2313,Оплаты!$D$6:$D$505,"&lt;&gt;"))</f>
        <v/>
      </c>
      <c r="E2313">
        <f>IF(A2313="","",IF(SUMPRODUCT((Ввод!$F$12:$F$31&lt;&gt;"")*(Ввод!$F$12:$F$31&lt;=A2313)*(Ввод!$G$12:$G$31&gt;=A2313))&gt;0,1,0))</f>
        <v/>
      </c>
      <c r="G2313">
        <f>IF(A2313="","",IF(OR(B2313&lt;&gt;B2312,C2313&lt;&gt;C2312,E2313&lt;&gt;E2312),G2312+1,G2312))</f>
        <v/>
      </c>
    </row>
    <row r="2314">
      <c r="A2314" s="20">
        <f>IF(A2313="","",IF(A2313+1&gt;Ввод!$B$4,"",A2313+1))</f>
        <v/>
      </c>
      <c r="B2314">
        <f>IF(A2314="","",IFERROR(INDEX(Ввод!$B$12:$B$71,MATCH(A2314,Ввод!$D$12:$D$71,1)),""))</f>
        <v/>
      </c>
      <c r="C2314">
        <f>IF(A2314="","",DATE(YEAR(A2314),12,31)-DATE(YEAR(A2314),1,1)+1)</f>
        <v/>
      </c>
      <c r="D2314">
        <f>IF(A2314="","",SUMIFS(Акты!$D$5:$D$16,Акты!$E$5:$E$16,"&lt;="&amp;A2314)-SUMIFS(Оплаты!$B$6:$B$505,Оплаты!$A$6:$A$505,"&lt;"&amp;A2314,Оплаты!$D$6:$D$505,"&lt;&gt;"))</f>
        <v/>
      </c>
      <c r="E2314">
        <f>IF(A2314="","",IF(SUMPRODUCT((Ввод!$F$12:$F$31&lt;&gt;"")*(Ввод!$F$12:$F$31&lt;=A2314)*(Ввод!$G$12:$G$31&gt;=A2314))&gt;0,1,0))</f>
        <v/>
      </c>
      <c r="G2314">
        <f>IF(A2314="","",IF(OR(B2314&lt;&gt;B2313,C2314&lt;&gt;C2313,E2314&lt;&gt;E2313),G2313+1,G2313))</f>
        <v/>
      </c>
    </row>
    <row r="2315">
      <c r="A2315" s="20">
        <f>IF(A2314="","",IF(A2314+1&gt;Ввод!$B$4,"",A2314+1))</f>
        <v/>
      </c>
      <c r="B2315">
        <f>IF(A2315="","",IFERROR(INDEX(Ввод!$B$12:$B$71,MATCH(A2315,Ввод!$D$12:$D$71,1)),""))</f>
        <v/>
      </c>
      <c r="C2315">
        <f>IF(A2315="","",DATE(YEAR(A2315),12,31)-DATE(YEAR(A2315),1,1)+1)</f>
        <v/>
      </c>
      <c r="D2315">
        <f>IF(A2315="","",SUMIFS(Акты!$D$5:$D$16,Акты!$E$5:$E$16,"&lt;="&amp;A2315)-SUMIFS(Оплаты!$B$6:$B$505,Оплаты!$A$6:$A$505,"&lt;"&amp;A2315,Оплаты!$D$6:$D$505,"&lt;&gt;"))</f>
        <v/>
      </c>
      <c r="E2315">
        <f>IF(A2315="","",IF(SUMPRODUCT((Ввод!$F$12:$F$31&lt;&gt;"")*(Ввод!$F$12:$F$31&lt;=A2315)*(Ввод!$G$12:$G$31&gt;=A2315))&gt;0,1,0))</f>
        <v/>
      </c>
      <c r="G2315">
        <f>IF(A2315="","",IF(OR(B2315&lt;&gt;B2314,C2315&lt;&gt;C2314,E2315&lt;&gt;E2314),G2314+1,G2314))</f>
        <v/>
      </c>
    </row>
    <row r="2316">
      <c r="A2316" s="20">
        <f>IF(A2315="","",IF(A2315+1&gt;Ввод!$B$4,"",A2315+1))</f>
        <v/>
      </c>
      <c r="B2316">
        <f>IF(A2316="","",IFERROR(INDEX(Ввод!$B$12:$B$71,MATCH(A2316,Ввод!$D$12:$D$71,1)),""))</f>
        <v/>
      </c>
      <c r="C2316">
        <f>IF(A2316="","",DATE(YEAR(A2316),12,31)-DATE(YEAR(A2316),1,1)+1)</f>
        <v/>
      </c>
      <c r="D2316">
        <f>IF(A2316="","",SUMIFS(Акты!$D$5:$D$16,Акты!$E$5:$E$16,"&lt;="&amp;A2316)-SUMIFS(Оплаты!$B$6:$B$505,Оплаты!$A$6:$A$505,"&lt;"&amp;A2316,Оплаты!$D$6:$D$505,"&lt;&gt;"))</f>
        <v/>
      </c>
      <c r="E2316">
        <f>IF(A2316="","",IF(SUMPRODUCT((Ввод!$F$12:$F$31&lt;&gt;"")*(Ввод!$F$12:$F$31&lt;=A2316)*(Ввод!$G$12:$G$31&gt;=A2316))&gt;0,1,0))</f>
        <v/>
      </c>
      <c r="G2316">
        <f>IF(A2316="","",IF(OR(B2316&lt;&gt;B2315,C2316&lt;&gt;C2315,E2316&lt;&gt;E2315),G2315+1,G2315))</f>
        <v/>
      </c>
    </row>
    <row r="2317">
      <c r="A2317" s="20">
        <f>IF(A2316="","",IF(A2316+1&gt;Ввод!$B$4,"",A2316+1))</f>
        <v/>
      </c>
      <c r="B2317">
        <f>IF(A2317="","",IFERROR(INDEX(Ввод!$B$12:$B$71,MATCH(A2317,Ввод!$D$12:$D$71,1)),""))</f>
        <v/>
      </c>
      <c r="C2317">
        <f>IF(A2317="","",DATE(YEAR(A2317),12,31)-DATE(YEAR(A2317),1,1)+1)</f>
        <v/>
      </c>
      <c r="D2317">
        <f>IF(A2317="","",SUMIFS(Акты!$D$5:$D$16,Акты!$E$5:$E$16,"&lt;="&amp;A2317)-SUMIFS(Оплаты!$B$6:$B$505,Оплаты!$A$6:$A$505,"&lt;"&amp;A2317,Оплаты!$D$6:$D$505,"&lt;&gt;"))</f>
        <v/>
      </c>
      <c r="E2317">
        <f>IF(A2317="","",IF(SUMPRODUCT((Ввод!$F$12:$F$31&lt;&gt;"")*(Ввод!$F$12:$F$31&lt;=A2317)*(Ввод!$G$12:$G$31&gt;=A2317))&gt;0,1,0))</f>
        <v/>
      </c>
      <c r="G2317">
        <f>IF(A2317="","",IF(OR(B2317&lt;&gt;B2316,C2317&lt;&gt;C2316,E2317&lt;&gt;E2316),G2316+1,G2316))</f>
        <v/>
      </c>
    </row>
    <row r="2318">
      <c r="A2318" s="20">
        <f>IF(A2317="","",IF(A2317+1&gt;Ввод!$B$4,"",A2317+1))</f>
        <v/>
      </c>
      <c r="B2318">
        <f>IF(A2318="","",IFERROR(INDEX(Ввод!$B$12:$B$71,MATCH(A2318,Ввод!$D$12:$D$71,1)),""))</f>
        <v/>
      </c>
      <c r="C2318">
        <f>IF(A2318="","",DATE(YEAR(A2318),12,31)-DATE(YEAR(A2318),1,1)+1)</f>
        <v/>
      </c>
      <c r="D2318">
        <f>IF(A2318="","",SUMIFS(Акты!$D$5:$D$16,Акты!$E$5:$E$16,"&lt;="&amp;A2318)-SUMIFS(Оплаты!$B$6:$B$505,Оплаты!$A$6:$A$505,"&lt;"&amp;A2318,Оплаты!$D$6:$D$505,"&lt;&gt;"))</f>
        <v/>
      </c>
      <c r="E2318">
        <f>IF(A2318="","",IF(SUMPRODUCT((Ввод!$F$12:$F$31&lt;&gt;"")*(Ввод!$F$12:$F$31&lt;=A2318)*(Ввод!$G$12:$G$31&gt;=A2318))&gt;0,1,0))</f>
        <v/>
      </c>
      <c r="G2318">
        <f>IF(A2318="","",IF(OR(B2318&lt;&gt;B2317,C2318&lt;&gt;C2317,E2318&lt;&gt;E2317),G2317+1,G2317))</f>
        <v/>
      </c>
    </row>
    <row r="2319">
      <c r="A2319" s="20">
        <f>IF(A2318="","",IF(A2318+1&gt;Ввод!$B$4,"",A2318+1))</f>
        <v/>
      </c>
      <c r="B2319">
        <f>IF(A2319="","",IFERROR(INDEX(Ввод!$B$12:$B$71,MATCH(A2319,Ввод!$D$12:$D$71,1)),""))</f>
        <v/>
      </c>
      <c r="C2319">
        <f>IF(A2319="","",DATE(YEAR(A2319),12,31)-DATE(YEAR(A2319),1,1)+1)</f>
        <v/>
      </c>
      <c r="D2319">
        <f>IF(A2319="","",SUMIFS(Акты!$D$5:$D$16,Акты!$E$5:$E$16,"&lt;="&amp;A2319)-SUMIFS(Оплаты!$B$6:$B$505,Оплаты!$A$6:$A$505,"&lt;"&amp;A2319,Оплаты!$D$6:$D$505,"&lt;&gt;"))</f>
        <v/>
      </c>
      <c r="E2319">
        <f>IF(A2319="","",IF(SUMPRODUCT((Ввод!$F$12:$F$31&lt;&gt;"")*(Ввод!$F$12:$F$31&lt;=A2319)*(Ввод!$G$12:$G$31&gt;=A2319))&gt;0,1,0))</f>
        <v/>
      </c>
      <c r="G2319">
        <f>IF(A2319="","",IF(OR(B2319&lt;&gt;B2318,C2319&lt;&gt;C2318,E2319&lt;&gt;E2318),G2318+1,G2318))</f>
        <v/>
      </c>
    </row>
    <row r="2320">
      <c r="A2320" s="20">
        <f>IF(A2319="","",IF(A2319+1&gt;Ввод!$B$4,"",A2319+1))</f>
        <v/>
      </c>
      <c r="B2320">
        <f>IF(A2320="","",IFERROR(INDEX(Ввод!$B$12:$B$71,MATCH(A2320,Ввод!$D$12:$D$71,1)),""))</f>
        <v/>
      </c>
      <c r="C2320">
        <f>IF(A2320="","",DATE(YEAR(A2320),12,31)-DATE(YEAR(A2320),1,1)+1)</f>
        <v/>
      </c>
      <c r="D2320">
        <f>IF(A2320="","",SUMIFS(Акты!$D$5:$D$16,Акты!$E$5:$E$16,"&lt;="&amp;A2320)-SUMIFS(Оплаты!$B$6:$B$505,Оплаты!$A$6:$A$505,"&lt;"&amp;A2320,Оплаты!$D$6:$D$505,"&lt;&gt;"))</f>
        <v/>
      </c>
      <c r="E2320">
        <f>IF(A2320="","",IF(SUMPRODUCT((Ввод!$F$12:$F$31&lt;&gt;"")*(Ввод!$F$12:$F$31&lt;=A2320)*(Ввод!$G$12:$G$31&gt;=A2320))&gt;0,1,0))</f>
        <v/>
      </c>
      <c r="G2320">
        <f>IF(A2320="","",IF(OR(B2320&lt;&gt;B2319,C2320&lt;&gt;C2319,E2320&lt;&gt;E2319),G2319+1,G2319))</f>
        <v/>
      </c>
    </row>
    <row r="2321">
      <c r="A2321" s="20">
        <f>IF(A2320="","",IF(A2320+1&gt;Ввод!$B$4,"",A2320+1))</f>
        <v/>
      </c>
      <c r="B2321">
        <f>IF(A2321="","",IFERROR(INDEX(Ввод!$B$12:$B$71,MATCH(A2321,Ввод!$D$12:$D$71,1)),""))</f>
        <v/>
      </c>
      <c r="C2321">
        <f>IF(A2321="","",DATE(YEAR(A2321),12,31)-DATE(YEAR(A2321),1,1)+1)</f>
        <v/>
      </c>
      <c r="D2321">
        <f>IF(A2321="","",SUMIFS(Акты!$D$5:$D$16,Акты!$E$5:$E$16,"&lt;="&amp;A2321)-SUMIFS(Оплаты!$B$6:$B$505,Оплаты!$A$6:$A$505,"&lt;"&amp;A2321,Оплаты!$D$6:$D$505,"&lt;&gt;"))</f>
        <v/>
      </c>
      <c r="E2321">
        <f>IF(A2321="","",IF(SUMPRODUCT((Ввод!$F$12:$F$31&lt;&gt;"")*(Ввод!$F$12:$F$31&lt;=A2321)*(Ввод!$G$12:$G$31&gt;=A2321))&gt;0,1,0))</f>
        <v/>
      </c>
      <c r="G2321">
        <f>IF(A2321="","",IF(OR(B2321&lt;&gt;B2320,C2321&lt;&gt;C2320,E2321&lt;&gt;E2320),G2320+1,G2320))</f>
        <v/>
      </c>
    </row>
    <row r="2322">
      <c r="A2322" s="20">
        <f>IF(A2321="","",IF(A2321+1&gt;Ввод!$B$4,"",A2321+1))</f>
        <v/>
      </c>
      <c r="B2322">
        <f>IF(A2322="","",IFERROR(INDEX(Ввод!$B$12:$B$71,MATCH(A2322,Ввод!$D$12:$D$71,1)),""))</f>
        <v/>
      </c>
      <c r="C2322">
        <f>IF(A2322="","",DATE(YEAR(A2322),12,31)-DATE(YEAR(A2322),1,1)+1)</f>
        <v/>
      </c>
      <c r="D2322">
        <f>IF(A2322="","",SUMIFS(Акты!$D$5:$D$16,Акты!$E$5:$E$16,"&lt;="&amp;A2322)-SUMIFS(Оплаты!$B$6:$B$505,Оплаты!$A$6:$A$505,"&lt;"&amp;A2322,Оплаты!$D$6:$D$505,"&lt;&gt;"))</f>
        <v/>
      </c>
      <c r="E2322">
        <f>IF(A2322="","",IF(SUMPRODUCT((Ввод!$F$12:$F$31&lt;&gt;"")*(Ввод!$F$12:$F$31&lt;=A2322)*(Ввод!$G$12:$G$31&gt;=A2322))&gt;0,1,0))</f>
        <v/>
      </c>
      <c r="G2322">
        <f>IF(A2322="","",IF(OR(B2322&lt;&gt;B2321,C2322&lt;&gt;C2321,E2322&lt;&gt;E2321),G2321+1,G2321))</f>
        <v/>
      </c>
    </row>
    <row r="2323">
      <c r="A2323" s="20">
        <f>IF(A2322="","",IF(A2322+1&gt;Ввод!$B$4,"",A2322+1))</f>
        <v/>
      </c>
      <c r="B2323">
        <f>IF(A2323="","",IFERROR(INDEX(Ввод!$B$12:$B$71,MATCH(A2323,Ввод!$D$12:$D$71,1)),""))</f>
        <v/>
      </c>
      <c r="C2323">
        <f>IF(A2323="","",DATE(YEAR(A2323),12,31)-DATE(YEAR(A2323),1,1)+1)</f>
        <v/>
      </c>
      <c r="D2323">
        <f>IF(A2323="","",SUMIFS(Акты!$D$5:$D$16,Акты!$E$5:$E$16,"&lt;="&amp;A2323)-SUMIFS(Оплаты!$B$6:$B$505,Оплаты!$A$6:$A$505,"&lt;"&amp;A2323,Оплаты!$D$6:$D$505,"&lt;&gt;"))</f>
        <v/>
      </c>
      <c r="E2323">
        <f>IF(A2323="","",IF(SUMPRODUCT((Ввод!$F$12:$F$31&lt;&gt;"")*(Ввод!$F$12:$F$31&lt;=A2323)*(Ввод!$G$12:$G$31&gt;=A2323))&gt;0,1,0))</f>
        <v/>
      </c>
      <c r="G2323">
        <f>IF(A2323="","",IF(OR(B2323&lt;&gt;B2322,C2323&lt;&gt;C2322,E2323&lt;&gt;E2322),G2322+1,G2322))</f>
        <v/>
      </c>
    </row>
    <row r="2324">
      <c r="A2324" s="20">
        <f>IF(A2323="","",IF(A2323+1&gt;Ввод!$B$4,"",A2323+1))</f>
        <v/>
      </c>
      <c r="B2324">
        <f>IF(A2324="","",IFERROR(INDEX(Ввод!$B$12:$B$71,MATCH(A2324,Ввод!$D$12:$D$71,1)),""))</f>
        <v/>
      </c>
      <c r="C2324">
        <f>IF(A2324="","",DATE(YEAR(A2324),12,31)-DATE(YEAR(A2324),1,1)+1)</f>
        <v/>
      </c>
      <c r="D2324">
        <f>IF(A2324="","",SUMIFS(Акты!$D$5:$D$16,Акты!$E$5:$E$16,"&lt;="&amp;A2324)-SUMIFS(Оплаты!$B$6:$B$505,Оплаты!$A$6:$A$505,"&lt;"&amp;A2324,Оплаты!$D$6:$D$505,"&lt;&gt;"))</f>
        <v/>
      </c>
      <c r="E2324">
        <f>IF(A2324="","",IF(SUMPRODUCT((Ввод!$F$12:$F$31&lt;&gt;"")*(Ввод!$F$12:$F$31&lt;=A2324)*(Ввод!$G$12:$G$31&gt;=A2324))&gt;0,1,0))</f>
        <v/>
      </c>
      <c r="G2324">
        <f>IF(A2324="","",IF(OR(B2324&lt;&gt;B2323,C2324&lt;&gt;C2323,E2324&lt;&gt;E2323),G2323+1,G2323))</f>
        <v/>
      </c>
    </row>
    <row r="2325">
      <c r="A2325" s="20">
        <f>IF(A2324="","",IF(A2324+1&gt;Ввод!$B$4,"",A2324+1))</f>
        <v/>
      </c>
      <c r="B2325">
        <f>IF(A2325="","",IFERROR(INDEX(Ввод!$B$12:$B$71,MATCH(A2325,Ввод!$D$12:$D$71,1)),""))</f>
        <v/>
      </c>
      <c r="C2325">
        <f>IF(A2325="","",DATE(YEAR(A2325),12,31)-DATE(YEAR(A2325),1,1)+1)</f>
        <v/>
      </c>
      <c r="D2325">
        <f>IF(A2325="","",SUMIFS(Акты!$D$5:$D$16,Акты!$E$5:$E$16,"&lt;="&amp;A2325)-SUMIFS(Оплаты!$B$6:$B$505,Оплаты!$A$6:$A$505,"&lt;"&amp;A2325,Оплаты!$D$6:$D$505,"&lt;&gt;"))</f>
        <v/>
      </c>
      <c r="E2325">
        <f>IF(A2325="","",IF(SUMPRODUCT((Ввод!$F$12:$F$31&lt;&gt;"")*(Ввод!$F$12:$F$31&lt;=A2325)*(Ввод!$G$12:$G$31&gt;=A2325))&gt;0,1,0))</f>
        <v/>
      </c>
      <c r="G2325">
        <f>IF(A2325="","",IF(OR(B2325&lt;&gt;B2324,C2325&lt;&gt;C2324,E2325&lt;&gt;E2324),G2324+1,G2324))</f>
        <v/>
      </c>
    </row>
    <row r="2326">
      <c r="A2326" s="20">
        <f>IF(A2325="","",IF(A2325+1&gt;Ввод!$B$4,"",A2325+1))</f>
        <v/>
      </c>
      <c r="B2326">
        <f>IF(A2326="","",IFERROR(INDEX(Ввод!$B$12:$B$71,MATCH(A2326,Ввод!$D$12:$D$71,1)),""))</f>
        <v/>
      </c>
      <c r="C2326">
        <f>IF(A2326="","",DATE(YEAR(A2326),12,31)-DATE(YEAR(A2326),1,1)+1)</f>
        <v/>
      </c>
      <c r="D2326">
        <f>IF(A2326="","",SUMIFS(Акты!$D$5:$D$16,Акты!$E$5:$E$16,"&lt;="&amp;A2326)-SUMIFS(Оплаты!$B$6:$B$505,Оплаты!$A$6:$A$505,"&lt;"&amp;A2326,Оплаты!$D$6:$D$505,"&lt;&gt;"))</f>
        <v/>
      </c>
      <c r="E2326">
        <f>IF(A2326="","",IF(SUMPRODUCT((Ввод!$F$12:$F$31&lt;&gt;"")*(Ввод!$F$12:$F$31&lt;=A2326)*(Ввод!$G$12:$G$31&gt;=A2326))&gt;0,1,0))</f>
        <v/>
      </c>
      <c r="G2326">
        <f>IF(A2326="","",IF(OR(B2326&lt;&gt;B2325,C2326&lt;&gt;C2325,E2326&lt;&gt;E2325),G2325+1,G2325))</f>
        <v/>
      </c>
    </row>
    <row r="2327">
      <c r="A2327" s="20">
        <f>IF(A2326="","",IF(A2326+1&gt;Ввод!$B$4,"",A2326+1))</f>
        <v/>
      </c>
      <c r="B2327">
        <f>IF(A2327="","",IFERROR(INDEX(Ввод!$B$12:$B$71,MATCH(A2327,Ввод!$D$12:$D$71,1)),""))</f>
        <v/>
      </c>
      <c r="C2327">
        <f>IF(A2327="","",DATE(YEAR(A2327),12,31)-DATE(YEAR(A2327),1,1)+1)</f>
        <v/>
      </c>
      <c r="D2327">
        <f>IF(A2327="","",SUMIFS(Акты!$D$5:$D$16,Акты!$E$5:$E$16,"&lt;="&amp;A2327)-SUMIFS(Оплаты!$B$6:$B$505,Оплаты!$A$6:$A$505,"&lt;"&amp;A2327,Оплаты!$D$6:$D$505,"&lt;&gt;"))</f>
        <v/>
      </c>
      <c r="E2327">
        <f>IF(A2327="","",IF(SUMPRODUCT((Ввод!$F$12:$F$31&lt;&gt;"")*(Ввод!$F$12:$F$31&lt;=A2327)*(Ввод!$G$12:$G$31&gt;=A2327))&gt;0,1,0))</f>
        <v/>
      </c>
      <c r="G2327">
        <f>IF(A2327="","",IF(OR(B2327&lt;&gt;B2326,C2327&lt;&gt;C2326,E2327&lt;&gt;E2326),G2326+1,G2326))</f>
        <v/>
      </c>
    </row>
    <row r="2328">
      <c r="A2328" s="20">
        <f>IF(A2327="","",IF(A2327+1&gt;Ввод!$B$4,"",A2327+1))</f>
        <v/>
      </c>
      <c r="B2328">
        <f>IF(A2328="","",IFERROR(INDEX(Ввод!$B$12:$B$71,MATCH(A2328,Ввод!$D$12:$D$71,1)),""))</f>
        <v/>
      </c>
      <c r="C2328">
        <f>IF(A2328="","",DATE(YEAR(A2328),12,31)-DATE(YEAR(A2328),1,1)+1)</f>
        <v/>
      </c>
      <c r="D2328">
        <f>IF(A2328="","",SUMIFS(Акты!$D$5:$D$16,Акты!$E$5:$E$16,"&lt;="&amp;A2328)-SUMIFS(Оплаты!$B$6:$B$505,Оплаты!$A$6:$A$505,"&lt;"&amp;A2328,Оплаты!$D$6:$D$505,"&lt;&gt;"))</f>
        <v/>
      </c>
      <c r="E2328">
        <f>IF(A2328="","",IF(SUMPRODUCT((Ввод!$F$12:$F$31&lt;&gt;"")*(Ввод!$F$12:$F$31&lt;=A2328)*(Ввод!$G$12:$G$31&gt;=A2328))&gt;0,1,0))</f>
        <v/>
      </c>
      <c r="G2328">
        <f>IF(A2328="","",IF(OR(B2328&lt;&gt;B2327,C2328&lt;&gt;C2327,E2328&lt;&gt;E2327),G2327+1,G2327))</f>
        <v/>
      </c>
    </row>
    <row r="2329">
      <c r="A2329" s="20">
        <f>IF(A2328="","",IF(A2328+1&gt;Ввод!$B$4,"",A2328+1))</f>
        <v/>
      </c>
      <c r="B2329">
        <f>IF(A2329="","",IFERROR(INDEX(Ввод!$B$12:$B$71,MATCH(A2329,Ввод!$D$12:$D$71,1)),""))</f>
        <v/>
      </c>
      <c r="C2329">
        <f>IF(A2329="","",DATE(YEAR(A2329),12,31)-DATE(YEAR(A2329),1,1)+1)</f>
        <v/>
      </c>
      <c r="D2329">
        <f>IF(A2329="","",SUMIFS(Акты!$D$5:$D$16,Акты!$E$5:$E$16,"&lt;="&amp;A2329)-SUMIFS(Оплаты!$B$6:$B$505,Оплаты!$A$6:$A$505,"&lt;"&amp;A2329,Оплаты!$D$6:$D$505,"&lt;&gt;"))</f>
        <v/>
      </c>
      <c r="E2329">
        <f>IF(A2329="","",IF(SUMPRODUCT((Ввод!$F$12:$F$31&lt;&gt;"")*(Ввод!$F$12:$F$31&lt;=A2329)*(Ввод!$G$12:$G$31&gt;=A2329))&gt;0,1,0))</f>
        <v/>
      </c>
      <c r="G2329">
        <f>IF(A2329="","",IF(OR(B2329&lt;&gt;B2328,C2329&lt;&gt;C2328,E2329&lt;&gt;E2328),G2328+1,G2328))</f>
        <v/>
      </c>
    </row>
    <row r="2330">
      <c r="A2330" s="20">
        <f>IF(A2329="","",IF(A2329+1&gt;Ввод!$B$4,"",A2329+1))</f>
        <v/>
      </c>
      <c r="B2330">
        <f>IF(A2330="","",IFERROR(INDEX(Ввод!$B$12:$B$71,MATCH(A2330,Ввод!$D$12:$D$71,1)),""))</f>
        <v/>
      </c>
      <c r="C2330">
        <f>IF(A2330="","",DATE(YEAR(A2330),12,31)-DATE(YEAR(A2330),1,1)+1)</f>
        <v/>
      </c>
      <c r="D2330">
        <f>IF(A2330="","",SUMIFS(Акты!$D$5:$D$16,Акты!$E$5:$E$16,"&lt;="&amp;A2330)-SUMIFS(Оплаты!$B$6:$B$505,Оплаты!$A$6:$A$505,"&lt;"&amp;A2330,Оплаты!$D$6:$D$505,"&lt;&gt;"))</f>
        <v/>
      </c>
      <c r="E2330">
        <f>IF(A2330="","",IF(SUMPRODUCT((Ввод!$F$12:$F$31&lt;&gt;"")*(Ввод!$F$12:$F$31&lt;=A2330)*(Ввод!$G$12:$G$31&gt;=A2330))&gt;0,1,0))</f>
        <v/>
      </c>
      <c r="G2330">
        <f>IF(A2330="","",IF(OR(B2330&lt;&gt;B2329,C2330&lt;&gt;C2329,E2330&lt;&gt;E2329),G2329+1,G2329))</f>
        <v/>
      </c>
    </row>
    <row r="2331">
      <c r="A2331" s="20">
        <f>IF(A2330="","",IF(A2330+1&gt;Ввод!$B$4,"",A2330+1))</f>
        <v/>
      </c>
      <c r="B2331">
        <f>IF(A2331="","",IFERROR(INDEX(Ввод!$B$12:$B$71,MATCH(A2331,Ввод!$D$12:$D$71,1)),""))</f>
        <v/>
      </c>
      <c r="C2331">
        <f>IF(A2331="","",DATE(YEAR(A2331),12,31)-DATE(YEAR(A2331),1,1)+1)</f>
        <v/>
      </c>
      <c r="D2331">
        <f>IF(A2331="","",SUMIFS(Акты!$D$5:$D$16,Акты!$E$5:$E$16,"&lt;="&amp;A2331)-SUMIFS(Оплаты!$B$6:$B$505,Оплаты!$A$6:$A$505,"&lt;"&amp;A2331,Оплаты!$D$6:$D$505,"&lt;&gt;"))</f>
        <v/>
      </c>
      <c r="E2331">
        <f>IF(A2331="","",IF(SUMPRODUCT((Ввод!$F$12:$F$31&lt;&gt;"")*(Ввод!$F$12:$F$31&lt;=A2331)*(Ввод!$G$12:$G$31&gt;=A2331))&gt;0,1,0))</f>
        <v/>
      </c>
      <c r="G2331">
        <f>IF(A2331="","",IF(OR(B2331&lt;&gt;B2330,C2331&lt;&gt;C2330,E2331&lt;&gt;E2330),G2330+1,G2330))</f>
        <v/>
      </c>
    </row>
    <row r="2332">
      <c r="A2332" s="20">
        <f>IF(A2331="","",IF(A2331+1&gt;Ввод!$B$4,"",A2331+1))</f>
        <v/>
      </c>
      <c r="B2332">
        <f>IF(A2332="","",IFERROR(INDEX(Ввод!$B$12:$B$71,MATCH(A2332,Ввод!$D$12:$D$71,1)),""))</f>
        <v/>
      </c>
      <c r="C2332">
        <f>IF(A2332="","",DATE(YEAR(A2332),12,31)-DATE(YEAR(A2332),1,1)+1)</f>
        <v/>
      </c>
      <c r="D2332">
        <f>IF(A2332="","",SUMIFS(Акты!$D$5:$D$16,Акты!$E$5:$E$16,"&lt;="&amp;A2332)-SUMIFS(Оплаты!$B$6:$B$505,Оплаты!$A$6:$A$505,"&lt;"&amp;A2332,Оплаты!$D$6:$D$505,"&lt;&gt;"))</f>
        <v/>
      </c>
      <c r="E2332">
        <f>IF(A2332="","",IF(SUMPRODUCT((Ввод!$F$12:$F$31&lt;&gt;"")*(Ввод!$F$12:$F$31&lt;=A2332)*(Ввод!$G$12:$G$31&gt;=A2332))&gt;0,1,0))</f>
        <v/>
      </c>
      <c r="G2332">
        <f>IF(A2332="","",IF(OR(B2332&lt;&gt;B2331,C2332&lt;&gt;C2331,E2332&lt;&gt;E2331),G2331+1,G2331))</f>
        <v/>
      </c>
    </row>
    <row r="2333">
      <c r="A2333" s="20">
        <f>IF(A2332="","",IF(A2332+1&gt;Ввод!$B$4,"",A2332+1))</f>
        <v/>
      </c>
      <c r="B2333">
        <f>IF(A2333="","",IFERROR(INDEX(Ввод!$B$12:$B$71,MATCH(A2333,Ввод!$D$12:$D$71,1)),""))</f>
        <v/>
      </c>
      <c r="C2333">
        <f>IF(A2333="","",DATE(YEAR(A2333),12,31)-DATE(YEAR(A2333),1,1)+1)</f>
        <v/>
      </c>
      <c r="D2333">
        <f>IF(A2333="","",SUMIFS(Акты!$D$5:$D$16,Акты!$E$5:$E$16,"&lt;="&amp;A2333)-SUMIFS(Оплаты!$B$6:$B$505,Оплаты!$A$6:$A$505,"&lt;"&amp;A2333,Оплаты!$D$6:$D$505,"&lt;&gt;"))</f>
        <v/>
      </c>
      <c r="E2333">
        <f>IF(A2333="","",IF(SUMPRODUCT((Ввод!$F$12:$F$31&lt;&gt;"")*(Ввод!$F$12:$F$31&lt;=A2333)*(Ввод!$G$12:$G$31&gt;=A2333))&gt;0,1,0))</f>
        <v/>
      </c>
      <c r="G2333">
        <f>IF(A2333="","",IF(OR(B2333&lt;&gt;B2332,C2333&lt;&gt;C2332,E2333&lt;&gt;E2332),G2332+1,G2332))</f>
        <v/>
      </c>
    </row>
    <row r="2334">
      <c r="A2334" s="20">
        <f>IF(A2333="","",IF(A2333+1&gt;Ввод!$B$4,"",A2333+1))</f>
        <v/>
      </c>
      <c r="B2334">
        <f>IF(A2334="","",IFERROR(INDEX(Ввод!$B$12:$B$71,MATCH(A2334,Ввод!$D$12:$D$71,1)),""))</f>
        <v/>
      </c>
      <c r="C2334">
        <f>IF(A2334="","",DATE(YEAR(A2334),12,31)-DATE(YEAR(A2334),1,1)+1)</f>
        <v/>
      </c>
      <c r="D2334">
        <f>IF(A2334="","",SUMIFS(Акты!$D$5:$D$16,Акты!$E$5:$E$16,"&lt;="&amp;A2334)-SUMIFS(Оплаты!$B$6:$B$505,Оплаты!$A$6:$A$505,"&lt;"&amp;A2334,Оплаты!$D$6:$D$505,"&lt;&gt;"))</f>
        <v/>
      </c>
      <c r="E2334">
        <f>IF(A2334="","",IF(SUMPRODUCT((Ввод!$F$12:$F$31&lt;&gt;"")*(Ввод!$F$12:$F$31&lt;=A2334)*(Ввод!$G$12:$G$31&gt;=A2334))&gt;0,1,0))</f>
        <v/>
      </c>
      <c r="G2334">
        <f>IF(A2334="","",IF(OR(B2334&lt;&gt;B2333,C2334&lt;&gt;C2333,E2334&lt;&gt;E2333),G2333+1,G2333))</f>
        <v/>
      </c>
    </row>
    <row r="2335">
      <c r="A2335" s="20">
        <f>IF(A2334="","",IF(A2334+1&gt;Ввод!$B$4,"",A2334+1))</f>
        <v/>
      </c>
      <c r="B2335">
        <f>IF(A2335="","",IFERROR(INDEX(Ввод!$B$12:$B$71,MATCH(A2335,Ввод!$D$12:$D$71,1)),""))</f>
        <v/>
      </c>
      <c r="C2335">
        <f>IF(A2335="","",DATE(YEAR(A2335),12,31)-DATE(YEAR(A2335),1,1)+1)</f>
        <v/>
      </c>
      <c r="D2335">
        <f>IF(A2335="","",SUMIFS(Акты!$D$5:$D$16,Акты!$E$5:$E$16,"&lt;="&amp;A2335)-SUMIFS(Оплаты!$B$6:$B$505,Оплаты!$A$6:$A$505,"&lt;"&amp;A2335,Оплаты!$D$6:$D$505,"&lt;&gt;"))</f>
        <v/>
      </c>
      <c r="E2335">
        <f>IF(A2335="","",IF(SUMPRODUCT((Ввод!$F$12:$F$31&lt;&gt;"")*(Ввод!$F$12:$F$31&lt;=A2335)*(Ввод!$G$12:$G$31&gt;=A2335))&gt;0,1,0))</f>
        <v/>
      </c>
      <c r="G2335">
        <f>IF(A2335="","",IF(OR(B2335&lt;&gt;B2334,C2335&lt;&gt;C2334,E2335&lt;&gt;E2334),G2334+1,G2334))</f>
        <v/>
      </c>
    </row>
    <row r="2336">
      <c r="A2336" s="20">
        <f>IF(A2335="","",IF(A2335+1&gt;Ввод!$B$4,"",A2335+1))</f>
        <v/>
      </c>
      <c r="B2336">
        <f>IF(A2336="","",IFERROR(INDEX(Ввод!$B$12:$B$71,MATCH(A2336,Ввод!$D$12:$D$71,1)),""))</f>
        <v/>
      </c>
      <c r="C2336">
        <f>IF(A2336="","",DATE(YEAR(A2336),12,31)-DATE(YEAR(A2336),1,1)+1)</f>
        <v/>
      </c>
      <c r="D2336">
        <f>IF(A2336="","",SUMIFS(Акты!$D$5:$D$16,Акты!$E$5:$E$16,"&lt;="&amp;A2336)-SUMIFS(Оплаты!$B$6:$B$505,Оплаты!$A$6:$A$505,"&lt;"&amp;A2336,Оплаты!$D$6:$D$505,"&lt;&gt;"))</f>
        <v/>
      </c>
      <c r="E2336">
        <f>IF(A2336="","",IF(SUMPRODUCT((Ввод!$F$12:$F$31&lt;&gt;"")*(Ввод!$F$12:$F$31&lt;=A2336)*(Ввод!$G$12:$G$31&gt;=A2336))&gt;0,1,0))</f>
        <v/>
      </c>
      <c r="G2336">
        <f>IF(A2336="","",IF(OR(B2336&lt;&gt;B2335,C2336&lt;&gt;C2335,E2336&lt;&gt;E2335),G2335+1,G2335))</f>
        <v/>
      </c>
    </row>
    <row r="2337">
      <c r="A2337" s="20">
        <f>IF(A2336="","",IF(A2336+1&gt;Ввод!$B$4,"",A2336+1))</f>
        <v/>
      </c>
      <c r="B2337">
        <f>IF(A2337="","",IFERROR(INDEX(Ввод!$B$12:$B$71,MATCH(A2337,Ввод!$D$12:$D$71,1)),""))</f>
        <v/>
      </c>
      <c r="C2337">
        <f>IF(A2337="","",DATE(YEAR(A2337),12,31)-DATE(YEAR(A2337),1,1)+1)</f>
        <v/>
      </c>
      <c r="D2337">
        <f>IF(A2337="","",SUMIFS(Акты!$D$5:$D$16,Акты!$E$5:$E$16,"&lt;="&amp;A2337)-SUMIFS(Оплаты!$B$6:$B$505,Оплаты!$A$6:$A$505,"&lt;"&amp;A2337,Оплаты!$D$6:$D$505,"&lt;&gt;"))</f>
        <v/>
      </c>
      <c r="E2337">
        <f>IF(A2337="","",IF(SUMPRODUCT((Ввод!$F$12:$F$31&lt;&gt;"")*(Ввод!$F$12:$F$31&lt;=A2337)*(Ввод!$G$12:$G$31&gt;=A2337))&gt;0,1,0))</f>
        <v/>
      </c>
      <c r="G2337">
        <f>IF(A2337="","",IF(OR(B2337&lt;&gt;B2336,C2337&lt;&gt;C2336,E2337&lt;&gt;E2336),G2336+1,G2336))</f>
        <v/>
      </c>
    </row>
    <row r="2338">
      <c r="A2338" s="20">
        <f>IF(A2337="","",IF(A2337+1&gt;Ввод!$B$4,"",A2337+1))</f>
        <v/>
      </c>
      <c r="B2338">
        <f>IF(A2338="","",IFERROR(INDEX(Ввод!$B$12:$B$71,MATCH(A2338,Ввод!$D$12:$D$71,1)),""))</f>
        <v/>
      </c>
      <c r="C2338">
        <f>IF(A2338="","",DATE(YEAR(A2338),12,31)-DATE(YEAR(A2338),1,1)+1)</f>
        <v/>
      </c>
      <c r="D2338">
        <f>IF(A2338="","",SUMIFS(Акты!$D$5:$D$16,Акты!$E$5:$E$16,"&lt;="&amp;A2338)-SUMIFS(Оплаты!$B$6:$B$505,Оплаты!$A$6:$A$505,"&lt;"&amp;A2338,Оплаты!$D$6:$D$505,"&lt;&gt;"))</f>
        <v/>
      </c>
      <c r="E2338">
        <f>IF(A2338="","",IF(SUMPRODUCT((Ввод!$F$12:$F$31&lt;&gt;"")*(Ввод!$F$12:$F$31&lt;=A2338)*(Ввод!$G$12:$G$31&gt;=A2338))&gt;0,1,0))</f>
        <v/>
      </c>
      <c r="G2338">
        <f>IF(A2338="","",IF(OR(B2338&lt;&gt;B2337,C2338&lt;&gt;C2337,E2338&lt;&gt;E2337),G2337+1,G2337))</f>
        <v/>
      </c>
    </row>
    <row r="2339">
      <c r="A2339" s="20">
        <f>IF(A2338="","",IF(A2338+1&gt;Ввод!$B$4,"",A2338+1))</f>
        <v/>
      </c>
      <c r="B2339">
        <f>IF(A2339="","",IFERROR(INDEX(Ввод!$B$12:$B$71,MATCH(A2339,Ввод!$D$12:$D$71,1)),""))</f>
        <v/>
      </c>
      <c r="C2339">
        <f>IF(A2339="","",DATE(YEAR(A2339),12,31)-DATE(YEAR(A2339),1,1)+1)</f>
        <v/>
      </c>
      <c r="D2339">
        <f>IF(A2339="","",SUMIFS(Акты!$D$5:$D$16,Акты!$E$5:$E$16,"&lt;="&amp;A2339)-SUMIFS(Оплаты!$B$6:$B$505,Оплаты!$A$6:$A$505,"&lt;"&amp;A2339,Оплаты!$D$6:$D$505,"&lt;&gt;"))</f>
        <v/>
      </c>
      <c r="E2339">
        <f>IF(A2339="","",IF(SUMPRODUCT((Ввод!$F$12:$F$31&lt;&gt;"")*(Ввод!$F$12:$F$31&lt;=A2339)*(Ввод!$G$12:$G$31&gt;=A2339))&gt;0,1,0))</f>
        <v/>
      </c>
      <c r="G2339">
        <f>IF(A2339="","",IF(OR(B2339&lt;&gt;B2338,C2339&lt;&gt;C2338,E2339&lt;&gt;E2338),G2338+1,G2338))</f>
        <v/>
      </c>
    </row>
    <row r="2340">
      <c r="A2340" s="20">
        <f>IF(A2339="","",IF(A2339+1&gt;Ввод!$B$4,"",A2339+1))</f>
        <v/>
      </c>
      <c r="B2340">
        <f>IF(A2340="","",IFERROR(INDEX(Ввод!$B$12:$B$71,MATCH(A2340,Ввод!$D$12:$D$71,1)),""))</f>
        <v/>
      </c>
      <c r="C2340">
        <f>IF(A2340="","",DATE(YEAR(A2340),12,31)-DATE(YEAR(A2340),1,1)+1)</f>
        <v/>
      </c>
      <c r="D2340">
        <f>IF(A2340="","",SUMIFS(Акты!$D$5:$D$16,Акты!$E$5:$E$16,"&lt;="&amp;A2340)-SUMIFS(Оплаты!$B$6:$B$505,Оплаты!$A$6:$A$505,"&lt;"&amp;A2340,Оплаты!$D$6:$D$505,"&lt;&gt;"))</f>
        <v/>
      </c>
      <c r="E2340">
        <f>IF(A2340="","",IF(SUMPRODUCT((Ввод!$F$12:$F$31&lt;&gt;"")*(Ввод!$F$12:$F$31&lt;=A2340)*(Ввод!$G$12:$G$31&gt;=A2340))&gt;0,1,0))</f>
        <v/>
      </c>
      <c r="G2340">
        <f>IF(A2340="","",IF(OR(B2340&lt;&gt;B2339,C2340&lt;&gt;C2339,E2340&lt;&gt;E2339),G2339+1,G2339))</f>
        <v/>
      </c>
    </row>
    <row r="2341">
      <c r="A2341" s="20">
        <f>IF(A2340="","",IF(A2340+1&gt;Ввод!$B$4,"",A2340+1))</f>
        <v/>
      </c>
      <c r="B2341">
        <f>IF(A2341="","",IFERROR(INDEX(Ввод!$B$12:$B$71,MATCH(A2341,Ввод!$D$12:$D$71,1)),""))</f>
        <v/>
      </c>
      <c r="C2341">
        <f>IF(A2341="","",DATE(YEAR(A2341),12,31)-DATE(YEAR(A2341),1,1)+1)</f>
        <v/>
      </c>
      <c r="D2341">
        <f>IF(A2341="","",SUMIFS(Акты!$D$5:$D$16,Акты!$E$5:$E$16,"&lt;="&amp;A2341)-SUMIFS(Оплаты!$B$6:$B$505,Оплаты!$A$6:$A$505,"&lt;"&amp;A2341,Оплаты!$D$6:$D$505,"&lt;&gt;"))</f>
        <v/>
      </c>
      <c r="E2341">
        <f>IF(A2341="","",IF(SUMPRODUCT((Ввод!$F$12:$F$31&lt;&gt;"")*(Ввод!$F$12:$F$31&lt;=A2341)*(Ввод!$G$12:$G$31&gt;=A2341))&gt;0,1,0))</f>
        <v/>
      </c>
      <c r="G2341">
        <f>IF(A2341="","",IF(OR(B2341&lt;&gt;B2340,C2341&lt;&gt;C2340,E2341&lt;&gt;E2340),G2340+1,G2340))</f>
        <v/>
      </c>
    </row>
    <row r="2342">
      <c r="A2342" s="20">
        <f>IF(A2341="","",IF(A2341+1&gt;Ввод!$B$4,"",A2341+1))</f>
        <v/>
      </c>
      <c r="B2342">
        <f>IF(A2342="","",IFERROR(INDEX(Ввод!$B$12:$B$71,MATCH(A2342,Ввод!$D$12:$D$71,1)),""))</f>
        <v/>
      </c>
      <c r="C2342">
        <f>IF(A2342="","",DATE(YEAR(A2342),12,31)-DATE(YEAR(A2342),1,1)+1)</f>
        <v/>
      </c>
      <c r="D2342">
        <f>IF(A2342="","",SUMIFS(Акты!$D$5:$D$16,Акты!$E$5:$E$16,"&lt;="&amp;A2342)-SUMIFS(Оплаты!$B$6:$B$505,Оплаты!$A$6:$A$505,"&lt;"&amp;A2342,Оплаты!$D$6:$D$505,"&lt;&gt;"))</f>
        <v/>
      </c>
      <c r="E2342">
        <f>IF(A2342="","",IF(SUMPRODUCT((Ввод!$F$12:$F$31&lt;&gt;"")*(Ввод!$F$12:$F$31&lt;=A2342)*(Ввод!$G$12:$G$31&gt;=A2342))&gt;0,1,0))</f>
        <v/>
      </c>
      <c r="G2342">
        <f>IF(A2342="","",IF(OR(B2342&lt;&gt;B2341,C2342&lt;&gt;C2341,E2342&lt;&gt;E2341),G2341+1,G2341))</f>
        <v/>
      </c>
    </row>
    <row r="2343">
      <c r="A2343" s="20">
        <f>IF(A2342="","",IF(A2342+1&gt;Ввод!$B$4,"",A2342+1))</f>
        <v/>
      </c>
      <c r="B2343">
        <f>IF(A2343="","",IFERROR(INDEX(Ввод!$B$12:$B$71,MATCH(A2343,Ввод!$D$12:$D$71,1)),""))</f>
        <v/>
      </c>
      <c r="C2343">
        <f>IF(A2343="","",DATE(YEAR(A2343),12,31)-DATE(YEAR(A2343),1,1)+1)</f>
        <v/>
      </c>
      <c r="D2343">
        <f>IF(A2343="","",SUMIFS(Акты!$D$5:$D$16,Акты!$E$5:$E$16,"&lt;="&amp;A2343)-SUMIFS(Оплаты!$B$6:$B$505,Оплаты!$A$6:$A$505,"&lt;"&amp;A2343,Оплаты!$D$6:$D$505,"&lt;&gt;"))</f>
        <v/>
      </c>
      <c r="E2343">
        <f>IF(A2343="","",IF(SUMPRODUCT((Ввод!$F$12:$F$31&lt;&gt;"")*(Ввод!$F$12:$F$31&lt;=A2343)*(Ввод!$G$12:$G$31&gt;=A2343))&gt;0,1,0))</f>
        <v/>
      </c>
      <c r="G2343">
        <f>IF(A2343="","",IF(OR(B2343&lt;&gt;B2342,C2343&lt;&gt;C2342,E2343&lt;&gt;E2342),G2342+1,G2342))</f>
        <v/>
      </c>
    </row>
    <row r="2344">
      <c r="A2344" s="20">
        <f>IF(A2343="","",IF(A2343+1&gt;Ввод!$B$4,"",A2343+1))</f>
        <v/>
      </c>
      <c r="B2344">
        <f>IF(A2344="","",IFERROR(INDEX(Ввод!$B$12:$B$71,MATCH(A2344,Ввод!$D$12:$D$71,1)),""))</f>
        <v/>
      </c>
      <c r="C2344">
        <f>IF(A2344="","",DATE(YEAR(A2344),12,31)-DATE(YEAR(A2344),1,1)+1)</f>
        <v/>
      </c>
      <c r="D2344">
        <f>IF(A2344="","",SUMIFS(Акты!$D$5:$D$16,Акты!$E$5:$E$16,"&lt;="&amp;A2344)-SUMIFS(Оплаты!$B$6:$B$505,Оплаты!$A$6:$A$505,"&lt;"&amp;A2344,Оплаты!$D$6:$D$505,"&lt;&gt;"))</f>
        <v/>
      </c>
      <c r="E2344">
        <f>IF(A2344="","",IF(SUMPRODUCT((Ввод!$F$12:$F$31&lt;&gt;"")*(Ввод!$F$12:$F$31&lt;=A2344)*(Ввод!$G$12:$G$31&gt;=A2344))&gt;0,1,0))</f>
        <v/>
      </c>
      <c r="G2344">
        <f>IF(A2344="","",IF(OR(B2344&lt;&gt;B2343,C2344&lt;&gt;C2343,E2344&lt;&gt;E2343),G2343+1,G2343))</f>
        <v/>
      </c>
    </row>
    <row r="2345">
      <c r="A2345" s="20">
        <f>IF(A2344="","",IF(A2344+1&gt;Ввод!$B$4,"",A2344+1))</f>
        <v/>
      </c>
      <c r="B2345">
        <f>IF(A2345="","",IFERROR(INDEX(Ввод!$B$12:$B$71,MATCH(A2345,Ввод!$D$12:$D$71,1)),""))</f>
        <v/>
      </c>
      <c r="C2345">
        <f>IF(A2345="","",DATE(YEAR(A2345),12,31)-DATE(YEAR(A2345),1,1)+1)</f>
        <v/>
      </c>
      <c r="D2345">
        <f>IF(A2345="","",SUMIFS(Акты!$D$5:$D$16,Акты!$E$5:$E$16,"&lt;="&amp;A2345)-SUMIFS(Оплаты!$B$6:$B$505,Оплаты!$A$6:$A$505,"&lt;"&amp;A2345,Оплаты!$D$6:$D$505,"&lt;&gt;"))</f>
        <v/>
      </c>
      <c r="E2345">
        <f>IF(A2345="","",IF(SUMPRODUCT((Ввод!$F$12:$F$31&lt;&gt;"")*(Ввод!$F$12:$F$31&lt;=A2345)*(Ввод!$G$12:$G$31&gt;=A2345))&gt;0,1,0))</f>
        <v/>
      </c>
      <c r="G2345">
        <f>IF(A2345="","",IF(OR(B2345&lt;&gt;B2344,C2345&lt;&gt;C2344,E2345&lt;&gt;E2344),G2344+1,G2344))</f>
        <v/>
      </c>
    </row>
    <row r="2346">
      <c r="A2346" s="20">
        <f>IF(A2345="","",IF(A2345+1&gt;Ввод!$B$4,"",A2345+1))</f>
        <v/>
      </c>
      <c r="B2346">
        <f>IF(A2346="","",IFERROR(INDEX(Ввод!$B$12:$B$71,MATCH(A2346,Ввод!$D$12:$D$71,1)),""))</f>
        <v/>
      </c>
      <c r="C2346">
        <f>IF(A2346="","",DATE(YEAR(A2346),12,31)-DATE(YEAR(A2346),1,1)+1)</f>
        <v/>
      </c>
      <c r="D2346">
        <f>IF(A2346="","",SUMIFS(Акты!$D$5:$D$16,Акты!$E$5:$E$16,"&lt;="&amp;A2346)-SUMIFS(Оплаты!$B$6:$B$505,Оплаты!$A$6:$A$505,"&lt;"&amp;A2346,Оплаты!$D$6:$D$505,"&lt;&gt;"))</f>
        <v/>
      </c>
      <c r="E2346">
        <f>IF(A2346="","",IF(SUMPRODUCT((Ввод!$F$12:$F$31&lt;&gt;"")*(Ввод!$F$12:$F$31&lt;=A2346)*(Ввод!$G$12:$G$31&gt;=A2346))&gt;0,1,0))</f>
        <v/>
      </c>
      <c r="G2346">
        <f>IF(A2346="","",IF(OR(B2346&lt;&gt;B2345,C2346&lt;&gt;C2345,E2346&lt;&gt;E2345),G2345+1,G2345))</f>
        <v/>
      </c>
    </row>
    <row r="2347">
      <c r="A2347" s="20">
        <f>IF(A2346="","",IF(A2346+1&gt;Ввод!$B$4,"",A2346+1))</f>
        <v/>
      </c>
      <c r="B2347">
        <f>IF(A2347="","",IFERROR(INDEX(Ввод!$B$12:$B$71,MATCH(A2347,Ввод!$D$12:$D$71,1)),""))</f>
        <v/>
      </c>
      <c r="C2347">
        <f>IF(A2347="","",DATE(YEAR(A2347),12,31)-DATE(YEAR(A2347),1,1)+1)</f>
        <v/>
      </c>
      <c r="D2347">
        <f>IF(A2347="","",SUMIFS(Акты!$D$5:$D$16,Акты!$E$5:$E$16,"&lt;="&amp;A2347)-SUMIFS(Оплаты!$B$6:$B$505,Оплаты!$A$6:$A$505,"&lt;"&amp;A2347,Оплаты!$D$6:$D$505,"&lt;&gt;"))</f>
        <v/>
      </c>
      <c r="E2347">
        <f>IF(A2347="","",IF(SUMPRODUCT((Ввод!$F$12:$F$31&lt;&gt;"")*(Ввод!$F$12:$F$31&lt;=A2347)*(Ввод!$G$12:$G$31&gt;=A2347))&gt;0,1,0))</f>
        <v/>
      </c>
      <c r="G2347">
        <f>IF(A2347="","",IF(OR(B2347&lt;&gt;B2346,C2347&lt;&gt;C2346,E2347&lt;&gt;E2346),G2346+1,G2346))</f>
        <v/>
      </c>
    </row>
    <row r="2348">
      <c r="A2348" s="20">
        <f>IF(A2347="","",IF(A2347+1&gt;Ввод!$B$4,"",A2347+1))</f>
        <v/>
      </c>
      <c r="B2348">
        <f>IF(A2348="","",IFERROR(INDEX(Ввод!$B$12:$B$71,MATCH(A2348,Ввод!$D$12:$D$71,1)),""))</f>
        <v/>
      </c>
      <c r="C2348">
        <f>IF(A2348="","",DATE(YEAR(A2348),12,31)-DATE(YEAR(A2348),1,1)+1)</f>
        <v/>
      </c>
      <c r="D2348">
        <f>IF(A2348="","",SUMIFS(Акты!$D$5:$D$16,Акты!$E$5:$E$16,"&lt;="&amp;A2348)-SUMIFS(Оплаты!$B$6:$B$505,Оплаты!$A$6:$A$505,"&lt;"&amp;A2348,Оплаты!$D$6:$D$505,"&lt;&gt;"))</f>
        <v/>
      </c>
      <c r="E2348">
        <f>IF(A2348="","",IF(SUMPRODUCT((Ввод!$F$12:$F$31&lt;&gt;"")*(Ввод!$F$12:$F$31&lt;=A2348)*(Ввод!$G$12:$G$31&gt;=A2348))&gt;0,1,0))</f>
        <v/>
      </c>
      <c r="G2348">
        <f>IF(A2348="","",IF(OR(B2348&lt;&gt;B2347,C2348&lt;&gt;C2347,E2348&lt;&gt;E2347),G2347+1,G2347))</f>
        <v/>
      </c>
    </row>
    <row r="2349">
      <c r="A2349" s="20">
        <f>IF(A2348="","",IF(A2348+1&gt;Ввод!$B$4,"",A2348+1))</f>
        <v/>
      </c>
      <c r="B2349">
        <f>IF(A2349="","",IFERROR(INDEX(Ввод!$B$12:$B$71,MATCH(A2349,Ввод!$D$12:$D$71,1)),""))</f>
        <v/>
      </c>
      <c r="C2349">
        <f>IF(A2349="","",DATE(YEAR(A2349),12,31)-DATE(YEAR(A2349),1,1)+1)</f>
        <v/>
      </c>
      <c r="D2349">
        <f>IF(A2349="","",SUMIFS(Акты!$D$5:$D$16,Акты!$E$5:$E$16,"&lt;="&amp;A2349)-SUMIFS(Оплаты!$B$6:$B$505,Оплаты!$A$6:$A$505,"&lt;"&amp;A2349,Оплаты!$D$6:$D$505,"&lt;&gt;"))</f>
        <v/>
      </c>
      <c r="E2349">
        <f>IF(A2349="","",IF(SUMPRODUCT((Ввод!$F$12:$F$31&lt;&gt;"")*(Ввод!$F$12:$F$31&lt;=A2349)*(Ввод!$G$12:$G$31&gt;=A2349))&gt;0,1,0))</f>
        <v/>
      </c>
      <c r="G2349">
        <f>IF(A2349="","",IF(OR(B2349&lt;&gt;B2348,C2349&lt;&gt;C2348,E2349&lt;&gt;E2348),G2348+1,G2348))</f>
        <v/>
      </c>
    </row>
    <row r="2350">
      <c r="A2350" s="20">
        <f>IF(A2349="","",IF(A2349+1&gt;Ввод!$B$4,"",A2349+1))</f>
        <v/>
      </c>
      <c r="B2350">
        <f>IF(A2350="","",IFERROR(INDEX(Ввод!$B$12:$B$71,MATCH(A2350,Ввод!$D$12:$D$71,1)),""))</f>
        <v/>
      </c>
      <c r="C2350">
        <f>IF(A2350="","",DATE(YEAR(A2350),12,31)-DATE(YEAR(A2350),1,1)+1)</f>
        <v/>
      </c>
      <c r="D2350">
        <f>IF(A2350="","",SUMIFS(Акты!$D$5:$D$16,Акты!$E$5:$E$16,"&lt;="&amp;A2350)-SUMIFS(Оплаты!$B$6:$B$505,Оплаты!$A$6:$A$505,"&lt;"&amp;A2350,Оплаты!$D$6:$D$505,"&lt;&gt;"))</f>
        <v/>
      </c>
      <c r="E2350">
        <f>IF(A2350="","",IF(SUMPRODUCT((Ввод!$F$12:$F$31&lt;&gt;"")*(Ввод!$F$12:$F$31&lt;=A2350)*(Ввод!$G$12:$G$31&gt;=A2350))&gt;0,1,0))</f>
        <v/>
      </c>
      <c r="G2350">
        <f>IF(A2350="","",IF(OR(B2350&lt;&gt;B2349,C2350&lt;&gt;C2349,E2350&lt;&gt;E2349),G2349+1,G2349))</f>
        <v/>
      </c>
    </row>
    <row r="2351">
      <c r="A2351" s="20">
        <f>IF(A2350="","",IF(A2350+1&gt;Ввод!$B$4,"",A2350+1))</f>
        <v/>
      </c>
      <c r="B2351">
        <f>IF(A2351="","",IFERROR(INDEX(Ввод!$B$12:$B$71,MATCH(A2351,Ввод!$D$12:$D$71,1)),""))</f>
        <v/>
      </c>
      <c r="C2351">
        <f>IF(A2351="","",DATE(YEAR(A2351),12,31)-DATE(YEAR(A2351),1,1)+1)</f>
        <v/>
      </c>
      <c r="D2351">
        <f>IF(A2351="","",SUMIFS(Акты!$D$5:$D$16,Акты!$E$5:$E$16,"&lt;="&amp;A2351)-SUMIFS(Оплаты!$B$6:$B$505,Оплаты!$A$6:$A$505,"&lt;"&amp;A2351,Оплаты!$D$6:$D$505,"&lt;&gt;"))</f>
        <v/>
      </c>
      <c r="E2351">
        <f>IF(A2351="","",IF(SUMPRODUCT((Ввод!$F$12:$F$31&lt;&gt;"")*(Ввод!$F$12:$F$31&lt;=A2351)*(Ввод!$G$12:$G$31&gt;=A2351))&gt;0,1,0))</f>
        <v/>
      </c>
      <c r="G2351">
        <f>IF(A2351="","",IF(OR(B2351&lt;&gt;B2350,C2351&lt;&gt;C2350,E2351&lt;&gt;E2350),G2350+1,G2350))</f>
        <v/>
      </c>
    </row>
    <row r="2352">
      <c r="A2352" s="20">
        <f>IF(A2351="","",IF(A2351+1&gt;Ввод!$B$4,"",A2351+1))</f>
        <v/>
      </c>
      <c r="B2352">
        <f>IF(A2352="","",IFERROR(INDEX(Ввод!$B$12:$B$71,MATCH(A2352,Ввод!$D$12:$D$71,1)),""))</f>
        <v/>
      </c>
      <c r="C2352">
        <f>IF(A2352="","",DATE(YEAR(A2352),12,31)-DATE(YEAR(A2352),1,1)+1)</f>
        <v/>
      </c>
      <c r="D2352">
        <f>IF(A2352="","",SUMIFS(Акты!$D$5:$D$16,Акты!$E$5:$E$16,"&lt;="&amp;A2352)-SUMIFS(Оплаты!$B$6:$B$505,Оплаты!$A$6:$A$505,"&lt;"&amp;A2352,Оплаты!$D$6:$D$505,"&lt;&gt;"))</f>
        <v/>
      </c>
      <c r="E2352">
        <f>IF(A2352="","",IF(SUMPRODUCT((Ввод!$F$12:$F$31&lt;&gt;"")*(Ввод!$F$12:$F$31&lt;=A2352)*(Ввод!$G$12:$G$31&gt;=A2352))&gt;0,1,0))</f>
        <v/>
      </c>
      <c r="G2352">
        <f>IF(A2352="","",IF(OR(B2352&lt;&gt;B2351,C2352&lt;&gt;C2351,E2352&lt;&gt;E2351),G2351+1,G2351))</f>
        <v/>
      </c>
    </row>
    <row r="2353">
      <c r="A2353" s="20">
        <f>IF(A2352="","",IF(A2352+1&gt;Ввод!$B$4,"",A2352+1))</f>
        <v/>
      </c>
      <c r="B2353">
        <f>IF(A2353="","",IFERROR(INDEX(Ввод!$B$12:$B$71,MATCH(A2353,Ввод!$D$12:$D$71,1)),""))</f>
        <v/>
      </c>
      <c r="C2353">
        <f>IF(A2353="","",DATE(YEAR(A2353),12,31)-DATE(YEAR(A2353),1,1)+1)</f>
        <v/>
      </c>
      <c r="D2353">
        <f>IF(A2353="","",SUMIFS(Акты!$D$5:$D$16,Акты!$E$5:$E$16,"&lt;="&amp;A2353)-SUMIFS(Оплаты!$B$6:$B$505,Оплаты!$A$6:$A$505,"&lt;"&amp;A2353,Оплаты!$D$6:$D$505,"&lt;&gt;"))</f>
        <v/>
      </c>
      <c r="E2353">
        <f>IF(A2353="","",IF(SUMPRODUCT((Ввод!$F$12:$F$31&lt;&gt;"")*(Ввод!$F$12:$F$31&lt;=A2353)*(Ввод!$G$12:$G$31&gt;=A2353))&gt;0,1,0))</f>
        <v/>
      </c>
      <c r="G2353">
        <f>IF(A2353="","",IF(OR(B2353&lt;&gt;B2352,C2353&lt;&gt;C2352,E2353&lt;&gt;E2352),G2352+1,G2352))</f>
        <v/>
      </c>
    </row>
    <row r="2354">
      <c r="A2354" s="20">
        <f>IF(A2353="","",IF(A2353+1&gt;Ввод!$B$4,"",A2353+1))</f>
        <v/>
      </c>
      <c r="B2354">
        <f>IF(A2354="","",IFERROR(INDEX(Ввод!$B$12:$B$71,MATCH(A2354,Ввод!$D$12:$D$71,1)),""))</f>
        <v/>
      </c>
      <c r="C2354">
        <f>IF(A2354="","",DATE(YEAR(A2354),12,31)-DATE(YEAR(A2354),1,1)+1)</f>
        <v/>
      </c>
      <c r="D2354">
        <f>IF(A2354="","",SUMIFS(Акты!$D$5:$D$16,Акты!$E$5:$E$16,"&lt;="&amp;A2354)-SUMIFS(Оплаты!$B$6:$B$505,Оплаты!$A$6:$A$505,"&lt;"&amp;A2354,Оплаты!$D$6:$D$505,"&lt;&gt;"))</f>
        <v/>
      </c>
      <c r="E2354">
        <f>IF(A2354="","",IF(SUMPRODUCT((Ввод!$F$12:$F$31&lt;&gt;"")*(Ввод!$F$12:$F$31&lt;=A2354)*(Ввод!$G$12:$G$31&gt;=A2354))&gt;0,1,0))</f>
        <v/>
      </c>
      <c r="G2354">
        <f>IF(A2354="","",IF(OR(B2354&lt;&gt;B2353,C2354&lt;&gt;C2353,E2354&lt;&gt;E2353),G2353+1,G2353))</f>
        <v/>
      </c>
    </row>
    <row r="2355">
      <c r="A2355" s="20">
        <f>IF(A2354="","",IF(A2354+1&gt;Ввод!$B$4,"",A2354+1))</f>
        <v/>
      </c>
      <c r="B2355">
        <f>IF(A2355="","",IFERROR(INDEX(Ввод!$B$12:$B$71,MATCH(A2355,Ввод!$D$12:$D$71,1)),""))</f>
        <v/>
      </c>
      <c r="C2355">
        <f>IF(A2355="","",DATE(YEAR(A2355),12,31)-DATE(YEAR(A2355),1,1)+1)</f>
        <v/>
      </c>
      <c r="D2355">
        <f>IF(A2355="","",SUMIFS(Акты!$D$5:$D$16,Акты!$E$5:$E$16,"&lt;="&amp;A2355)-SUMIFS(Оплаты!$B$6:$B$505,Оплаты!$A$6:$A$505,"&lt;"&amp;A2355,Оплаты!$D$6:$D$505,"&lt;&gt;"))</f>
        <v/>
      </c>
      <c r="E2355">
        <f>IF(A2355="","",IF(SUMPRODUCT((Ввод!$F$12:$F$31&lt;&gt;"")*(Ввод!$F$12:$F$31&lt;=A2355)*(Ввод!$G$12:$G$31&gt;=A2355))&gt;0,1,0))</f>
        <v/>
      </c>
      <c r="G2355">
        <f>IF(A2355="","",IF(OR(B2355&lt;&gt;B2354,C2355&lt;&gt;C2354,E2355&lt;&gt;E2354),G2354+1,G2354))</f>
        <v/>
      </c>
    </row>
    <row r="2356">
      <c r="A2356" s="20">
        <f>IF(A2355="","",IF(A2355+1&gt;Ввод!$B$4,"",A2355+1))</f>
        <v/>
      </c>
      <c r="B2356">
        <f>IF(A2356="","",IFERROR(INDEX(Ввод!$B$12:$B$71,MATCH(A2356,Ввод!$D$12:$D$71,1)),""))</f>
        <v/>
      </c>
      <c r="C2356">
        <f>IF(A2356="","",DATE(YEAR(A2356),12,31)-DATE(YEAR(A2356),1,1)+1)</f>
        <v/>
      </c>
      <c r="D2356">
        <f>IF(A2356="","",SUMIFS(Акты!$D$5:$D$16,Акты!$E$5:$E$16,"&lt;="&amp;A2356)-SUMIFS(Оплаты!$B$6:$B$505,Оплаты!$A$6:$A$505,"&lt;"&amp;A2356,Оплаты!$D$6:$D$505,"&lt;&gt;"))</f>
        <v/>
      </c>
      <c r="E2356">
        <f>IF(A2356="","",IF(SUMPRODUCT((Ввод!$F$12:$F$31&lt;&gt;"")*(Ввод!$F$12:$F$31&lt;=A2356)*(Ввод!$G$12:$G$31&gt;=A2356))&gt;0,1,0))</f>
        <v/>
      </c>
      <c r="G2356">
        <f>IF(A2356="","",IF(OR(B2356&lt;&gt;B2355,C2356&lt;&gt;C2355,E2356&lt;&gt;E2355),G2355+1,G2355))</f>
        <v/>
      </c>
    </row>
    <row r="2357">
      <c r="A2357" s="20">
        <f>IF(A2356="","",IF(A2356+1&gt;Ввод!$B$4,"",A2356+1))</f>
        <v/>
      </c>
      <c r="B2357">
        <f>IF(A2357="","",IFERROR(INDEX(Ввод!$B$12:$B$71,MATCH(A2357,Ввод!$D$12:$D$71,1)),""))</f>
        <v/>
      </c>
      <c r="C2357">
        <f>IF(A2357="","",DATE(YEAR(A2357),12,31)-DATE(YEAR(A2357),1,1)+1)</f>
        <v/>
      </c>
      <c r="D2357">
        <f>IF(A2357="","",SUMIFS(Акты!$D$5:$D$16,Акты!$E$5:$E$16,"&lt;="&amp;A2357)-SUMIFS(Оплаты!$B$6:$B$505,Оплаты!$A$6:$A$505,"&lt;"&amp;A2357,Оплаты!$D$6:$D$505,"&lt;&gt;"))</f>
        <v/>
      </c>
      <c r="E2357">
        <f>IF(A2357="","",IF(SUMPRODUCT((Ввод!$F$12:$F$31&lt;&gt;"")*(Ввод!$F$12:$F$31&lt;=A2357)*(Ввод!$G$12:$G$31&gt;=A2357))&gt;0,1,0))</f>
        <v/>
      </c>
      <c r="G2357">
        <f>IF(A2357="","",IF(OR(B2357&lt;&gt;B2356,C2357&lt;&gt;C2356,E2357&lt;&gt;E2356),G2356+1,G2356))</f>
        <v/>
      </c>
    </row>
    <row r="2358">
      <c r="A2358" s="20">
        <f>IF(A2357="","",IF(A2357+1&gt;Ввод!$B$4,"",A2357+1))</f>
        <v/>
      </c>
      <c r="B2358">
        <f>IF(A2358="","",IFERROR(INDEX(Ввод!$B$12:$B$71,MATCH(A2358,Ввод!$D$12:$D$71,1)),""))</f>
        <v/>
      </c>
      <c r="C2358">
        <f>IF(A2358="","",DATE(YEAR(A2358),12,31)-DATE(YEAR(A2358),1,1)+1)</f>
        <v/>
      </c>
      <c r="D2358">
        <f>IF(A2358="","",SUMIFS(Акты!$D$5:$D$16,Акты!$E$5:$E$16,"&lt;="&amp;A2358)-SUMIFS(Оплаты!$B$6:$B$505,Оплаты!$A$6:$A$505,"&lt;"&amp;A2358,Оплаты!$D$6:$D$505,"&lt;&gt;"))</f>
        <v/>
      </c>
      <c r="E2358">
        <f>IF(A2358="","",IF(SUMPRODUCT((Ввод!$F$12:$F$31&lt;&gt;"")*(Ввод!$F$12:$F$31&lt;=A2358)*(Ввод!$G$12:$G$31&gt;=A2358))&gt;0,1,0))</f>
        <v/>
      </c>
      <c r="G2358">
        <f>IF(A2358="","",IF(OR(B2358&lt;&gt;B2357,C2358&lt;&gt;C2357,E2358&lt;&gt;E2357),G2357+1,G2357))</f>
        <v/>
      </c>
    </row>
    <row r="2359">
      <c r="A2359" s="20">
        <f>IF(A2358="","",IF(A2358+1&gt;Ввод!$B$4,"",A2358+1))</f>
        <v/>
      </c>
      <c r="B2359">
        <f>IF(A2359="","",IFERROR(INDEX(Ввод!$B$12:$B$71,MATCH(A2359,Ввод!$D$12:$D$71,1)),""))</f>
        <v/>
      </c>
      <c r="C2359">
        <f>IF(A2359="","",DATE(YEAR(A2359),12,31)-DATE(YEAR(A2359),1,1)+1)</f>
        <v/>
      </c>
      <c r="D2359">
        <f>IF(A2359="","",SUMIFS(Акты!$D$5:$D$16,Акты!$E$5:$E$16,"&lt;="&amp;A2359)-SUMIFS(Оплаты!$B$6:$B$505,Оплаты!$A$6:$A$505,"&lt;"&amp;A2359,Оплаты!$D$6:$D$505,"&lt;&gt;"))</f>
        <v/>
      </c>
      <c r="E2359">
        <f>IF(A2359="","",IF(SUMPRODUCT((Ввод!$F$12:$F$31&lt;&gt;"")*(Ввод!$F$12:$F$31&lt;=A2359)*(Ввод!$G$12:$G$31&gt;=A2359))&gt;0,1,0))</f>
        <v/>
      </c>
      <c r="G2359">
        <f>IF(A2359="","",IF(OR(B2359&lt;&gt;B2358,C2359&lt;&gt;C2358,E2359&lt;&gt;E2358),G2358+1,G2358))</f>
        <v/>
      </c>
    </row>
    <row r="2360">
      <c r="A2360" s="20">
        <f>IF(A2359="","",IF(A2359+1&gt;Ввод!$B$4,"",A2359+1))</f>
        <v/>
      </c>
      <c r="B2360">
        <f>IF(A2360="","",IFERROR(INDEX(Ввод!$B$12:$B$71,MATCH(A2360,Ввод!$D$12:$D$71,1)),""))</f>
        <v/>
      </c>
      <c r="C2360">
        <f>IF(A2360="","",DATE(YEAR(A2360),12,31)-DATE(YEAR(A2360),1,1)+1)</f>
        <v/>
      </c>
      <c r="D2360">
        <f>IF(A2360="","",SUMIFS(Акты!$D$5:$D$16,Акты!$E$5:$E$16,"&lt;="&amp;A2360)-SUMIFS(Оплаты!$B$6:$B$505,Оплаты!$A$6:$A$505,"&lt;"&amp;A2360,Оплаты!$D$6:$D$505,"&lt;&gt;"))</f>
        <v/>
      </c>
      <c r="E2360">
        <f>IF(A2360="","",IF(SUMPRODUCT((Ввод!$F$12:$F$31&lt;&gt;"")*(Ввод!$F$12:$F$31&lt;=A2360)*(Ввод!$G$12:$G$31&gt;=A2360))&gt;0,1,0))</f>
        <v/>
      </c>
      <c r="G2360">
        <f>IF(A2360="","",IF(OR(B2360&lt;&gt;B2359,C2360&lt;&gt;C2359,E2360&lt;&gt;E2359),G2359+1,G2359))</f>
        <v/>
      </c>
    </row>
    <row r="2361">
      <c r="A2361" s="20">
        <f>IF(A2360="","",IF(A2360+1&gt;Ввод!$B$4,"",A2360+1))</f>
        <v/>
      </c>
      <c r="B2361">
        <f>IF(A2361="","",IFERROR(INDEX(Ввод!$B$12:$B$71,MATCH(A2361,Ввод!$D$12:$D$71,1)),""))</f>
        <v/>
      </c>
      <c r="C2361">
        <f>IF(A2361="","",DATE(YEAR(A2361),12,31)-DATE(YEAR(A2361),1,1)+1)</f>
        <v/>
      </c>
      <c r="D2361">
        <f>IF(A2361="","",SUMIFS(Акты!$D$5:$D$16,Акты!$E$5:$E$16,"&lt;="&amp;A2361)-SUMIFS(Оплаты!$B$6:$B$505,Оплаты!$A$6:$A$505,"&lt;"&amp;A2361,Оплаты!$D$6:$D$505,"&lt;&gt;"))</f>
        <v/>
      </c>
      <c r="E2361">
        <f>IF(A2361="","",IF(SUMPRODUCT((Ввод!$F$12:$F$31&lt;&gt;"")*(Ввод!$F$12:$F$31&lt;=A2361)*(Ввод!$G$12:$G$31&gt;=A2361))&gt;0,1,0))</f>
        <v/>
      </c>
      <c r="G2361">
        <f>IF(A2361="","",IF(OR(B2361&lt;&gt;B2360,C2361&lt;&gt;C2360,E2361&lt;&gt;E2360),G2360+1,G2360))</f>
        <v/>
      </c>
    </row>
    <row r="2362">
      <c r="A2362" s="20">
        <f>IF(A2361="","",IF(A2361+1&gt;Ввод!$B$4,"",A2361+1))</f>
        <v/>
      </c>
      <c r="B2362">
        <f>IF(A2362="","",IFERROR(INDEX(Ввод!$B$12:$B$71,MATCH(A2362,Ввод!$D$12:$D$71,1)),""))</f>
        <v/>
      </c>
      <c r="C2362">
        <f>IF(A2362="","",DATE(YEAR(A2362),12,31)-DATE(YEAR(A2362),1,1)+1)</f>
        <v/>
      </c>
      <c r="D2362">
        <f>IF(A2362="","",SUMIFS(Акты!$D$5:$D$16,Акты!$E$5:$E$16,"&lt;="&amp;A2362)-SUMIFS(Оплаты!$B$6:$B$505,Оплаты!$A$6:$A$505,"&lt;"&amp;A2362,Оплаты!$D$6:$D$505,"&lt;&gt;"))</f>
        <v/>
      </c>
      <c r="E2362">
        <f>IF(A2362="","",IF(SUMPRODUCT((Ввод!$F$12:$F$31&lt;&gt;"")*(Ввод!$F$12:$F$31&lt;=A2362)*(Ввод!$G$12:$G$31&gt;=A2362))&gt;0,1,0))</f>
        <v/>
      </c>
      <c r="G2362">
        <f>IF(A2362="","",IF(OR(B2362&lt;&gt;B2361,C2362&lt;&gt;C2361,E2362&lt;&gt;E2361),G2361+1,G2361))</f>
        <v/>
      </c>
    </row>
    <row r="2363">
      <c r="A2363" s="20">
        <f>IF(A2362="","",IF(A2362+1&gt;Ввод!$B$4,"",A2362+1))</f>
        <v/>
      </c>
      <c r="B2363">
        <f>IF(A2363="","",IFERROR(INDEX(Ввод!$B$12:$B$71,MATCH(A2363,Ввод!$D$12:$D$71,1)),""))</f>
        <v/>
      </c>
      <c r="C2363">
        <f>IF(A2363="","",DATE(YEAR(A2363),12,31)-DATE(YEAR(A2363),1,1)+1)</f>
        <v/>
      </c>
      <c r="D2363">
        <f>IF(A2363="","",SUMIFS(Акты!$D$5:$D$16,Акты!$E$5:$E$16,"&lt;="&amp;A2363)-SUMIFS(Оплаты!$B$6:$B$505,Оплаты!$A$6:$A$505,"&lt;"&amp;A2363,Оплаты!$D$6:$D$505,"&lt;&gt;"))</f>
        <v/>
      </c>
      <c r="E2363">
        <f>IF(A2363="","",IF(SUMPRODUCT((Ввод!$F$12:$F$31&lt;&gt;"")*(Ввод!$F$12:$F$31&lt;=A2363)*(Ввод!$G$12:$G$31&gt;=A2363))&gt;0,1,0))</f>
        <v/>
      </c>
      <c r="G2363">
        <f>IF(A2363="","",IF(OR(B2363&lt;&gt;B2362,C2363&lt;&gt;C2362,E2363&lt;&gt;E2362),G2362+1,G2362))</f>
        <v/>
      </c>
    </row>
    <row r="2364">
      <c r="A2364" s="20">
        <f>IF(A2363="","",IF(A2363+1&gt;Ввод!$B$4,"",A2363+1))</f>
        <v/>
      </c>
      <c r="B2364">
        <f>IF(A2364="","",IFERROR(INDEX(Ввод!$B$12:$B$71,MATCH(A2364,Ввод!$D$12:$D$71,1)),""))</f>
        <v/>
      </c>
      <c r="C2364">
        <f>IF(A2364="","",DATE(YEAR(A2364),12,31)-DATE(YEAR(A2364),1,1)+1)</f>
        <v/>
      </c>
      <c r="D2364">
        <f>IF(A2364="","",SUMIFS(Акты!$D$5:$D$16,Акты!$E$5:$E$16,"&lt;="&amp;A2364)-SUMIFS(Оплаты!$B$6:$B$505,Оплаты!$A$6:$A$505,"&lt;"&amp;A2364,Оплаты!$D$6:$D$505,"&lt;&gt;"))</f>
        <v/>
      </c>
      <c r="E2364">
        <f>IF(A2364="","",IF(SUMPRODUCT((Ввод!$F$12:$F$31&lt;&gt;"")*(Ввод!$F$12:$F$31&lt;=A2364)*(Ввод!$G$12:$G$31&gt;=A2364))&gt;0,1,0))</f>
        <v/>
      </c>
      <c r="G2364">
        <f>IF(A2364="","",IF(OR(B2364&lt;&gt;B2363,C2364&lt;&gt;C2363,E2364&lt;&gt;E2363),G2363+1,G2363))</f>
        <v/>
      </c>
    </row>
    <row r="2365">
      <c r="A2365" s="20">
        <f>IF(A2364="","",IF(A2364+1&gt;Ввод!$B$4,"",A2364+1))</f>
        <v/>
      </c>
      <c r="B2365">
        <f>IF(A2365="","",IFERROR(INDEX(Ввод!$B$12:$B$71,MATCH(A2365,Ввод!$D$12:$D$71,1)),""))</f>
        <v/>
      </c>
      <c r="C2365">
        <f>IF(A2365="","",DATE(YEAR(A2365),12,31)-DATE(YEAR(A2365),1,1)+1)</f>
        <v/>
      </c>
      <c r="D2365">
        <f>IF(A2365="","",SUMIFS(Акты!$D$5:$D$16,Акты!$E$5:$E$16,"&lt;="&amp;A2365)-SUMIFS(Оплаты!$B$6:$B$505,Оплаты!$A$6:$A$505,"&lt;"&amp;A2365,Оплаты!$D$6:$D$505,"&lt;&gt;"))</f>
        <v/>
      </c>
      <c r="E2365">
        <f>IF(A2365="","",IF(SUMPRODUCT((Ввод!$F$12:$F$31&lt;&gt;"")*(Ввод!$F$12:$F$31&lt;=A2365)*(Ввод!$G$12:$G$31&gt;=A2365))&gt;0,1,0))</f>
        <v/>
      </c>
      <c r="G2365">
        <f>IF(A2365="","",IF(OR(B2365&lt;&gt;B2364,C2365&lt;&gt;C2364,E2365&lt;&gt;E2364),G2364+1,G2364))</f>
        <v/>
      </c>
    </row>
    <row r="2366">
      <c r="A2366" s="20">
        <f>IF(A2365="","",IF(A2365+1&gt;Ввод!$B$4,"",A2365+1))</f>
        <v/>
      </c>
      <c r="B2366">
        <f>IF(A2366="","",IFERROR(INDEX(Ввод!$B$12:$B$71,MATCH(A2366,Ввод!$D$12:$D$71,1)),""))</f>
        <v/>
      </c>
      <c r="C2366">
        <f>IF(A2366="","",DATE(YEAR(A2366),12,31)-DATE(YEAR(A2366),1,1)+1)</f>
        <v/>
      </c>
      <c r="D2366">
        <f>IF(A2366="","",SUMIFS(Акты!$D$5:$D$16,Акты!$E$5:$E$16,"&lt;="&amp;A2366)-SUMIFS(Оплаты!$B$6:$B$505,Оплаты!$A$6:$A$505,"&lt;"&amp;A2366,Оплаты!$D$6:$D$505,"&lt;&gt;"))</f>
        <v/>
      </c>
      <c r="E2366">
        <f>IF(A2366="","",IF(SUMPRODUCT((Ввод!$F$12:$F$31&lt;&gt;"")*(Ввод!$F$12:$F$31&lt;=A2366)*(Ввод!$G$12:$G$31&gt;=A2366))&gt;0,1,0))</f>
        <v/>
      </c>
      <c r="G2366">
        <f>IF(A2366="","",IF(OR(B2366&lt;&gt;B2365,C2366&lt;&gt;C2365,E2366&lt;&gt;E2365),G2365+1,G2365))</f>
        <v/>
      </c>
    </row>
    <row r="2367">
      <c r="A2367" s="20">
        <f>IF(A2366="","",IF(A2366+1&gt;Ввод!$B$4,"",A2366+1))</f>
        <v/>
      </c>
      <c r="B2367">
        <f>IF(A2367="","",IFERROR(INDEX(Ввод!$B$12:$B$71,MATCH(A2367,Ввод!$D$12:$D$71,1)),""))</f>
        <v/>
      </c>
      <c r="C2367">
        <f>IF(A2367="","",DATE(YEAR(A2367),12,31)-DATE(YEAR(A2367),1,1)+1)</f>
        <v/>
      </c>
      <c r="D2367">
        <f>IF(A2367="","",SUMIFS(Акты!$D$5:$D$16,Акты!$E$5:$E$16,"&lt;="&amp;A2367)-SUMIFS(Оплаты!$B$6:$B$505,Оплаты!$A$6:$A$505,"&lt;"&amp;A2367,Оплаты!$D$6:$D$505,"&lt;&gt;"))</f>
        <v/>
      </c>
      <c r="E2367">
        <f>IF(A2367="","",IF(SUMPRODUCT((Ввод!$F$12:$F$31&lt;&gt;"")*(Ввод!$F$12:$F$31&lt;=A2367)*(Ввод!$G$12:$G$31&gt;=A2367))&gt;0,1,0))</f>
        <v/>
      </c>
      <c r="G2367">
        <f>IF(A2367="","",IF(OR(B2367&lt;&gt;B2366,C2367&lt;&gt;C2366,E2367&lt;&gt;E2366),G2366+1,G2366))</f>
        <v/>
      </c>
    </row>
    <row r="2368">
      <c r="A2368" s="20">
        <f>IF(A2367="","",IF(A2367+1&gt;Ввод!$B$4,"",A2367+1))</f>
        <v/>
      </c>
      <c r="B2368">
        <f>IF(A2368="","",IFERROR(INDEX(Ввод!$B$12:$B$71,MATCH(A2368,Ввод!$D$12:$D$71,1)),""))</f>
        <v/>
      </c>
      <c r="C2368">
        <f>IF(A2368="","",DATE(YEAR(A2368),12,31)-DATE(YEAR(A2368),1,1)+1)</f>
        <v/>
      </c>
      <c r="D2368">
        <f>IF(A2368="","",SUMIFS(Акты!$D$5:$D$16,Акты!$E$5:$E$16,"&lt;="&amp;A2368)-SUMIFS(Оплаты!$B$6:$B$505,Оплаты!$A$6:$A$505,"&lt;"&amp;A2368,Оплаты!$D$6:$D$505,"&lt;&gt;"))</f>
        <v/>
      </c>
      <c r="E2368">
        <f>IF(A2368="","",IF(SUMPRODUCT((Ввод!$F$12:$F$31&lt;&gt;"")*(Ввод!$F$12:$F$31&lt;=A2368)*(Ввод!$G$12:$G$31&gt;=A2368))&gt;0,1,0))</f>
        <v/>
      </c>
      <c r="G2368">
        <f>IF(A2368="","",IF(OR(B2368&lt;&gt;B2367,C2368&lt;&gt;C2367,E2368&lt;&gt;E2367),G2367+1,G2367))</f>
        <v/>
      </c>
    </row>
    <row r="2369">
      <c r="A2369" s="20">
        <f>IF(A2368="","",IF(A2368+1&gt;Ввод!$B$4,"",A2368+1))</f>
        <v/>
      </c>
      <c r="B2369">
        <f>IF(A2369="","",IFERROR(INDEX(Ввод!$B$12:$B$71,MATCH(A2369,Ввод!$D$12:$D$71,1)),""))</f>
        <v/>
      </c>
      <c r="C2369">
        <f>IF(A2369="","",DATE(YEAR(A2369),12,31)-DATE(YEAR(A2369),1,1)+1)</f>
        <v/>
      </c>
      <c r="D2369">
        <f>IF(A2369="","",SUMIFS(Акты!$D$5:$D$16,Акты!$E$5:$E$16,"&lt;="&amp;A2369)-SUMIFS(Оплаты!$B$6:$B$505,Оплаты!$A$6:$A$505,"&lt;"&amp;A2369,Оплаты!$D$6:$D$505,"&lt;&gt;"))</f>
        <v/>
      </c>
      <c r="E2369">
        <f>IF(A2369="","",IF(SUMPRODUCT((Ввод!$F$12:$F$31&lt;&gt;"")*(Ввод!$F$12:$F$31&lt;=A2369)*(Ввод!$G$12:$G$31&gt;=A2369))&gt;0,1,0))</f>
        <v/>
      </c>
      <c r="G2369">
        <f>IF(A2369="","",IF(OR(B2369&lt;&gt;B2368,C2369&lt;&gt;C2368,E2369&lt;&gt;E2368),G2368+1,G2368))</f>
        <v/>
      </c>
    </row>
    <row r="2370">
      <c r="A2370" s="20">
        <f>IF(A2369="","",IF(A2369+1&gt;Ввод!$B$4,"",A2369+1))</f>
        <v/>
      </c>
      <c r="B2370">
        <f>IF(A2370="","",IFERROR(INDEX(Ввод!$B$12:$B$71,MATCH(A2370,Ввод!$D$12:$D$71,1)),""))</f>
        <v/>
      </c>
      <c r="C2370">
        <f>IF(A2370="","",DATE(YEAR(A2370),12,31)-DATE(YEAR(A2370),1,1)+1)</f>
        <v/>
      </c>
      <c r="D2370">
        <f>IF(A2370="","",SUMIFS(Акты!$D$5:$D$16,Акты!$E$5:$E$16,"&lt;="&amp;A2370)-SUMIFS(Оплаты!$B$6:$B$505,Оплаты!$A$6:$A$505,"&lt;"&amp;A2370,Оплаты!$D$6:$D$505,"&lt;&gt;"))</f>
        <v/>
      </c>
      <c r="E2370">
        <f>IF(A2370="","",IF(SUMPRODUCT((Ввод!$F$12:$F$31&lt;&gt;"")*(Ввод!$F$12:$F$31&lt;=A2370)*(Ввод!$G$12:$G$31&gt;=A2370))&gt;0,1,0))</f>
        <v/>
      </c>
      <c r="G2370">
        <f>IF(A2370="","",IF(OR(B2370&lt;&gt;B2369,C2370&lt;&gt;C2369,E2370&lt;&gt;E2369),G2369+1,G2369))</f>
        <v/>
      </c>
    </row>
    <row r="2371">
      <c r="A2371" s="20">
        <f>IF(A2370="","",IF(A2370+1&gt;Ввод!$B$4,"",A2370+1))</f>
        <v/>
      </c>
      <c r="B2371">
        <f>IF(A2371="","",IFERROR(INDEX(Ввод!$B$12:$B$71,MATCH(A2371,Ввод!$D$12:$D$71,1)),""))</f>
        <v/>
      </c>
      <c r="C2371">
        <f>IF(A2371="","",DATE(YEAR(A2371),12,31)-DATE(YEAR(A2371),1,1)+1)</f>
        <v/>
      </c>
      <c r="D2371">
        <f>IF(A2371="","",SUMIFS(Акты!$D$5:$D$16,Акты!$E$5:$E$16,"&lt;="&amp;A2371)-SUMIFS(Оплаты!$B$6:$B$505,Оплаты!$A$6:$A$505,"&lt;"&amp;A2371,Оплаты!$D$6:$D$505,"&lt;&gt;"))</f>
        <v/>
      </c>
      <c r="E2371">
        <f>IF(A2371="","",IF(SUMPRODUCT((Ввод!$F$12:$F$31&lt;&gt;"")*(Ввод!$F$12:$F$31&lt;=A2371)*(Ввод!$G$12:$G$31&gt;=A2371))&gt;0,1,0))</f>
        <v/>
      </c>
      <c r="G2371">
        <f>IF(A2371="","",IF(OR(B2371&lt;&gt;B2370,C2371&lt;&gt;C2370,E2371&lt;&gt;E2370),G2370+1,G2370))</f>
        <v/>
      </c>
    </row>
    <row r="2372">
      <c r="A2372" s="20">
        <f>IF(A2371="","",IF(A2371+1&gt;Ввод!$B$4,"",A2371+1))</f>
        <v/>
      </c>
      <c r="B2372">
        <f>IF(A2372="","",IFERROR(INDEX(Ввод!$B$12:$B$71,MATCH(A2372,Ввод!$D$12:$D$71,1)),""))</f>
        <v/>
      </c>
      <c r="C2372">
        <f>IF(A2372="","",DATE(YEAR(A2372),12,31)-DATE(YEAR(A2372),1,1)+1)</f>
        <v/>
      </c>
      <c r="D2372">
        <f>IF(A2372="","",SUMIFS(Акты!$D$5:$D$16,Акты!$E$5:$E$16,"&lt;="&amp;A2372)-SUMIFS(Оплаты!$B$6:$B$505,Оплаты!$A$6:$A$505,"&lt;"&amp;A2372,Оплаты!$D$6:$D$505,"&lt;&gt;"))</f>
        <v/>
      </c>
      <c r="E2372">
        <f>IF(A2372="","",IF(SUMPRODUCT((Ввод!$F$12:$F$31&lt;&gt;"")*(Ввод!$F$12:$F$31&lt;=A2372)*(Ввод!$G$12:$G$31&gt;=A2372))&gt;0,1,0))</f>
        <v/>
      </c>
      <c r="G2372">
        <f>IF(A2372="","",IF(OR(B2372&lt;&gt;B2371,C2372&lt;&gt;C2371,E2372&lt;&gt;E2371),G2371+1,G2371))</f>
        <v/>
      </c>
    </row>
    <row r="2373">
      <c r="A2373" s="20">
        <f>IF(A2372="","",IF(A2372+1&gt;Ввод!$B$4,"",A2372+1))</f>
        <v/>
      </c>
      <c r="B2373">
        <f>IF(A2373="","",IFERROR(INDEX(Ввод!$B$12:$B$71,MATCH(A2373,Ввод!$D$12:$D$71,1)),""))</f>
        <v/>
      </c>
      <c r="C2373">
        <f>IF(A2373="","",DATE(YEAR(A2373),12,31)-DATE(YEAR(A2373),1,1)+1)</f>
        <v/>
      </c>
      <c r="D2373">
        <f>IF(A2373="","",SUMIFS(Акты!$D$5:$D$16,Акты!$E$5:$E$16,"&lt;="&amp;A2373)-SUMIFS(Оплаты!$B$6:$B$505,Оплаты!$A$6:$A$505,"&lt;"&amp;A2373,Оплаты!$D$6:$D$505,"&lt;&gt;"))</f>
        <v/>
      </c>
      <c r="E2373">
        <f>IF(A2373="","",IF(SUMPRODUCT((Ввод!$F$12:$F$31&lt;&gt;"")*(Ввод!$F$12:$F$31&lt;=A2373)*(Ввод!$G$12:$G$31&gt;=A2373))&gt;0,1,0))</f>
        <v/>
      </c>
      <c r="G2373">
        <f>IF(A2373="","",IF(OR(B2373&lt;&gt;B2372,C2373&lt;&gt;C2372,E2373&lt;&gt;E2372),G2372+1,G2372))</f>
        <v/>
      </c>
    </row>
    <row r="2374">
      <c r="A2374" s="20">
        <f>IF(A2373="","",IF(A2373+1&gt;Ввод!$B$4,"",A2373+1))</f>
        <v/>
      </c>
      <c r="B2374">
        <f>IF(A2374="","",IFERROR(INDEX(Ввод!$B$12:$B$71,MATCH(A2374,Ввод!$D$12:$D$71,1)),""))</f>
        <v/>
      </c>
      <c r="C2374">
        <f>IF(A2374="","",DATE(YEAR(A2374),12,31)-DATE(YEAR(A2374),1,1)+1)</f>
        <v/>
      </c>
      <c r="D2374">
        <f>IF(A2374="","",SUMIFS(Акты!$D$5:$D$16,Акты!$E$5:$E$16,"&lt;="&amp;A2374)-SUMIFS(Оплаты!$B$6:$B$505,Оплаты!$A$6:$A$505,"&lt;"&amp;A2374,Оплаты!$D$6:$D$505,"&lt;&gt;"))</f>
        <v/>
      </c>
      <c r="E2374">
        <f>IF(A2374="","",IF(SUMPRODUCT((Ввод!$F$12:$F$31&lt;&gt;"")*(Ввод!$F$12:$F$31&lt;=A2374)*(Ввод!$G$12:$G$31&gt;=A2374))&gt;0,1,0))</f>
        <v/>
      </c>
      <c r="G2374">
        <f>IF(A2374="","",IF(OR(B2374&lt;&gt;B2373,C2374&lt;&gt;C2373,E2374&lt;&gt;E2373),G2373+1,G2373))</f>
        <v/>
      </c>
    </row>
    <row r="2375">
      <c r="A2375" s="20">
        <f>IF(A2374="","",IF(A2374+1&gt;Ввод!$B$4,"",A2374+1))</f>
        <v/>
      </c>
      <c r="B2375">
        <f>IF(A2375="","",IFERROR(INDEX(Ввод!$B$12:$B$71,MATCH(A2375,Ввод!$D$12:$D$71,1)),""))</f>
        <v/>
      </c>
      <c r="C2375">
        <f>IF(A2375="","",DATE(YEAR(A2375),12,31)-DATE(YEAR(A2375),1,1)+1)</f>
        <v/>
      </c>
      <c r="D2375">
        <f>IF(A2375="","",SUMIFS(Акты!$D$5:$D$16,Акты!$E$5:$E$16,"&lt;="&amp;A2375)-SUMIFS(Оплаты!$B$6:$B$505,Оплаты!$A$6:$A$505,"&lt;"&amp;A2375,Оплаты!$D$6:$D$505,"&lt;&gt;"))</f>
        <v/>
      </c>
      <c r="E2375">
        <f>IF(A2375="","",IF(SUMPRODUCT((Ввод!$F$12:$F$31&lt;&gt;"")*(Ввод!$F$12:$F$31&lt;=A2375)*(Ввод!$G$12:$G$31&gt;=A2375))&gt;0,1,0))</f>
        <v/>
      </c>
      <c r="G2375">
        <f>IF(A2375="","",IF(OR(B2375&lt;&gt;B2374,C2375&lt;&gt;C2374,E2375&lt;&gt;E2374),G2374+1,G2374))</f>
        <v/>
      </c>
    </row>
    <row r="2376">
      <c r="A2376" s="20">
        <f>IF(A2375="","",IF(A2375+1&gt;Ввод!$B$4,"",A2375+1))</f>
        <v/>
      </c>
      <c r="B2376">
        <f>IF(A2376="","",IFERROR(INDEX(Ввод!$B$12:$B$71,MATCH(A2376,Ввод!$D$12:$D$71,1)),""))</f>
        <v/>
      </c>
      <c r="C2376">
        <f>IF(A2376="","",DATE(YEAR(A2376),12,31)-DATE(YEAR(A2376),1,1)+1)</f>
        <v/>
      </c>
      <c r="D2376">
        <f>IF(A2376="","",SUMIFS(Акты!$D$5:$D$16,Акты!$E$5:$E$16,"&lt;="&amp;A2376)-SUMIFS(Оплаты!$B$6:$B$505,Оплаты!$A$6:$A$505,"&lt;"&amp;A2376,Оплаты!$D$6:$D$505,"&lt;&gt;"))</f>
        <v/>
      </c>
      <c r="E2376">
        <f>IF(A2376="","",IF(SUMPRODUCT((Ввод!$F$12:$F$31&lt;&gt;"")*(Ввод!$F$12:$F$31&lt;=A2376)*(Ввод!$G$12:$G$31&gt;=A2376))&gt;0,1,0))</f>
        <v/>
      </c>
      <c r="G2376">
        <f>IF(A2376="","",IF(OR(B2376&lt;&gt;B2375,C2376&lt;&gt;C2375,E2376&lt;&gt;E2375),G2375+1,G2375))</f>
        <v/>
      </c>
    </row>
    <row r="2377">
      <c r="A2377" s="20">
        <f>IF(A2376="","",IF(A2376+1&gt;Ввод!$B$4,"",A2376+1))</f>
        <v/>
      </c>
      <c r="B2377">
        <f>IF(A2377="","",IFERROR(INDEX(Ввод!$B$12:$B$71,MATCH(A2377,Ввод!$D$12:$D$71,1)),""))</f>
        <v/>
      </c>
      <c r="C2377">
        <f>IF(A2377="","",DATE(YEAR(A2377),12,31)-DATE(YEAR(A2377),1,1)+1)</f>
        <v/>
      </c>
      <c r="D2377">
        <f>IF(A2377="","",SUMIFS(Акты!$D$5:$D$16,Акты!$E$5:$E$16,"&lt;="&amp;A2377)-SUMIFS(Оплаты!$B$6:$B$505,Оплаты!$A$6:$A$505,"&lt;"&amp;A2377,Оплаты!$D$6:$D$505,"&lt;&gt;"))</f>
        <v/>
      </c>
      <c r="E2377">
        <f>IF(A2377="","",IF(SUMPRODUCT((Ввод!$F$12:$F$31&lt;&gt;"")*(Ввод!$F$12:$F$31&lt;=A2377)*(Ввод!$G$12:$G$31&gt;=A2377))&gt;0,1,0))</f>
        <v/>
      </c>
      <c r="G2377">
        <f>IF(A2377="","",IF(OR(B2377&lt;&gt;B2376,C2377&lt;&gt;C2376,E2377&lt;&gt;E2376),G2376+1,G2376))</f>
        <v/>
      </c>
    </row>
    <row r="2378">
      <c r="A2378" s="20">
        <f>IF(A2377="","",IF(A2377+1&gt;Ввод!$B$4,"",A2377+1))</f>
        <v/>
      </c>
      <c r="B2378">
        <f>IF(A2378="","",IFERROR(INDEX(Ввод!$B$12:$B$71,MATCH(A2378,Ввод!$D$12:$D$71,1)),""))</f>
        <v/>
      </c>
      <c r="C2378">
        <f>IF(A2378="","",DATE(YEAR(A2378),12,31)-DATE(YEAR(A2378),1,1)+1)</f>
        <v/>
      </c>
      <c r="D2378">
        <f>IF(A2378="","",SUMIFS(Акты!$D$5:$D$16,Акты!$E$5:$E$16,"&lt;="&amp;A2378)-SUMIFS(Оплаты!$B$6:$B$505,Оплаты!$A$6:$A$505,"&lt;"&amp;A2378,Оплаты!$D$6:$D$505,"&lt;&gt;"))</f>
        <v/>
      </c>
      <c r="E2378">
        <f>IF(A2378="","",IF(SUMPRODUCT((Ввод!$F$12:$F$31&lt;&gt;"")*(Ввод!$F$12:$F$31&lt;=A2378)*(Ввод!$G$12:$G$31&gt;=A2378))&gt;0,1,0))</f>
        <v/>
      </c>
      <c r="G2378">
        <f>IF(A2378="","",IF(OR(B2378&lt;&gt;B2377,C2378&lt;&gt;C2377,E2378&lt;&gt;E2377),G2377+1,G2377))</f>
        <v/>
      </c>
    </row>
    <row r="2379">
      <c r="A2379" s="20">
        <f>IF(A2378="","",IF(A2378+1&gt;Ввод!$B$4,"",A2378+1))</f>
        <v/>
      </c>
      <c r="B2379">
        <f>IF(A2379="","",IFERROR(INDEX(Ввод!$B$12:$B$71,MATCH(A2379,Ввод!$D$12:$D$71,1)),""))</f>
        <v/>
      </c>
      <c r="C2379">
        <f>IF(A2379="","",DATE(YEAR(A2379),12,31)-DATE(YEAR(A2379),1,1)+1)</f>
        <v/>
      </c>
      <c r="D2379">
        <f>IF(A2379="","",SUMIFS(Акты!$D$5:$D$16,Акты!$E$5:$E$16,"&lt;="&amp;A2379)-SUMIFS(Оплаты!$B$6:$B$505,Оплаты!$A$6:$A$505,"&lt;"&amp;A2379,Оплаты!$D$6:$D$505,"&lt;&gt;"))</f>
        <v/>
      </c>
      <c r="E2379">
        <f>IF(A2379="","",IF(SUMPRODUCT((Ввод!$F$12:$F$31&lt;&gt;"")*(Ввод!$F$12:$F$31&lt;=A2379)*(Ввод!$G$12:$G$31&gt;=A2379))&gt;0,1,0))</f>
        <v/>
      </c>
      <c r="G2379">
        <f>IF(A2379="","",IF(OR(B2379&lt;&gt;B2378,C2379&lt;&gt;C2378,E2379&lt;&gt;E2378),G2378+1,G2378))</f>
        <v/>
      </c>
    </row>
    <row r="2380">
      <c r="A2380" s="20">
        <f>IF(A2379="","",IF(A2379+1&gt;Ввод!$B$4,"",A2379+1))</f>
        <v/>
      </c>
      <c r="B2380">
        <f>IF(A2380="","",IFERROR(INDEX(Ввод!$B$12:$B$71,MATCH(A2380,Ввод!$D$12:$D$71,1)),""))</f>
        <v/>
      </c>
      <c r="C2380">
        <f>IF(A2380="","",DATE(YEAR(A2380),12,31)-DATE(YEAR(A2380),1,1)+1)</f>
        <v/>
      </c>
      <c r="D2380">
        <f>IF(A2380="","",SUMIFS(Акты!$D$5:$D$16,Акты!$E$5:$E$16,"&lt;="&amp;A2380)-SUMIFS(Оплаты!$B$6:$B$505,Оплаты!$A$6:$A$505,"&lt;"&amp;A2380,Оплаты!$D$6:$D$505,"&lt;&gt;"))</f>
        <v/>
      </c>
      <c r="E2380">
        <f>IF(A2380="","",IF(SUMPRODUCT((Ввод!$F$12:$F$31&lt;&gt;"")*(Ввод!$F$12:$F$31&lt;=A2380)*(Ввод!$G$12:$G$31&gt;=A2380))&gt;0,1,0))</f>
        <v/>
      </c>
      <c r="G2380">
        <f>IF(A2380="","",IF(OR(B2380&lt;&gt;B2379,C2380&lt;&gt;C2379,E2380&lt;&gt;E2379),G2379+1,G2379))</f>
        <v/>
      </c>
    </row>
    <row r="2381">
      <c r="A2381" s="20">
        <f>IF(A2380="","",IF(A2380+1&gt;Ввод!$B$4,"",A2380+1))</f>
        <v/>
      </c>
      <c r="B2381">
        <f>IF(A2381="","",IFERROR(INDEX(Ввод!$B$12:$B$71,MATCH(A2381,Ввод!$D$12:$D$71,1)),""))</f>
        <v/>
      </c>
      <c r="C2381">
        <f>IF(A2381="","",DATE(YEAR(A2381),12,31)-DATE(YEAR(A2381),1,1)+1)</f>
        <v/>
      </c>
      <c r="D2381">
        <f>IF(A2381="","",SUMIFS(Акты!$D$5:$D$16,Акты!$E$5:$E$16,"&lt;="&amp;A2381)-SUMIFS(Оплаты!$B$6:$B$505,Оплаты!$A$6:$A$505,"&lt;"&amp;A2381,Оплаты!$D$6:$D$505,"&lt;&gt;"))</f>
        <v/>
      </c>
      <c r="E2381">
        <f>IF(A2381="","",IF(SUMPRODUCT((Ввод!$F$12:$F$31&lt;&gt;"")*(Ввод!$F$12:$F$31&lt;=A2381)*(Ввод!$G$12:$G$31&gt;=A2381))&gt;0,1,0))</f>
        <v/>
      </c>
      <c r="G2381">
        <f>IF(A2381="","",IF(OR(B2381&lt;&gt;B2380,C2381&lt;&gt;C2380,E2381&lt;&gt;E2380),G2380+1,G2380))</f>
        <v/>
      </c>
    </row>
    <row r="2382">
      <c r="A2382" s="20">
        <f>IF(A2381="","",IF(A2381+1&gt;Ввод!$B$4,"",A2381+1))</f>
        <v/>
      </c>
      <c r="B2382">
        <f>IF(A2382="","",IFERROR(INDEX(Ввод!$B$12:$B$71,MATCH(A2382,Ввод!$D$12:$D$71,1)),""))</f>
        <v/>
      </c>
      <c r="C2382">
        <f>IF(A2382="","",DATE(YEAR(A2382),12,31)-DATE(YEAR(A2382),1,1)+1)</f>
        <v/>
      </c>
      <c r="D2382">
        <f>IF(A2382="","",SUMIFS(Акты!$D$5:$D$16,Акты!$E$5:$E$16,"&lt;="&amp;A2382)-SUMIFS(Оплаты!$B$6:$B$505,Оплаты!$A$6:$A$505,"&lt;"&amp;A2382,Оплаты!$D$6:$D$505,"&lt;&gt;"))</f>
        <v/>
      </c>
      <c r="E2382">
        <f>IF(A2382="","",IF(SUMPRODUCT((Ввод!$F$12:$F$31&lt;&gt;"")*(Ввод!$F$12:$F$31&lt;=A2382)*(Ввод!$G$12:$G$31&gt;=A2382))&gt;0,1,0))</f>
        <v/>
      </c>
      <c r="G2382">
        <f>IF(A2382="","",IF(OR(B2382&lt;&gt;B2381,C2382&lt;&gt;C2381,E2382&lt;&gt;E2381),G2381+1,G2381))</f>
        <v/>
      </c>
    </row>
    <row r="2383">
      <c r="A2383" s="20">
        <f>IF(A2382="","",IF(A2382+1&gt;Ввод!$B$4,"",A2382+1))</f>
        <v/>
      </c>
      <c r="B2383">
        <f>IF(A2383="","",IFERROR(INDEX(Ввод!$B$12:$B$71,MATCH(A2383,Ввод!$D$12:$D$71,1)),""))</f>
        <v/>
      </c>
      <c r="C2383">
        <f>IF(A2383="","",DATE(YEAR(A2383),12,31)-DATE(YEAR(A2383),1,1)+1)</f>
        <v/>
      </c>
      <c r="D2383">
        <f>IF(A2383="","",SUMIFS(Акты!$D$5:$D$16,Акты!$E$5:$E$16,"&lt;="&amp;A2383)-SUMIFS(Оплаты!$B$6:$B$505,Оплаты!$A$6:$A$505,"&lt;"&amp;A2383,Оплаты!$D$6:$D$505,"&lt;&gt;"))</f>
        <v/>
      </c>
      <c r="E2383">
        <f>IF(A2383="","",IF(SUMPRODUCT((Ввод!$F$12:$F$31&lt;&gt;"")*(Ввод!$F$12:$F$31&lt;=A2383)*(Ввод!$G$12:$G$31&gt;=A2383))&gt;0,1,0))</f>
        <v/>
      </c>
      <c r="G2383">
        <f>IF(A2383="","",IF(OR(B2383&lt;&gt;B2382,C2383&lt;&gt;C2382,E2383&lt;&gt;E2382),G2382+1,G2382))</f>
        <v/>
      </c>
    </row>
    <row r="2384">
      <c r="A2384" s="20">
        <f>IF(A2383="","",IF(A2383+1&gt;Ввод!$B$4,"",A2383+1))</f>
        <v/>
      </c>
      <c r="B2384">
        <f>IF(A2384="","",IFERROR(INDEX(Ввод!$B$12:$B$71,MATCH(A2384,Ввод!$D$12:$D$71,1)),""))</f>
        <v/>
      </c>
      <c r="C2384">
        <f>IF(A2384="","",DATE(YEAR(A2384),12,31)-DATE(YEAR(A2384),1,1)+1)</f>
        <v/>
      </c>
      <c r="D2384">
        <f>IF(A2384="","",SUMIFS(Акты!$D$5:$D$16,Акты!$E$5:$E$16,"&lt;="&amp;A2384)-SUMIFS(Оплаты!$B$6:$B$505,Оплаты!$A$6:$A$505,"&lt;"&amp;A2384,Оплаты!$D$6:$D$505,"&lt;&gt;"))</f>
        <v/>
      </c>
      <c r="E2384">
        <f>IF(A2384="","",IF(SUMPRODUCT((Ввод!$F$12:$F$31&lt;&gt;"")*(Ввод!$F$12:$F$31&lt;=A2384)*(Ввод!$G$12:$G$31&gt;=A2384))&gt;0,1,0))</f>
        <v/>
      </c>
      <c r="G2384">
        <f>IF(A2384="","",IF(OR(B2384&lt;&gt;B2383,C2384&lt;&gt;C2383,E2384&lt;&gt;E2383),G2383+1,G2383))</f>
        <v/>
      </c>
    </row>
    <row r="2385">
      <c r="A2385" s="20">
        <f>IF(A2384="","",IF(A2384+1&gt;Ввод!$B$4,"",A2384+1))</f>
        <v/>
      </c>
      <c r="B2385">
        <f>IF(A2385="","",IFERROR(INDEX(Ввод!$B$12:$B$71,MATCH(A2385,Ввод!$D$12:$D$71,1)),""))</f>
        <v/>
      </c>
      <c r="C2385">
        <f>IF(A2385="","",DATE(YEAR(A2385),12,31)-DATE(YEAR(A2385),1,1)+1)</f>
        <v/>
      </c>
      <c r="D2385">
        <f>IF(A2385="","",SUMIFS(Акты!$D$5:$D$16,Акты!$E$5:$E$16,"&lt;="&amp;A2385)-SUMIFS(Оплаты!$B$6:$B$505,Оплаты!$A$6:$A$505,"&lt;"&amp;A2385,Оплаты!$D$6:$D$505,"&lt;&gt;"))</f>
        <v/>
      </c>
      <c r="E2385">
        <f>IF(A2385="","",IF(SUMPRODUCT((Ввод!$F$12:$F$31&lt;&gt;"")*(Ввод!$F$12:$F$31&lt;=A2385)*(Ввод!$G$12:$G$31&gt;=A2385))&gt;0,1,0))</f>
        <v/>
      </c>
      <c r="G2385">
        <f>IF(A2385="","",IF(OR(B2385&lt;&gt;B2384,C2385&lt;&gt;C2384,E2385&lt;&gt;E2384),G2384+1,G2384))</f>
        <v/>
      </c>
    </row>
    <row r="2386">
      <c r="A2386" s="20">
        <f>IF(A2385="","",IF(A2385+1&gt;Ввод!$B$4,"",A2385+1))</f>
        <v/>
      </c>
      <c r="B2386">
        <f>IF(A2386="","",IFERROR(INDEX(Ввод!$B$12:$B$71,MATCH(A2386,Ввод!$D$12:$D$71,1)),""))</f>
        <v/>
      </c>
      <c r="C2386">
        <f>IF(A2386="","",DATE(YEAR(A2386),12,31)-DATE(YEAR(A2386),1,1)+1)</f>
        <v/>
      </c>
      <c r="D2386">
        <f>IF(A2386="","",SUMIFS(Акты!$D$5:$D$16,Акты!$E$5:$E$16,"&lt;="&amp;A2386)-SUMIFS(Оплаты!$B$6:$B$505,Оплаты!$A$6:$A$505,"&lt;"&amp;A2386,Оплаты!$D$6:$D$505,"&lt;&gt;"))</f>
        <v/>
      </c>
      <c r="E2386">
        <f>IF(A2386="","",IF(SUMPRODUCT((Ввод!$F$12:$F$31&lt;&gt;"")*(Ввод!$F$12:$F$31&lt;=A2386)*(Ввод!$G$12:$G$31&gt;=A2386))&gt;0,1,0))</f>
        <v/>
      </c>
      <c r="G2386">
        <f>IF(A2386="","",IF(OR(B2386&lt;&gt;B2385,C2386&lt;&gt;C2385,E2386&lt;&gt;E2385),G2385+1,G2385))</f>
        <v/>
      </c>
    </row>
    <row r="2387">
      <c r="A2387" s="20">
        <f>IF(A2386="","",IF(A2386+1&gt;Ввод!$B$4,"",A2386+1))</f>
        <v/>
      </c>
      <c r="B2387">
        <f>IF(A2387="","",IFERROR(INDEX(Ввод!$B$12:$B$71,MATCH(A2387,Ввод!$D$12:$D$71,1)),""))</f>
        <v/>
      </c>
      <c r="C2387">
        <f>IF(A2387="","",DATE(YEAR(A2387),12,31)-DATE(YEAR(A2387),1,1)+1)</f>
        <v/>
      </c>
      <c r="D2387">
        <f>IF(A2387="","",SUMIFS(Акты!$D$5:$D$16,Акты!$E$5:$E$16,"&lt;="&amp;A2387)-SUMIFS(Оплаты!$B$6:$B$505,Оплаты!$A$6:$A$505,"&lt;"&amp;A2387,Оплаты!$D$6:$D$505,"&lt;&gt;"))</f>
        <v/>
      </c>
      <c r="E2387">
        <f>IF(A2387="","",IF(SUMPRODUCT((Ввод!$F$12:$F$31&lt;&gt;"")*(Ввод!$F$12:$F$31&lt;=A2387)*(Ввод!$G$12:$G$31&gt;=A2387))&gt;0,1,0))</f>
        <v/>
      </c>
      <c r="G2387">
        <f>IF(A2387="","",IF(OR(B2387&lt;&gt;B2386,C2387&lt;&gt;C2386,E2387&lt;&gt;E2386),G2386+1,G2386))</f>
        <v/>
      </c>
    </row>
    <row r="2388">
      <c r="A2388" s="20">
        <f>IF(A2387="","",IF(A2387+1&gt;Ввод!$B$4,"",A2387+1))</f>
        <v/>
      </c>
      <c r="B2388">
        <f>IF(A2388="","",IFERROR(INDEX(Ввод!$B$12:$B$71,MATCH(A2388,Ввод!$D$12:$D$71,1)),""))</f>
        <v/>
      </c>
      <c r="C2388">
        <f>IF(A2388="","",DATE(YEAR(A2388),12,31)-DATE(YEAR(A2388),1,1)+1)</f>
        <v/>
      </c>
      <c r="D2388">
        <f>IF(A2388="","",SUMIFS(Акты!$D$5:$D$16,Акты!$E$5:$E$16,"&lt;="&amp;A2388)-SUMIFS(Оплаты!$B$6:$B$505,Оплаты!$A$6:$A$505,"&lt;"&amp;A2388,Оплаты!$D$6:$D$505,"&lt;&gt;"))</f>
        <v/>
      </c>
      <c r="E2388">
        <f>IF(A2388="","",IF(SUMPRODUCT((Ввод!$F$12:$F$31&lt;&gt;"")*(Ввод!$F$12:$F$31&lt;=A2388)*(Ввод!$G$12:$G$31&gt;=A2388))&gt;0,1,0))</f>
        <v/>
      </c>
      <c r="G2388">
        <f>IF(A2388="","",IF(OR(B2388&lt;&gt;B2387,C2388&lt;&gt;C2387,E2388&lt;&gt;E2387),G2387+1,G2387))</f>
        <v/>
      </c>
    </row>
    <row r="2389">
      <c r="A2389" s="20">
        <f>IF(A2388="","",IF(A2388+1&gt;Ввод!$B$4,"",A2388+1))</f>
        <v/>
      </c>
      <c r="B2389">
        <f>IF(A2389="","",IFERROR(INDEX(Ввод!$B$12:$B$71,MATCH(A2389,Ввод!$D$12:$D$71,1)),""))</f>
        <v/>
      </c>
      <c r="C2389">
        <f>IF(A2389="","",DATE(YEAR(A2389),12,31)-DATE(YEAR(A2389),1,1)+1)</f>
        <v/>
      </c>
      <c r="D2389">
        <f>IF(A2389="","",SUMIFS(Акты!$D$5:$D$16,Акты!$E$5:$E$16,"&lt;="&amp;A2389)-SUMIFS(Оплаты!$B$6:$B$505,Оплаты!$A$6:$A$505,"&lt;"&amp;A2389,Оплаты!$D$6:$D$505,"&lt;&gt;"))</f>
        <v/>
      </c>
      <c r="E2389">
        <f>IF(A2389="","",IF(SUMPRODUCT((Ввод!$F$12:$F$31&lt;&gt;"")*(Ввод!$F$12:$F$31&lt;=A2389)*(Ввод!$G$12:$G$31&gt;=A2389))&gt;0,1,0))</f>
        <v/>
      </c>
      <c r="G2389">
        <f>IF(A2389="","",IF(OR(B2389&lt;&gt;B2388,C2389&lt;&gt;C2388,E2389&lt;&gt;E2388),G2388+1,G2388))</f>
        <v/>
      </c>
    </row>
    <row r="2390">
      <c r="A2390" s="20">
        <f>IF(A2389="","",IF(A2389+1&gt;Ввод!$B$4,"",A2389+1))</f>
        <v/>
      </c>
      <c r="B2390">
        <f>IF(A2390="","",IFERROR(INDEX(Ввод!$B$12:$B$71,MATCH(A2390,Ввод!$D$12:$D$71,1)),""))</f>
        <v/>
      </c>
      <c r="C2390">
        <f>IF(A2390="","",DATE(YEAR(A2390),12,31)-DATE(YEAR(A2390),1,1)+1)</f>
        <v/>
      </c>
      <c r="D2390">
        <f>IF(A2390="","",SUMIFS(Акты!$D$5:$D$16,Акты!$E$5:$E$16,"&lt;="&amp;A2390)-SUMIFS(Оплаты!$B$6:$B$505,Оплаты!$A$6:$A$505,"&lt;"&amp;A2390,Оплаты!$D$6:$D$505,"&lt;&gt;"))</f>
        <v/>
      </c>
      <c r="E2390">
        <f>IF(A2390="","",IF(SUMPRODUCT((Ввод!$F$12:$F$31&lt;&gt;"")*(Ввод!$F$12:$F$31&lt;=A2390)*(Ввод!$G$12:$G$31&gt;=A2390))&gt;0,1,0))</f>
        <v/>
      </c>
      <c r="G2390">
        <f>IF(A2390="","",IF(OR(B2390&lt;&gt;B2389,C2390&lt;&gt;C2389,E2390&lt;&gt;E2389),G2389+1,G2389))</f>
        <v/>
      </c>
    </row>
    <row r="2391">
      <c r="A2391" s="20">
        <f>IF(A2390="","",IF(A2390+1&gt;Ввод!$B$4,"",A2390+1))</f>
        <v/>
      </c>
      <c r="B2391">
        <f>IF(A2391="","",IFERROR(INDEX(Ввод!$B$12:$B$71,MATCH(A2391,Ввод!$D$12:$D$71,1)),""))</f>
        <v/>
      </c>
      <c r="C2391">
        <f>IF(A2391="","",DATE(YEAR(A2391),12,31)-DATE(YEAR(A2391),1,1)+1)</f>
        <v/>
      </c>
      <c r="D2391">
        <f>IF(A2391="","",SUMIFS(Акты!$D$5:$D$16,Акты!$E$5:$E$16,"&lt;="&amp;A2391)-SUMIFS(Оплаты!$B$6:$B$505,Оплаты!$A$6:$A$505,"&lt;"&amp;A2391,Оплаты!$D$6:$D$505,"&lt;&gt;"))</f>
        <v/>
      </c>
      <c r="E2391">
        <f>IF(A2391="","",IF(SUMPRODUCT((Ввод!$F$12:$F$31&lt;&gt;"")*(Ввод!$F$12:$F$31&lt;=A2391)*(Ввод!$G$12:$G$31&gt;=A2391))&gt;0,1,0))</f>
        <v/>
      </c>
      <c r="G2391">
        <f>IF(A2391="","",IF(OR(B2391&lt;&gt;B2390,C2391&lt;&gt;C2390,E2391&lt;&gt;E2390),G2390+1,G2390))</f>
        <v/>
      </c>
    </row>
    <row r="2392">
      <c r="A2392" s="20">
        <f>IF(A2391="","",IF(A2391+1&gt;Ввод!$B$4,"",A2391+1))</f>
        <v/>
      </c>
      <c r="B2392">
        <f>IF(A2392="","",IFERROR(INDEX(Ввод!$B$12:$B$71,MATCH(A2392,Ввод!$D$12:$D$71,1)),""))</f>
        <v/>
      </c>
      <c r="C2392">
        <f>IF(A2392="","",DATE(YEAR(A2392),12,31)-DATE(YEAR(A2392),1,1)+1)</f>
        <v/>
      </c>
      <c r="D2392">
        <f>IF(A2392="","",SUMIFS(Акты!$D$5:$D$16,Акты!$E$5:$E$16,"&lt;="&amp;A2392)-SUMIFS(Оплаты!$B$6:$B$505,Оплаты!$A$6:$A$505,"&lt;"&amp;A2392,Оплаты!$D$6:$D$505,"&lt;&gt;"))</f>
        <v/>
      </c>
      <c r="E2392">
        <f>IF(A2392="","",IF(SUMPRODUCT((Ввод!$F$12:$F$31&lt;&gt;"")*(Ввод!$F$12:$F$31&lt;=A2392)*(Ввод!$G$12:$G$31&gt;=A2392))&gt;0,1,0))</f>
        <v/>
      </c>
      <c r="G2392">
        <f>IF(A2392="","",IF(OR(B2392&lt;&gt;B2391,C2392&lt;&gt;C2391,E2392&lt;&gt;E2391),G2391+1,G2391))</f>
        <v/>
      </c>
    </row>
    <row r="2393">
      <c r="A2393" s="20">
        <f>IF(A2392="","",IF(A2392+1&gt;Ввод!$B$4,"",A2392+1))</f>
        <v/>
      </c>
      <c r="B2393">
        <f>IF(A2393="","",IFERROR(INDEX(Ввод!$B$12:$B$71,MATCH(A2393,Ввод!$D$12:$D$71,1)),""))</f>
        <v/>
      </c>
      <c r="C2393">
        <f>IF(A2393="","",DATE(YEAR(A2393),12,31)-DATE(YEAR(A2393),1,1)+1)</f>
        <v/>
      </c>
      <c r="D2393">
        <f>IF(A2393="","",SUMIFS(Акты!$D$5:$D$16,Акты!$E$5:$E$16,"&lt;="&amp;A2393)-SUMIFS(Оплаты!$B$6:$B$505,Оплаты!$A$6:$A$505,"&lt;"&amp;A2393,Оплаты!$D$6:$D$505,"&lt;&gt;"))</f>
        <v/>
      </c>
      <c r="E2393">
        <f>IF(A2393="","",IF(SUMPRODUCT((Ввод!$F$12:$F$31&lt;&gt;"")*(Ввод!$F$12:$F$31&lt;=A2393)*(Ввод!$G$12:$G$31&gt;=A2393))&gt;0,1,0))</f>
        <v/>
      </c>
      <c r="G2393">
        <f>IF(A2393="","",IF(OR(B2393&lt;&gt;B2392,C2393&lt;&gt;C2392,E2393&lt;&gt;E2392),G2392+1,G2392))</f>
        <v/>
      </c>
    </row>
    <row r="2394">
      <c r="A2394" s="20">
        <f>IF(A2393="","",IF(A2393+1&gt;Ввод!$B$4,"",A2393+1))</f>
        <v/>
      </c>
      <c r="B2394">
        <f>IF(A2394="","",IFERROR(INDEX(Ввод!$B$12:$B$71,MATCH(A2394,Ввод!$D$12:$D$71,1)),""))</f>
        <v/>
      </c>
      <c r="C2394">
        <f>IF(A2394="","",DATE(YEAR(A2394),12,31)-DATE(YEAR(A2394),1,1)+1)</f>
        <v/>
      </c>
      <c r="D2394">
        <f>IF(A2394="","",SUMIFS(Акты!$D$5:$D$16,Акты!$E$5:$E$16,"&lt;="&amp;A2394)-SUMIFS(Оплаты!$B$6:$B$505,Оплаты!$A$6:$A$505,"&lt;"&amp;A2394,Оплаты!$D$6:$D$505,"&lt;&gt;"))</f>
        <v/>
      </c>
      <c r="E2394">
        <f>IF(A2394="","",IF(SUMPRODUCT((Ввод!$F$12:$F$31&lt;&gt;"")*(Ввод!$F$12:$F$31&lt;=A2394)*(Ввод!$G$12:$G$31&gt;=A2394))&gt;0,1,0))</f>
        <v/>
      </c>
      <c r="G2394">
        <f>IF(A2394="","",IF(OR(B2394&lt;&gt;B2393,C2394&lt;&gt;C2393,E2394&lt;&gt;E2393),G2393+1,G2393))</f>
        <v/>
      </c>
    </row>
    <row r="2395">
      <c r="A2395" s="20">
        <f>IF(A2394="","",IF(A2394+1&gt;Ввод!$B$4,"",A2394+1))</f>
        <v/>
      </c>
      <c r="B2395">
        <f>IF(A2395="","",IFERROR(INDEX(Ввод!$B$12:$B$71,MATCH(A2395,Ввод!$D$12:$D$71,1)),""))</f>
        <v/>
      </c>
      <c r="C2395">
        <f>IF(A2395="","",DATE(YEAR(A2395),12,31)-DATE(YEAR(A2395),1,1)+1)</f>
        <v/>
      </c>
      <c r="D2395">
        <f>IF(A2395="","",SUMIFS(Акты!$D$5:$D$16,Акты!$E$5:$E$16,"&lt;="&amp;A2395)-SUMIFS(Оплаты!$B$6:$B$505,Оплаты!$A$6:$A$505,"&lt;"&amp;A2395,Оплаты!$D$6:$D$505,"&lt;&gt;"))</f>
        <v/>
      </c>
      <c r="E2395">
        <f>IF(A2395="","",IF(SUMPRODUCT((Ввод!$F$12:$F$31&lt;&gt;"")*(Ввод!$F$12:$F$31&lt;=A2395)*(Ввод!$G$12:$G$31&gt;=A2395))&gt;0,1,0))</f>
        <v/>
      </c>
      <c r="G2395">
        <f>IF(A2395="","",IF(OR(B2395&lt;&gt;B2394,C2395&lt;&gt;C2394,E2395&lt;&gt;E2394),G2394+1,G2394))</f>
        <v/>
      </c>
    </row>
    <row r="2396">
      <c r="A2396" s="20">
        <f>IF(A2395="","",IF(A2395+1&gt;Ввод!$B$4,"",A2395+1))</f>
        <v/>
      </c>
      <c r="B2396">
        <f>IF(A2396="","",IFERROR(INDEX(Ввод!$B$12:$B$71,MATCH(A2396,Ввод!$D$12:$D$71,1)),""))</f>
        <v/>
      </c>
      <c r="C2396">
        <f>IF(A2396="","",DATE(YEAR(A2396),12,31)-DATE(YEAR(A2396),1,1)+1)</f>
        <v/>
      </c>
      <c r="D2396">
        <f>IF(A2396="","",SUMIFS(Акты!$D$5:$D$16,Акты!$E$5:$E$16,"&lt;="&amp;A2396)-SUMIFS(Оплаты!$B$6:$B$505,Оплаты!$A$6:$A$505,"&lt;"&amp;A2396,Оплаты!$D$6:$D$505,"&lt;&gt;"))</f>
        <v/>
      </c>
      <c r="E2396">
        <f>IF(A2396="","",IF(SUMPRODUCT((Ввод!$F$12:$F$31&lt;&gt;"")*(Ввод!$F$12:$F$31&lt;=A2396)*(Ввод!$G$12:$G$31&gt;=A2396))&gt;0,1,0))</f>
        <v/>
      </c>
      <c r="G2396">
        <f>IF(A2396="","",IF(OR(B2396&lt;&gt;B2395,C2396&lt;&gt;C2395,E2396&lt;&gt;E2395),G2395+1,G2395))</f>
        <v/>
      </c>
    </row>
    <row r="2397">
      <c r="A2397" s="20">
        <f>IF(A2396="","",IF(A2396+1&gt;Ввод!$B$4,"",A2396+1))</f>
        <v/>
      </c>
      <c r="B2397">
        <f>IF(A2397="","",IFERROR(INDEX(Ввод!$B$12:$B$71,MATCH(A2397,Ввод!$D$12:$D$71,1)),""))</f>
        <v/>
      </c>
      <c r="C2397">
        <f>IF(A2397="","",DATE(YEAR(A2397),12,31)-DATE(YEAR(A2397),1,1)+1)</f>
        <v/>
      </c>
      <c r="D2397">
        <f>IF(A2397="","",SUMIFS(Акты!$D$5:$D$16,Акты!$E$5:$E$16,"&lt;="&amp;A2397)-SUMIFS(Оплаты!$B$6:$B$505,Оплаты!$A$6:$A$505,"&lt;"&amp;A2397,Оплаты!$D$6:$D$505,"&lt;&gt;"))</f>
        <v/>
      </c>
      <c r="E2397">
        <f>IF(A2397="","",IF(SUMPRODUCT((Ввод!$F$12:$F$31&lt;&gt;"")*(Ввод!$F$12:$F$31&lt;=A2397)*(Ввод!$G$12:$G$31&gt;=A2397))&gt;0,1,0))</f>
        <v/>
      </c>
      <c r="G2397">
        <f>IF(A2397="","",IF(OR(B2397&lt;&gt;B2396,C2397&lt;&gt;C2396,E2397&lt;&gt;E2396),G2396+1,G2396))</f>
        <v/>
      </c>
    </row>
    <row r="2398">
      <c r="A2398" s="20">
        <f>IF(A2397="","",IF(A2397+1&gt;Ввод!$B$4,"",A2397+1))</f>
        <v/>
      </c>
      <c r="B2398">
        <f>IF(A2398="","",IFERROR(INDEX(Ввод!$B$12:$B$71,MATCH(A2398,Ввод!$D$12:$D$71,1)),""))</f>
        <v/>
      </c>
      <c r="C2398">
        <f>IF(A2398="","",DATE(YEAR(A2398),12,31)-DATE(YEAR(A2398),1,1)+1)</f>
        <v/>
      </c>
      <c r="D2398">
        <f>IF(A2398="","",SUMIFS(Акты!$D$5:$D$16,Акты!$E$5:$E$16,"&lt;="&amp;A2398)-SUMIFS(Оплаты!$B$6:$B$505,Оплаты!$A$6:$A$505,"&lt;"&amp;A2398,Оплаты!$D$6:$D$505,"&lt;&gt;"))</f>
        <v/>
      </c>
      <c r="E2398">
        <f>IF(A2398="","",IF(SUMPRODUCT((Ввод!$F$12:$F$31&lt;&gt;"")*(Ввод!$F$12:$F$31&lt;=A2398)*(Ввод!$G$12:$G$31&gt;=A2398))&gt;0,1,0))</f>
        <v/>
      </c>
      <c r="G2398">
        <f>IF(A2398="","",IF(OR(B2398&lt;&gt;B2397,C2398&lt;&gt;C2397,E2398&lt;&gt;E2397),G2397+1,G2397))</f>
        <v/>
      </c>
    </row>
    <row r="2399">
      <c r="A2399" s="20">
        <f>IF(A2398="","",IF(A2398+1&gt;Ввод!$B$4,"",A2398+1))</f>
        <v/>
      </c>
      <c r="B2399">
        <f>IF(A2399="","",IFERROR(INDEX(Ввод!$B$12:$B$71,MATCH(A2399,Ввод!$D$12:$D$71,1)),""))</f>
        <v/>
      </c>
      <c r="C2399">
        <f>IF(A2399="","",DATE(YEAR(A2399),12,31)-DATE(YEAR(A2399),1,1)+1)</f>
        <v/>
      </c>
      <c r="D2399">
        <f>IF(A2399="","",SUMIFS(Акты!$D$5:$D$16,Акты!$E$5:$E$16,"&lt;="&amp;A2399)-SUMIFS(Оплаты!$B$6:$B$505,Оплаты!$A$6:$A$505,"&lt;"&amp;A2399,Оплаты!$D$6:$D$505,"&lt;&gt;"))</f>
        <v/>
      </c>
      <c r="E2399">
        <f>IF(A2399="","",IF(SUMPRODUCT((Ввод!$F$12:$F$31&lt;&gt;"")*(Ввод!$F$12:$F$31&lt;=A2399)*(Ввод!$G$12:$G$31&gt;=A2399))&gt;0,1,0))</f>
        <v/>
      </c>
      <c r="G2399">
        <f>IF(A2399="","",IF(OR(B2399&lt;&gt;B2398,C2399&lt;&gt;C2398,E2399&lt;&gt;E2398),G2398+1,G2398))</f>
        <v/>
      </c>
    </row>
    <row r="2400">
      <c r="A2400" s="20">
        <f>IF(A2399="","",IF(A2399+1&gt;Ввод!$B$4,"",A2399+1))</f>
        <v/>
      </c>
      <c r="B2400">
        <f>IF(A2400="","",IFERROR(INDEX(Ввод!$B$12:$B$71,MATCH(A2400,Ввод!$D$12:$D$71,1)),""))</f>
        <v/>
      </c>
      <c r="C2400">
        <f>IF(A2400="","",DATE(YEAR(A2400),12,31)-DATE(YEAR(A2400),1,1)+1)</f>
        <v/>
      </c>
      <c r="D2400">
        <f>IF(A2400="","",SUMIFS(Акты!$D$5:$D$16,Акты!$E$5:$E$16,"&lt;="&amp;A2400)-SUMIFS(Оплаты!$B$6:$B$505,Оплаты!$A$6:$A$505,"&lt;"&amp;A2400,Оплаты!$D$6:$D$505,"&lt;&gt;"))</f>
        <v/>
      </c>
      <c r="E2400">
        <f>IF(A2400="","",IF(SUMPRODUCT((Ввод!$F$12:$F$31&lt;&gt;"")*(Ввод!$F$12:$F$31&lt;=A2400)*(Ввод!$G$12:$G$31&gt;=A2400))&gt;0,1,0))</f>
        <v/>
      </c>
      <c r="G2400">
        <f>IF(A2400="","",IF(OR(B2400&lt;&gt;B2399,C2400&lt;&gt;C2399,E2400&lt;&gt;E2399),G2399+1,G2399))</f>
        <v/>
      </c>
    </row>
    <row r="2401">
      <c r="A2401" s="20">
        <f>IF(A2400="","",IF(A2400+1&gt;Ввод!$B$4,"",A2400+1))</f>
        <v/>
      </c>
      <c r="B2401">
        <f>IF(A2401="","",IFERROR(INDEX(Ввод!$B$12:$B$71,MATCH(A2401,Ввод!$D$12:$D$71,1)),""))</f>
        <v/>
      </c>
      <c r="C2401">
        <f>IF(A2401="","",DATE(YEAR(A2401),12,31)-DATE(YEAR(A2401),1,1)+1)</f>
        <v/>
      </c>
      <c r="D2401">
        <f>IF(A2401="","",SUMIFS(Акты!$D$5:$D$16,Акты!$E$5:$E$16,"&lt;="&amp;A2401)-SUMIFS(Оплаты!$B$6:$B$505,Оплаты!$A$6:$A$505,"&lt;"&amp;A2401,Оплаты!$D$6:$D$505,"&lt;&gt;"))</f>
        <v/>
      </c>
      <c r="E2401">
        <f>IF(A2401="","",IF(SUMPRODUCT((Ввод!$F$12:$F$31&lt;&gt;"")*(Ввод!$F$12:$F$31&lt;=A2401)*(Ввод!$G$12:$G$31&gt;=A2401))&gt;0,1,0))</f>
        <v/>
      </c>
      <c r="G2401">
        <f>IF(A2401="","",IF(OR(B2401&lt;&gt;B2400,C2401&lt;&gt;C2400,E2401&lt;&gt;E2400),G2400+1,G2400))</f>
        <v/>
      </c>
    </row>
    <row r="2402">
      <c r="A2402" s="20">
        <f>IF(A2401="","",IF(A2401+1&gt;Ввод!$B$4,"",A2401+1))</f>
        <v/>
      </c>
      <c r="B2402">
        <f>IF(A2402="","",IFERROR(INDEX(Ввод!$B$12:$B$71,MATCH(A2402,Ввод!$D$12:$D$71,1)),""))</f>
        <v/>
      </c>
      <c r="C2402">
        <f>IF(A2402="","",DATE(YEAR(A2402),12,31)-DATE(YEAR(A2402),1,1)+1)</f>
        <v/>
      </c>
      <c r="D2402">
        <f>IF(A2402="","",SUMIFS(Акты!$D$5:$D$16,Акты!$E$5:$E$16,"&lt;="&amp;A2402)-SUMIFS(Оплаты!$B$6:$B$505,Оплаты!$A$6:$A$505,"&lt;"&amp;A2402,Оплаты!$D$6:$D$505,"&lt;&gt;"))</f>
        <v/>
      </c>
      <c r="E2402">
        <f>IF(A2402="","",IF(SUMPRODUCT((Ввод!$F$12:$F$31&lt;&gt;"")*(Ввод!$F$12:$F$31&lt;=A2402)*(Ввод!$G$12:$G$31&gt;=A2402))&gt;0,1,0))</f>
        <v/>
      </c>
      <c r="G2402">
        <f>IF(A2402="","",IF(OR(B2402&lt;&gt;B2401,C2402&lt;&gt;C2401,E2402&lt;&gt;E2401),G2401+1,G2401))</f>
        <v/>
      </c>
    </row>
    <row r="2403">
      <c r="A2403" s="20">
        <f>IF(A2402="","",IF(A2402+1&gt;Ввод!$B$4,"",A2402+1))</f>
        <v/>
      </c>
      <c r="B2403">
        <f>IF(A2403="","",IFERROR(INDEX(Ввод!$B$12:$B$71,MATCH(A2403,Ввод!$D$12:$D$71,1)),""))</f>
        <v/>
      </c>
      <c r="C2403">
        <f>IF(A2403="","",DATE(YEAR(A2403),12,31)-DATE(YEAR(A2403),1,1)+1)</f>
        <v/>
      </c>
      <c r="D2403">
        <f>IF(A2403="","",SUMIFS(Акты!$D$5:$D$16,Акты!$E$5:$E$16,"&lt;="&amp;A2403)-SUMIFS(Оплаты!$B$6:$B$505,Оплаты!$A$6:$A$505,"&lt;"&amp;A2403,Оплаты!$D$6:$D$505,"&lt;&gt;"))</f>
        <v/>
      </c>
      <c r="E2403">
        <f>IF(A2403="","",IF(SUMPRODUCT((Ввод!$F$12:$F$31&lt;&gt;"")*(Ввод!$F$12:$F$31&lt;=A2403)*(Ввод!$G$12:$G$31&gt;=A2403))&gt;0,1,0))</f>
        <v/>
      </c>
      <c r="G2403">
        <f>IF(A2403="","",IF(OR(B2403&lt;&gt;B2402,C2403&lt;&gt;C2402,E2403&lt;&gt;E2402),G2402+1,G2402))</f>
        <v/>
      </c>
    </row>
    <row r="2404">
      <c r="A2404" s="20">
        <f>IF(A2403="","",IF(A2403+1&gt;Ввод!$B$4,"",A2403+1))</f>
        <v/>
      </c>
      <c r="B2404">
        <f>IF(A2404="","",IFERROR(INDEX(Ввод!$B$12:$B$71,MATCH(A2404,Ввод!$D$12:$D$71,1)),""))</f>
        <v/>
      </c>
      <c r="C2404">
        <f>IF(A2404="","",DATE(YEAR(A2404),12,31)-DATE(YEAR(A2404),1,1)+1)</f>
        <v/>
      </c>
      <c r="D2404">
        <f>IF(A2404="","",SUMIFS(Акты!$D$5:$D$16,Акты!$E$5:$E$16,"&lt;="&amp;A2404)-SUMIFS(Оплаты!$B$6:$B$505,Оплаты!$A$6:$A$505,"&lt;"&amp;A2404,Оплаты!$D$6:$D$505,"&lt;&gt;"))</f>
        <v/>
      </c>
      <c r="E2404">
        <f>IF(A2404="","",IF(SUMPRODUCT((Ввод!$F$12:$F$31&lt;&gt;"")*(Ввод!$F$12:$F$31&lt;=A2404)*(Ввод!$G$12:$G$31&gt;=A2404))&gt;0,1,0))</f>
        <v/>
      </c>
      <c r="G2404">
        <f>IF(A2404="","",IF(OR(B2404&lt;&gt;B2403,C2404&lt;&gt;C2403,E2404&lt;&gt;E2403),G2403+1,G2403))</f>
        <v/>
      </c>
    </row>
    <row r="2405">
      <c r="A2405" s="20">
        <f>IF(A2404="","",IF(A2404+1&gt;Ввод!$B$4,"",A2404+1))</f>
        <v/>
      </c>
      <c r="B2405">
        <f>IF(A2405="","",IFERROR(INDEX(Ввод!$B$12:$B$71,MATCH(A2405,Ввод!$D$12:$D$71,1)),""))</f>
        <v/>
      </c>
      <c r="C2405">
        <f>IF(A2405="","",DATE(YEAR(A2405),12,31)-DATE(YEAR(A2405),1,1)+1)</f>
        <v/>
      </c>
      <c r="D2405">
        <f>IF(A2405="","",SUMIFS(Акты!$D$5:$D$16,Акты!$E$5:$E$16,"&lt;="&amp;A2405)-SUMIFS(Оплаты!$B$6:$B$505,Оплаты!$A$6:$A$505,"&lt;"&amp;A2405,Оплаты!$D$6:$D$505,"&lt;&gt;"))</f>
        <v/>
      </c>
      <c r="E2405">
        <f>IF(A2405="","",IF(SUMPRODUCT((Ввод!$F$12:$F$31&lt;&gt;"")*(Ввод!$F$12:$F$31&lt;=A2405)*(Ввод!$G$12:$G$31&gt;=A2405))&gt;0,1,0))</f>
        <v/>
      </c>
      <c r="G2405">
        <f>IF(A2405="","",IF(OR(B2405&lt;&gt;B2404,C2405&lt;&gt;C2404,E2405&lt;&gt;E2404),G2404+1,G2404))</f>
        <v/>
      </c>
    </row>
    <row r="2406">
      <c r="A2406" s="20">
        <f>IF(A2405="","",IF(A2405+1&gt;Ввод!$B$4,"",A2405+1))</f>
        <v/>
      </c>
      <c r="B2406">
        <f>IF(A2406="","",IFERROR(INDEX(Ввод!$B$12:$B$71,MATCH(A2406,Ввод!$D$12:$D$71,1)),""))</f>
        <v/>
      </c>
      <c r="C2406">
        <f>IF(A2406="","",DATE(YEAR(A2406),12,31)-DATE(YEAR(A2406),1,1)+1)</f>
        <v/>
      </c>
      <c r="D2406">
        <f>IF(A2406="","",SUMIFS(Акты!$D$5:$D$16,Акты!$E$5:$E$16,"&lt;="&amp;A2406)-SUMIFS(Оплаты!$B$6:$B$505,Оплаты!$A$6:$A$505,"&lt;"&amp;A2406,Оплаты!$D$6:$D$505,"&lt;&gt;"))</f>
        <v/>
      </c>
      <c r="E2406">
        <f>IF(A2406="","",IF(SUMPRODUCT((Ввод!$F$12:$F$31&lt;&gt;"")*(Ввод!$F$12:$F$31&lt;=A2406)*(Ввод!$G$12:$G$31&gt;=A2406))&gt;0,1,0))</f>
        <v/>
      </c>
      <c r="G2406">
        <f>IF(A2406="","",IF(OR(B2406&lt;&gt;B2405,C2406&lt;&gt;C2405,E2406&lt;&gt;E2405),G2405+1,G2405))</f>
        <v/>
      </c>
    </row>
    <row r="2407">
      <c r="A2407" s="20">
        <f>IF(A2406="","",IF(A2406+1&gt;Ввод!$B$4,"",A2406+1))</f>
        <v/>
      </c>
      <c r="B2407">
        <f>IF(A2407="","",IFERROR(INDEX(Ввод!$B$12:$B$71,MATCH(A2407,Ввод!$D$12:$D$71,1)),""))</f>
        <v/>
      </c>
      <c r="C2407">
        <f>IF(A2407="","",DATE(YEAR(A2407),12,31)-DATE(YEAR(A2407),1,1)+1)</f>
        <v/>
      </c>
      <c r="D2407">
        <f>IF(A2407="","",SUMIFS(Акты!$D$5:$D$16,Акты!$E$5:$E$16,"&lt;="&amp;A2407)-SUMIFS(Оплаты!$B$6:$B$505,Оплаты!$A$6:$A$505,"&lt;"&amp;A2407,Оплаты!$D$6:$D$505,"&lt;&gt;"))</f>
        <v/>
      </c>
      <c r="E2407">
        <f>IF(A2407="","",IF(SUMPRODUCT((Ввод!$F$12:$F$31&lt;&gt;"")*(Ввод!$F$12:$F$31&lt;=A2407)*(Ввод!$G$12:$G$31&gt;=A2407))&gt;0,1,0))</f>
        <v/>
      </c>
      <c r="G2407">
        <f>IF(A2407="","",IF(OR(B2407&lt;&gt;B2406,C2407&lt;&gt;C2406,E2407&lt;&gt;E2406),G2406+1,G2406))</f>
        <v/>
      </c>
    </row>
    <row r="2408">
      <c r="A2408" s="20">
        <f>IF(A2407="","",IF(A2407+1&gt;Ввод!$B$4,"",A2407+1))</f>
        <v/>
      </c>
      <c r="B2408">
        <f>IF(A2408="","",IFERROR(INDEX(Ввод!$B$12:$B$71,MATCH(A2408,Ввод!$D$12:$D$71,1)),""))</f>
        <v/>
      </c>
      <c r="C2408">
        <f>IF(A2408="","",DATE(YEAR(A2408),12,31)-DATE(YEAR(A2408),1,1)+1)</f>
        <v/>
      </c>
      <c r="D2408">
        <f>IF(A2408="","",SUMIFS(Акты!$D$5:$D$16,Акты!$E$5:$E$16,"&lt;="&amp;A2408)-SUMIFS(Оплаты!$B$6:$B$505,Оплаты!$A$6:$A$505,"&lt;"&amp;A2408,Оплаты!$D$6:$D$505,"&lt;&gt;"))</f>
        <v/>
      </c>
      <c r="E2408">
        <f>IF(A2408="","",IF(SUMPRODUCT((Ввод!$F$12:$F$31&lt;&gt;"")*(Ввод!$F$12:$F$31&lt;=A2408)*(Ввод!$G$12:$G$31&gt;=A2408))&gt;0,1,0))</f>
        <v/>
      </c>
      <c r="G2408">
        <f>IF(A2408="","",IF(OR(B2408&lt;&gt;B2407,C2408&lt;&gt;C2407,E2408&lt;&gt;E2407),G2407+1,G2407))</f>
        <v/>
      </c>
    </row>
    <row r="2409">
      <c r="A2409" s="20">
        <f>IF(A2408="","",IF(A2408+1&gt;Ввод!$B$4,"",A2408+1))</f>
        <v/>
      </c>
      <c r="B2409">
        <f>IF(A2409="","",IFERROR(INDEX(Ввод!$B$12:$B$71,MATCH(A2409,Ввод!$D$12:$D$71,1)),""))</f>
        <v/>
      </c>
      <c r="C2409">
        <f>IF(A2409="","",DATE(YEAR(A2409),12,31)-DATE(YEAR(A2409),1,1)+1)</f>
        <v/>
      </c>
      <c r="D2409">
        <f>IF(A2409="","",SUMIFS(Акты!$D$5:$D$16,Акты!$E$5:$E$16,"&lt;="&amp;A2409)-SUMIFS(Оплаты!$B$6:$B$505,Оплаты!$A$6:$A$505,"&lt;"&amp;A2409,Оплаты!$D$6:$D$505,"&lt;&gt;"))</f>
        <v/>
      </c>
      <c r="E2409">
        <f>IF(A2409="","",IF(SUMPRODUCT((Ввод!$F$12:$F$31&lt;&gt;"")*(Ввод!$F$12:$F$31&lt;=A2409)*(Ввод!$G$12:$G$31&gt;=A2409))&gt;0,1,0))</f>
        <v/>
      </c>
      <c r="G2409">
        <f>IF(A2409="","",IF(OR(B2409&lt;&gt;B2408,C2409&lt;&gt;C2408,E2409&lt;&gt;E2408),G2408+1,G2408))</f>
        <v/>
      </c>
    </row>
    <row r="2410">
      <c r="A2410" s="20">
        <f>IF(A2409="","",IF(A2409+1&gt;Ввод!$B$4,"",A2409+1))</f>
        <v/>
      </c>
      <c r="B2410">
        <f>IF(A2410="","",IFERROR(INDEX(Ввод!$B$12:$B$71,MATCH(A2410,Ввод!$D$12:$D$71,1)),""))</f>
        <v/>
      </c>
      <c r="C2410">
        <f>IF(A2410="","",DATE(YEAR(A2410),12,31)-DATE(YEAR(A2410),1,1)+1)</f>
        <v/>
      </c>
      <c r="D2410">
        <f>IF(A2410="","",SUMIFS(Акты!$D$5:$D$16,Акты!$E$5:$E$16,"&lt;="&amp;A2410)-SUMIFS(Оплаты!$B$6:$B$505,Оплаты!$A$6:$A$505,"&lt;"&amp;A2410,Оплаты!$D$6:$D$505,"&lt;&gt;"))</f>
        <v/>
      </c>
      <c r="E2410">
        <f>IF(A2410="","",IF(SUMPRODUCT((Ввод!$F$12:$F$31&lt;&gt;"")*(Ввод!$F$12:$F$31&lt;=A2410)*(Ввод!$G$12:$G$31&gt;=A2410))&gt;0,1,0))</f>
        <v/>
      </c>
      <c r="G2410">
        <f>IF(A2410="","",IF(OR(B2410&lt;&gt;B2409,C2410&lt;&gt;C2409,E2410&lt;&gt;E2409),G2409+1,G2409))</f>
        <v/>
      </c>
    </row>
    <row r="2411">
      <c r="A2411" s="20">
        <f>IF(A2410="","",IF(A2410+1&gt;Ввод!$B$4,"",A2410+1))</f>
        <v/>
      </c>
      <c r="B2411">
        <f>IF(A2411="","",IFERROR(INDEX(Ввод!$B$12:$B$71,MATCH(A2411,Ввод!$D$12:$D$71,1)),""))</f>
        <v/>
      </c>
      <c r="C2411">
        <f>IF(A2411="","",DATE(YEAR(A2411),12,31)-DATE(YEAR(A2411),1,1)+1)</f>
        <v/>
      </c>
      <c r="D2411">
        <f>IF(A2411="","",SUMIFS(Акты!$D$5:$D$16,Акты!$E$5:$E$16,"&lt;="&amp;A2411)-SUMIFS(Оплаты!$B$6:$B$505,Оплаты!$A$6:$A$505,"&lt;"&amp;A2411,Оплаты!$D$6:$D$505,"&lt;&gt;"))</f>
        <v/>
      </c>
      <c r="E2411">
        <f>IF(A2411="","",IF(SUMPRODUCT((Ввод!$F$12:$F$31&lt;&gt;"")*(Ввод!$F$12:$F$31&lt;=A2411)*(Ввод!$G$12:$G$31&gt;=A2411))&gt;0,1,0))</f>
        <v/>
      </c>
      <c r="G2411">
        <f>IF(A2411="","",IF(OR(B2411&lt;&gt;B2410,C2411&lt;&gt;C2410,E2411&lt;&gt;E2410),G2410+1,G2410))</f>
        <v/>
      </c>
    </row>
    <row r="2412">
      <c r="A2412" s="20">
        <f>IF(A2411="","",IF(A2411+1&gt;Ввод!$B$4,"",A2411+1))</f>
        <v/>
      </c>
      <c r="B2412">
        <f>IF(A2412="","",IFERROR(INDEX(Ввод!$B$12:$B$71,MATCH(A2412,Ввод!$D$12:$D$71,1)),""))</f>
        <v/>
      </c>
      <c r="C2412">
        <f>IF(A2412="","",DATE(YEAR(A2412),12,31)-DATE(YEAR(A2412),1,1)+1)</f>
        <v/>
      </c>
      <c r="D2412">
        <f>IF(A2412="","",SUMIFS(Акты!$D$5:$D$16,Акты!$E$5:$E$16,"&lt;="&amp;A2412)-SUMIFS(Оплаты!$B$6:$B$505,Оплаты!$A$6:$A$505,"&lt;"&amp;A2412,Оплаты!$D$6:$D$505,"&lt;&gt;"))</f>
        <v/>
      </c>
      <c r="E2412">
        <f>IF(A2412="","",IF(SUMPRODUCT((Ввод!$F$12:$F$31&lt;&gt;"")*(Ввод!$F$12:$F$31&lt;=A2412)*(Ввод!$G$12:$G$31&gt;=A2412))&gt;0,1,0))</f>
        <v/>
      </c>
      <c r="G2412">
        <f>IF(A2412="","",IF(OR(B2412&lt;&gt;B2411,C2412&lt;&gt;C2411,E2412&lt;&gt;E2411),G2411+1,G2411))</f>
        <v/>
      </c>
    </row>
    <row r="2413">
      <c r="A2413" s="20">
        <f>IF(A2412="","",IF(A2412+1&gt;Ввод!$B$4,"",A2412+1))</f>
        <v/>
      </c>
      <c r="B2413">
        <f>IF(A2413="","",IFERROR(INDEX(Ввод!$B$12:$B$71,MATCH(A2413,Ввод!$D$12:$D$71,1)),""))</f>
        <v/>
      </c>
      <c r="C2413">
        <f>IF(A2413="","",DATE(YEAR(A2413),12,31)-DATE(YEAR(A2413),1,1)+1)</f>
        <v/>
      </c>
      <c r="D2413">
        <f>IF(A2413="","",SUMIFS(Акты!$D$5:$D$16,Акты!$E$5:$E$16,"&lt;="&amp;A2413)-SUMIFS(Оплаты!$B$6:$B$505,Оплаты!$A$6:$A$505,"&lt;"&amp;A2413,Оплаты!$D$6:$D$505,"&lt;&gt;"))</f>
        <v/>
      </c>
      <c r="E2413">
        <f>IF(A2413="","",IF(SUMPRODUCT((Ввод!$F$12:$F$31&lt;&gt;"")*(Ввод!$F$12:$F$31&lt;=A2413)*(Ввод!$G$12:$G$31&gt;=A2413))&gt;0,1,0))</f>
        <v/>
      </c>
      <c r="G2413">
        <f>IF(A2413="","",IF(OR(B2413&lt;&gt;B2412,C2413&lt;&gt;C2412,E2413&lt;&gt;E2412),G2412+1,G2412))</f>
        <v/>
      </c>
    </row>
    <row r="2414">
      <c r="A2414" s="20">
        <f>IF(A2413="","",IF(A2413+1&gt;Ввод!$B$4,"",A2413+1))</f>
        <v/>
      </c>
      <c r="B2414">
        <f>IF(A2414="","",IFERROR(INDEX(Ввод!$B$12:$B$71,MATCH(A2414,Ввод!$D$12:$D$71,1)),""))</f>
        <v/>
      </c>
      <c r="C2414">
        <f>IF(A2414="","",DATE(YEAR(A2414),12,31)-DATE(YEAR(A2414),1,1)+1)</f>
        <v/>
      </c>
      <c r="D2414">
        <f>IF(A2414="","",SUMIFS(Акты!$D$5:$D$16,Акты!$E$5:$E$16,"&lt;="&amp;A2414)-SUMIFS(Оплаты!$B$6:$B$505,Оплаты!$A$6:$A$505,"&lt;"&amp;A2414,Оплаты!$D$6:$D$505,"&lt;&gt;"))</f>
        <v/>
      </c>
      <c r="E2414">
        <f>IF(A2414="","",IF(SUMPRODUCT((Ввод!$F$12:$F$31&lt;&gt;"")*(Ввод!$F$12:$F$31&lt;=A2414)*(Ввод!$G$12:$G$31&gt;=A2414))&gt;0,1,0))</f>
        <v/>
      </c>
      <c r="G2414">
        <f>IF(A2414="","",IF(OR(B2414&lt;&gt;B2413,C2414&lt;&gt;C2413,E2414&lt;&gt;E2413),G2413+1,G2413))</f>
        <v/>
      </c>
    </row>
    <row r="2415">
      <c r="A2415" s="20">
        <f>IF(A2414="","",IF(A2414+1&gt;Ввод!$B$4,"",A2414+1))</f>
        <v/>
      </c>
      <c r="B2415">
        <f>IF(A2415="","",IFERROR(INDEX(Ввод!$B$12:$B$71,MATCH(A2415,Ввод!$D$12:$D$71,1)),""))</f>
        <v/>
      </c>
      <c r="C2415">
        <f>IF(A2415="","",DATE(YEAR(A2415),12,31)-DATE(YEAR(A2415),1,1)+1)</f>
        <v/>
      </c>
      <c r="D2415">
        <f>IF(A2415="","",SUMIFS(Акты!$D$5:$D$16,Акты!$E$5:$E$16,"&lt;="&amp;A2415)-SUMIFS(Оплаты!$B$6:$B$505,Оплаты!$A$6:$A$505,"&lt;"&amp;A2415,Оплаты!$D$6:$D$505,"&lt;&gt;"))</f>
        <v/>
      </c>
      <c r="E2415">
        <f>IF(A2415="","",IF(SUMPRODUCT((Ввод!$F$12:$F$31&lt;&gt;"")*(Ввод!$F$12:$F$31&lt;=A2415)*(Ввод!$G$12:$G$31&gt;=A2415))&gt;0,1,0))</f>
        <v/>
      </c>
      <c r="G2415">
        <f>IF(A2415="","",IF(OR(B2415&lt;&gt;B2414,C2415&lt;&gt;C2414,E2415&lt;&gt;E2414),G2414+1,G2414))</f>
        <v/>
      </c>
    </row>
    <row r="2416">
      <c r="A2416" s="20">
        <f>IF(A2415="","",IF(A2415+1&gt;Ввод!$B$4,"",A2415+1))</f>
        <v/>
      </c>
      <c r="B2416">
        <f>IF(A2416="","",IFERROR(INDEX(Ввод!$B$12:$B$71,MATCH(A2416,Ввод!$D$12:$D$71,1)),""))</f>
        <v/>
      </c>
      <c r="C2416">
        <f>IF(A2416="","",DATE(YEAR(A2416),12,31)-DATE(YEAR(A2416),1,1)+1)</f>
        <v/>
      </c>
      <c r="D2416">
        <f>IF(A2416="","",SUMIFS(Акты!$D$5:$D$16,Акты!$E$5:$E$16,"&lt;="&amp;A2416)-SUMIFS(Оплаты!$B$6:$B$505,Оплаты!$A$6:$A$505,"&lt;"&amp;A2416,Оплаты!$D$6:$D$505,"&lt;&gt;"))</f>
        <v/>
      </c>
      <c r="E2416">
        <f>IF(A2416="","",IF(SUMPRODUCT((Ввод!$F$12:$F$31&lt;&gt;"")*(Ввод!$F$12:$F$31&lt;=A2416)*(Ввод!$G$12:$G$31&gt;=A2416))&gt;0,1,0))</f>
        <v/>
      </c>
      <c r="G2416">
        <f>IF(A2416="","",IF(OR(B2416&lt;&gt;B2415,C2416&lt;&gt;C2415,E2416&lt;&gt;E2415),G2415+1,G2415))</f>
        <v/>
      </c>
    </row>
    <row r="2417">
      <c r="A2417" s="20">
        <f>IF(A2416="","",IF(A2416+1&gt;Ввод!$B$4,"",A2416+1))</f>
        <v/>
      </c>
      <c r="B2417">
        <f>IF(A2417="","",IFERROR(INDEX(Ввод!$B$12:$B$71,MATCH(A2417,Ввод!$D$12:$D$71,1)),""))</f>
        <v/>
      </c>
      <c r="C2417">
        <f>IF(A2417="","",DATE(YEAR(A2417),12,31)-DATE(YEAR(A2417),1,1)+1)</f>
        <v/>
      </c>
      <c r="D2417">
        <f>IF(A2417="","",SUMIFS(Акты!$D$5:$D$16,Акты!$E$5:$E$16,"&lt;="&amp;A2417)-SUMIFS(Оплаты!$B$6:$B$505,Оплаты!$A$6:$A$505,"&lt;"&amp;A2417,Оплаты!$D$6:$D$505,"&lt;&gt;"))</f>
        <v/>
      </c>
      <c r="E2417">
        <f>IF(A2417="","",IF(SUMPRODUCT((Ввод!$F$12:$F$31&lt;&gt;"")*(Ввод!$F$12:$F$31&lt;=A2417)*(Ввод!$G$12:$G$31&gt;=A2417))&gt;0,1,0))</f>
        <v/>
      </c>
      <c r="G2417">
        <f>IF(A2417="","",IF(OR(B2417&lt;&gt;B2416,C2417&lt;&gt;C2416,E2417&lt;&gt;E2416),G2416+1,G2416))</f>
        <v/>
      </c>
    </row>
    <row r="2418">
      <c r="A2418" s="20">
        <f>IF(A2417="","",IF(A2417+1&gt;Ввод!$B$4,"",A2417+1))</f>
        <v/>
      </c>
      <c r="B2418">
        <f>IF(A2418="","",IFERROR(INDEX(Ввод!$B$12:$B$71,MATCH(A2418,Ввод!$D$12:$D$71,1)),""))</f>
        <v/>
      </c>
      <c r="C2418">
        <f>IF(A2418="","",DATE(YEAR(A2418),12,31)-DATE(YEAR(A2418),1,1)+1)</f>
        <v/>
      </c>
      <c r="D2418">
        <f>IF(A2418="","",SUMIFS(Акты!$D$5:$D$16,Акты!$E$5:$E$16,"&lt;="&amp;A2418)-SUMIFS(Оплаты!$B$6:$B$505,Оплаты!$A$6:$A$505,"&lt;"&amp;A2418,Оплаты!$D$6:$D$505,"&lt;&gt;"))</f>
        <v/>
      </c>
      <c r="E2418">
        <f>IF(A2418="","",IF(SUMPRODUCT((Ввод!$F$12:$F$31&lt;&gt;"")*(Ввод!$F$12:$F$31&lt;=A2418)*(Ввод!$G$12:$G$31&gt;=A2418))&gt;0,1,0))</f>
        <v/>
      </c>
      <c r="G2418">
        <f>IF(A2418="","",IF(OR(B2418&lt;&gt;B2417,C2418&lt;&gt;C2417,E2418&lt;&gt;E2417),G2417+1,G2417))</f>
        <v/>
      </c>
    </row>
    <row r="2419">
      <c r="A2419" s="20">
        <f>IF(A2418="","",IF(A2418+1&gt;Ввод!$B$4,"",A2418+1))</f>
        <v/>
      </c>
      <c r="B2419">
        <f>IF(A2419="","",IFERROR(INDEX(Ввод!$B$12:$B$71,MATCH(A2419,Ввод!$D$12:$D$71,1)),""))</f>
        <v/>
      </c>
      <c r="C2419">
        <f>IF(A2419="","",DATE(YEAR(A2419),12,31)-DATE(YEAR(A2419),1,1)+1)</f>
        <v/>
      </c>
      <c r="D2419">
        <f>IF(A2419="","",SUMIFS(Акты!$D$5:$D$16,Акты!$E$5:$E$16,"&lt;="&amp;A2419)-SUMIFS(Оплаты!$B$6:$B$505,Оплаты!$A$6:$A$505,"&lt;"&amp;A2419,Оплаты!$D$6:$D$505,"&lt;&gt;"))</f>
        <v/>
      </c>
      <c r="E2419">
        <f>IF(A2419="","",IF(SUMPRODUCT((Ввод!$F$12:$F$31&lt;&gt;"")*(Ввод!$F$12:$F$31&lt;=A2419)*(Ввод!$G$12:$G$31&gt;=A2419))&gt;0,1,0))</f>
        <v/>
      </c>
      <c r="G2419">
        <f>IF(A2419="","",IF(OR(B2419&lt;&gt;B2418,C2419&lt;&gt;C2418,E2419&lt;&gt;E2418),G2418+1,G2418))</f>
        <v/>
      </c>
    </row>
    <row r="2420">
      <c r="A2420" s="20">
        <f>IF(A2419="","",IF(A2419+1&gt;Ввод!$B$4,"",A2419+1))</f>
        <v/>
      </c>
      <c r="B2420">
        <f>IF(A2420="","",IFERROR(INDEX(Ввод!$B$12:$B$71,MATCH(A2420,Ввод!$D$12:$D$71,1)),""))</f>
        <v/>
      </c>
      <c r="C2420">
        <f>IF(A2420="","",DATE(YEAR(A2420),12,31)-DATE(YEAR(A2420),1,1)+1)</f>
        <v/>
      </c>
      <c r="D2420">
        <f>IF(A2420="","",SUMIFS(Акты!$D$5:$D$16,Акты!$E$5:$E$16,"&lt;="&amp;A2420)-SUMIFS(Оплаты!$B$6:$B$505,Оплаты!$A$6:$A$505,"&lt;"&amp;A2420,Оплаты!$D$6:$D$505,"&lt;&gt;"))</f>
        <v/>
      </c>
      <c r="E2420">
        <f>IF(A2420="","",IF(SUMPRODUCT((Ввод!$F$12:$F$31&lt;&gt;"")*(Ввод!$F$12:$F$31&lt;=A2420)*(Ввод!$G$12:$G$31&gt;=A2420))&gt;0,1,0))</f>
        <v/>
      </c>
      <c r="G2420">
        <f>IF(A2420="","",IF(OR(B2420&lt;&gt;B2419,C2420&lt;&gt;C2419,E2420&lt;&gt;E2419),G2419+1,G2419))</f>
        <v/>
      </c>
    </row>
    <row r="2421">
      <c r="A2421" s="20">
        <f>IF(A2420="","",IF(A2420+1&gt;Ввод!$B$4,"",A2420+1))</f>
        <v/>
      </c>
      <c r="B2421">
        <f>IF(A2421="","",IFERROR(INDEX(Ввод!$B$12:$B$71,MATCH(A2421,Ввод!$D$12:$D$71,1)),""))</f>
        <v/>
      </c>
      <c r="C2421">
        <f>IF(A2421="","",DATE(YEAR(A2421),12,31)-DATE(YEAR(A2421),1,1)+1)</f>
        <v/>
      </c>
      <c r="D2421">
        <f>IF(A2421="","",SUMIFS(Акты!$D$5:$D$16,Акты!$E$5:$E$16,"&lt;="&amp;A2421)-SUMIFS(Оплаты!$B$6:$B$505,Оплаты!$A$6:$A$505,"&lt;"&amp;A2421,Оплаты!$D$6:$D$505,"&lt;&gt;"))</f>
        <v/>
      </c>
      <c r="E2421">
        <f>IF(A2421="","",IF(SUMPRODUCT((Ввод!$F$12:$F$31&lt;&gt;"")*(Ввод!$F$12:$F$31&lt;=A2421)*(Ввод!$G$12:$G$31&gt;=A2421))&gt;0,1,0))</f>
        <v/>
      </c>
      <c r="G2421">
        <f>IF(A2421="","",IF(OR(B2421&lt;&gt;B2420,C2421&lt;&gt;C2420,E2421&lt;&gt;E2420),G2420+1,G2420))</f>
        <v/>
      </c>
    </row>
    <row r="2422">
      <c r="A2422" s="20">
        <f>IF(A2421="","",IF(A2421+1&gt;Ввод!$B$4,"",A2421+1))</f>
        <v/>
      </c>
      <c r="B2422">
        <f>IF(A2422="","",IFERROR(INDEX(Ввод!$B$12:$B$71,MATCH(A2422,Ввод!$D$12:$D$71,1)),""))</f>
        <v/>
      </c>
      <c r="C2422">
        <f>IF(A2422="","",DATE(YEAR(A2422),12,31)-DATE(YEAR(A2422),1,1)+1)</f>
        <v/>
      </c>
      <c r="D2422">
        <f>IF(A2422="","",SUMIFS(Акты!$D$5:$D$16,Акты!$E$5:$E$16,"&lt;="&amp;A2422)-SUMIFS(Оплаты!$B$6:$B$505,Оплаты!$A$6:$A$505,"&lt;"&amp;A2422,Оплаты!$D$6:$D$505,"&lt;&gt;"))</f>
        <v/>
      </c>
      <c r="E2422">
        <f>IF(A2422="","",IF(SUMPRODUCT((Ввод!$F$12:$F$31&lt;&gt;"")*(Ввод!$F$12:$F$31&lt;=A2422)*(Ввод!$G$12:$G$31&gt;=A2422))&gt;0,1,0))</f>
        <v/>
      </c>
      <c r="G2422">
        <f>IF(A2422="","",IF(OR(B2422&lt;&gt;B2421,C2422&lt;&gt;C2421,E2422&lt;&gt;E2421),G2421+1,G2421))</f>
        <v/>
      </c>
    </row>
    <row r="2423">
      <c r="A2423" s="20">
        <f>IF(A2422="","",IF(A2422+1&gt;Ввод!$B$4,"",A2422+1))</f>
        <v/>
      </c>
      <c r="B2423">
        <f>IF(A2423="","",IFERROR(INDEX(Ввод!$B$12:$B$71,MATCH(A2423,Ввод!$D$12:$D$71,1)),""))</f>
        <v/>
      </c>
      <c r="C2423">
        <f>IF(A2423="","",DATE(YEAR(A2423),12,31)-DATE(YEAR(A2423),1,1)+1)</f>
        <v/>
      </c>
      <c r="D2423">
        <f>IF(A2423="","",SUMIFS(Акты!$D$5:$D$16,Акты!$E$5:$E$16,"&lt;="&amp;A2423)-SUMIFS(Оплаты!$B$6:$B$505,Оплаты!$A$6:$A$505,"&lt;"&amp;A2423,Оплаты!$D$6:$D$505,"&lt;&gt;"))</f>
        <v/>
      </c>
      <c r="E2423">
        <f>IF(A2423="","",IF(SUMPRODUCT((Ввод!$F$12:$F$31&lt;&gt;"")*(Ввод!$F$12:$F$31&lt;=A2423)*(Ввод!$G$12:$G$31&gt;=A2423))&gt;0,1,0))</f>
        <v/>
      </c>
      <c r="G2423">
        <f>IF(A2423="","",IF(OR(B2423&lt;&gt;B2422,C2423&lt;&gt;C2422,E2423&lt;&gt;E2422),G2422+1,G2422))</f>
        <v/>
      </c>
    </row>
    <row r="2424">
      <c r="A2424" s="20">
        <f>IF(A2423="","",IF(A2423+1&gt;Ввод!$B$4,"",A2423+1))</f>
        <v/>
      </c>
      <c r="B2424">
        <f>IF(A2424="","",IFERROR(INDEX(Ввод!$B$12:$B$71,MATCH(A2424,Ввод!$D$12:$D$71,1)),""))</f>
        <v/>
      </c>
      <c r="C2424">
        <f>IF(A2424="","",DATE(YEAR(A2424),12,31)-DATE(YEAR(A2424),1,1)+1)</f>
        <v/>
      </c>
      <c r="D2424">
        <f>IF(A2424="","",SUMIFS(Акты!$D$5:$D$16,Акты!$E$5:$E$16,"&lt;="&amp;A2424)-SUMIFS(Оплаты!$B$6:$B$505,Оплаты!$A$6:$A$505,"&lt;"&amp;A2424,Оплаты!$D$6:$D$505,"&lt;&gt;"))</f>
        <v/>
      </c>
      <c r="E2424">
        <f>IF(A2424="","",IF(SUMPRODUCT((Ввод!$F$12:$F$31&lt;&gt;"")*(Ввод!$F$12:$F$31&lt;=A2424)*(Ввод!$G$12:$G$31&gt;=A2424))&gt;0,1,0))</f>
        <v/>
      </c>
      <c r="G2424">
        <f>IF(A2424="","",IF(OR(B2424&lt;&gt;B2423,C2424&lt;&gt;C2423,E2424&lt;&gt;E2423),G2423+1,G2423))</f>
        <v/>
      </c>
    </row>
    <row r="2425">
      <c r="A2425" s="20">
        <f>IF(A2424="","",IF(A2424+1&gt;Ввод!$B$4,"",A2424+1))</f>
        <v/>
      </c>
      <c r="B2425">
        <f>IF(A2425="","",IFERROR(INDEX(Ввод!$B$12:$B$71,MATCH(A2425,Ввод!$D$12:$D$71,1)),""))</f>
        <v/>
      </c>
      <c r="C2425">
        <f>IF(A2425="","",DATE(YEAR(A2425),12,31)-DATE(YEAR(A2425),1,1)+1)</f>
        <v/>
      </c>
      <c r="D2425">
        <f>IF(A2425="","",SUMIFS(Акты!$D$5:$D$16,Акты!$E$5:$E$16,"&lt;="&amp;A2425)-SUMIFS(Оплаты!$B$6:$B$505,Оплаты!$A$6:$A$505,"&lt;"&amp;A2425,Оплаты!$D$6:$D$505,"&lt;&gt;"))</f>
        <v/>
      </c>
      <c r="E2425">
        <f>IF(A2425="","",IF(SUMPRODUCT((Ввод!$F$12:$F$31&lt;&gt;"")*(Ввод!$F$12:$F$31&lt;=A2425)*(Ввод!$G$12:$G$31&gt;=A2425))&gt;0,1,0))</f>
        <v/>
      </c>
      <c r="G2425">
        <f>IF(A2425="","",IF(OR(B2425&lt;&gt;B2424,C2425&lt;&gt;C2424,E2425&lt;&gt;E2424),G2424+1,G2424))</f>
        <v/>
      </c>
    </row>
    <row r="2426">
      <c r="A2426" s="20">
        <f>IF(A2425="","",IF(A2425+1&gt;Ввод!$B$4,"",A2425+1))</f>
        <v/>
      </c>
      <c r="B2426">
        <f>IF(A2426="","",IFERROR(INDEX(Ввод!$B$12:$B$71,MATCH(A2426,Ввод!$D$12:$D$71,1)),""))</f>
        <v/>
      </c>
      <c r="C2426">
        <f>IF(A2426="","",DATE(YEAR(A2426),12,31)-DATE(YEAR(A2426),1,1)+1)</f>
        <v/>
      </c>
      <c r="D2426">
        <f>IF(A2426="","",SUMIFS(Акты!$D$5:$D$16,Акты!$E$5:$E$16,"&lt;="&amp;A2426)-SUMIFS(Оплаты!$B$6:$B$505,Оплаты!$A$6:$A$505,"&lt;"&amp;A2426,Оплаты!$D$6:$D$505,"&lt;&gt;"))</f>
        <v/>
      </c>
      <c r="E2426">
        <f>IF(A2426="","",IF(SUMPRODUCT((Ввод!$F$12:$F$31&lt;&gt;"")*(Ввод!$F$12:$F$31&lt;=A2426)*(Ввод!$G$12:$G$31&gt;=A2426))&gt;0,1,0))</f>
        <v/>
      </c>
      <c r="G2426">
        <f>IF(A2426="","",IF(OR(B2426&lt;&gt;B2425,C2426&lt;&gt;C2425,E2426&lt;&gt;E2425),G2425+1,G2425))</f>
        <v/>
      </c>
    </row>
    <row r="2427">
      <c r="A2427" s="20">
        <f>IF(A2426="","",IF(A2426+1&gt;Ввод!$B$4,"",A2426+1))</f>
        <v/>
      </c>
      <c r="B2427">
        <f>IF(A2427="","",IFERROR(INDEX(Ввод!$B$12:$B$71,MATCH(A2427,Ввод!$D$12:$D$71,1)),""))</f>
        <v/>
      </c>
      <c r="C2427">
        <f>IF(A2427="","",DATE(YEAR(A2427),12,31)-DATE(YEAR(A2427),1,1)+1)</f>
        <v/>
      </c>
      <c r="D2427">
        <f>IF(A2427="","",SUMIFS(Акты!$D$5:$D$16,Акты!$E$5:$E$16,"&lt;="&amp;A2427)-SUMIFS(Оплаты!$B$6:$B$505,Оплаты!$A$6:$A$505,"&lt;"&amp;A2427,Оплаты!$D$6:$D$505,"&lt;&gt;"))</f>
        <v/>
      </c>
      <c r="E2427">
        <f>IF(A2427="","",IF(SUMPRODUCT((Ввод!$F$12:$F$31&lt;&gt;"")*(Ввод!$F$12:$F$31&lt;=A2427)*(Ввод!$G$12:$G$31&gt;=A2427))&gt;0,1,0))</f>
        <v/>
      </c>
      <c r="G2427">
        <f>IF(A2427="","",IF(OR(B2427&lt;&gt;B2426,C2427&lt;&gt;C2426,E2427&lt;&gt;E2426),G2426+1,G2426))</f>
        <v/>
      </c>
    </row>
    <row r="2428">
      <c r="A2428" s="20">
        <f>IF(A2427="","",IF(A2427+1&gt;Ввод!$B$4,"",A2427+1))</f>
        <v/>
      </c>
      <c r="B2428">
        <f>IF(A2428="","",IFERROR(INDEX(Ввод!$B$12:$B$71,MATCH(A2428,Ввод!$D$12:$D$71,1)),""))</f>
        <v/>
      </c>
      <c r="C2428">
        <f>IF(A2428="","",DATE(YEAR(A2428),12,31)-DATE(YEAR(A2428),1,1)+1)</f>
        <v/>
      </c>
      <c r="D2428">
        <f>IF(A2428="","",SUMIFS(Акты!$D$5:$D$16,Акты!$E$5:$E$16,"&lt;="&amp;A2428)-SUMIFS(Оплаты!$B$6:$B$505,Оплаты!$A$6:$A$505,"&lt;"&amp;A2428,Оплаты!$D$6:$D$505,"&lt;&gt;"))</f>
        <v/>
      </c>
      <c r="E2428">
        <f>IF(A2428="","",IF(SUMPRODUCT((Ввод!$F$12:$F$31&lt;&gt;"")*(Ввод!$F$12:$F$31&lt;=A2428)*(Ввод!$G$12:$G$31&gt;=A2428))&gt;0,1,0))</f>
        <v/>
      </c>
      <c r="G2428">
        <f>IF(A2428="","",IF(OR(B2428&lt;&gt;B2427,C2428&lt;&gt;C2427,E2428&lt;&gt;E2427),G2427+1,G2427))</f>
        <v/>
      </c>
    </row>
    <row r="2429">
      <c r="A2429" s="20">
        <f>IF(A2428="","",IF(A2428+1&gt;Ввод!$B$4,"",A2428+1))</f>
        <v/>
      </c>
      <c r="B2429">
        <f>IF(A2429="","",IFERROR(INDEX(Ввод!$B$12:$B$71,MATCH(A2429,Ввод!$D$12:$D$71,1)),""))</f>
        <v/>
      </c>
      <c r="C2429">
        <f>IF(A2429="","",DATE(YEAR(A2429),12,31)-DATE(YEAR(A2429),1,1)+1)</f>
        <v/>
      </c>
      <c r="D2429">
        <f>IF(A2429="","",SUMIFS(Акты!$D$5:$D$16,Акты!$E$5:$E$16,"&lt;="&amp;A2429)-SUMIFS(Оплаты!$B$6:$B$505,Оплаты!$A$6:$A$505,"&lt;"&amp;A2429,Оплаты!$D$6:$D$505,"&lt;&gt;"))</f>
        <v/>
      </c>
      <c r="E2429">
        <f>IF(A2429="","",IF(SUMPRODUCT((Ввод!$F$12:$F$31&lt;&gt;"")*(Ввод!$F$12:$F$31&lt;=A2429)*(Ввод!$G$12:$G$31&gt;=A2429))&gt;0,1,0))</f>
        <v/>
      </c>
      <c r="G2429">
        <f>IF(A2429="","",IF(OR(B2429&lt;&gt;B2428,C2429&lt;&gt;C2428,E2429&lt;&gt;E2428),G2428+1,G2428))</f>
        <v/>
      </c>
    </row>
    <row r="2430">
      <c r="A2430" s="20">
        <f>IF(A2429="","",IF(A2429+1&gt;Ввод!$B$4,"",A2429+1))</f>
        <v/>
      </c>
      <c r="B2430">
        <f>IF(A2430="","",IFERROR(INDEX(Ввод!$B$12:$B$71,MATCH(A2430,Ввод!$D$12:$D$71,1)),""))</f>
        <v/>
      </c>
      <c r="C2430">
        <f>IF(A2430="","",DATE(YEAR(A2430),12,31)-DATE(YEAR(A2430),1,1)+1)</f>
        <v/>
      </c>
      <c r="D2430">
        <f>IF(A2430="","",SUMIFS(Акты!$D$5:$D$16,Акты!$E$5:$E$16,"&lt;="&amp;A2430)-SUMIFS(Оплаты!$B$6:$B$505,Оплаты!$A$6:$A$505,"&lt;"&amp;A2430,Оплаты!$D$6:$D$505,"&lt;&gt;"))</f>
        <v/>
      </c>
      <c r="E2430">
        <f>IF(A2430="","",IF(SUMPRODUCT((Ввод!$F$12:$F$31&lt;&gt;"")*(Ввод!$F$12:$F$31&lt;=A2430)*(Ввод!$G$12:$G$31&gt;=A2430))&gt;0,1,0))</f>
        <v/>
      </c>
      <c r="G2430">
        <f>IF(A2430="","",IF(OR(B2430&lt;&gt;B2429,C2430&lt;&gt;C2429,E2430&lt;&gt;E2429),G2429+1,G2429))</f>
        <v/>
      </c>
    </row>
    <row r="2431">
      <c r="A2431" s="20">
        <f>IF(A2430="","",IF(A2430+1&gt;Ввод!$B$4,"",A2430+1))</f>
        <v/>
      </c>
      <c r="B2431">
        <f>IF(A2431="","",IFERROR(INDEX(Ввод!$B$12:$B$71,MATCH(A2431,Ввод!$D$12:$D$71,1)),""))</f>
        <v/>
      </c>
      <c r="C2431">
        <f>IF(A2431="","",DATE(YEAR(A2431),12,31)-DATE(YEAR(A2431),1,1)+1)</f>
        <v/>
      </c>
      <c r="D2431">
        <f>IF(A2431="","",SUMIFS(Акты!$D$5:$D$16,Акты!$E$5:$E$16,"&lt;="&amp;A2431)-SUMIFS(Оплаты!$B$6:$B$505,Оплаты!$A$6:$A$505,"&lt;"&amp;A2431,Оплаты!$D$6:$D$505,"&lt;&gt;"))</f>
        <v/>
      </c>
      <c r="E2431">
        <f>IF(A2431="","",IF(SUMPRODUCT((Ввод!$F$12:$F$31&lt;&gt;"")*(Ввод!$F$12:$F$31&lt;=A2431)*(Ввод!$G$12:$G$31&gt;=A2431))&gt;0,1,0))</f>
        <v/>
      </c>
      <c r="G2431">
        <f>IF(A2431="","",IF(OR(B2431&lt;&gt;B2430,C2431&lt;&gt;C2430,E2431&lt;&gt;E2430),G2430+1,G2430))</f>
        <v/>
      </c>
    </row>
    <row r="2432">
      <c r="A2432" s="20">
        <f>IF(A2431="","",IF(A2431+1&gt;Ввод!$B$4,"",A2431+1))</f>
        <v/>
      </c>
      <c r="B2432">
        <f>IF(A2432="","",IFERROR(INDEX(Ввод!$B$12:$B$71,MATCH(A2432,Ввод!$D$12:$D$71,1)),""))</f>
        <v/>
      </c>
      <c r="C2432">
        <f>IF(A2432="","",DATE(YEAR(A2432),12,31)-DATE(YEAR(A2432),1,1)+1)</f>
        <v/>
      </c>
      <c r="D2432">
        <f>IF(A2432="","",SUMIFS(Акты!$D$5:$D$16,Акты!$E$5:$E$16,"&lt;="&amp;A2432)-SUMIFS(Оплаты!$B$6:$B$505,Оплаты!$A$6:$A$505,"&lt;"&amp;A2432,Оплаты!$D$6:$D$505,"&lt;&gt;"))</f>
        <v/>
      </c>
      <c r="E2432">
        <f>IF(A2432="","",IF(SUMPRODUCT((Ввод!$F$12:$F$31&lt;&gt;"")*(Ввод!$F$12:$F$31&lt;=A2432)*(Ввод!$G$12:$G$31&gt;=A2432))&gt;0,1,0))</f>
        <v/>
      </c>
      <c r="G2432">
        <f>IF(A2432="","",IF(OR(B2432&lt;&gt;B2431,C2432&lt;&gt;C2431,E2432&lt;&gt;E2431),G2431+1,G2431))</f>
        <v/>
      </c>
    </row>
    <row r="2433">
      <c r="A2433" s="20">
        <f>IF(A2432="","",IF(A2432+1&gt;Ввод!$B$4,"",A2432+1))</f>
        <v/>
      </c>
      <c r="B2433">
        <f>IF(A2433="","",IFERROR(INDEX(Ввод!$B$12:$B$71,MATCH(A2433,Ввод!$D$12:$D$71,1)),""))</f>
        <v/>
      </c>
      <c r="C2433">
        <f>IF(A2433="","",DATE(YEAR(A2433),12,31)-DATE(YEAR(A2433),1,1)+1)</f>
        <v/>
      </c>
      <c r="D2433">
        <f>IF(A2433="","",SUMIFS(Акты!$D$5:$D$16,Акты!$E$5:$E$16,"&lt;="&amp;A2433)-SUMIFS(Оплаты!$B$6:$B$505,Оплаты!$A$6:$A$505,"&lt;"&amp;A2433,Оплаты!$D$6:$D$505,"&lt;&gt;"))</f>
        <v/>
      </c>
      <c r="E2433">
        <f>IF(A2433="","",IF(SUMPRODUCT((Ввод!$F$12:$F$31&lt;&gt;"")*(Ввод!$F$12:$F$31&lt;=A2433)*(Ввод!$G$12:$G$31&gt;=A2433))&gt;0,1,0))</f>
        <v/>
      </c>
      <c r="G2433">
        <f>IF(A2433="","",IF(OR(B2433&lt;&gt;B2432,C2433&lt;&gt;C2432,E2433&lt;&gt;E2432),G2432+1,G2432))</f>
        <v/>
      </c>
    </row>
    <row r="2434">
      <c r="A2434" s="20">
        <f>IF(A2433="","",IF(A2433+1&gt;Ввод!$B$4,"",A2433+1))</f>
        <v/>
      </c>
      <c r="B2434">
        <f>IF(A2434="","",IFERROR(INDEX(Ввод!$B$12:$B$71,MATCH(A2434,Ввод!$D$12:$D$71,1)),""))</f>
        <v/>
      </c>
      <c r="C2434">
        <f>IF(A2434="","",DATE(YEAR(A2434),12,31)-DATE(YEAR(A2434),1,1)+1)</f>
        <v/>
      </c>
      <c r="D2434">
        <f>IF(A2434="","",SUMIFS(Акты!$D$5:$D$16,Акты!$E$5:$E$16,"&lt;="&amp;A2434)-SUMIFS(Оплаты!$B$6:$B$505,Оплаты!$A$6:$A$505,"&lt;"&amp;A2434,Оплаты!$D$6:$D$505,"&lt;&gt;"))</f>
        <v/>
      </c>
      <c r="E2434">
        <f>IF(A2434="","",IF(SUMPRODUCT((Ввод!$F$12:$F$31&lt;&gt;"")*(Ввод!$F$12:$F$31&lt;=A2434)*(Ввод!$G$12:$G$31&gt;=A2434))&gt;0,1,0))</f>
        <v/>
      </c>
      <c r="G2434">
        <f>IF(A2434="","",IF(OR(B2434&lt;&gt;B2433,C2434&lt;&gt;C2433,E2434&lt;&gt;E2433),G2433+1,G2433))</f>
        <v/>
      </c>
    </row>
    <row r="2435">
      <c r="A2435" s="20">
        <f>IF(A2434="","",IF(A2434+1&gt;Ввод!$B$4,"",A2434+1))</f>
        <v/>
      </c>
      <c r="B2435">
        <f>IF(A2435="","",IFERROR(INDEX(Ввод!$B$12:$B$71,MATCH(A2435,Ввод!$D$12:$D$71,1)),""))</f>
        <v/>
      </c>
      <c r="C2435">
        <f>IF(A2435="","",DATE(YEAR(A2435),12,31)-DATE(YEAR(A2435),1,1)+1)</f>
        <v/>
      </c>
      <c r="D2435">
        <f>IF(A2435="","",SUMIFS(Акты!$D$5:$D$16,Акты!$E$5:$E$16,"&lt;="&amp;A2435)-SUMIFS(Оплаты!$B$6:$B$505,Оплаты!$A$6:$A$505,"&lt;"&amp;A2435,Оплаты!$D$6:$D$505,"&lt;&gt;"))</f>
        <v/>
      </c>
      <c r="E2435">
        <f>IF(A2435="","",IF(SUMPRODUCT((Ввод!$F$12:$F$31&lt;&gt;"")*(Ввод!$F$12:$F$31&lt;=A2435)*(Ввод!$G$12:$G$31&gt;=A2435))&gt;0,1,0))</f>
        <v/>
      </c>
      <c r="G2435">
        <f>IF(A2435="","",IF(OR(B2435&lt;&gt;B2434,C2435&lt;&gt;C2434,E2435&lt;&gt;E2434),G2434+1,G2434))</f>
        <v/>
      </c>
    </row>
    <row r="2436">
      <c r="A2436" s="20">
        <f>IF(A2435="","",IF(A2435+1&gt;Ввод!$B$4,"",A2435+1))</f>
        <v/>
      </c>
      <c r="B2436">
        <f>IF(A2436="","",IFERROR(INDEX(Ввод!$B$12:$B$71,MATCH(A2436,Ввод!$D$12:$D$71,1)),""))</f>
        <v/>
      </c>
      <c r="C2436">
        <f>IF(A2436="","",DATE(YEAR(A2436),12,31)-DATE(YEAR(A2436),1,1)+1)</f>
        <v/>
      </c>
      <c r="D2436">
        <f>IF(A2436="","",SUMIFS(Акты!$D$5:$D$16,Акты!$E$5:$E$16,"&lt;="&amp;A2436)-SUMIFS(Оплаты!$B$6:$B$505,Оплаты!$A$6:$A$505,"&lt;"&amp;A2436,Оплаты!$D$6:$D$505,"&lt;&gt;"))</f>
        <v/>
      </c>
      <c r="E2436">
        <f>IF(A2436="","",IF(SUMPRODUCT((Ввод!$F$12:$F$31&lt;&gt;"")*(Ввод!$F$12:$F$31&lt;=A2436)*(Ввод!$G$12:$G$31&gt;=A2436))&gt;0,1,0))</f>
        <v/>
      </c>
      <c r="G2436">
        <f>IF(A2436="","",IF(OR(B2436&lt;&gt;B2435,C2436&lt;&gt;C2435,E2436&lt;&gt;E2435),G2435+1,G2435))</f>
        <v/>
      </c>
    </row>
    <row r="2437">
      <c r="A2437" s="20">
        <f>IF(A2436="","",IF(A2436+1&gt;Ввод!$B$4,"",A2436+1))</f>
        <v/>
      </c>
      <c r="B2437">
        <f>IF(A2437="","",IFERROR(INDEX(Ввод!$B$12:$B$71,MATCH(A2437,Ввод!$D$12:$D$71,1)),""))</f>
        <v/>
      </c>
      <c r="C2437">
        <f>IF(A2437="","",DATE(YEAR(A2437),12,31)-DATE(YEAR(A2437),1,1)+1)</f>
        <v/>
      </c>
      <c r="D2437">
        <f>IF(A2437="","",SUMIFS(Акты!$D$5:$D$16,Акты!$E$5:$E$16,"&lt;="&amp;A2437)-SUMIFS(Оплаты!$B$6:$B$505,Оплаты!$A$6:$A$505,"&lt;"&amp;A2437,Оплаты!$D$6:$D$505,"&lt;&gt;"))</f>
        <v/>
      </c>
      <c r="E2437">
        <f>IF(A2437="","",IF(SUMPRODUCT((Ввод!$F$12:$F$31&lt;&gt;"")*(Ввод!$F$12:$F$31&lt;=A2437)*(Ввод!$G$12:$G$31&gt;=A2437))&gt;0,1,0))</f>
        <v/>
      </c>
      <c r="G2437">
        <f>IF(A2437="","",IF(OR(B2437&lt;&gt;B2436,C2437&lt;&gt;C2436,E2437&lt;&gt;E2436),G2436+1,G2436))</f>
        <v/>
      </c>
    </row>
    <row r="2438">
      <c r="A2438" s="20">
        <f>IF(A2437="","",IF(A2437+1&gt;Ввод!$B$4,"",A2437+1))</f>
        <v/>
      </c>
      <c r="B2438">
        <f>IF(A2438="","",IFERROR(INDEX(Ввод!$B$12:$B$71,MATCH(A2438,Ввод!$D$12:$D$71,1)),""))</f>
        <v/>
      </c>
      <c r="C2438">
        <f>IF(A2438="","",DATE(YEAR(A2438),12,31)-DATE(YEAR(A2438),1,1)+1)</f>
        <v/>
      </c>
      <c r="D2438">
        <f>IF(A2438="","",SUMIFS(Акты!$D$5:$D$16,Акты!$E$5:$E$16,"&lt;="&amp;A2438)-SUMIFS(Оплаты!$B$6:$B$505,Оплаты!$A$6:$A$505,"&lt;"&amp;A2438,Оплаты!$D$6:$D$505,"&lt;&gt;"))</f>
        <v/>
      </c>
      <c r="E2438">
        <f>IF(A2438="","",IF(SUMPRODUCT((Ввод!$F$12:$F$31&lt;&gt;"")*(Ввод!$F$12:$F$31&lt;=A2438)*(Ввод!$G$12:$G$31&gt;=A2438))&gt;0,1,0))</f>
        <v/>
      </c>
      <c r="G2438">
        <f>IF(A2438="","",IF(OR(B2438&lt;&gt;B2437,C2438&lt;&gt;C2437,E2438&lt;&gt;E2437),G2437+1,G2437))</f>
        <v/>
      </c>
    </row>
    <row r="2439">
      <c r="A2439" s="20">
        <f>IF(A2438="","",IF(A2438+1&gt;Ввод!$B$4,"",A2438+1))</f>
        <v/>
      </c>
      <c r="B2439">
        <f>IF(A2439="","",IFERROR(INDEX(Ввод!$B$12:$B$71,MATCH(A2439,Ввод!$D$12:$D$71,1)),""))</f>
        <v/>
      </c>
      <c r="C2439">
        <f>IF(A2439="","",DATE(YEAR(A2439),12,31)-DATE(YEAR(A2439),1,1)+1)</f>
        <v/>
      </c>
      <c r="D2439">
        <f>IF(A2439="","",SUMIFS(Акты!$D$5:$D$16,Акты!$E$5:$E$16,"&lt;="&amp;A2439)-SUMIFS(Оплаты!$B$6:$B$505,Оплаты!$A$6:$A$505,"&lt;"&amp;A2439,Оплаты!$D$6:$D$505,"&lt;&gt;"))</f>
        <v/>
      </c>
      <c r="E2439">
        <f>IF(A2439="","",IF(SUMPRODUCT((Ввод!$F$12:$F$31&lt;&gt;"")*(Ввод!$F$12:$F$31&lt;=A2439)*(Ввод!$G$12:$G$31&gt;=A2439))&gt;0,1,0))</f>
        <v/>
      </c>
      <c r="G2439">
        <f>IF(A2439="","",IF(OR(B2439&lt;&gt;B2438,C2439&lt;&gt;C2438,E2439&lt;&gt;E2438),G2438+1,G2438))</f>
        <v/>
      </c>
    </row>
    <row r="2440">
      <c r="A2440" s="20">
        <f>IF(A2439="","",IF(A2439+1&gt;Ввод!$B$4,"",A2439+1))</f>
        <v/>
      </c>
      <c r="B2440">
        <f>IF(A2440="","",IFERROR(INDEX(Ввод!$B$12:$B$71,MATCH(A2440,Ввод!$D$12:$D$71,1)),""))</f>
        <v/>
      </c>
      <c r="C2440">
        <f>IF(A2440="","",DATE(YEAR(A2440),12,31)-DATE(YEAR(A2440),1,1)+1)</f>
        <v/>
      </c>
      <c r="D2440">
        <f>IF(A2440="","",SUMIFS(Акты!$D$5:$D$16,Акты!$E$5:$E$16,"&lt;="&amp;A2440)-SUMIFS(Оплаты!$B$6:$B$505,Оплаты!$A$6:$A$505,"&lt;"&amp;A2440,Оплаты!$D$6:$D$505,"&lt;&gt;"))</f>
        <v/>
      </c>
      <c r="E2440">
        <f>IF(A2440="","",IF(SUMPRODUCT((Ввод!$F$12:$F$31&lt;&gt;"")*(Ввод!$F$12:$F$31&lt;=A2440)*(Ввод!$G$12:$G$31&gt;=A2440))&gt;0,1,0))</f>
        <v/>
      </c>
      <c r="G2440">
        <f>IF(A2440="","",IF(OR(B2440&lt;&gt;B2439,C2440&lt;&gt;C2439,E2440&lt;&gt;E2439),G2439+1,G2439))</f>
        <v/>
      </c>
    </row>
    <row r="2441">
      <c r="A2441" s="20">
        <f>IF(A2440="","",IF(A2440+1&gt;Ввод!$B$4,"",A2440+1))</f>
        <v/>
      </c>
      <c r="B2441">
        <f>IF(A2441="","",IFERROR(INDEX(Ввод!$B$12:$B$71,MATCH(A2441,Ввод!$D$12:$D$71,1)),""))</f>
        <v/>
      </c>
      <c r="C2441">
        <f>IF(A2441="","",DATE(YEAR(A2441),12,31)-DATE(YEAR(A2441),1,1)+1)</f>
        <v/>
      </c>
      <c r="D2441">
        <f>IF(A2441="","",SUMIFS(Акты!$D$5:$D$16,Акты!$E$5:$E$16,"&lt;="&amp;A2441)-SUMIFS(Оплаты!$B$6:$B$505,Оплаты!$A$6:$A$505,"&lt;"&amp;A2441,Оплаты!$D$6:$D$505,"&lt;&gt;"))</f>
        <v/>
      </c>
      <c r="E2441">
        <f>IF(A2441="","",IF(SUMPRODUCT((Ввод!$F$12:$F$31&lt;&gt;"")*(Ввод!$F$12:$F$31&lt;=A2441)*(Ввод!$G$12:$G$31&gt;=A2441))&gt;0,1,0))</f>
        <v/>
      </c>
      <c r="G2441">
        <f>IF(A2441="","",IF(OR(B2441&lt;&gt;B2440,C2441&lt;&gt;C2440,E2441&lt;&gt;E2440),G2440+1,G2440))</f>
        <v/>
      </c>
    </row>
    <row r="2442">
      <c r="A2442" s="20">
        <f>IF(A2441="","",IF(A2441+1&gt;Ввод!$B$4,"",A2441+1))</f>
        <v/>
      </c>
      <c r="B2442">
        <f>IF(A2442="","",IFERROR(INDEX(Ввод!$B$12:$B$71,MATCH(A2442,Ввод!$D$12:$D$71,1)),""))</f>
        <v/>
      </c>
      <c r="C2442">
        <f>IF(A2442="","",DATE(YEAR(A2442),12,31)-DATE(YEAR(A2442),1,1)+1)</f>
        <v/>
      </c>
      <c r="D2442">
        <f>IF(A2442="","",SUMIFS(Акты!$D$5:$D$16,Акты!$E$5:$E$16,"&lt;="&amp;A2442)-SUMIFS(Оплаты!$B$6:$B$505,Оплаты!$A$6:$A$505,"&lt;"&amp;A2442,Оплаты!$D$6:$D$505,"&lt;&gt;"))</f>
        <v/>
      </c>
      <c r="E2442">
        <f>IF(A2442="","",IF(SUMPRODUCT((Ввод!$F$12:$F$31&lt;&gt;"")*(Ввод!$F$12:$F$31&lt;=A2442)*(Ввод!$G$12:$G$31&gt;=A2442))&gt;0,1,0))</f>
        <v/>
      </c>
      <c r="G2442">
        <f>IF(A2442="","",IF(OR(B2442&lt;&gt;B2441,C2442&lt;&gt;C2441,E2442&lt;&gt;E2441),G2441+1,G2441))</f>
        <v/>
      </c>
    </row>
    <row r="2443">
      <c r="A2443" s="20">
        <f>IF(A2442="","",IF(A2442+1&gt;Ввод!$B$4,"",A2442+1))</f>
        <v/>
      </c>
      <c r="B2443">
        <f>IF(A2443="","",IFERROR(INDEX(Ввод!$B$12:$B$71,MATCH(A2443,Ввод!$D$12:$D$71,1)),""))</f>
        <v/>
      </c>
      <c r="C2443">
        <f>IF(A2443="","",DATE(YEAR(A2443),12,31)-DATE(YEAR(A2443),1,1)+1)</f>
        <v/>
      </c>
      <c r="D2443">
        <f>IF(A2443="","",SUMIFS(Акты!$D$5:$D$16,Акты!$E$5:$E$16,"&lt;="&amp;A2443)-SUMIFS(Оплаты!$B$6:$B$505,Оплаты!$A$6:$A$505,"&lt;"&amp;A2443,Оплаты!$D$6:$D$505,"&lt;&gt;"))</f>
        <v/>
      </c>
      <c r="E2443">
        <f>IF(A2443="","",IF(SUMPRODUCT((Ввод!$F$12:$F$31&lt;&gt;"")*(Ввод!$F$12:$F$31&lt;=A2443)*(Ввод!$G$12:$G$31&gt;=A2443))&gt;0,1,0))</f>
        <v/>
      </c>
      <c r="G2443">
        <f>IF(A2443="","",IF(OR(B2443&lt;&gt;B2442,C2443&lt;&gt;C2442,E2443&lt;&gt;E2442),G2442+1,G2442))</f>
        <v/>
      </c>
    </row>
    <row r="2444">
      <c r="A2444" s="20">
        <f>IF(A2443="","",IF(A2443+1&gt;Ввод!$B$4,"",A2443+1))</f>
        <v/>
      </c>
      <c r="B2444">
        <f>IF(A2444="","",IFERROR(INDEX(Ввод!$B$12:$B$71,MATCH(A2444,Ввод!$D$12:$D$71,1)),""))</f>
        <v/>
      </c>
      <c r="C2444">
        <f>IF(A2444="","",DATE(YEAR(A2444),12,31)-DATE(YEAR(A2444),1,1)+1)</f>
        <v/>
      </c>
      <c r="D2444">
        <f>IF(A2444="","",SUMIFS(Акты!$D$5:$D$16,Акты!$E$5:$E$16,"&lt;="&amp;A2444)-SUMIFS(Оплаты!$B$6:$B$505,Оплаты!$A$6:$A$505,"&lt;"&amp;A2444,Оплаты!$D$6:$D$505,"&lt;&gt;"))</f>
        <v/>
      </c>
      <c r="E2444">
        <f>IF(A2444="","",IF(SUMPRODUCT((Ввод!$F$12:$F$31&lt;&gt;"")*(Ввод!$F$12:$F$31&lt;=A2444)*(Ввод!$G$12:$G$31&gt;=A2444))&gt;0,1,0))</f>
        <v/>
      </c>
      <c r="G2444">
        <f>IF(A2444="","",IF(OR(B2444&lt;&gt;B2443,C2444&lt;&gt;C2443,E2444&lt;&gt;E2443),G2443+1,G2443))</f>
        <v/>
      </c>
    </row>
    <row r="2445">
      <c r="A2445" s="20">
        <f>IF(A2444="","",IF(A2444+1&gt;Ввод!$B$4,"",A2444+1))</f>
        <v/>
      </c>
      <c r="B2445">
        <f>IF(A2445="","",IFERROR(INDEX(Ввод!$B$12:$B$71,MATCH(A2445,Ввод!$D$12:$D$71,1)),""))</f>
        <v/>
      </c>
      <c r="C2445">
        <f>IF(A2445="","",DATE(YEAR(A2445),12,31)-DATE(YEAR(A2445),1,1)+1)</f>
        <v/>
      </c>
      <c r="D2445">
        <f>IF(A2445="","",SUMIFS(Акты!$D$5:$D$16,Акты!$E$5:$E$16,"&lt;="&amp;A2445)-SUMIFS(Оплаты!$B$6:$B$505,Оплаты!$A$6:$A$505,"&lt;"&amp;A2445,Оплаты!$D$6:$D$505,"&lt;&gt;"))</f>
        <v/>
      </c>
      <c r="E2445">
        <f>IF(A2445="","",IF(SUMPRODUCT((Ввод!$F$12:$F$31&lt;&gt;"")*(Ввод!$F$12:$F$31&lt;=A2445)*(Ввод!$G$12:$G$31&gt;=A2445))&gt;0,1,0))</f>
        <v/>
      </c>
      <c r="G2445">
        <f>IF(A2445="","",IF(OR(B2445&lt;&gt;B2444,C2445&lt;&gt;C2444,E2445&lt;&gt;E2444),G2444+1,G2444))</f>
        <v/>
      </c>
    </row>
    <row r="2446">
      <c r="A2446" s="20">
        <f>IF(A2445="","",IF(A2445+1&gt;Ввод!$B$4,"",A2445+1))</f>
        <v/>
      </c>
      <c r="B2446">
        <f>IF(A2446="","",IFERROR(INDEX(Ввод!$B$12:$B$71,MATCH(A2446,Ввод!$D$12:$D$71,1)),""))</f>
        <v/>
      </c>
      <c r="C2446">
        <f>IF(A2446="","",DATE(YEAR(A2446),12,31)-DATE(YEAR(A2446),1,1)+1)</f>
        <v/>
      </c>
      <c r="D2446">
        <f>IF(A2446="","",SUMIFS(Акты!$D$5:$D$16,Акты!$E$5:$E$16,"&lt;="&amp;A2446)-SUMIFS(Оплаты!$B$6:$B$505,Оплаты!$A$6:$A$505,"&lt;"&amp;A2446,Оплаты!$D$6:$D$505,"&lt;&gt;"))</f>
        <v/>
      </c>
      <c r="E2446">
        <f>IF(A2446="","",IF(SUMPRODUCT((Ввод!$F$12:$F$31&lt;&gt;"")*(Ввод!$F$12:$F$31&lt;=A2446)*(Ввод!$G$12:$G$31&gt;=A2446))&gt;0,1,0))</f>
        <v/>
      </c>
      <c r="G2446">
        <f>IF(A2446="","",IF(OR(B2446&lt;&gt;B2445,C2446&lt;&gt;C2445,E2446&lt;&gt;E2445),G2445+1,G2445))</f>
        <v/>
      </c>
    </row>
    <row r="2447">
      <c r="A2447" s="20">
        <f>IF(A2446="","",IF(A2446+1&gt;Ввод!$B$4,"",A2446+1))</f>
        <v/>
      </c>
      <c r="B2447">
        <f>IF(A2447="","",IFERROR(INDEX(Ввод!$B$12:$B$71,MATCH(A2447,Ввод!$D$12:$D$71,1)),""))</f>
        <v/>
      </c>
      <c r="C2447">
        <f>IF(A2447="","",DATE(YEAR(A2447),12,31)-DATE(YEAR(A2447),1,1)+1)</f>
        <v/>
      </c>
      <c r="D2447">
        <f>IF(A2447="","",SUMIFS(Акты!$D$5:$D$16,Акты!$E$5:$E$16,"&lt;="&amp;A2447)-SUMIFS(Оплаты!$B$6:$B$505,Оплаты!$A$6:$A$505,"&lt;"&amp;A2447,Оплаты!$D$6:$D$505,"&lt;&gt;"))</f>
        <v/>
      </c>
      <c r="E2447">
        <f>IF(A2447="","",IF(SUMPRODUCT((Ввод!$F$12:$F$31&lt;&gt;"")*(Ввод!$F$12:$F$31&lt;=A2447)*(Ввод!$G$12:$G$31&gt;=A2447))&gt;0,1,0))</f>
        <v/>
      </c>
      <c r="G2447">
        <f>IF(A2447="","",IF(OR(B2447&lt;&gt;B2446,C2447&lt;&gt;C2446,E2447&lt;&gt;E2446),G2446+1,G2446))</f>
        <v/>
      </c>
    </row>
    <row r="2448">
      <c r="A2448" s="20">
        <f>IF(A2447="","",IF(A2447+1&gt;Ввод!$B$4,"",A2447+1))</f>
        <v/>
      </c>
      <c r="B2448">
        <f>IF(A2448="","",IFERROR(INDEX(Ввод!$B$12:$B$71,MATCH(A2448,Ввод!$D$12:$D$71,1)),""))</f>
        <v/>
      </c>
      <c r="C2448">
        <f>IF(A2448="","",DATE(YEAR(A2448),12,31)-DATE(YEAR(A2448),1,1)+1)</f>
        <v/>
      </c>
      <c r="D2448">
        <f>IF(A2448="","",SUMIFS(Акты!$D$5:$D$16,Акты!$E$5:$E$16,"&lt;="&amp;A2448)-SUMIFS(Оплаты!$B$6:$B$505,Оплаты!$A$6:$A$505,"&lt;"&amp;A2448,Оплаты!$D$6:$D$505,"&lt;&gt;"))</f>
        <v/>
      </c>
      <c r="E2448">
        <f>IF(A2448="","",IF(SUMPRODUCT((Ввод!$F$12:$F$31&lt;&gt;"")*(Ввод!$F$12:$F$31&lt;=A2448)*(Ввод!$G$12:$G$31&gt;=A2448))&gt;0,1,0))</f>
        <v/>
      </c>
      <c r="G2448">
        <f>IF(A2448="","",IF(OR(B2448&lt;&gt;B2447,C2448&lt;&gt;C2447,E2448&lt;&gt;E2447),G2447+1,G2447))</f>
        <v/>
      </c>
    </row>
    <row r="2449">
      <c r="A2449" s="20">
        <f>IF(A2448="","",IF(A2448+1&gt;Ввод!$B$4,"",A2448+1))</f>
        <v/>
      </c>
      <c r="B2449">
        <f>IF(A2449="","",IFERROR(INDEX(Ввод!$B$12:$B$71,MATCH(A2449,Ввод!$D$12:$D$71,1)),""))</f>
        <v/>
      </c>
      <c r="C2449">
        <f>IF(A2449="","",DATE(YEAR(A2449),12,31)-DATE(YEAR(A2449),1,1)+1)</f>
        <v/>
      </c>
      <c r="D2449">
        <f>IF(A2449="","",SUMIFS(Акты!$D$5:$D$16,Акты!$E$5:$E$16,"&lt;="&amp;A2449)-SUMIFS(Оплаты!$B$6:$B$505,Оплаты!$A$6:$A$505,"&lt;"&amp;A2449,Оплаты!$D$6:$D$505,"&lt;&gt;"))</f>
        <v/>
      </c>
      <c r="E2449">
        <f>IF(A2449="","",IF(SUMPRODUCT((Ввод!$F$12:$F$31&lt;&gt;"")*(Ввод!$F$12:$F$31&lt;=A2449)*(Ввод!$G$12:$G$31&gt;=A2449))&gt;0,1,0))</f>
        <v/>
      </c>
      <c r="G2449">
        <f>IF(A2449="","",IF(OR(B2449&lt;&gt;B2448,C2449&lt;&gt;C2448,E2449&lt;&gt;E2448),G2448+1,G2448))</f>
        <v/>
      </c>
    </row>
    <row r="2450">
      <c r="A2450" s="20">
        <f>IF(A2449="","",IF(A2449+1&gt;Ввод!$B$4,"",A2449+1))</f>
        <v/>
      </c>
      <c r="B2450">
        <f>IF(A2450="","",IFERROR(INDEX(Ввод!$B$12:$B$71,MATCH(A2450,Ввод!$D$12:$D$71,1)),""))</f>
        <v/>
      </c>
      <c r="C2450">
        <f>IF(A2450="","",DATE(YEAR(A2450),12,31)-DATE(YEAR(A2450),1,1)+1)</f>
        <v/>
      </c>
      <c r="D2450">
        <f>IF(A2450="","",SUMIFS(Акты!$D$5:$D$16,Акты!$E$5:$E$16,"&lt;="&amp;A2450)-SUMIFS(Оплаты!$B$6:$B$505,Оплаты!$A$6:$A$505,"&lt;"&amp;A2450,Оплаты!$D$6:$D$505,"&lt;&gt;"))</f>
        <v/>
      </c>
      <c r="E2450">
        <f>IF(A2450="","",IF(SUMPRODUCT((Ввод!$F$12:$F$31&lt;&gt;"")*(Ввод!$F$12:$F$31&lt;=A2450)*(Ввод!$G$12:$G$31&gt;=A2450))&gt;0,1,0))</f>
        <v/>
      </c>
      <c r="G2450">
        <f>IF(A2450="","",IF(OR(B2450&lt;&gt;B2449,C2450&lt;&gt;C2449,E2450&lt;&gt;E2449),G2449+1,G2449))</f>
        <v/>
      </c>
    </row>
    <row r="2451">
      <c r="A2451" s="20">
        <f>IF(A2450="","",IF(A2450+1&gt;Ввод!$B$4,"",A2450+1))</f>
        <v/>
      </c>
      <c r="B2451">
        <f>IF(A2451="","",IFERROR(INDEX(Ввод!$B$12:$B$71,MATCH(A2451,Ввод!$D$12:$D$71,1)),""))</f>
        <v/>
      </c>
      <c r="C2451">
        <f>IF(A2451="","",DATE(YEAR(A2451),12,31)-DATE(YEAR(A2451),1,1)+1)</f>
        <v/>
      </c>
      <c r="D2451">
        <f>IF(A2451="","",SUMIFS(Акты!$D$5:$D$16,Акты!$E$5:$E$16,"&lt;="&amp;A2451)-SUMIFS(Оплаты!$B$6:$B$505,Оплаты!$A$6:$A$505,"&lt;"&amp;A2451,Оплаты!$D$6:$D$505,"&lt;&gt;"))</f>
        <v/>
      </c>
      <c r="E2451">
        <f>IF(A2451="","",IF(SUMPRODUCT((Ввод!$F$12:$F$31&lt;&gt;"")*(Ввод!$F$12:$F$31&lt;=A2451)*(Ввод!$G$12:$G$31&gt;=A2451))&gt;0,1,0))</f>
        <v/>
      </c>
      <c r="G2451">
        <f>IF(A2451="","",IF(OR(B2451&lt;&gt;B2450,C2451&lt;&gt;C2450,E2451&lt;&gt;E2450),G2450+1,G2450))</f>
        <v/>
      </c>
    </row>
    <row r="2452">
      <c r="A2452" s="20">
        <f>IF(A2451="","",IF(A2451+1&gt;Ввод!$B$4,"",A2451+1))</f>
        <v/>
      </c>
      <c r="B2452">
        <f>IF(A2452="","",IFERROR(INDEX(Ввод!$B$12:$B$71,MATCH(A2452,Ввод!$D$12:$D$71,1)),""))</f>
        <v/>
      </c>
      <c r="C2452">
        <f>IF(A2452="","",DATE(YEAR(A2452),12,31)-DATE(YEAR(A2452),1,1)+1)</f>
        <v/>
      </c>
      <c r="D2452">
        <f>IF(A2452="","",SUMIFS(Акты!$D$5:$D$16,Акты!$E$5:$E$16,"&lt;="&amp;A2452)-SUMIFS(Оплаты!$B$6:$B$505,Оплаты!$A$6:$A$505,"&lt;"&amp;A2452,Оплаты!$D$6:$D$505,"&lt;&gt;"))</f>
        <v/>
      </c>
      <c r="E2452">
        <f>IF(A2452="","",IF(SUMPRODUCT((Ввод!$F$12:$F$31&lt;&gt;"")*(Ввод!$F$12:$F$31&lt;=A2452)*(Ввод!$G$12:$G$31&gt;=A2452))&gt;0,1,0))</f>
        <v/>
      </c>
      <c r="G2452">
        <f>IF(A2452="","",IF(OR(B2452&lt;&gt;B2451,C2452&lt;&gt;C2451,E2452&lt;&gt;E2451),G2451+1,G2451))</f>
        <v/>
      </c>
    </row>
    <row r="2453">
      <c r="A2453" s="20">
        <f>IF(A2452="","",IF(A2452+1&gt;Ввод!$B$4,"",A2452+1))</f>
        <v/>
      </c>
      <c r="B2453">
        <f>IF(A2453="","",IFERROR(INDEX(Ввод!$B$12:$B$71,MATCH(A2453,Ввод!$D$12:$D$71,1)),""))</f>
        <v/>
      </c>
      <c r="C2453">
        <f>IF(A2453="","",DATE(YEAR(A2453),12,31)-DATE(YEAR(A2453),1,1)+1)</f>
        <v/>
      </c>
      <c r="D2453">
        <f>IF(A2453="","",SUMIFS(Акты!$D$5:$D$16,Акты!$E$5:$E$16,"&lt;="&amp;A2453)-SUMIFS(Оплаты!$B$6:$B$505,Оплаты!$A$6:$A$505,"&lt;"&amp;A2453,Оплаты!$D$6:$D$505,"&lt;&gt;"))</f>
        <v/>
      </c>
      <c r="E2453">
        <f>IF(A2453="","",IF(SUMPRODUCT((Ввод!$F$12:$F$31&lt;&gt;"")*(Ввод!$F$12:$F$31&lt;=A2453)*(Ввод!$G$12:$G$31&gt;=A2453))&gt;0,1,0))</f>
        <v/>
      </c>
      <c r="G2453">
        <f>IF(A2453="","",IF(OR(B2453&lt;&gt;B2452,C2453&lt;&gt;C2452,E2453&lt;&gt;E2452),G2452+1,G2452))</f>
        <v/>
      </c>
    </row>
    <row r="2454">
      <c r="A2454" s="20">
        <f>IF(A2453="","",IF(A2453+1&gt;Ввод!$B$4,"",A2453+1))</f>
        <v/>
      </c>
      <c r="B2454">
        <f>IF(A2454="","",IFERROR(INDEX(Ввод!$B$12:$B$71,MATCH(A2454,Ввод!$D$12:$D$71,1)),""))</f>
        <v/>
      </c>
      <c r="C2454">
        <f>IF(A2454="","",DATE(YEAR(A2454),12,31)-DATE(YEAR(A2454),1,1)+1)</f>
        <v/>
      </c>
      <c r="D2454">
        <f>IF(A2454="","",SUMIFS(Акты!$D$5:$D$16,Акты!$E$5:$E$16,"&lt;="&amp;A2454)-SUMIFS(Оплаты!$B$6:$B$505,Оплаты!$A$6:$A$505,"&lt;"&amp;A2454,Оплаты!$D$6:$D$505,"&lt;&gt;"))</f>
        <v/>
      </c>
      <c r="E2454">
        <f>IF(A2454="","",IF(SUMPRODUCT((Ввод!$F$12:$F$31&lt;&gt;"")*(Ввод!$F$12:$F$31&lt;=A2454)*(Ввод!$G$12:$G$31&gt;=A2454))&gt;0,1,0))</f>
        <v/>
      </c>
      <c r="G2454">
        <f>IF(A2454="","",IF(OR(B2454&lt;&gt;B2453,C2454&lt;&gt;C2453,E2454&lt;&gt;E2453),G2453+1,G2453))</f>
        <v/>
      </c>
    </row>
    <row r="2455">
      <c r="A2455" s="20">
        <f>IF(A2454="","",IF(A2454+1&gt;Ввод!$B$4,"",A2454+1))</f>
        <v/>
      </c>
      <c r="B2455">
        <f>IF(A2455="","",IFERROR(INDEX(Ввод!$B$12:$B$71,MATCH(A2455,Ввод!$D$12:$D$71,1)),""))</f>
        <v/>
      </c>
      <c r="C2455">
        <f>IF(A2455="","",DATE(YEAR(A2455),12,31)-DATE(YEAR(A2455),1,1)+1)</f>
        <v/>
      </c>
      <c r="D2455">
        <f>IF(A2455="","",SUMIFS(Акты!$D$5:$D$16,Акты!$E$5:$E$16,"&lt;="&amp;A2455)-SUMIFS(Оплаты!$B$6:$B$505,Оплаты!$A$6:$A$505,"&lt;"&amp;A2455,Оплаты!$D$6:$D$505,"&lt;&gt;"))</f>
        <v/>
      </c>
      <c r="E2455">
        <f>IF(A2455="","",IF(SUMPRODUCT((Ввод!$F$12:$F$31&lt;&gt;"")*(Ввод!$F$12:$F$31&lt;=A2455)*(Ввод!$G$12:$G$31&gt;=A2455))&gt;0,1,0))</f>
        <v/>
      </c>
      <c r="G2455">
        <f>IF(A2455="","",IF(OR(B2455&lt;&gt;B2454,C2455&lt;&gt;C2454,E2455&lt;&gt;E2454),G2454+1,G2454))</f>
        <v/>
      </c>
    </row>
    <row r="2456">
      <c r="A2456" s="20">
        <f>IF(A2455="","",IF(A2455+1&gt;Ввод!$B$4,"",A2455+1))</f>
        <v/>
      </c>
      <c r="B2456">
        <f>IF(A2456="","",IFERROR(INDEX(Ввод!$B$12:$B$71,MATCH(A2456,Ввод!$D$12:$D$71,1)),""))</f>
        <v/>
      </c>
      <c r="C2456">
        <f>IF(A2456="","",DATE(YEAR(A2456),12,31)-DATE(YEAR(A2456),1,1)+1)</f>
        <v/>
      </c>
      <c r="D2456">
        <f>IF(A2456="","",SUMIFS(Акты!$D$5:$D$16,Акты!$E$5:$E$16,"&lt;="&amp;A2456)-SUMIFS(Оплаты!$B$6:$B$505,Оплаты!$A$6:$A$505,"&lt;"&amp;A2456,Оплаты!$D$6:$D$505,"&lt;&gt;"))</f>
        <v/>
      </c>
      <c r="E2456">
        <f>IF(A2456="","",IF(SUMPRODUCT((Ввод!$F$12:$F$31&lt;&gt;"")*(Ввод!$F$12:$F$31&lt;=A2456)*(Ввод!$G$12:$G$31&gt;=A2456))&gt;0,1,0))</f>
        <v/>
      </c>
      <c r="G2456">
        <f>IF(A2456="","",IF(OR(B2456&lt;&gt;B2455,C2456&lt;&gt;C2455,E2456&lt;&gt;E2455),G2455+1,G2455))</f>
        <v/>
      </c>
    </row>
    <row r="2457">
      <c r="A2457" s="20">
        <f>IF(A2456="","",IF(A2456+1&gt;Ввод!$B$4,"",A2456+1))</f>
        <v/>
      </c>
      <c r="B2457">
        <f>IF(A2457="","",IFERROR(INDEX(Ввод!$B$12:$B$71,MATCH(A2457,Ввод!$D$12:$D$71,1)),""))</f>
        <v/>
      </c>
      <c r="C2457">
        <f>IF(A2457="","",DATE(YEAR(A2457),12,31)-DATE(YEAR(A2457),1,1)+1)</f>
        <v/>
      </c>
      <c r="D2457">
        <f>IF(A2457="","",SUMIFS(Акты!$D$5:$D$16,Акты!$E$5:$E$16,"&lt;="&amp;A2457)-SUMIFS(Оплаты!$B$6:$B$505,Оплаты!$A$6:$A$505,"&lt;"&amp;A2457,Оплаты!$D$6:$D$505,"&lt;&gt;"))</f>
        <v/>
      </c>
      <c r="E2457">
        <f>IF(A2457="","",IF(SUMPRODUCT((Ввод!$F$12:$F$31&lt;&gt;"")*(Ввод!$F$12:$F$31&lt;=A2457)*(Ввод!$G$12:$G$31&gt;=A2457))&gt;0,1,0))</f>
        <v/>
      </c>
      <c r="G2457">
        <f>IF(A2457="","",IF(OR(B2457&lt;&gt;B2456,C2457&lt;&gt;C2456,E2457&lt;&gt;E2456),G2456+1,G2456))</f>
        <v/>
      </c>
    </row>
    <row r="2458">
      <c r="A2458" s="20">
        <f>IF(A2457="","",IF(A2457+1&gt;Ввод!$B$4,"",A2457+1))</f>
        <v/>
      </c>
      <c r="B2458">
        <f>IF(A2458="","",IFERROR(INDEX(Ввод!$B$12:$B$71,MATCH(A2458,Ввод!$D$12:$D$71,1)),""))</f>
        <v/>
      </c>
      <c r="C2458">
        <f>IF(A2458="","",DATE(YEAR(A2458),12,31)-DATE(YEAR(A2458),1,1)+1)</f>
        <v/>
      </c>
      <c r="D2458">
        <f>IF(A2458="","",SUMIFS(Акты!$D$5:$D$16,Акты!$E$5:$E$16,"&lt;="&amp;A2458)-SUMIFS(Оплаты!$B$6:$B$505,Оплаты!$A$6:$A$505,"&lt;"&amp;A2458,Оплаты!$D$6:$D$505,"&lt;&gt;"))</f>
        <v/>
      </c>
      <c r="E2458">
        <f>IF(A2458="","",IF(SUMPRODUCT((Ввод!$F$12:$F$31&lt;&gt;"")*(Ввод!$F$12:$F$31&lt;=A2458)*(Ввод!$G$12:$G$31&gt;=A2458))&gt;0,1,0))</f>
        <v/>
      </c>
      <c r="G2458">
        <f>IF(A2458="","",IF(OR(B2458&lt;&gt;B2457,C2458&lt;&gt;C2457,E2458&lt;&gt;E2457),G2457+1,G2457))</f>
        <v/>
      </c>
    </row>
    <row r="2459">
      <c r="A2459" s="20">
        <f>IF(A2458="","",IF(A2458+1&gt;Ввод!$B$4,"",A2458+1))</f>
        <v/>
      </c>
      <c r="B2459">
        <f>IF(A2459="","",IFERROR(INDEX(Ввод!$B$12:$B$71,MATCH(A2459,Ввод!$D$12:$D$71,1)),""))</f>
        <v/>
      </c>
      <c r="C2459">
        <f>IF(A2459="","",DATE(YEAR(A2459),12,31)-DATE(YEAR(A2459),1,1)+1)</f>
        <v/>
      </c>
      <c r="D2459">
        <f>IF(A2459="","",SUMIFS(Акты!$D$5:$D$16,Акты!$E$5:$E$16,"&lt;="&amp;A2459)-SUMIFS(Оплаты!$B$6:$B$505,Оплаты!$A$6:$A$505,"&lt;"&amp;A2459,Оплаты!$D$6:$D$505,"&lt;&gt;"))</f>
        <v/>
      </c>
      <c r="E2459">
        <f>IF(A2459="","",IF(SUMPRODUCT((Ввод!$F$12:$F$31&lt;&gt;"")*(Ввод!$F$12:$F$31&lt;=A2459)*(Ввод!$G$12:$G$31&gt;=A2459))&gt;0,1,0))</f>
        <v/>
      </c>
      <c r="G2459">
        <f>IF(A2459="","",IF(OR(B2459&lt;&gt;B2458,C2459&lt;&gt;C2458,E2459&lt;&gt;E2458),G2458+1,G2458))</f>
        <v/>
      </c>
    </row>
    <row r="2460">
      <c r="A2460" s="20">
        <f>IF(A2459="","",IF(A2459+1&gt;Ввод!$B$4,"",A2459+1))</f>
        <v/>
      </c>
      <c r="B2460">
        <f>IF(A2460="","",IFERROR(INDEX(Ввод!$B$12:$B$71,MATCH(A2460,Ввод!$D$12:$D$71,1)),""))</f>
        <v/>
      </c>
      <c r="C2460">
        <f>IF(A2460="","",DATE(YEAR(A2460),12,31)-DATE(YEAR(A2460),1,1)+1)</f>
        <v/>
      </c>
      <c r="D2460">
        <f>IF(A2460="","",SUMIFS(Акты!$D$5:$D$16,Акты!$E$5:$E$16,"&lt;="&amp;A2460)-SUMIFS(Оплаты!$B$6:$B$505,Оплаты!$A$6:$A$505,"&lt;"&amp;A2460,Оплаты!$D$6:$D$505,"&lt;&gt;"))</f>
        <v/>
      </c>
      <c r="E2460">
        <f>IF(A2460="","",IF(SUMPRODUCT((Ввод!$F$12:$F$31&lt;&gt;"")*(Ввод!$F$12:$F$31&lt;=A2460)*(Ввод!$G$12:$G$31&gt;=A2460))&gt;0,1,0))</f>
        <v/>
      </c>
      <c r="G2460">
        <f>IF(A2460="","",IF(OR(B2460&lt;&gt;B2459,C2460&lt;&gt;C2459,E2460&lt;&gt;E2459),G2459+1,G2459))</f>
        <v/>
      </c>
    </row>
    <row r="2461">
      <c r="A2461" s="20">
        <f>IF(A2460="","",IF(A2460+1&gt;Ввод!$B$4,"",A2460+1))</f>
        <v/>
      </c>
      <c r="B2461">
        <f>IF(A2461="","",IFERROR(INDEX(Ввод!$B$12:$B$71,MATCH(A2461,Ввод!$D$12:$D$71,1)),""))</f>
        <v/>
      </c>
      <c r="C2461">
        <f>IF(A2461="","",DATE(YEAR(A2461),12,31)-DATE(YEAR(A2461),1,1)+1)</f>
        <v/>
      </c>
      <c r="D2461">
        <f>IF(A2461="","",SUMIFS(Акты!$D$5:$D$16,Акты!$E$5:$E$16,"&lt;="&amp;A2461)-SUMIFS(Оплаты!$B$6:$B$505,Оплаты!$A$6:$A$505,"&lt;"&amp;A2461,Оплаты!$D$6:$D$505,"&lt;&gt;"))</f>
        <v/>
      </c>
      <c r="E2461">
        <f>IF(A2461="","",IF(SUMPRODUCT((Ввод!$F$12:$F$31&lt;&gt;"")*(Ввод!$F$12:$F$31&lt;=A2461)*(Ввод!$G$12:$G$31&gt;=A2461))&gt;0,1,0))</f>
        <v/>
      </c>
      <c r="G2461">
        <f>IF(A2461="","",IF(OR(B2461&lt;&gt;B2460,C2461&lt;&gt;C2460,E2461&lt;&gt;E2460),G2460+1,G2460))</f>
        <v/>
      </c>
    </row>
    <row r="2462">
      <c r="A2462" s="20">
        <f>IF(A2461="","",IF(A2461+1&gt;Ввод!$B$4,"",A2461+1))</f>
        <v/>
      </c>
      <c r="B2462">
        <f>IF(A2462="","",IFERROR(INDEX(Ввод!$B$12:$B$71,MATCH(A2462,Ввод!$D$12:$D$71,1)),""))</f>
        <v/>
      </c>
      <c r="C2462">
        <f>IF(A2462="","",DATE(YEAR(A2462),12,31)-DATE(YEAR(A2462),1,1)+1)</f>
        <v/>
      </c>
      <c r="D2462">
        <f>IF(A2462="","",SUMIFS(Акты!$D$5:$D$16,Акты!$E$5:$E$16,"&lt;="&amp;A2462)-SUMIFS(Оплаты!$B$6:$B$505,Оплаты!$A$6:$A$505,"&lt;"&amp;A2462,Оплаты!$D$6:$D$505,"&lt;&gt;"))</f>
        <v/>
      </c>
      <c r="E2462">
        <f>IF(A2462="","",IF(SUMPRODUCT((Ввод!$F$12:$F$31&lt;&gt;"")*(Ввод!$F$12:$F$31&lt;=A2462)*(Ввод!$G$12:$G$31&gt;=A2462))&gt;0,1,0))</f>
        <v/>
      </c>
      <c r="G2462">
        <f>IF(A2462="","",IF(OR(B2462&lt;&gt;B2461,C2462&lt;&gt;C2461,E2462&lt;&gt;E2461),G2461+1,G2461))</f>
        <v/>
      </c>
    </row>
    <row r="2463">
      <c r="A2463" s="20">
        <f>IF(A2462="","",IF(A2462+1&gt;Ввод!$B$4,"",A2462+1))</f>
        <v/>
      </c>
      <c r="B2463">
        <f>IF(A2463="","",IFERROR(INDEX(Ввод!$B$12:$B$71,MATCH(A2463,Ввод!$D$12:$D$71,1)),""))</f>
        <v/>
      </c>
      <c r="C2463">
        <f>IF(A2463="","",DATE(YEAR(A2463),12,31)-DATE(YEAR(A2463),1,1)+1)</f>
        <v/>
      </c>
      <c r="D2463">
        <f>IF(A2463="","",SUMIFS(Акты!$D$5:$D$16,Акты!$E$5:$E$16,"&lt;="&amp;A2463)-SUMIFS(Оплаты!$B$6:$B$505,Оплаты!$A$6:$A$505,"&lt;"&amp;A2463,Оплаты!$D$6:$D$505,"&lt;&gt;"))</f>
        <v/>
      </c>
      <c r="E2463">
        <f>IF(A2463="","",IF(SUMPRODUCT((Ввод!$F$12:$F$31&lt;&gt;"")*(Ввод!$F$12:$F$31&lt;=A2463)*(Ввод!$G$12:$G$31&gt;=A2463))&gt;0,1,0))</f>
        <v/>
      </c>
      <c r="G2463">
        <f>IF(A2463="","",IF(OR(B2463&lt;&gt;B2462,C2463&lt;&gt;C2462,E2463&lt;&gt;E2462),G2462+1,G2462))</f>
        <v/>
      </c>
    </row>
    <row r="2464">
      <c r="A2464" s="20">
        <f>IF(A2463="","",IF(A2463+1&gt;Ввод!$B$4,"",A2463+1))</f>
        <v/>
      </c>
      <c r="B2464">
        <f>IF(A2464="","",IFERROR(INDEX(Ввод!$B$12:$B$71,MATCH(A2464,Ввод!$D$12:$D$71,1)),""))</f>
        <v/>
      </c>
      <c r="C2464">
        <f>IF(A2464="","",DATE(YEAR(A2464),12,31)-DATE(YEAR(A2464),1,1)+1)</f>
        <v/>
      </c>
      <c r="D2464">
        <f>IF(A2464="","",SUMIFS(Акты!$D$5:$D$16,Акты!$E$5:$E$16,"&lt;="&amp;A2464)-SUMIFS(Оплаты!$B$6:$B$505,Оплаты!$A$6:$A$505,"&lt;"&amp;A2464,Оплаты!$D$6:$D$505,"&lt;&gt;"))</f>
        <v/>
      </c>
      <c r="E2464">
        <f>IF(A2464="","",IF(SUMPRODUCT((Ввод!$F$12:$F$31&lt;&gt;"")*(Ввод!$F$12:$F$31&lt;=A2464)*(Ввод!$G$12:$G$31&gt;=A2464))&gt;0,1,0))</f>
        <v/>
      </c>
      <c r="G2464">
        <f>IF(A2464="","",IF(OR(B2464&lt;&gt;B2463,C2464&lt;&gt;C2463,E2464&lt;&gt;E2463),G2463+1,G2463))</f>
        <v/>
      </c>
    </row>
    <row r="2465">
      <c r="A2465" s="20">
        <f>IF(A2464="","",IF(A2464+1&gt;Ввод!$B$4,"",A2464+1))</f>
        <v/>
      </c>
      <c r="B2465">
        <f>IF(A2465="","",IFERROR(INDEX(Ввод!$B$12:$B$71,MATCH(A2465,Ввод!$D$12:$D$71,1)),""))</f>
        <v/>
      </c>
      <c r="C2465">
        <f>IF(A2465="","",DATE(YEAR(A2465),12,31)-DATE(YEAR(A2465),1,1)+1)</f>
        <v/>
      </c>
      <c r="D2465">
        <f>IF(A2465="","",SUMIFS(Акты!$D$5:$D$16,Акты!$E$5:$E$16,"&lt;="&amp;A2465)-SUMIFS(Оплаты!$B$6:$B$505,Оплаты!$A$6:$A$505,"&lt;"&amp;A2465,Оплаты!$D$6:$D$505,"&lt;&gt;"))</f>
        <v/>
      </c>
      <c r="E2465">
        <f>IF(A2465="","",IF(SUMPRODUCT((Ввод!$F$12:$F$31&lt;&gt;"")*(Ввод!$F$12:$F$31&lt;=A2465)*(Ввод!$G$12:$G$31&gt;=A2465))&gt;0,1,0))</f>
        <v/>
      </c>
      <c r="G2465">
        <f>IF(A2465="","",IF(OR(B2465&lt;&gt;B2464,C2465&lt;&gt;C2464,E2465&lt;&gt;E2464),G2464+1,G2464))</f>
        <v/>
      </c>
    </row>
    <row r="2466">
      <c r="A2466" s="20">
        <f>IF(A2465="","",IF(A2465+1&gt;Ввод!$B$4,"",A2465+1))</f>
        <v/>
      </c>
      <c r="B2466">
        <f>IF(A2466="","",IFERROR(INDEX(Ввод!$B$12:$B$71,MATCH(A2466,Ввод!$D$12:$D$71,1)),""))</f>
        <v/>
      </c>
      <c r="C2466">
        <f>IF(A2466="","",DATE(YEAR(A2466),12,31)-DATE(YEAR(A2466),1,1)+1)</f>
        <v/>
      </c>
      <c r="D2466">
        <f>IF(A2466="","",SUMIFS(Акты!$D$5:$D$16,Акты!$E$5:$E$16,"&lt;="&amp;A2466)-SUMIFS(Оплаты!$B$6:$B$505,Оплаты!$A$6:$A$505,"&lt;"&amp;A2466,Оплаты!$D$6:$D$505,"&lt;&gt;"))</f>
        <v/>
      </c>
      <c r="E2466">
        <f>IF(A2466="","",IF(SUMPRODUCT((Ввод!$F$12:$F$31&lt;&gt;"")*(Ввод!$F$12:$F$31&lt;=A2466)*(Ввод!$G$12:$G$31&gt;=A2466))&gt;0,1,0))</f>
        <v/>
      </c>
      <c r="G2466">
        <f>IF(A2466="","",IF(OR(B2466&lt;&gt;B2465,C2466&lt;&gt;C2465,E2466&lt;&gt;E2465),G2465+1,G2465))</f>
        <v/>
      </c>
    </row>
    <row r="2467">
      <c r="A2467" s="20">
        <f>IF(A2466="","",IF(A2466+1&gt;Ввод!$B$4,"",A2466+1))</f>
        <v/>
      </c>
      <c r="B2467">
        <f>IF(A2467="","",IFERROR(INDEX(Ввод!$B$12:$B$71,MATCH(A2467,Ввод!$D$12:$D$71,1)),""))</f>
        <v/>
      </c>
      <c r="C2467">
        <f>IF(A2467="","",DATE(YEAR(A2467),12,31)-DATE(YEAR(A2467),1,1)+1)</f>
        <v/>
      </c>
      <c r="D2467">
        <f>IF(A2467="","",SUMIFS(Акты!$D$5:$D$16,Акты!$E$5:$E$16,"&lt;="&amp;A2467)-SUMIFS(Оплаты!$B$6:$B$505,Оплаты!$A$6:$A$505,"&lt;"&amp;A2467,Оплаты!$D$6:$D$505,"&lt;&gt;"))</f>
        <v/>
      </c>
      <c r="E2467">
        <f>IF(A2467="","",IF(SUMPRODUCT((Ввод!$F$12:$F$31&lt;&gt;"")*(Ввод!$F$12:$F$31&lt;=A2467)*(Ввод!$G$12:$G$31&gt;=A2467))&gt;0,1,0))</f>
        <v/>
      </c>
      <c r="G2467">
        <f>IF(A2467="","",IF(OR(B2467&lt;&gt;B2466,C2467&lt;&gt;C2466,E2467&lt;&gt;E2466),G2466+1,G2466))</f>
        <v/>
      </c>
    </row>
    <row r="2468">
      <c r="A2468" s="20">
        <f>IF(A2467="","",IF(A2467+1&gt;Ввод!$B$4,"",A2467+1))</f>
        <v/>
      </c>
      <c r="B2468">
        <f>IF(A2468="","",IFERROR(INDEX(Ввод!$B$12:$B$71,MATCH(A2468,Ввод!$D$12:$D$71,1)),""))</f>
        <v/>
      </c>
      <c r="C2468">
        <f>IF(A2468="","",DATE(YEAR(A2468),12,31)-DATE(YEAR(A2468),1,1)+1)</f>
        <v/>
      </c>
      <c r="D2468">
        <f>IF(A2468="","",SUMIFS(Акты!$D$5:$D$16,Акты!$E$5:$E$16,"&lt;="&amp;A2468)-SUMIFS(Оплаты!$B$6:$B$505,Оплаты!$A$6:$A$505,"&lt;"&amp;A2468,Оплаты!$D$6:$D$505,"&lt;&gt;"))</f>
        <v/>
      </c>
      <c r="E2468">
        <f>IF(A2468="","",IF(SUMPRODUCT((Ввод!$F$12:$F$31&lt;&gt;"")*(Ввод!$F$12:$F$31&lt;=A2468)*(Ввод!$G$12:$G$31&gt;=A2468))&gt;0,1,0))</f>
        <v/>
      </c>
      <c r="G2468">
        <f>IF(A2468="","",IF(OR(B2468&lt;&gt;B2467,C2468&lt;&gt;C2467,E2468&lt;&gt;E2467),G2467+1,G2467))</f>
        <v/>
      </c>
    </row>
    <row r="2469">
      <c r="A2469" s="20">
        <f>IF(A2468="","",IF(A2468+1&gt;Ввод!$B$4,"",A2468+1))</f>
        <v/>
      </c>
      <c r="B2469">
        <f>IF(A2469="","",IFERROR(INDEX(Ввод!$B$12:$B$71,MATCH(A2469,Ввод!$D$12:$D$71,1)),""))</f>
        <v/>
      </c>
      <c r="C2469">
        <f>IF(A2469="","",DATE(YEAR(A2469),12,31)-DATE(YEAR(A2469),1,1)+1)</f>
        <v/>
      </c>
      <c r="D2469">
        <f>IF(A2469="","",SUMIFS(Акты!$D$5:$D$16,Акты!$E$5:$E$16,"&lt;="&amp;A2469)-SUMIFS(Оплаты!$B$6:$B$505,Оплаты!$A$6:$A$505,"&lt;"&amp;A2469,Оплаты!$D$6:$D$505,"&lt;&gt;"))</f>
        <v/>
      </c>
      <c r="E2469">
        <f>IF(A2469="","",IF(SUMPRODUCT((Ввод!$F$12:$F$31&lt;&gt;"")*(Ввод!$F$12:$F$31&lt;=A2469)*(Ввод!$G$12:$G$31&gt;=A2469))&gt;0,1,0))</f>
        <v/>
      </c>
      <c r="G2469">
        <f>IF(A2469="","",IF(OR(B2469&lt;&gt;B2468,C2469&lt;&gt;C2468,E2469&lt;&gt;E2468),G2468+1,G2468))</f>
        <v/>
      </c>
    </row>
    <row r="2470">
      <c r="A2470" s="20">
        <f>IF(A2469="","",IF(A2469+1&gt;Ввод!$B$4,"",A2469+1))</f>
        <v/>
      </c>
      <c r="B2470">
        <f>IF(A2470="","",IFERROR(INDEX(Ввод!$B$12:$B$71,MATCH(A2470,Ввод!$D$12:$D$71,1)),""))</f>
        <v/>
      </c>
      <c r="C2470">
        <f>IF(A2470="","",DATE(YEAR(A2470),12,31)-DATE(YEAR(A2470),1,1)+1)</f>
        <v/>
      </c>
      <c r="D2470">
        <f>IF(A2470="","",SUMIFS(Акты!$D$5:$D$16,Акты!$E$5:$E$16,"&lt;="&amp;A2470)-SUMIFS(Оплаты!$B$6:$B$505,Оплаты!$A$6:$A$505,"&lt;"&amp;A2470,Оплаты!$D$6:$D$505,"&lt;&gt;"))</f>
        <v/>
      </c>
      <c r="E2470">
        <f>IF(A2470="","",IF(SUMPRODUCT((Ввод!$F$12:$F$31&lt;&gt;"")*(Ввод!$F$12:$F$31&lt;=A2470)*(Ввод!$G$12:$G$31&gt;=A2470))&gt;0,1,0))</f>
        <v/>
      </c>
      <c r="G2470">
        <f>IF(A2470="","",IF(OR(B2470&lt;&gt;B2469,C2470&lt;&gt;C2469,E2470&lt;&gt;E2469),G2469+1,G2469))</f>
        <v/>
      </c>
    </row>
    <row r="2471">
      <c r="A2471" s="20">
        <f>IF(A2470="","",IF(A2470+1&gt;Ввод!$B$4,"",A2470+1))</f>
        <v/>
      </c>
      <c r="B2471">
        <f>IF(A2471="","",IFERROR(INDEX(Ввод!$B$12:$B$71,MATCH(A2471,Ввод!$D$12:$D$71,1)),""))</f>
        <v/>
      </c>
      <c r="C2471">
        <f>IF(A2471="","",DATE(YEAR(A2471),12,31)-DATE(YEAR(A2471),1,1)+1)</f>
        <v/>
      </c>
      <c r="D2471">
        <f>IF(A2471="","",SUMIFS(Акты!$D$5:$D$16,Акты!$E$5:$E$16,"&lt;="&amp;A2471)-SUMIFS(Оплаты!$B$6:$B$505,Оплаты!$A$6:$A$505,"&lt;"&amp;A2471,Оплаты!$D$6:$D$505,"&lt;&gt;"))</f>
        <v/>
      </c>
      <c r="E2471">
        <f>IF(A2471="","",IF(SUMPRODUCT((Ввод!$F$12:$F$31&lt;&gt;"")*(Ввод!$F$12:$F$31&lt;=A2471)*(Ввод!$G$12:$G$31&gt;=A2471))&gt;0,1,0))</f>
        <v/>
      </c>
      <c r="G2471">
        <f>IF(A2471="","",IF(OR(B2471&lt;&gt;B2470,C2471&lt;&gt;C2470,E2471&lt;&gt;E2470),G2470+1,G2470))</f>
        <v/>
      </c>
    </row>
    <row r="2472">
      <c r="A2472" s="20">
        <f>IF(A2471="","",IF(A2471+1&gt;Ввод!$B$4,"",A2471+1))</f>
        <v/>
      </c>
      <c r="B2472">
        <f>IF(A2472="","",IFERROR(INDEX(Ввод!$B$12:$B$71,MATCH(A2472,Ввод!$D$12:$D$71,1)),""))</f>
        <v/>
      </c>
      <c r="C2472">
        <f>IF(A2472="","",DATE(YEAR(A2472),12,31)-DATE(YEAR(A2472),1,1)+1)</f>
        <v/>
      </c>
      <c r="D2472">
        <f>IF(A2472="","",SUMIFS(Акты!$D$5:$D$16,Акты!$E$5:$E$16,"&lt;="&amp;A2472)-SUMIFS(Оплаты!$B$6:$B$505,Оплаты!$A$6:$A$505,"&lt;"&amp;A2472,Оплаты!$D$6:$D$505,"&lt;&gt;"))</f>
        <v/>
      </c>
      <c r="E2472">
        <f>IF(A2472="","",IF(SUMPRODUCT((Ввод!$F$12:$F$31&lt;&gt;"")*(Ввод!$F$12:$F$31&lt;=A2472)*(Ввод!$G$12:$G$31&gt;=A2472))&gt;0,1,0))</f>
        <v/>
      </c>
      <c r="G2472">
        <f>IF(A2472="","",IF(OR(B2472&lt;&gt;B2471,C2472&lt;&gt;C2471,E2472&lt;&gt;E2471),G2471+1,G2471))</f>
        <v/>
      </c>
    </row>
    <row r="2473">
      <c r="A2473" s="20">
        <f>IF(A2472="","",IF(A2472+1&gt;Ввод!$B$4,"",A2472+1))</f>
        <v/>
      </c>
      <c r="B2473">
        <f>IF(A2473="","",IFERROR(INDEX(Ввод!$B$12:$B$71,MATCH(A2473,Ввод!$D$12:$D$71,1)),""))</f>
        <v/>
      </c>
      <c r="C2473">
        <f>IF(A2473="","",DATE(YEAR(A2473),12,31)-DATE(YEAR(A2473),1,1)+1)</f>
        <v/>
      </c>
      <c r="D2473">
        <f>IF(A2473="","",SUMIFS(Акты!$D$5:$D$16,Акты!$E$5:$E$16,"&lt;="&amp;A2473)-SUMIFS(Оплаты!$B$6:$B$505,Оплаты!$A$6:$A$505,"&lt;"&amp;A2473,Оплаты!$D$6:$D$505,"&lt;&gt;"))</f>
        <v/>
      </c>
      <c r="E2473">
        <f>IF(A2473="","",IF(SUMPRODUCT((Ввод!$F$12:$F$31&lt;&gt;"")*(Ввод!$F$12:$F$31&lt;=A2473)*(Ввод!$G$12:$G$31&gt;=A2473))&gt;0,1,0))</f>
        <v/>
      </c>
      <c r="G2473">
        <f>IF(A2473="","",IF(OR(B2473&lt;&gt;B2472,C2473&lt;&gt;C2472,E2473&lt;&gt;E2472),G2472+1,G2472))</f>
        <v/>
      </c>
    </row>
    <row r="2474">
      <c r="A2474" s="20">
        <f>IF(A2473="","",IF(A2473+1&gt;Ввод!$B$4,"",A2473+1))</f>
        <v/>
      </c>
      <c r="B2474">
        <f>IF(A2474="","",IFERROR(INDEX(Ввод!$B$12:$B$71,MATCH(A2474,Ввод!$D$12:$D$71,1)),""))</f>
        <v/>
      </c>
      <c r="C2474">
        <f>IF(A2474="","",DATE(YEAR(A2474),12,31)-DATE(YEAR(A2474),1,1)+1)</f>
        <v/>
      </c>
      <c r="D2474">
        <f>IF(A2474="","",SUMIFS(Акты!$D$5:$D$16,Акты!$E$5:$E$16,"&lt;="&amp;A2474)-SUMIFS(Оплаты!$B$6:$B$505,Оплаты!$A$6:$A$505,"&lt;"&amp;A2474,Оплаты!$D$6:$D$505,"&lt;&gt;"))</f>
        <v/>
      </c>
      <c r="E2474">
        <f>IF(A2474="","",IF(SUMPRODUCT((Ввод!$F$12:$F$31&lt;&gt;"")*(Ввод!$F$12:$F$31&lt;=A2474)*(Ввод!$G$12:$G$31&gt;=A2474))&gt;0,1,0))</f>
        <v/>
      </c>
      <c r="G2474">
        <f>IF(A2474="","",IF(OR(B2474&lt;&gt;B2473,C2474&lt;&gt;C2473,E2474&lt;&gt;E2473),G2473+1,G2473))</f>
        <v/>
      </c>
    </row>
    <row r="2475">
      <c r="A2475" s="20">
        <f>IF(A2474="","",IF(A2474+1&gt;Ввод!$B$4,"",A2474+1))</f>
        <v/>
      </c>
      <c r="B2475">
        <f>IF(A2475="","",IFERROR(INDEX(Ввод!$B$12:$B$71,MATCH(A2475,Ввод!$D$12:$D$71,1)),""))</f>
        <v/>
      </c>
      <c r="C2475">
        <f>IF(A2475="","",DATE(YEAR(A2475),12,31)-DATE(YEAR(A2475),1,1)+1)</f>
        <v/>
      </c>
      <c r="D2475">
        <f>IF(A2475="","",SUMIFS(Акты!$D$5:$D$16,Акты!$E$5:$E$16,"&lt;="&amp;A2475)-SUMIFS(Оплаты!$B$6:$B$505,Оплаты!$A$6:$A$505,"&lt;"&amp;A2475,Оплаты!$D$6:$D$505,"&lt;&gt;"))</f>
        <v/>
      </c>
      <c r="E2475">
        <f>IF(A2475="","",IF(SUMPRODUCT((Ввод!$F$12:$F$31&lt;&gt;"")*(Ввод!$F$12:$F$31&lt;=A2475)*(Ввод!$G$12:$G$31&gt;=A2475))&gt;0,1,0))</f>
        <v/>
      </c>
      <c r="G2475">
        <f>IF(A2475="","",IF(OR(B2475&lt;&gt;B2474,C2475&lt;&gt;C2474,E2475&lt;&gt;E2474),G2474+1,G2474))</f>
        <v/>
      </c>
    </row>
    <row r="2476">
      <c r="A2476" s="20">
        <f>IF(A2475="","",IF(A2475+1&gt;Ввод!$B$4,"",A2475+1))</f>
        <v/>
      </c>
      <c r="B2476">
        <f>IF(A2476="","",IFERROR(INDEX(Ввод!$B$12:$B$71,MATCH(A2476,Ввод!$D$12:$D$71,1)),""))</f>
        <v/>
      </c>
      <c r="C2476">
        <f>IF(A2476="","",DATE(YEAR(A2476),12,31)-DATE(YEAR(A2476),1,1)+1)</f>
        <v/>
      </c>
      <c r="D2476">
        <f>IF(A2476="","",SUMIFS(Акты!$D$5:$D$16,Акты!$E$5:$E$16,"&lt;="&amp;A2476)-SUMIFS(Оплаты!$B$6:$B$505,Оплаты!$A$6:$A$505,"&lt;"&amp;A2476,Оплаты!$D$6:$D$505,"&lt;&gt;"))</f>
        <v/>
      </c>
      <c r="E2476">
        <f>IF(A2476="","",IF(SUMPRODUCT((Ввод!$F$12:$F$31&lt;&gt;"")*(Ввод!$F$12:$F$31&lt;=A2476)*(Ввод!$G$12:$G$31&gt;=A2476))&gt;0,1,0))</f>
        <v/>
      </c>
      <c r="G2476">
        <f>IF(A2476="","",IF(OR(B2476&lt;&gt;B2475,C2476&lt;&gt;C2475,E2476&lt;&gt;E2475),G2475+1,G2475))</f>
        <v/>
      </c>
    </row>
    <row r="2477">
      <c r="A2477" s="20">
        <f>IF(A2476="","",IF(A2476+1&gt;Ввод!$B$4,"",A2476+1))</f>
        <v/>
      </c>
      <c r="B2477">
        <f>IF(A2477="","",IFERROR(INDEX(Ввод!$B$12:$B$71,MATCH(A2477,Ввод!$D$12:$D$71,1)),""))</f>
        <v/>
      </c>
      <c r="C2477">
        <f>IF(A2477="","",DATE(YEAR(A2477),12,31)-DATE(YEAR(A2477),1,1)+1)</f>
        <v/>
      </c>
      <c r="D2477">
        <f>IF(A2477="","",SUMIFS(Акты!$D$5:$D$16,Акты!$E$5:$E$16,"&lt;="&amp;A2477)-SUMIFS(Оплаты!$B$6:$B$505,Оплаты!$A$6:$A$505,"&lt;"&amp;A2477,Оплаты!$D$6:$D$505,"&lt;&gt;"))</f>
        <v/>
      </c>
      <c r="E2477">
        <f>IF(A2477="","",IF(SUMPRODUCT((Ввод!$F$12:$F$31&lt;&gt;"")*(Ввод!$F$12:$F$31&lt;=A2477)*(Ввод!$G$12:$G$31&gt;=A2477))&gt;0,1,0))</f>
        <v/>
      </c>
      <c r="G2477">
        <f>IF(A2477="","",IF(OR(B2477&lt;&gt;B2476,C2477&lt;&gt;C2476,E2477&lt;&gt;E2476),G2476+1,G2476))</f>
        <v/>
      </c>
    </row>
    <row r="2478">
      <c r="A2478" s="20">
        <f>IF(A2477="","",IF(A2477+1&gt;Ввод!$B$4,"",A2477+1))</f>
        <v/>
      </c>
      <c r="B2478">
        <f>IF(A2478="","",IFERROR(INDEX(Ввод!$B$12:$B$71,MATCH(A2478,Ввод!$D$12:$D$71,1)),""))</f>
        <v/>
      </c>
      <c r="C2478">
        <f>IF(A2478="","",DATE(YEAR(A2478),12,31)-DATE(YEAR(A2478),1,1)+1)</f>
        <v/>
      </c>
      <c r="D2478">
        <f>IF(A2478="","",SUMIFS(Акты!$D$5:$D$16,Акты!$E$5:$E$16,"&lt;="&amp;A2478)-SUMIFS(Оплаты!$B$6:$B$505,Оплаты!$A$6:$A$505,"&lt;"&amp;A2478,Оплаты!$D$6:$D$505,"&lt;&gt;"))</f>
        <v/>
      </c>
      <c r="E2478">
        <f>IF(A2478="","",IF(SUMPRODUCT((Ввод!$F$12:$F$31&lt;&gt;"")*(Ввод!$F$12:$F$31&lt;=A2478)*(Ввод!$G$12:$G$31&gt;=A2478))&gt;0,1,0))</f>
        <v/>
      </c>
      <c r="G2478">
        <f>IF(A2478="","",IF(OR(B2478&lt;&gt;B2477,C2478&lt;&gt;C2477,E2478&lt;&gt;E2477),G2477+1,G2477))</f>
        <v/>
      </c>
    </row>
    <row r="2479">
      <c r="A2479" s="20">
        <f>IF(A2478="","",IF(A2478+1&gt;Ввод!$B$4,"",A2478+1))</f>
        <v/>
      </c>
      <c r="B2479">
        <f>IF(A2479="","",IFERROR(INDEX(Ввод!$B$12:$B$71,MATCH(A2479,Ввод!$D$12:$D$71,1)),""))</f>
        <v/>
      </c>
      <c r="C2479">
        <f>IF(A2479="","",DATE(YEAR(A2479),12,31)-DATE(YEAR(A2479),1,1)+1)</f>
        <v/>
      </c>
      <c r="D2479">
        <f>IF(A2479="","",SUMIFS(Акты!$D$5:$D$16,Акты!$E$5:$E$16,"&lt;="&amp;A2479)-SUMIFS(Оплаты!$B$6:$B$505,Оплаты!$A$6:$A$505,"&lt;"&amp;A2479,Оплаты!$D$6:$D$505,"&lt;&gt;"))</f>
        <v/>
      </c>
      <c r="E2479">
        <f>IF(A2479="","",IF(SUMPRODUCT((Ввод!$F$12:$F$31&lt;&gt;"")*(Ввод!$F$12:$F$31&lt;=A2479)*(Ввод!$G$12:$G$31&gt;=A2479))&gt;0,1,0))</f>
        <v/>
      </c>
      <c r="G2479">
        <f>IF(A2479="","",IF(OR(B2479&lt;&gt;B2478,C2479&lt;&gt;C2478,E2479&lt;&gt;E2478),G2478+1,G2478))</f>
        <v/>
      </c>
    </row>
    <row r="2480">
      <c r="A2480" s="20">
        <f>IF(A2479="","",IF(A2479+1&gt;Ввод!$B$4,"",A2479+1))</f>
        <v/>
      </c>
      <c r="B2480">
        <f>IF(A2480="","",IFERROR(INDEX(Ввод!$B$12:$B$71,MATCH(A2480,Ввод!$D$12:$D$71,1)),""))</f>
        <v/>
      </c>
      <c r="C2480">
        <f>IF(A2480="","",DATE(YEAR(A2480),12,31)-DATE(YEAR(A2480),1,1)+1)</f>
        <v/>
      </c>
      <c r="D2480">
        <f>IF(A2480="","",SUMIFS(Акты!$D$5:$D$16,Акты!$E$5:$E$16,"&lt;="&amp;A2480)-SUMIFS(Оплаты!$B$6:$B$505,Оплаты!$A$6:$A$505,"&lt;"&amp;A2480,Оплаты!$D$6:$D$505,"&lt;&gt;"))</f>
        <v/>
      </c>
      <c r="E2480">
        <f>IF(A2480="","",IF(SUMPRODUCT((Ввод!$F$12:$F$31&lt;&gt;"")*(Ввод!$F$12:$F$31&lt;=A2480)*(Ввод!$G$12:$G$31&gt;=A2480))&gt;0,1,0))</f>
        <v/>
      </c>
      <c r="G2480">
        <f>IF(A2480="","",IF(OR(B2480&lt;&gt;B2479,C2480&lt;&gt;C2479,E2480&lt;&gt;E2479),G2479+1,G2479))</f>
        <v/>
      </c>
    </row>
    <row r="2481">
      <c r="A2481" s="20">
        <f>IF(A2480="","",IF(A2480+1&gt;Ввод!$B$4,"",A2480+1))</f>
        <v/>
      </c>
      <c r="B2481">
        <f>IF(A2481="","",IFERROR(INDEX(Ввод!$B$12:$B$71,MATCH(A2481,Ввод!$D$12:$D$71,1)),""))</f>
        <v/>
      </c>
      <c r="C2481">
        <f>IF(A2481="","",DATE(YEAR(A2481),12,31)-DATE(YEAR(A2481),1,1)+1)</f>
        <v/>
      </c>
      <c r="D2481">
        <f>IF(A2481="","",SUMIFS(Акты!$D$5:$D$16,Акты!$E$5:$E$16,"&lt;="&amp;A2481)-SUMIFS(Оплаты!$B$6:$B$505,Оплаты!$A$6:$A$505,"&lt;"&amp;A2481,Оплаты!$D$6:$D$505,"&lt;&gt;"))</f>
        <v/>
      </c>
      <c r="E2481">
        <f>IF(A2481="","",IF(SUMPRODUCT((Ввод!$F$12:$F$31&lt;&gt;"")*(Ввод!$F$12:$F$31&lt;=A2481)*(Ввод!$G$12:$G$31&gt;=A2481))&gt;0,1,0))</f>
        <v/>
      </c>
      <c r="G2481">
        <f>IF(A2481="","",IF(OR(B2481&lt;&gt;B2480,C2481&lt;&gt;C2480,E2481&lt;&gt;E2480),G2480+1,G2480))</f>
        <v/>
      </c>
    </row>
    <row r="2482">
      <c r="A2482" s="20">
        <f>IF(A2481="","",IF(A2481+1&gt;Ввод!$B$4,"",A2481+1))</f>
        <v/>
      </c>
      <c r="B2482">
        <f>IF(A2482="","",IFERROR(INDEX(Ввод!$B$12:$B$71,MATCH(A2482,Ввод!$D$12:$D$71,1)),""))</f>
        <v/>
      </c>
      <c r="C2482">
        <f>IF(A2482="","",DATE(YEAR(A2482),12,31)-DATE(YEAR(A2482),1,1)+1)</f>
        <v/>
      </c>
      <c r="D2482">
        <f>IF(A2482="","",SUMIFS(Акты!$D$5:$D$16,Акты!$E$5:$E$16,"&lt;="&amp;A2482)-SUMIFS(Оплаты!$B$6:$B$505,Оплаты!$A$6:$A$505,"&lt;"&amp;A2482,Оплаты!$D$6:$D$505,"&lt;&gt;"))</f>
        <v/>
      </c>
      <c r="E2482">
        <f>IF(A2482="","",IF(SUMPRODUCT((Ввод!$F$12:$F$31&lt;&gt;"")*(Ввод!$F$12:$F$31&lt;=A2482)*(Ввод!$G$12:$G$31&gt;=A2482))&gt;0,1,0))</f>
        <v/>
      </c>
      <c r="G2482">
        <f>IF(A2482="","",IF(OR(B2482&lt;&gt;B2481,C2482&lt;&gt;C2481,E2482&lt;&gt;E2481),G2481+1,G2481))</f>
        <v/>
      </c>
    </row>
    <row r="2483">
      <c r="A2483" s="20">
        <f>IF(A2482="","",IF(A2482+1&gt;Ввод!$B$4,"",A2482+1))</f>
        <v/>
      </c>
      <c r="B2483">
        <f>IF(A2483="","",IFERROR(INDEX(Ввод!$B$12:$B$71,MATCH(A2483,Ввод!$D$12:$D$71,1)),""))</f>
        <v/>
      </c>
      <c r="C2483">
        <f>IF(A2483="","",DATE(YEAR(A2483),12,31)-DATE(YEAR(A2483),1,1)+1)</f>
        <v/>
      </c>
      <c r="D2483">
        <f>IF(A2483="","",SUMIFS(Акты!$D$5:$D$16,Акты!$E$5:$E$16,"&lt;="&amp;A2483)-SUMIFS(Оплаты!$B$6:$B$505,Оплаты!$A$6:$A$505,"&lt;"&amp;A2483,Оплаты!$D$6:$D$505,"&lt;&gt;"))</f>
        <v/>
      </c>
      <c r="E2483">
        <f>IF(A2483="","",IF(SUMPRODUCT((Ввод!$F$12:$F$31&lt;&gt;"")*(Ввод!$F$12:$F$31&lt;=A2483)*(Ввод!$G$12:$G$31&gt;=A2483))&gt;0,1,0))</f>
        <v/>
      </c>
      <c r="G2483">
        <f>IF(A2483="","",IF(OR(B2483&lt;&gt;B2482,C2483&lt;&gt;C2482,E2483&lt;&gt;E2482),G2482+1,G2482))</f>
        <v/>
      </c>
    </row>
    <row r="2484">
      <c r="A2484" s="20">
        <f>IF(A2483="","",IF(A2483+1&gt;Ввод!$B$4,"",A2483+1))</f>
        <v/>
      </c>
      <c r="B2484">
        <f>IF(A2484="","",IFERROR(INDEX(Ввод!$B$12:$B$71,MATCH(A2484,Ввод!$D$12:$D$71,1)),""))</f>
        <v/>
      </c>
      <c r="C2484">
        <f>IF(A2484="","",DATE(YEAR(A2484),12,31)-DATE(YEAR(A2484),1,1)+1)</f>
        <v/>
      </c>
      <c r="D2484">
        <f>IF(A2484="","",SUMIFS(Акты!$D$5:$D$16,Акты!$E$5:$E$16,"&lt;="&amp;A2484)-SUMIFS(Оплаты!$B$6:$B$505,Оплаты!$A$6:$A$505,"&lt;"&amp;A2484,Оплаты!$D$6:$D$505,"&lt;&gt;"))</f>
        <v/>
      </c>
      <c r="E2484">
        <f>IF(A2484="","",IF(SUMPRODUCT((Ввод!$F$12:$F$31&lt;&gt;"")*(Ввод!$F$12:$F$31&lt;=A2484)*(Ввод!$G$12:$G$31&gt;=A2484))&gt;0,1,0))</f>
        <v/>
      </c>
      <c r="G2484">
        <f>IF(A2484="","",IF(OR(B2484&lt;&gt;B2483,C2484&lt;&gt;C2483,E2484&lt;&gt;E2483),G2483+1,G2483))</f>
        <v/>
      </c>
    </row>
    <row r="2485">
      <c r="A2485" s="20">
        <f>IF(A2484="","",IF(A2484+1&gt;Ввод!$B$4,"",A2484+1))</f>
        <v/>
      </c>
      <c r="B2485">
        <f>IF(A2485="","",IFERROR(INDEX(Ввод!$B$12:$B$71,MATCH(A2485,Ввод!$D$12:$D$71,1)),""))</f>
        <v/>
      </c>
      <c r="C2485">
        <f>IF(A2485="","",DATE(YEAR(A2485),12,31)-DATE(YEAR(A2485),1,1)+1)</f>
        <v/>
      </c>
      <c r="D2485">
        <f>IF(A2485="","",SUMIFS(Акты!$D$5:$D$16,Акты!$E$5:$E$16,"&lt;="&amp;A2485)-SUMIFS(Оплаты!$B$6:$B$505,Оплаты!$A$6:$A$505,"&lt;"&amp;A2485,Оплаты!$D$6:$D$505,"&lt;&gt;"))</f>
        <v/>
      </c>
      <c r="E2485">
        <f>IF(A2485="","",IF(SUMPRODUCT((Ввод!$F$12:$F$31&lt;&gt;"")*(Ввод!$F$12:$F$31&lt;=A2485)*(Ввод!$G$12:$G$31&gt;=A2485))&gt;0,1,0))</f>
        <v/>
      </c>
      <c r="G2485">
        <f>IF(A2485="","",IF(OR(B2485&lt;&gt;B2484,C2485&lt;&gt;C2484,E2485&lt;&gt;E2484),G2484+1,G2484))</f>
        <v/>
      </c>
    </row>
    <row r="2486">
      <c r="A2486" s="20">
        <f>IF(A2485="","",IF(A2485+1&gt;Ввод!$B$4,"",A2485+1))</f>
        <v/>
      </c>
      <c r="B2486">
        <f>IF(A2486="","",IFERROR(INDEX(Ввод!$B$12:$B$71,MATCH(A2486,Ввод!$D$12:$D$71,1)),""))</f>
        <v/>
      </c>
      <c r="C2486">
        <f>IF(A2486="","",DATE(YEAR(A2486),12,31)-DATE(YEAR(A2486),1,1)+1)</f>
        <v/>
      </c>
      <c r="D2486">
        <f>IF(A2486="","",SUMIFS(Акты!$D$5:$D$16,Акты!$E$5:$E$16,"&lt;="&amp;A2486)-SUMIFS(Оплаты!$B$6:$B$505,Оплаты!$A$6:$A$505,"&lt;"&amp;A2486,Оплаты!$D$6:$D$505,"&lt;&gt;"))</f>
        <v/>
      </c>
      <c r="E2486">
        <f>IF(A2486="","",IF(SUMPRODUCT((Ввод!$F$12:$F$31&lt;&gt;"")*(Ввод!$F$12:$F$31&lt;=A2486)*(Ввод!$G$12:$G$31&gt;=A2486))&gt;0,1,0))</f>
        <v/>
      </c>
      <c r="G2486">
        <f>IF(A2486="","",IF(OR(B2486&lt;&gt;B2485,C2486&lt;&gt;C2485,E2486&lt;&gt;E2485),G2485+1,G2485))</f>
        <v/>
      </c>
    </row>
    <row r="2487">
      <c r="A2487" s="20">
        <f>IF(A2486="","",IF(A2486+1&gt;Ввод!$B$4,"",A2486+1))</f>
        <v/>
      </c>
      <c r="B2487">
        <f>IF(A2487="","",IFERROR(INDEX(Ввод!$B$12:$B$71,MATCH(A2487,Ввод!$D$12:$D$71,1)),""))</f>
        <v/>
      </c>
      <c r="C2487">
        <f>IF(A2487="","",DATE(YEAR(A2487),12,31)-DATE(YEAR(A2487),1,1)+1)</f>
        <v/>
      </c>
      <c r="D2487">
        <f>IF(A2487="","",SUMIFS(Акты!$D$5:$D$16,Акты!$E$5:$E$16,"&lt;="&amp;A2487)-SUMIFS(Оплаты!$B$6:$B$505,Оплаты!$A$6:$A$505,"&lt;"&amp;A2487,Оплаты!$D$6:$D$505,"&lt;&gt;"))</f>
        <v/>
      </c>
      <c r="E2487">
        <f>IF(A2487="","",IF(SUMPRODUCT((Ввод!$F$12:$F$31&lt;&gt;"")*(Ввод!$F$12:$F$31&lt;=A2487)*(Ввод!$G$12:$G$31&gt;=A2487))&gt;0,1,0))</f>
        <v/>
      </c>
      <c r="G2487">
        <f>IF(A2487="","",IF(OR(B2487&lt;&gt;B2486,C2487&lt;&gt;C2486,E2487&lt;&gt;E2486),G2486+1,G2486))</f>
        <v/>
      </c>
    </row>
    <row r="2488">
      <c r="A2488" s="20">
        <f>IF(A2487="","",IF(A2487+1&gt;Ввод!$B$4,"",A2487+1))</f>
        <v/>
      </c>
      <c r="B2488">
        <f>IF(A2488="","",IFERROR(INDEX(Ввод!$B$12:$B$71,MATCH(A2488,Ввод!$D$12:$D$71,1)),""))</f>
        <v/>
      </c>
      <c r="C2488">
        <f>IF(A2488="","",DATE(YEAR(A2488),12,31)-DATE(YEAR(A2488),1,1)+1)</f>
        <v/>
      </c>
      <c r="D2488">
        <f>IF(A2488="","",SUMIFS(Акты!$D$5:$D$16,Акты!$E$5:$E$16,"&lt;="&amp;A2488)-SUMIFS(Оплаты!$B$6:$B$505,Оплаты!$A$6:$A$505,"&lt;"&amp;A2488,Оплаты!$D$6:$D$505,"&lt;&gt;"))</f>
        <v/>
      </c>
      <c r="E2488">
        <f>IF(A2488="","",IF(SUMPRODUCT((Ввод!$F$12:$F$31&lt;&gt;"")*(Ввод!$F$12:$F$31&lt;=A2488)*(Ввод!$G$12:$G$31&gt;=A2488))&gt;0,1,0))</f>
        <v/>
      </c>
      <c r="G2488">
        <f>IF(A2488="","",IF(OR(B2488&lt;&gt;B2487,C2488&lt;&gt;C2487,E2488&lt;&gt;E2487),G2487+1,G2487))</f>
        <v/>
      </c>
    </row>
    <row r="2489">
      <c r="A2489" s="20">
        <f>IF(A2488="","",IF(A2488+1&gt;Ввод!$B$4,"",A2488+1))</f>
        <v/>
      </c>
      <c r="B2489">
        <f>IF(A2489="","",IFERROR(INDEX(Ввод!$B$12:$B$71,MATCH(A2489,Ввод!$D$12:$D$71,1)),""))</f>
        <v/>
      </c>
      <c r="C2489">
        <f>IF(A2489="","",DATE(YEAR(A2489),12,31)-DATE(YEAR(A2489),1,1)+1)</f>
        <v/>
      </c>
      <c r="D2489">
        <f>IF(A2489="","",SUMIFS(Акты!$D$5:$D$16,Акты!$E$5:$E$16,"&lt;="&amp;A2489)-SUMIFS(Оплаты!$B$6:$B$505,Оплаты!$A$6:$A$505,"&lt;"&amp;A2489,Оплаты!$D$6:$D$505,"&lt;&gt;"))</f>
        <v/>
      </c>
      <c r="E2489">
        <f>IF(A2489="","",IF(SUMPRODUCT((Ввод!$F$12:$F$31&lt;&gt;"")*(Ввод!$F$12:$F$31&lt;=A2489)*(Ввод!$G$12:$G$31&gt;=A2489))&gt;0,1,0))</f>
        <v/>
      </c>
      <c r="G2489">
        <f>IF(A2489="","",IF(OR(B2489&lt;&gt;B2488,C2489&lt;&gt;C2488,E2489&lt;&gt;E2488),G2488+1,G2488))</f>
        <v/>
      </c>
    </row>
    <row r="2490">
      <c r="A2490" s="20">
        <f>IF(A2489="","",IF(A2489+1&gt;Ввод!$B$4,"",A2489+1))</f>
        <v/>
      </c>
      <c r="B2490">
        <f>IF(A2490="","",IFERROR(INDEX(Ввод!$B$12:$B$71,MATCH(A2490,Ввод!$D$12:$D$71,1)),""))</f>
        <v/>
      </c>
      <c r="C2490">
        <f>IF(A2490="","",DATE(YEAR(A2490),12,31)-DATE(YEAR(A2490),1,1)+1)</f>
        <v/>
      </c>
      <c r="D2490">
        <f>IF(A2490="","",SUMIFS(Акты!$D$5:$D$16,Акты!$E$5:$E$16,"&lt;="&amp;A2490)-SUMIFS(Оплаты!$B$6:$B$505,Оплаты!$A$6:$A$505,"&lt;"&amp;A2490,Оплаты!$D$6:$D$505,"&lt;&gt;"))</f>
        <v/>
      </c>
      <c r="E2490">
        <f>IF(A2490="","",IF(SUMPRODUCT((Ввод!$F$12:$F$31&lt;&gt;"")*(Ввод!$F$12:$F$31&lt;=A2490)*(Ввод!$G$12:$G$31&gt;=A2490))&gt;0,1,0))</f>
        <v/>
      </c>
      <c r="G2490">
        <f>IF(A2490="","",IF(OR(B2490&lt;&gt;B2489,C2490&lt;&gt;C2489,E2490&lt;&gt;E2489),G2489+1,G2489))</f>
        <v/>
      </c>
    </row>
    <row r="2491">
      <c r="A2491" s="20">
        <f>IF(A2490="","",IF(A2490+1&gt;Ввод!$B$4,"",A2490+1))</f>
        <v/>
      </c>
      <c r="B2491">
        <f>IF(A2491="","",IFERROR(INDEX(Ввод!$B$12:$B$71,MATCH(A2491,Ввод!$D$12:$D$71,1)),""))</f>
        <v/>
      </c>
      <c r="C2491">
        <f>IF(A2491="","",DATE(YEAR(A2491),12,31)-DATE(YEAR(A2491),1,1)+1)</f>
        <v/>
      </c>
      <c r="D2491">
        <f>IF(A2491="","",SUMIFS(Акты!$D$5:$D$16,Акты!$E$5:$E$16,"&lt;="&amp;A2491)-SUMIFS(Оплаты!$B$6:$B$505,Оплаты!$A$6:$A$505,"&lt;"&amp;A2491,Оплаты!$D$6:$D$505,"&lt;&gt;"))</f>
        <v/>
      </c>
      <c r="E2491">
        <f>IF(A2491="","",IF(SUMPRODUCT((Ввод!$F$12:$F$31&lt;&gt;"")*(Ввод!$F$12:$F$31&lt;=A2491)*(Ввод!$G$12:$G$31&gt;=A2491))&gt;0,1,0))</f>
        <v/>
      </c>
      <c r="G2491">
        <f>IF(A2491="","",IF(OR(B2491&lt;&gt;B2490,C2491&lt;&gt;C2490,E2491&lt;&gt;E2490),G2490+1,G2490))</f>
        <v/>
      </c>
    </row>
    <row r="2492">
      <c r="A2492" s="20">
        <f>IF(A2491="","",IF(A2491+1&gt;Ввод!$B$4,"",A2491+1))</f>
        <v/>
      </c>
      <c r="B2492">
        <f>IF(A2492="","",IFERROR(INDEX(Ввод!$B$12:$B$71,MATCH(A2492,Ввод!$D$12:$D$71,1)),""))</f>
        <v/>
      </c>
      <c r="C2492">
        <f>IF(A2492="","",DATE(YEAR(A2492),12,31)-DATE(YEAR(A2492),1,1)+1)</f>
        <v/>
      </c>
      <c r="D2492">
        <f>IF(A2492="","",SUMIFS(Акты!$D$5:$D$16,Акты!$E$5:$E$16,"&lt;="&amp;A2492)-SUMIFS(Оплаты!$B$6:$B$505,Оплаты!$A$6:$A$505,"&lt;"&amp;A2492,Оплаты!$D$6:$D$505,"&lt;&gt;"))</f>
        <v/>
      </c>
      <c r="E2492">
        <f>IF(A2492="","",IF(SUMPRODUCT((Ввод!$F$12:$F$31&lt;&gt;"")*(Ввод!$F$12:$F$31&lt;=A2492)*(Ввод!$G$12:$G$31&gt;=A2492))&gt;0,1,0))</f>
        <v/>
      </c>
      <c r="G2492">
        <f>IF(A2492="","",IF(OR(B2492&lt;&gt;B2491,C2492&lt;&gt;C2491,E2492&lt;&gt;E2491),G2491+1,G2491))</f>
        <v/>
      </c>
    </row>
    <row r="2493">
      <c r="A2493" s="20">
        <f>IF(A2492="","",IF(A2492+1&gt;Ввод!$B$4,"",A2492+1))</f>
        <v/>
      </c>
      <c r="B2493">
        <f>IF(A2493="","",IFERROR(INDEX(Ввод!$B$12:$B$71,MATCH(A2493,Ввод!$D$12:$D$71,1)),""))</f>
        <v/>
      </c>
      <c r="C2493">
        <f>IF(A2493="","",DATE(YEAR(A2493),12,31)-DATE(YEAR(A2493),1,1)+1)</f>
        <v/>
      </c>
      <c r="D2493">
        <f>IF(A2493="","",SUMIFS(Акты!$D$5:$D$16,Акты!$E$5:$E$16,"&lt;="&amp;A2493)-SUMIFS(Оплаты!$B$6:$B$505,Оплаты!$A$6:$A$505,"&lt;"&amp;A2493,Оплаты!$D$6:$D$505,"&lt;&gt;"))</f>
        <v/>
      </c>
      <c r="E2493">
        <f>IF(A2493="","",IF(SUMPRODUCT((Ввод!$F$12:$F$31&lt;&gt;"")*(Ввод!$F$12:$F$31&lt;=A2493)*(Ввод!$G$12:$G$31&gt;=A2493))&gt;0,1,0))</f>
        <v/>
      </c>
      <c r="G2493">
        <f>IF(A2493="","",IF(OR(B2493&lt;&gt;B2492,C2493&lt;&gt;C2492,E2493&lt;&gt;E2492),G2492+1,G2492))</f>
        <v/>
      </c>
    </row>
    <row r="2494">
      <c r="A2494" s="20">
        <f>IF(A2493="","",IF(A2493+1&gt;Ввод!$B$4,"",A2493+1))</f>
        <v/>
      </c>
      <c r="B2494">
        <f>IF(A2494="","",IFERROR(INDEX(Ввод!$B$12:$B$71,MATCH(A2494,Ввод!$D$12:$D$71,1)),""))</f>
        <v/>
      </c>
      <c r="C2494">
        <f>IF(A2494="","",DATE(YEAR(A2494),12,31)-DATE(YEAR(A2494),1,1)+1)</f>
        <v/>
      </c>
      <c r="D2494">
        <f>IF(A2494="","",SUMIFS(Акты!$D$5:$D$16,Акты!$E$5:$E$16,"&lt;="&amp;A2494)-SUMIFS(Оплаты!$B$6:$B$505,Оплаты!$A$6:$A$505,"&lt;"&amp;A2494,Оплаты!$D$6:$D$505,"&lt;&gt;"))</f>
        <v/>
      </c>
      <c r="E2494">
        <f>IF(A2494="","",IF(SUMPRODUCT((Ввод!$F$12:$F$31&lt;&gt;"")*(Ввод!$F$12:$F$31&lt;=A2494)*(Ввод!$G$12:$G$31&gt;=A2494))&gt;0,1,0))</f>
        <v/>
      </c>
      <c r="G2494">
        <f>IF(A2494="","",IF(OR(B2494&lt;&gt;B2493,C2494&lt;&gt;C2493,E2494&lt;&gt;E2493),G2493+1,G2493))</f>
        <v/>
      </c>
    </row>
    <row r="2495">
      <c r="A2495" s="20">
        <f>IF(A2494="","",IF(A2494+1&gt;Ввод!$B$4,"",A2494+1))</f>
        <v/>
      </c>
      <c r="B2495">
        <f>IF(A2495="","",IFERROR(INDEX(Ввод!$B$12:$B$71,MATCH(A2495,Ввод!$D$12:$D$71,1)),""))</f>
        <v/>
      </c>
      <c r="C2495">
        <f>IF(A2495="","",DATE(YEAR(A2495),12,31)-DATE(YEAR(A2495),1,1)+1)</f>
        <v/>
      </c>
      <c r="D2495">
        <f>IF(A2495="","",SUMIFS(Акты!$D$5:$D$16,Акты!$E$5:$E$16,"&lt;="&amp;A2495)-SUMIFS(Оплаты!$B$6:$B$505,Оплаты!$A$6:$A$505,"&lt;"&amp;A2495,Оплаты!$D$6:$D$505,"&lt;&gt;"))</f>
        <v/>
      </c>
      <c r="E2495">
        <f>IF(A2495="","",IF(SUMPRODUCT((Ввод!$F$12:$F$31&lt;&gt;"")*(Ввод!$F$12:$F$31&lt;=A2495)*(Ввод!$G$12:$G$31&gt;=A2495))&gt;0,1,0))</f>
        <v/>
      </c>
      <c r="G2495">
        <f>IF(A2495="","",IF(OR(B2495&lt;&gt;B2494,C2495&lt;&gt;C2494,E2495&lt;&gt;E2494),G2494+1,G2494))</f>
        <v/>
      </c>
    </row>
    <row r="2496">
      <c r="A2496" s="20">
        <f>IF(A2495="","",IF(A2495+1&gt;Ввод!$B$4,"",A2495+1))</f>
        <v/>
      </c>
      <c r="B2496">
        <f>IF(A2496="","",IFERROR(INDEX(Ввод!$B$12:$B$71,MATCH(A2496,Ввод!$D$12:$D$71,1)),""))</f>
        <v/>
      </c>
      <c r="C2496">
        <f>IF(A2496="","",DATE(YEAR(A2496),12,31)-DATE(YEAR(A2496),1,1)+1)</f>
        <v/>
      </c>
      <c r="D2496">
        <f>IF(A2496="","",SUMIFS(Акты!$D$5:$D$16,Акты!$E$5:$E$16,"&lt;="&amp;A2496)-SUMIFS(Оплаты!$B$6:$B$505,Оплаты!$A$6:$A$505,"&lt;"&amp;A2496,Оплаты!$D$6:$D$505,"&lt;&gt;"))</f>
        <v/>
      </c>
      <c r="E2496">
        <f>IF(A2496="","",IF(SUMPRODUCT((Ввод!$F$12:$F$31&lt;&gt;"")*(Ввод!$F$12:$F$31&lt;=A2496)*(Ввод!$G$12:$G$31&gt;=A2496))&gt;0,1,0))</f>
        <v/>
      </c>
      <c r="G2496">
        <f>IF(A2496="","",IF(OR(B2496&lt;&gt;B2495,C2496&lt;&gt;C2495,E2496&lt;&gt;E2495),G2495+1,G2495))</f>
        <v/>
      </c>
    </row>
    <row r="2497">
      <c r="A2497" s="20">
        <f>IF(A2496="","",IF(A2496+1&gt;Ввод!$B$4,"",A2496+1))</f>
        <v/>
      </c>
      <c r="B2497">
        <f>IF(A2497="","",IFERROR(INDEX(Ввод!$B$12:$B$71,MATCH(A2497,Ввод!$D$12:$D$71,1)),""))</f>
        <v/>
      </c>
      <c r="C2497">
        <f>IF(A2497="","",DATE(YEAR(A2497),12,31)-DATE(YEAR(A2497),1,1)+1)</f>
        <v/>
      </c>
      <c r="D2497">
        <f>IF(A2497="","",SUMIFS(Акты!$D$5:$D$16,Акты!$E$5:$E$16,"&lt;="&amp;A2497)-SUMIFS(Оплаты!$B$6:$B$505,Оплаты!$A$6:$A$505,"&lt;"&amp;A2497,Оплаты!$D$6:$D$505,"&lt;&gt;"))</f>
        <v/>
      </c>
      <c r="E2497">
        <f>IF(A2497="","",IF(SUMPRODUCT((Ввод!$F$12:$F$31&lt;&gt;"")*(Ввод!$F$12:$F$31&lt;=A2497)*(Ввод!$G$12:$G$31&gt;=A2497))&gt;0,1,0))</f>
        <v/>
      </c>
      <c r="G2497">
        <f>IF(A2497="","",IF(OR(B2497&lt;&gt;B2496,C2497&lt;&gt;C2496,E2497&lt;&gt;E2496),G2496+1,G2496))</f>
        <v/>
      </c>
    </row>
    <row r="2498">
      <c r="A2498" s="20">
        <f>IF(A2497="","",IF(A2497+1&gt;Ввод!$B$4,"",A2497+1))</f>
        <v/>
      </c>
      <c r="B2498">
        <f>IF(A2498="","",IFERROR(INDEX(Ввод!$B$12:$B$71,MATCH(A2498,Ввод!$D$12:$D$71,1)),""))</f>
        <v/>
      </c>
      <c r="C2498">
        <f>IF(A2498="","",DATE(YEAR(A2498),12,31)-DATE(YEAR(A2498),1,1)+1)</f>
        <v/>
      </c>
      <c r="D2498">
        <f>IF(A2498="","",SUMIFS(Акты!$D$5:$D$16,Акты!$E$5:$E$16,"&lt;="&amp;A2498)-SUMIFS(Оплаты!$B$6:$B$505,Оплаты!$A$6:$A$505,"&lt;"&amp;A2498,Оплаты!$D$6:$D$505,"&lt;&gt;"))</f>
        <v/>
      </c>
      <c r="E2498">
        <f>IF(A2498="","",IF(SUMPRODUCT((Ввод!$F$12:$F$31&lt;&gt;"")*(Ввод!$F$12:$F$31&lt;=A2498)*(Ввод!$G$12:$G$31&gt;=A2498))&gt;0,1,0))</f>
        <v/>
      </c>
      <c r="G2498">
        <f>IF(A2498="","",IF(OR(B2498&lt;&gt;B2497,C2498&lt;&gt;C2497,E2498&lt;&gt;E2497),G2497+1,G2497))</f>
        <v/>
      </c>
    </row>
    <row r="2499">
      <c r="A2499" s="20">
        <f>IF(A2498="","",IF(A2498+1&gt;Ввод!$B$4,"",A2498+1))</f>
        <v/>
      </c>
      <c r="B2499">
        <f>IF(A2499="","",IFERROR(INDEX(Ввод!$B$12:$B$71,MATCH(A2499,Ввод!$D$12:$D$71,1)),""))</f>
        <v/>
      </c>
      <c r="C2499">
        <f>IF(A2499="","",DATE(YEAR(A2499),12,31)-DATE(YEAR(A2499),1,1)+1)</f>
        <v/>
      </c>
      <c r="D2499">
        <f>IF(A2499="","",SUMIFS(Акты!$D$5:$D$16,Акты!$E$5:$E$16,"&lt;="&amp;A2499)-SUMIFS(Оплаты!$B$6:$B$505,Оплаты!$A$6:$A$505,"&lt;"&amp;A2499,Оплаты!$D$6:$D$505,"&lt;&gt;"))</f>
        <v/>
      </c>
      <c r="E2499">
        <f>IF(A2499="","",IF(SUMPRODUCT((Ввод!$F$12:$F$31&lt;&gt;"")*(Ввод!$F$12:$F$31&lt;=A2499)*(Ввод!$G$12:$G$31&gt;=A2499))&gt;0,1,0))</f>
        <v/>
      </c>
      <c r="G2499">
        <f>IF(A2499="","",IF(OR(B2499&lt;&gt;B2498,C2499&lt;&gt;C2498,E2499&lt;&gt;E2498),G2498+1,G2498))</f>
        <v/>
      </c>
    </row>
    <row r="2500">
      <c r="A2500" s="20">
        <f>IF(A2499="","",IF(A2499+1&gt;Ввод!$B$4,"",A2499+1))</f>
        <v/>
      </c>
      <c r="B2500">
        <f>IF(A2500="","",IFERROR(INDEX(Ввод!$B$12:$B$71,MATCH(A2500,Ввод!$D$12:$D$71,1)),""))</f>
        <v/>
      </c>
      <c r="C2500">
        <f>IF(A2500="","",DATE(YEAR(A2500),12,31)-DATE(YEAR(A2500),1,1)+1)</f>
        <v/>
      </c>
      <c r="D2500">
        <f>IF(A2500="","",SUMIFS(Акты!$D$5:$D$16,Акты!$E$5:$E$16,"&lt;="&amp;A2500)-SUMIFS(Оплаты!$B$6:$B$505,Оплаты!$A$6:$A$505,"&lt;"&amp;A2500,Оплаты!$D$6:$D$505,"&lt;&gt;"))</f>
        <v/>
      </c>
      <c r="E2500">
        <f>IF(A2500="","",IF(SUMPRODUCT((Ввод!$F$12:$F$31&lt;&gt;"")*(Ввод!$F$12:$F$31&lt;=A2500)*(Ввод!$G$12:$G$31&gt;=A2500))&gt;0,1,0))</f>
        <v/>
      </c>
      <c r="G2500">
        <f>IF(A2500="","",IF(OR(B2500&lt;&gt;B2499,C2500&lt;&gt;C2499,E2500&lt;&gt;E2499),G2499+1,G2499))</f>
        <v/>
      </c>
    </row>
    <row r="2501">
      <c r="A2501" s="20">
        <f>IF(A2500="","",IF(A2500+1&gt;Ввод!$B$4,"",A2500+1))</f>
        <v/>
      </c>
      <c r="B2501">
        <f>IF(A2501="","",IFERROR(INDEX(Ввод!$B$12:$B$71,MATCH(A2501,Ввод!$D$12:$D$71,1)),""))</f>
        <v/>
      </c>
      <c r="C2501">
        <f>IF(A2501="","",DATE(YEAR(A2501),12,31)-DATE(YEAR(A2501),1,1)+1)</f>
        <v/>
      </c>
      <c r="D2501">
        <f>IF(A2501="","",SUMIFS(Акты!$D$5:$D$16,Акты!$E$5:$E$16,"&lt;="&amp;A2501)-SUMIFS(Оплаты!$B$6:$B$505,Оплаты!$A$6:$A$505,"&lt;"&amp;A2501,Оплаты!$D$6:$D$505,"&lt;&gt;"))</f>
        <v/>
      </c>
      <c r="E2501">
        <f>IF(A2501="","",IF(SUMPRODUCT((Ввод!$F$12:$F$31&lt;&gt;"")*(Ввод!$F$12:$F$31&lt;=A2501)*(Ввод!$G$12:$G$31&gt;=A2501))&gt;0,1,0))</f>
        <v/>
      </c>
      <c r="G2501">
        <f>IF(A2501="","",IF(OR(B2501&lt;&gt;B2500,C2501&lt;&gt;C2500,E2501&lt;&gt;E2500),G2500+1,G2500))</f>
        <v/>
      </c>
    </row>
    <row r="2502">
      <c r="A2502" s="20">
        <f>IF(A2501="","",IF(A2501+1&gt;Ввод!$B$4,"",A2501+1))</f>
        <v/>
      </c>
      <c r="B2502">
        <f>IF(A2502="","",IFERROR(INDEX(Ввод!$B$12:$B$71,MATCH(A2502,Ввод!$D$12:$D$71,1)),""))</f>
        <v/>
      </c>
      <c r="C2502">
        <f>IF(A2502="","",DATE(YEAR(A2502),12,31)-DATE(YEAR(A2502),1,1)+1)</f>
        <v/>
      </c>
      <c r="D2502">
        <f>IF(A2502="","",SUMIFS(Акты!$D$5:$D$16,Акты!$E$5:$E$16,"&lt;="&amp;A2502)-SUMIFS(Оплаты!$B$6:$B$505,Оплаты!$A$6:$A$505,"&lt;"&amp;A2502,Оплаты!$D$6:$D$505,"&lt;&gt;"))</f>
        <v/>
      </c>
      <c r="E2502">
        <f>IF(A2502="","",IF(SUMPRODUCT((Ввод!$F$12:$F$31&lt;&gt;"")*(Ввод!$F$12:$F$31&lt;=A2502)*(Ввод!$G$12:$G$31&gt;=A2502))&gt;0,1,0))</f>
        <v/>
      </c>
      <c r="G2502">
        <f>IF(A2502="","",IF(OR(B2502&lt;&gt;B2501,C2502&lt;&gt;C2501,E2502&lt;&gt;E2501),G2501+1,G2501))</f>
        <v/>
      </c>
    </row>
    <row r="2503">
      <c r="A2503" s="20">
        <f>IF(A2502="","",IF(A2502+1&gt;Ввод!$B$4,"",A2502+1))</f>
        <v/>
      </c>
      <c r="B2503">
        <f>IF(A2503="","",IFERROR(INDEX(Ввод!$B$12:$B$71,MATCH(A2503,Ввод!$D$12:$D$71,1)),""))</f>
        <v/>
      </c>
      <c r="C2503">
        <f>IF(A2503="","",DATE(YEAR(A2503),12,31)-DATE(YEAR(A2503),1,1)+1)</f>
        <v/>
      </c>
      <c r="D2503">
        <f>IF(A2503="","",SUMIFS(Акты!$D$5:$D$16,Акты!$E$5:$E$16,"&lt;="&amp;A2503)-SUMIFS(Оплаты!$B$6:$B$505,Оплаты!$A$6:$A$505,"&lt;"&amp;A2503,Оплаты!$D$6:$D$505,"&lt;&gt;"))</f>
        <v/>
      </c>
      <c r="E2503">
        <f>IF(A2503="","",IF(SUMPRODUCT((Ввод!$F$12:$F$31&lt;&gt;"")*(Ввод!$F$12:$F$31&lt;=A2503)*(Ввод!$G$12:$G$31&gt;=A2503))&gt;0,1,0))</f>
        <v/>
      </c>
      <c r="G2503">
        <f>IF(A2503="","",IF(OR(B2503&lt;&gt;B2502,C2503&lt;&gt;C2502,E2503&lt;&gt;E2502),G2502+1,G2502))</f>
        <v/>
      </c>
    </row>
    <row r="2504">
      <c r="A2504" s="20">
        <f>IF(A2503="","",IF(A2503+1&gt;Ввод!$B$4,"",A2503+1))</f>
        <v/>
      </c>
      <c r="B2504">
        <f>IF(A2504="","",IFERROR(INDEX(Ввод!$B$12:$B$71,MATCH(A2504,Ввод!$D$12:$D$71,1)),""))</f>
        <v/>
      </c>
      <c r="C2504">
        <f>IF(A2504="","",DATE(YEAR(A2504),12,31)-DATE(YEAR(A2504),1,1)+1)</f>
        <v/>
      </c>
      <c r="D2504">
        <f>IF(A2504="","",SUMIFS(Акты!$D$5:$D$16,Акты!$E$5:$E$16,"&lt;="&amp;A2504)-SUMIFS(Оплаты!$B$6:$B$505,Оплаты!$A$6:$A$505,"&lt;"&amp;A2504,Оплаты!$D$6:$D$505,"&lt;&gt;"))</f>
        <v/>
      </c>
      <c r="E2504">
        <f>IF(A2504="","",IF(SUMPRODUCT((Ввод!$F$12:$F$31&lt;&gt;"")*(Ввод!$F$12:$F$31&lt;=A2504)*(Ввод!$G$12:$G$31&gt;=A2504))&gt;0,1,0))</f>
        <v/>
      </c>
      <c r="G2504">
        <f>IF(A2504="","",IF(OR(B2504&lt;&gt;B2503,C2504&lt;&gt;C2503,E2504&lt;&gt;E2503),G2503+1,G2503))</f>
        <v/>
      </c>
    </row>
    <row r="2505">
      <c r="A2505" s="20">
        <f>IF(A2504="","",IF(A2504+1&gt;Ввод!$B$4,"",A2504+1))</f>
        <v/>
      </c>
      <c r="B2505">
        <f>IF(A2505="","",IFERROR(INDEX(Ввод!$B$12:$B$71,MATCH(A2505,Ввод!$D$12:$D$71,1)),""))</f>
        <v/>
      </c>
      <c r="C2505">
        <f>IF(A2505="","",DATE(YEAR(A2505),12,31)-DATE(YEAR(A2505),1,1)+1)</f>
        <v/>
      </c>
      <c r="D2505">
        <f>IF(A2505="","",SUMIFS(Акты!$D$5:$D$16,Акты!$E$5:$E$16,"&lt;="&amp;A2505)-SUMIFS(Оплаты!$B$6:$B$505,Оплаты!$A$6:$A$505,"&lt;"&amp;A2505,Оплаты!$D$6:$D$505,"&lt;&gt;"))</f>
        <v/>
      </c>
      <c r="E2505">
        <f>IF(A2505="","",IF(SUMPRODUCT((Ввод!$F$12:$F$31&lt;&gt;"")*(Ввод!$F$12:$F$31&lt;=A2505)*(Ввод!$G$12:$G$31&gt;=A2505))&gt;0,1,0))</f>
        <v/>
      </c>
      <c r="G2505">
        <f>IF(A2505="","",IF(OR(B2505&lt;&gt;B2504,C2505&lt;&gt;C2504,E2505&lt;&gt;E2504),G2504+1,G2504))</f>
        <v/>
      </c>
    </row>
    <row r="2506">
      <c r="A2506" s="20">
        <f>IF(A2505="","",IF(A2505+1&gt;Ввод!$B$4,"",A2505+1))</f>
        <v/>
      </c>
      <c r="B2506">
        <f>IF(A2506="","",IFERROR(INDEX(Ввод!$B$12:$B$71,MATCH(A2506,Ввод!$D$12:$D$71,1)),""))</f>
        <v/>
      </c>
      <c r="C2506">
        <f>IF(A2506="","",DATE(YEAR(A2506),12,31)-DATE(YEAR(A2506),1,1)+1)</f>
        <v/>
      </c>
      <c r="D2506">
        <f>IF(A2506="","",SUMIFS(Акты!$D$5:$D$16,Акты!$E$5:$E$16,"&lt;="&amp;A2506)-SUMIFS(Оплаты!$B$6:$B$505,Оплаты!$A$6:$A$505,"&lt;"&amp;A2506,Оплаты!$D$6:$D$505,"&lt;&gt;"))</f>
        <v/>
      </c>
      <c r="E2506">
        <f>IF(A2506="","",IF(SUMPRODUCT((Ввод!$F$12:$F$31&lt;&gt;"")*(Ввод!$F$12:$F$31&lt;=A2506)*(Ввод!$G$12:$G$31&gt;=A2506))&gt;0,1,0))</f>
        <v/>
      </c>
      <c r="G2506">
        <f>IF(A2506="","",IF(OR(B2506&lt;&gt;B2505,C2506&lt;&gt;C2505,E2506&lt;&gt;E2505),G2505+1,G2505))</f>
        <v/>
      </c>
    </row>
    <row r="2507">
      <c r="A2507" s="20">
        <f>IF(A2506="","",IF(A2506+1&gt;Ввод!$B$4,"",A2506+1))</f>
        <v/>
      </c>
      <c r="B2507">
        <f>IF(A2507="","",IFERROR(INDEX(Ввод!$B$12:$B$71,MATCH(A2507,Ввод!$D$12:$D$71,1)),""))</f>
        <v/>
      </c>
      <c r="C2507">
        <f>IF(A2507="","",DATE(YEAR(A2507),12,31)-DATE(YEAR(A2507),1,1)+1)</f>
        <v/>
      </c>
      <c r="D2507">
        <f>IF(A2507="","",SUMIFS(Акты!$D$5:$D$16,Акты!$E$5:$E$16,"&lt;="&amp;A2507)-SUMIFS(Оплаты!$B$6:$B$505,Оплаты!$A$6:$A$505,"&lt;"&amp;A2507,Оплаты!$D$6:$D$505,"&lt;&gt;"))</f>
        <v/>
      </c>
      <c r="E2507">
        <f>IF(A2507="","",IF(SUMPRODUCT((Ввод!$F$12:$F$31&lt;&gt;"")*(Ввод!$F$12:$F$31&lt;=A2507)*(Ввод!$G$12:$G$31&gt;=A2507))&gt;0,1,0))</f>
        <v/>
      </c>
      <c r="G2507">
        <f>IF(A2507="","",IF(OR(B2507&lt;&gt;B2506,C2507&lt;&gt;C2506,E2507&lt;&gt;E2506),G2506+1,G2506))</f>
        <v/>
      </c>
    </row>
    <row r="2508">
      <c r="A2508" s="20">
        <f>IF(A2507="","",IF(A2507+1&gt;Ввод!$B$4,"",A2507+1))</f>
        <v/>
      </c>
      <c r="B2508">
        <f>IF(A2508="","",IFERROR(INDEX(Ввод!$B$12:$B$71,MATCH(A2508,Ввод!$D$12:$D$71,1)),""))</f>
        <v/>
      </c>
      <c r="C2508">
        <f>IF(A2508="","",DATE(YEAR(A2508),12,31)-DATE(YEAR(A2508),1,1)+1)</f>
        <v/>
      </c>
      <c r="D2508">
        <f>IF(A2508="","",SUMIFS(Акты!$D$5:$D$16,Акты!$E$5:$E$16,"&lt;="&amp;A2508)-SUMIFS(Оплаты!$B$6:$B$505,Оплаты!$A$6:$A$505,"&lt;"&amp;A2508,Оплаты!$D$6:$D$505,"&lt;&gt;"))</f>
        <v/>
      </c>
      <c r="E2508">
        <f>IF(A2508="","",IF(SUMPRODUCT((Ввод!$F$12:$F$31&lt;&gt;"")*(Ввод!$F$12:$F$31&lt;=A2508)*(Ввод!$G$12:$G$31&gt;=A2508))&gt;0,1,0))</f>
        <v/>
      </c>
      <c r="G2508">
        <f>IF(A2508="","",IF(OR(B2508&lt;&gt;B2507,C2508&lt;&gt;C2507,E2508&lt;&gt;E2507),G2507+1,G2507))</f>
        <v/>
      </c>
    </row>
    <row r="2509">
      <c r="A2509" s="20">
        <f>IF(A2508="","",IF(A2508+1&gt;Ввод!$B$4,"",A2508+1))</f>
        <v/>
      </c>
      <c r="B2509">
        <f>IF(A2509="","",IFERROR(INDEX(Ввод!$B$12:$B$71,MATCH(A2509,Ввод!$D$12:$D$71,1)),""))</f>
        <v/>
      </c>
      <c r="C2509">
        <f>IF(A2509="","",DATE(YEAR(A2509),12,31)-DATE(YEAR(A2509),1,1)+1)</f>
        <v/>
      </c>
      <c r="D2509">
        <f>IF(A2509="","",SUMIFS(Акты!$D$5:$D$16,Акты!$E$5:$E$16,"&lt;="&amp;A2509)-SUMIFS(Оплаты!$B$6:$B$505,Оплаты!$A$6:$A$505,"&lt;"&amp;A2509,Оплаты!$D$6:$D$505,"&lt;&gt;"))</f>
        <v/>
      </c>
      <c r="E2509">
        <f>IF(A2509="","",IF(SUMPRODUCT((Ввод!$F$12:$F$31&lt;&gt;"")*(Ввод!$F$12:$F$31&lt;=A2509)*(Ввод!$G$12:$G$31&gt;=A2509))&gt;0,1,0))</f>
        <v/>
      </c>
      <c r="G2509">
        <f>IF(A2509="","",IF(OR(B2509&lt;&gt;B2508,C2509&lt;&gt;C2508,E2509&lt;&gt;E2508),G2508+1,G2508))</f>
        <v/>
      </c>
    </row>
    <row r="2510">
      <c r="A2510" s="20">
        <f>IF(A2509="","",IF(A2509+1&gt;Ввод!$B$4,"",A2509+1))</f>
        <v/>
      </c>
      <c r="B2510">
        <f>IF(A2510="","",IFERROR(INDEX(Ввод!$B$12:$B$71,MATCH(A2510,Ввод!$D$12:$D$71,1)),""))</f>
        <v/>
      </c>
      <c r="C2510">
        <f>IF(A2510="","",DATE(YEAR(A2510),12,31)-DATE(YEAR(A2510),1,1)+1)</f>
        <v/>
      </c>
      <c r="D2510">
        <f>IF(A2510="","",SUMIFS(Акты!$D$5:$D$16,Акты!$E$5:$E$16,"&lt;="&amp;A2510)-SUMIFS(Оплаты!$B$6:$B$505,Оплаты!$A$6:$A$505,"&lt;"&amp;A2510,Оплаты!$D$6:$D$505,"&lt;&gt;"))</f>
        <v/>
      </c>
      <c r="E2510">
        <f>IF(A2510="","",IF(SUMPRODUCT((Ввод!$F$12:$F$31&lt;&gt;"")*(Ввод!$F$12:$F$31&lt;=A2510)*(Ввод!$G$12:$G$31&gt;=A2510))&gt;0,1,0))</f>
        <v/>
      </c>
      <c r="G2510">
        <f>IF(A2510="","",IF(OR(B2510&lt;&gt;B2509,C2510&lt;&gt;C2509,E2510&lt;&gt;E2509),G2509+1,G2509))</f>
        <v/>
      </c>
    </row>
    <row r="2511">
      <c r="A2511" s="20">
        <f>IF(A2510="","",IF(A2510+1&gt;Ввод!$B$4,"",A2510+1))</f>
        <v/>
      </c>
      <c r="B2511">
        <f>IF(A2511="","",IFERROR(INDEX(Ввод!$B$12:$B$71,MATCH(A2511,Ввод!$D$12:$D$71,1)),""))</f>
        <v/>
      </c>
      <c r="C2511">
        <f>IF(A2511="","",DATE(YEAR(A2511),12,31)-DATE(YEAR(A2511),1,1)+1)</f>
        <v/>
      </c>
      <c r="D2511">
        <f>IF(A2511="","",SUMIFS(Акты!$D$5:$D$16,Акты!$E$5:$E$16,"&lt;="&amp;A2511)-SUMIFS(Оплаты!$B$6:$B$505,Оплаты!$A$6:$A$505,"&lt;"&amp;A2511,Оплаты!$D$6:$D$505,"&lt;&gt;"))</f>
        <v/>
      </c>
      <c r="E2511">
        <f>IF(A2511="","",IF(SUMPRODUCT((Ввод!$F$12:$F$31&lt;&gt;"")*(Ввод!$F$12:$F$31&lt;=A2511)*(Ввод!$G$12:$G$31&gt;=A2511))&gt;0,1,0))</f>
        <v/>
      </c>
      <c r="G2511">
        <f>IF(A2511="","",IF(OR(B2511&lt;&gt;B2510,C2511&lt;&gt;C2510,E2511&lt;&gt;E2510),G2510+1,G2510))</f>
        <v/>
      </c>
    </row>
    <row r="2512">
      <c r="A2512" s="20">
        <f>IF(A2511="","",IF(A2511+1&gt;Ввод!$B$4,"",A2511+1))</f>
        <v/>
      </c>
      <c r="B2512">
        <f>IF(A2512="","",IFERROR(INDEX(Ввод!$B$12:$B$71,MATCH(A2512,Ввод!$D$12:$D$71,1)),""))</f>
        <v/>
      </c>
      <c r="C2512">
        <f>IF(A2512="","",DATE(YEAR(A2512),12,31)-DATE(YEAR(A2512),1,1)+1)</f>
        <v/>
      </c>
      <c r="D2512">
        <f>IF(A2512="","",SUMIFS(Акты!$D$5:$D$16,Акты!$E$5:$E$16,"&lt;="&amp;A2512)-SUMIFS(Оплаты!$B$6:$B$505,Оплаты!$A$6:$A$505,"&lt;"&amp;A2512,Оплаты!$D$6:$D$505,"&lt;&gt;"))</f>
        <v/>
      </c>
      <c r="E2512">
        <f>IF(A2512="","",IF(SUMPRODUCT((Ввод!$F$12:$F$31&lt;&gt;"")*(Ввод!$F$12:$F$31&lt;=A2512)*(Ввод!$G$12:$G$31&gt;=A2512))&gt;0,1,0))</f>
        <v/>
      </c>
      <c r="G2512">
        <f>IF(A2512="","",IF(OR(B2512&lt;&gt;B2511,C2512&lt;&gt;C2511,E2512&lt;&gt;E2511),G2511+1,G2511))</f>
        <v/>
      </c>
    </row>
    <row r="2513">
      <c r="A2513" s="20">
        <f>IF(A2512="","",IF(A2512+1&gt;Ввод!$B$4,"",A2512+1))</f>
        <v/>
      </c>
      <c r="B2513">
        <f>IF(A2513="","",IFERROR(INDEX(Ввод!$B$12:$B$71,MATCH(A2513,Ввод!$D$12:$D$71,1)),""))</f>
        <v/>
      </c>
      <c r="C2513">
        <f>IF(A2513="","",DATE(YEAR(A2513),12,31)-DATE(YEAR(A2513),1,1)+1)</f>
        <v/>
      </c>
      <c r="D2513">
        <f>IF(A2513="","",SUMIFS(Акты!$D$5:$D$16,Акты!$E$5:$E$16,"&lt;="&amp;A2513)-SUMIFS(Оплаты!$B$6:$B$505,Оплаты!$A$6:$A$505,"&lt;"&amp;A2513,Оплаты!$D$6:$D$505,"&lt;&gt;"))</f>
        <v/>
      </c>
      <c r="E2513">
        <f>IF(A2513="","",IF(SUMPRODUCT((Ввод!$F$12:$F$31&lt;&gt;"")*(Ввод!$F$12:$F$31&lt;=A2513)*(Ввод!$G$12:$G$31&gt;=A2513))&gt;0,1,0))</f>
        <v/>
      </c>
      <c r="G2513">
        <f>IF(A2513="","",IF(OR(B2513&lt;&gt;B2512,C2513&lt;&gt;C2512,E2513&lt;&gt;E2512),G2512+1,G2512))</f>
        <v/>
      </c>
    </row>
    <row r="2514">
      <c r="A2514" s="20">
        <f>IF(A2513="","",IF(A2513+1&gt;Ввод!$B$4,"",A2513+1))</f>
        <v/>
      </c>
      <c r="B2514">
        <f>IF(A2514="","",IFERROR(INDEX(Ввод!$B$12:$B$71,MATCH(A2514,Ввод!$D$12:$D$71,1)),""))</f>
        <v/>
      </c>
      <c r="C2514">
        <f>IF(A2514="","",DATE(YEAR(A2514),12,31)-DATE(YEAR(A2514),1,1)+1)</f>
        <v/>
      </c>
      <c r="D2514">
        <f>IF(A2514="","",SUMIFS(Акты!$D$5:$D$16,Акты!$E$5:$E$16,"&lt;="&amp;A2514)-SUMIFS(Оплаты!$B$6:$B$505,Оплаты!$A$6:$A$505,"&lt;"&amp;A2514,Оплаты!$D$6:$D$505,"&lt;&gt;"))</f>
        <v/>
      </c>
      <c r="E2514">
        <f>IF(A2514="","",IF(SUMPRODUCT((Ввод!$F$12:$F$31&lt;&gt;"")*(Ввод!$F$12:$F$31&lt;=A2514)*(Ввод!$G$12:$G$31&gt;=A2514))&gt;0,1,0))</f>
        <v/>
      </c>
      <c r="G2514">
        <f>IF(A2514="","",IF(OR(B2514&lt;&gt;B2513,C2514&lt;&gt;C2513,E2514&lt;&gt;E2513),G2513+1,G2513))</f>
        <v/>
      </c>
    </row>
    <row r="2515">
      <c r="A2515" s="20">
        <f>IF(A2514="","",IF(A2514+1&gt;Ввод!$B$4,"",A2514+1))</f>
        <v/>
      </c>
      <c r="B2515">
        <f>IF(A2515="","",IFERROR(INDEX(Ввод!$B$12:$B$71,MATCH(A2515,Ввод!$D$12:$D$71,1)),""))</f>
        <v/>
      </c>
      <c r="C2515">
        <f>IF(A2515="","",DATE(YEAR(A2515),12,31)-DATE(YEAR(A2515),1,1)+1)</f>
        <v/>
      </c>
      <c r="D2515">
        <f>IF(A2515="","",SUMIFS(Акты!$D$5:$D$16,Акты!$E$5:$E$16,"&lt;="&amp;A2515)-SUMIFS(Оплаты!$B$6:$B$505,Оплаты!$A$6:$A$505,"&lt;"&amp;A2515,Оплаты!$D$6:$D$505,"&lt;&gt;"))</f>
        <v/>
      </c>
      <c r="E2515">
        <f>IF(A2515="","",IF(SUMPRODUCT((Ввод!$F$12:$F$31&lt;&gt;"")*(Ввод!$F$12:$F$31&lt;=A2515)*(Ввод!$G$12:$G$31&gt;=A2515))&gt;0,1,0))</f>
        <v/>
      </c>
      <c r="G2515">
        <f>IF(A2515="","",IF(OR(B2515&lt;&gt;B2514,C2515&lt;&gt;C2514,E2515&lt;&gt;E2514),G2514+1,G2514))</f>
        <v/>
      </c>
    </row>
    <row r="2516">
      <c r="A2516" s="20">
        <f>IF(A2515="","",IF(A2515+1&gt;Ввод!$B$4,"",A2515+1))</f>
        <v/>
      </c>
      <c r="B2516">
        <f>IF(A2516="","",IFERROR(INDEX(Ввод!$B$12:$B$71,MATCH(A2516,Ввод!$D$12:$D$71,1)),""))</f>
        <v/>
      </c>
      <c r="C2516">
        <f>IF(A2516="","",DATE(YEAR(A2516),12,31)-DATE(YEAR(A2516),1,1)+1)</f>
        <v/>
      </c>
      <c r="D2516">
        <f>IF(A2516="","",SUMIFS(Акты!$D$5:$D$16,Акты!$E$5:$E$16,"&lt;="&amp;A2516)-SUMIFS(Оплаты!$B$6:$B$505,Оплаты!$A$6:$A$505,"&lt;"&amp;A2516,Оплаты!$D$6:$D$505,"&lt;&gt;"))</f>
        <v/>
      </c>
      <c r="E2516">
        <f>IF(A2516="","",IF(SUMPRODUCT((Ввод!$F$12:$F$31&lt;&gt;"")*(Ввод!$F$12:$F$31&lt;=A2516)*(Ввод!$G$12:$G$31&gt;=A2516))&gt;0,1,0))</f>
        <v/>
      </c>
      <c r="G2516">
        <f>IF(A2516="","",IF(OR(B2516&lt;&gt;B2515,C2516&lt;&gt;C2515,E2516&lt;&gt;E2515),G2515+1,G2515))</f>
        <v/>
      </c>
    </row>
    <row r="2517">
      <c r="A2517" s="20">
        <f>IF(A2516="","",IF(A2516+1&gt;Ввод!$B$4,"",A2516+1))</f>
        <v/>
      </c>
      <c r="B2517">
        <f>IF(A2517="","",IFERROR(INDEX(Ввод!$B$12:$B$71,MATCH(A2517,Ввод!$D$12:$D$71,1)),""))</f>
        <v/>
      </c>
      <c r="C2517">
        <f>IF(A2517="","",DATE(YEAR(A2517),12,31)-DATE(YEAR(A2517),1,1)+1)</f>
        <v/>
      </c>
      <c r="D2517">
        <f>IF(A2517="","",SUMIFS(Акты!$D$5:$D$16,Акты!$E$5:$E$16,"&lt;="&amp;A2517)-SUMIFS(Оплаты!$B$6:$B$505,Оплаты!$A$6:$A$505,"&lt;"&amp;A2517,Оплаты!$D$6:$D$505,"&lt;&gt;"))</f>
        <v/>
      </c>
      <c r="E2517">
        <f>IF(A2517="","",IF(SUMPRODUCT((Ввод!$F$12:$F$31&lt;&gt;"")*(Ввод!$F$12:$F$31&lt;=A2517)*(Ввод!$G$12:$G$31&gt;=A2517))&gt;0,1,0))</f>
        <v/>
      </c>
      <c r="G2517">
        <f>IF(A2517="","",IF(OR(B2517&lt;&gt;B2516,C2517&lt;&gt;C2516,E2517&lt;&gt;E2516),G2516+1,G2516))</f>
        <v/>
      </c>
    </row>
    <row r="2518">
      <c r="A2518" s="20">
        <f>IF(A2517="","",IF(A2517+1&gt;Ввод!$B$4,"",A2517+1))</f>
        <v/>
      </c>
      <c r="B2518">
        <f>IF(A2518="","",IFERROR(INDEX(Ввод!$B$12:$B$71,MATCH(A2518,Ввод!$D$12:$D$71,1)),""))</f>
        <v/>
      </c>
      <c r="C2518">
        <f>IF(A2518="","",DATE(YEAR(A2518),12,31)-DATE(YEAR(A2518),1,1)+1)</f>
        <v/>
      </c>
      <c r="D2518">
        <f>IF(A2518="","",SUMIFS(Акты!$D$5:$D$16,Акты!$E$5:$E$16,"&lt;="&amp;A2518)-SUMIFS(Оплаты!$B$6:$B$505,Оплаты!$A$6:$A$505,"&lt;"&amp;A2518,Оплаты!$D$6:$D$505,"&lt;&gt;"))</f>
        <v/>
      </c>
      <c r="E2518">
        <f>IF(A2518="","",IF(SUMPRODUCT((Ввод!$F$12:$F$31&lt;&gt;"")*(Ввод!$F$12:$F$31&lt;=A2518)*(Ввод!$G$12:$G$31&gt;=A2518))&gt;0,1,0))</f>
        <v/>
      </c>
      <c r="G2518">
        <f>IF(A2518="","",IF(OR(B2518&lt;&gt;B2517,C2518&lt;&gt;C2517,E2518&lt;&gt;E2517),G2517+1,G2517))</f>
        <v/>
      </c>
    </row>
    <row r="2519">
      <c r="A2519" s="20">
        <f>IF(A2518="","",IF(A2518+1&gt;Ввод!$B$4,"",A2518+1))</f>
        <v/>
      </c>
      <c r="B2519">
        <f>IF(A2519="","",IFERROR(INDEX(Ввод!$B$12:$B$71,MATCH(A2519,Ввод!$D$12:$D$71,1)),""))</f>
        <v/>
      </c>
      <c r="C2519">
        <f>IF(A2519="","",DATE(YEAR(A2519),12,31)-DATE(YEAR(A2519),1,1)+1)</f>
        <v/>
      </c>
      <c r="D2519">
        <f>IF(A2519="","",SUMIFS(Акты!$D$5:$D$16,Акты!$E$5:$E$16,"&lt;="&amp;A2519)-SUMIFS(Оплаты!$B$6:$B$505,Оплаты!$A$6:$A$505,"&lt;"&amp;A2519,Оплаты!$D$6:$D$505,"&lt;&gt;"))</f>
        <v/>
      </c>
      <c r="E2519">
        <f>IF(A2519="","",IF(SUMPRODUCT((Ввод!$F$12:$F$31&lt;&gt;"")*(Ввод!$F$12:$F$31&lt;=A2519)*(Ввод!$G$12:$G$31&gt;=A2519))&gt;0,1,0))</f>
        <v/>
      </c>
      <c r="G2519">
        <f>IF(A2519="","",IF(OR(B2519&lt;&gt;B2518,C2519&lt;&gt;C2518,E2519&lt;&gt;E2518),G2518+1,G2518))</f>
        <v/>
      </c>
    </row>
    <row r="2520">
      <c r="A2520" s="20">
        <f>IF(A2519="","",IF(A2519+1&gt;Ввод!$B$4,"",A2519+1))</f>
        <v/>
      </c>
      <c r="B2520">
        <f>IF(A2520="","",IFERROR(INDEX(Ввод!$B$12:$B$71,MATCH(A2520,Ввод!$D$12:$D$71,1)),""))</f>
        <v/>
      </c>
      <c r="C2520">
        <f>IF(A2520="","",DATE(YEAR(A2520),12,31)-DATE(YEAR(A2520),1,1)+1)</f>
        <v/>
      </c>
      <c r="D2520">
        <f>IF(A2520="","",SUMIFS(Акты!$D$5:$D$16,Акты!$E$5:$E$16,"&lt;="&amp;A2520)-SUMIFS(Оплаты!$B$6:$B$505,Оплаты!$A$6:$A$505,"&lt;"&amp;A2520,Оплаты!$D$6:$D$505,"&lt;&gt;"))</f>
        <v/>
      </c>
      <c r="E2520">
        <f>IF(A2520="","",IF(SUMPRODUCT((Ввод!$F$12:$F$31&lt;&gt;"")*(Ввод!$F$12:$F$31&lt;=A2520)*(Ввод!$G$12:$G$31&gt;=A2520))&gt;0,1,0))</f>
        <v/>
      </c>
      <c r="G2520">
        <f>IF(A2520="","",IF(OR(B2520&lt;&gt;B2519,C2520&lt;&gt;C2519,E2520&lt;&gt;E2519),G2519+1,G2519))</f>
        <v/>
      </c>
    </row>
    <row r="2521">
      <c r="A2521" s="20">
        <f>IF(A2520="","",IF(A2520+1&gt;Ввод!$B$4,"",A2520+1))</f>
        <v/>
      </c>
      <c r="B2521">
        <f>IF(A2521="","",IFERROR(INDEX(Ввод!$B$12:$B$71,MATCH(A2521,Ввод!$D$12:$D$71,1)),""))</f>
        <v/>
      </c>
      <c r="C2521">
        <f>IF(A2521="","",DATE(YEAR(A2521),12,31)-DATE(YEAR(A2521),1,1)+1)</f>
        <v/>
      </c>
      <c r="D2521">
        <f>IF(A2521="","",SUMIFS(Акты!$D$5:$D$16,Акты!$E$5:$E$16,"&lt;="&amp;A2521)-SUMIFS(Оплаты!$B$6:$B$505,Оплаты!$A$6:$A$505,"&lt;"&amp;A2521,Оплаты!$D$6:$D$505,"&lt;&gt;"))</f>
        <v/>
      </c>
      <c r="E2521">
        <f>IF(A2521="","",IF(SUMPRODUCT((Ввод!$F$12:$F$31&lt;&gt;"")*(Ввод!$F$12:$F$31&lt;=A2521)*(Ввод!$G$12:$G$31&gt;=A2521))&gt;0,1,0))</f>
        <v/>
      </c>
      <c r="G2521">
        <f>IF(A2521="","",IF(OR(B2521&lt;&gt;B2520,C2521&lt;&gt;C2520,E2521&lt;&gt;E2520),G2520+1,G2520))</f>
        <v/>
      </c>
    </row>
    <row r="2522">
      <c r="A2522" s="20">
        <f>IF(A2521="","",IF(A2521+1&gt;Ввод!$B$4,"",A2521+1))</f>
        <v/>
      </c>
      <c r="B2522">
        <f>IF(A2522="","",IFERROR(INDEX(Ввод!$B$12:$B$71,MATCH(A2522,Ввод!$D$12:$D$71,1)),""))</f>
        <v/>
      </c>
      <c r="C2522">
        <f>IF(A2522="","",DATE(YEAR(A2522),12,31)-DATE(YEAR(A2522),1,1)+1)</f>
        <v/>
      </c>
      <c r="D2522">
        <f>IF(A2522="","",SUMIFS(Акты!$D$5:$D$16,Акты!$E$5:$E$16,"&lt;="&amp;A2522)-SUMIFS(Оплаты!$B$6:$B$505,Оплаты!$A$6:$A$505,"&lt;"&amp;A2522,Оплаты!$D$6:$D$505,"&lt;&gt;"))</f>
        <v/>
      </c>
      <c r="E2522">
        <f>IF(A2522="","",IF(SUMPRODUCT((Ввод!$F$12:$F$31&lt;&gt;"")*(Ввод!$F$12:$F$31&lt;=A2522)*(Ввод!$G$12:$G$31&gt;=A2522))&gt;0,1,0))</f>
        <v/>
      </c>
      <c r="G2522">
        <f>IF(A2522="","",IF(OR(B2522&lt;&gt;B2521,C2522&lt;&gt;C2521,E2522&lt;&gt;E2521),G2521+1,G2521))</f>
        <v/>
      </c>
    </row>
    <row r="2523">
      <c r="A2523" s="20">
        <f>IF(A2522="","",IF(A2522+1&gt;Ввод!$B$4,"",A2522+1))</f>
        <v/>
      </c>
      <c r="B2523">
        <f>IF(A2523="","",IFERROR(INDEX(Ввод!$B$12:$B$71,MATCH(A2523,Ввод!$D$12:$D$71,1)),""))</f>
        <v/>
      </c>
      <c r="C2523">
        <f>IF(A2523="","",DATE(YEAR(A2523),12,31)-DATE(YEAR(A2523),1,1)+1)</f>
        <v/>
      </c>
      <c r="D2523">
        <f>IF(A2523="","",SUMIFS(Акты!$D$5:$D$16,Акты!$E$5:$E$16,"&lt;="&amp;A2523)-SUMIFS(Оплаты!$B$6:$B$505,Оплаты!$A$6:$A$505,"&lt;"&amp;A2523,Оплаты!$D$6:$D$505,"&lt;&gt;"))</f>
        <v/>
      </c>
      <c r="E2523">
        <f>IF(A2523="","",IF(SUMPRODUCT((Ввод!$F$12:$F$31&lt;&gt;"")*(Ввод!$F$12:$F$31&lt;=A2523)*(Ввод!$G$12:$G$31&gt;=A2523))&gt;0,1,0))</f>
        <v/>
      </c>
      <c r="G2523">
        <f>IF(A2523="","",IF(OR(B2523&lt;&gt;B2522,C2523&lt;&gt;C2522,E2523&lt;&gt;E2522),G2522+1,G2522))</f>
        <v/>
      </c>
    </row>
    <row r="2524">
      <c r="A2524" s="20">
        <f>IF(A2523="","",IF(A2523+1&gt;Ввод!$B$4,"",A2523+1))</f>
        <v/>
      </c>
      <c r="B2524">
        <f>IF(A2524="","",IFERROR(INDEX(Ввод!$B$12:$B$71,MATCH(A2524,Ввод!$D$12:$D$71,1)),""))</f>
        <v/>
      </c>
      <c r="C2524">
        <f>IF(A2524="","",DATE(YEAR(A2524),12,31)-DATE(YEAR(A2524),1,1)+1)</f>
        <v/>
      </c>
      <c r="D2524">
        <f>IF(A2524="","",SUMIFS(Акты!$D$5:$D$16,Акты!$E$5:$E$16,"&lt;="&amp;A2524)-SUMIFS(Оплаты!$B$6:$B$505,Оплаты!$A$6:$A$505,"&lt;"&amp;A2524,Оплаты!$D$6:$D$505,"&lt;&gt;"))</f>
        <v/>
      </c>
      <c r="E2524">
        <f>IF(A2524="","",IF(SUMPRODUCT((Ввод!$F$12:$F$31&lt;&gt;"")*(Ввод!$F$12:$F$31&lt;=A2524)*(Ввод!$G$12:$G$31&gt;=A2524))&gt;0,1,0))</f>
        <v/>
      </c>
      <c r="G2524">
        <f>IF(A2524="","",IF(OR(B2524&lt;&gt;B2523,C2524&lt;&gt;C2523,E2524&lt;&gt;E2523),G2523+1,G2523))</f>
        <v/>
      </c>
    </row>
    <row r="2525">
      <c r="A2525" s="20">
        <f>IF(A2524="","",IF(A2524+1&gt;Ввод!$B$4,"",A2524+1))</f>
        <v/>
      </c>
      <c r="B2525">
        <f>IF(A2525="","",IFERROR(INDEX(Ввод!$B$12:$B$71,MATCH(A2525,Ввод!$D$12:$D$71,1)),""))</f>
        <v/>
      </c>
      <c r="C2525">
        <f>IF(A2525="","",DATE(YEAR(A2525),12,31)-DATE(YEAR(A2525),1,1)+1)</f>
        <v/>
      </c>
      <c r="D2525">
        <f>IF(A2525="","",SUMIFS(Акты!$D$5:$D$16,Акты!$E$5:$E$16,"&lt;="&amp;A2525)-SUMIFS(Оплаты!$B$6:$B$505,Оплаты!$A$6:$A$505,"&lt;"&amp;A2525,Оплаты!$D$6:$D$505,"&lt;&gt;"))</f>
        <v/>
      </c>
      <c r="E2525">
        <f>IF(A2525="","",IF(SUMPRODUCT((Ввод!$F$12:$F$31&lt;&gt;"")*(Ввод!$F$12:$F$31&lt;=A2525)*(Ввод!$G$12:$G$31&gt;=A2525))&gt;0,1,0))</f>
        <v/>
      </c>
      <c r="G2525">
        <f>IF(A2525="","",IF(OR(B2525&lt;&gt;B2524,C2525&lt;&gt;C2524,E2525&lt;&gt;E2524),G2524+1,G2524))</f>
        <v/>
      </c>
    </row>
    <row r="2526">
      <c r="A2526" s="20">
        <f>IF(A2525="","",IF(A2525+1&gt;Ввод!$B$4,"",A2525+1))</f>
        <v/>
      </c>
      <c r="B2526">
        <f>IF(A2526="","",IFERROR(INDEX(Ввод!$B$12:$B$71,MATCH(A2526,Ввод!$D$12:$D$71,1)),""))</f>
        <v/>
      </c>
      <c r="C2526">
        <f>IF(A2526="","",DATE(YEAR(A2526),12,31)-DATE(YEAR(A2526),1,1)+1)</f>
        <v/>
      </c>
      <c r="D2526">
        <f>IF(A2526="","",SUMIFS(Акты!$D$5:$D$16,Акты!$E$5:$E$16,"&lt;="&amp;A2526)-SUMIFS(Оплаты!$B$6:$B$505,Оплаты!$A$6:$A$505,"&lt;"&amp;A2526,Оплаты!$D$6:$D$505,"&lt;&gt;"))</f>
        <v/>
      </c>
      <c r="E2526">
        <f>IF(A2526="","",IF(SUMPRODUCT((Ввод!$F$12:$F$31&lt;&gt;"")*(Ввод!$F$12:$F$31&lt;=A2526)*(Ввод!$G$12:$G$31&gt;=A2526))&gt;0,1,0))</f>
        <v/>
      </c>
      <c r="G2526">
        <f>IF(A2526="","",IF(OR(B2526&lt;&gt;B2525,C2526&lt;&gt;C2525,E2526&lt;&gt;E2525),G2525+1,G2525))</f>
        <v/>
      </c>
    </row>
    <row r="2527">
      <c r="A2527" s="20">
        <f>IF(A2526="","",IF(A2526+1&gt;Ввод!$B$4,"",A2526+1))</f>
        <v/>
      </c>
      <c r="B2527">
        <f>IF(A2527="","",IFERROR(INDEX(Ввод!$B$12:$B$71,MATCH(A2527,Ввод!$D$12:$D$71,1)),""))</f>
        <v/>
      </c>
      <c r="C2527">
        <f>IF(A2527="","",DATE(YEAR(A2527),12,31)-DATE(YEAR(A2527),1,1)+1)</f>
        <v/>
      </c>
      <c r="D2527">
        <f>IF(A2527="","",SUMIFS(Акты!$D$5:$D$16,Акты!$E$5:$E$16,"&lt;="&amp;A2527)-SUMIFS(Оплаты!$B$6:$B$505,Оплаты!$A$6:$A$505,"&lt;"&amp;A2527,Оплаты!$D$6:$D$505,"&lt;&gt;"))</f>
        <v/>
      </c>
      <c r="E2527">
        <f>IF(A2527="","",IF(SUMPRODUCT((Ввод!$F$12:$F$31&lt;&gt;"")*(Ввод!$F$12:$F$31&lt;=A2527)*(Ввод!$G$12:$G$31&gt;=A2527))&gt;0,1,0))</f>
        <v/>
      </c>
      <c r="G2527">
        <f>IF(A2527="","",IF(OR(B2527&lt;&gt;B2526,C2527&lt;&gt;C2526,E2527&lt;&gt;E2526),G2526+1,G2526))</f>
        <v/>
      </c>
    </row>
    <row r="2528">
      <c r="A2528" s="20">
        <f>IF(A2527="","",IF(A2527+1&gt;Ввод!$B$4,"",A2527+1))</f>
        <v/>
      </c>
      <c r="B2528">
        <f>IF(A2528="","",IFERROR(INDEX(Ввод!$B$12:$B$71,MATCH(A2528,Ввод!$D$12:$D$71,1)),""))</f>
        <v/>
      </c>
      <c r="C2528">
        <f>IF(A2528="","",DATE(YEAR(A2528),12,31)-DATE(YEAR(A2528),1,1)+1)</f>
        <v/>
      </c>
      <c r="D2528">
        <f>IF(A2528="","",SUMIFS(Акты!$D$5:$D$16,Акты!$E$5:$E$16,"&lt;="&amp;A2528)-SUMIFS(Оплаты!$B$6:$B$505,Оплаты!$A$6:$A$505,"&lt;"&amp;A2528,Оплаты!$D$6:$D$505,"&lt;&gt;"))</f>
        <v/>
      </c>
      <c r="E2528">
        <f>IF(A2528="","",IF(SUMPRODUCT((Ввод!$F$12:$F$31&lt;&gt;"")*(Ввод!$F$12:$F$31&lt;=A2528)*(Ввод!$G$12:$G$31&gt;=A2528))&gt;0,1,0))</f>
        <v/>
      </c>
      <c r="G2528">
        <f>IF(A2528="","",IF(OR(B2528&lt;&gt;B2527,C2528&lt;&gt;C2527,E2528&lt;&gt;E2527),G2527+1,G2527))</f>
        <v/>
      </c>
    </row>
    <row r="2529">
      <c r="A2529" s="20">
        <f>IF(A2528="","",IF(A2528+1&gt;Ввод!$B$4,"",A2528+1))</f>
        <v/>
      </c>
      <c r="B2529">
        <f>IF(A2529="","",IFERROR(INDEX(Ввод!$B$12:$B$71,MATCH(A2529,Ввод!$D$12:$D$71,1)),""))</f>
        <v/>
      </c>
      <c r="C2529">
        <f>IF(A2529="","",DATE(YEAR(A2529),12,31)-DATE(YEAR(A2529),1,1)+1)</f>
        <v/>
      </c>
      <c r="D2529">
        <f>IF(A2529="","",SUMIFS(Акты!$D$5:$D$16,Акты!$E$5:$E$16,"&lt;="&amp;A2529)-SUMIFS(Оплаты!$B$6:$B$505,Оплаты!$A$6:$A$505,"&lt;"&amp;A2529,Оплаты!$D$6:$D$505,"&lt;&gt;"))</f>
        <v/>
      </c>
      <c r="E2529">
        <f>IF(A2529="","",IF(SUMPRODUCT((Ввод!$F$12:$F$31&lt;&gt;"")*(Ввод!$F$12:$F$31&lt;=A2529)*(Ввод!$G$12:$G$31&gt;=A2529))&gt;0,1,0))</f>
        <v/>
      </c>
      <c r="G2529">
        <f>IF(A2529="","",IF(OR(B2529&lt;&gt;B2528,C2529&lt;&gt;C2528,E2529&lt;&gt;E2528),G2528+1,G2528))</f>
        <v/>
      </c>
    </row>
    <row r="2530">
      <c r="A2530" s="20">
        <f>IF(A2529="","",IF(A2529+1&gt;Ввод!$B$4,"",A2529+1))</f>
        <v/>
      </c>
      <c r="B2530">
        <f>IF(A2530="","",IFERROR(INDEX(Ввод!$B$12:$B$71,MATCH(A2530,Ввод!$D$12:$D$71,1)),""))</f>
        <v/>
      </c>
      <c r="C2530">
        <f>IF(A2530="","",DATE(YEAR(A2530),12,31)-DATE(YEAR(A2530),1,1)+1)</f>
        <v/>
      </c>
      <c r="D2530">
        <f>IF(A2530="","",SUMIFS(Акты!$D$5:$D$16,Акты!$E$5:$E$16,"&lt;="&amp;A2530)-SUMIFS(Оплаты!$B$6:$B$505,Оплаты!$A$6:$A$505,"&lt;"&amp;A2530,Оплаты!$D$6:$D$505,"&lt;&gt;"))</f>
        <v/>
      </c>
      <c r="E2530">
        <f>IF(A2530="","",IF(SUMPRODUCT((Ввод!$F$12:$F$31&lt;&gt;"")*(Ввод!$F$12:$F$31&lt;=A2530)*(Ввод!$G$12:$G$31&gt;=A2530))&gt;0,1,0))</f>
        <v/>
      </c>
      <c r="G2530">
        <f>IF(A2530="","",IF(OR(B2530&lt;&gt;B2529,C2530&lt;&gt;C2529,E2530&lt;&gt;E2529),G2529+1,G2529))</f>
        <v/>
      </c>
    </row>
    <row r="2531">
      <c r="A2531" s="20">
        <f>IF(A2530="","",IF(A2530+1&gt;Ввод!$B$4,"",A2530+1))</f>
        <v/>
      </c>
      <c r="B2531">
        <f>IF(A2531="","",IFERROR(INDEX(Ввод!$B$12:$B$71,MATCH(A2531,Ввод!$D$12:$D$71,1)),""))</f>
        <v/>
      </c>
      <c r="C2531">
        <f>IF(A2531="","",DATE(YEAR(A2531),12,31)-DATE(YEAR(A2531),1,1)+1)</f>
        <v/>
      </c>
      <c r="D2531">
        <f>IF(A2531="","",SUMIFS(Акты!$D$5:$D$16,Акты!$E$5:$E$16,"&lt;="&amp;A2531)-SUMIFS(Оплаты!$B$6:$B$505,Оплаты!$A$6:$A$505,"&lt;"&amp;A2531,Оплаты!$D$6:$D$505,"&lt;&gt;"))</f>
        <v/>
      </c>
      <c r="E2531">
        <f>IF(A2531="","",IF(SUMPRODUCT((Ввод!$F$12:$F$31&lt;&gt;"")*(Ввод!$F$12:$F$31&lt;=A2531)*(Ввод!$G$12:$G$31&gt;=A2531))&gt;0,1,0))</f>
        <v/>
      </c>
      <c r="G2531">
        <f>IF(A2531="","",IF(OR(B2531&lt;&gt;B2530,C2531&lt;&gt;C2530,E2531&lt;&gt;E2530),G2530+1,G2530))</f>
        <v/>
      </c>
    </row>
    <row r="2532">
      <c r="A2532" s="20">
        <f>IF(A2531="","",IF(A2531+1&gt;Ввод!$B$4,"",A2531+1))</f>
        <v/>
      </c>
      <c r="B2532">
        <f>IF(A2532="","",IFERROR(INDEX(Ввод!$B$12:$B$71,MATCH(A2532,Ввод!$D$12:$D$71,1)),""))</f>
        <v/>
      </c>
      <c r="C2532">
        <f>IF(A2532="","",DATE(YEAR(A2532),12,31)-DATE(YEAR(A2532),1,1)+1)</f>
        <v/>
      </c>
      <c r="D2532">
        <f>IF(A2532="","",SUMIFS(Акты!$D$5:$D$16,Акты!$E$5:$E$16,"&lt;="&amp;A2532)-SUMIFS(Оплаты!$B$6:$B$505,Оплаты!$A$6:$A$505,"&lt;"&amp;A2532,Оплаты!$D$6:$D$505,"&lt;&gt;"))</f>
        <v/>
      </c>
      <c r="E2532">
        <f>IF(A2532="","",IF(SUMPRODUCT((Ввод!$F$12:$F$31&lt;&gt;"")*(Ввод!$F$12:$F$31&lt;=A2532)*(Ввод!$G$12:$G$31&gt;=A2532))&gt;0,1,0))</f>
        <v/>
      </c>
      <c r="G2532">
        <f>IF(A2532="","",IF(OR(B2532&lt;&gt;B2531,C2532&lt;&gt;C2531,E2532&lt;&gt;E2531),G2531+1,G2531))</f>
        <v/>
      </c>
    </row>
    <row r="2533">
      <c r="A2533" s="20">
        <f>IF(A2532="","",IF(A2532+1&gt;Ввод!$B$4,"",A2532+1))</f>
        <v/>
      </c>
      <c r="B2533">
        <f>IF(A2533="","",IFERROR(INDEX(Ввод!$B$12:$B$71,MATCH(A2533,Ввод!$D$12:$D$71,1)),""))</f>
        <v/>
      </c>
      <c r="C2533">
        <f>IF(A2533="","",DATE(YEAR(A2533),12,31)-DATE(YEAR(A2533),1,1)+1)</f>
        <v/>
      </c>
      <c r="D2533">
        <f>IF(A2533="","",SUMIFS(Акты!$D$5:$D$16,Акты!$E$5:$E$16,"&lt;="&amp;A2533)-SUMIFS(Оплаты!$B$6:$B$505,Оплаты!$A$6:$A$505,"&lt;"&amp;A2533,Оплаты!$D$6:$D$505,"&lt;&gt;"))</f>
        <v/>
      </c>
      <c r="E2533">
        <f>IF(A2533="","",IF(SUMPRODUCT((Ввод!$F$12:$F$31&lt;&gt;"")*(Ввод!$F$12:$F$31&lt;=A2533)*(Ввод!$G$12:$G$31&gt;=A2533))&gt;0,1,0))</f>
        <v/>
      </c>
      <c r="G2533">
        <f>IF(A2533="","",IF(OR(B2533&lt;&gt;B2532,C2533&lt;&gt;C2532,E2533&lt;&gt;E2532),G2532+1,G2532))</f>
        <v/>
      </c>
    </row>
    <row r="2534">
      <c r="A2534" s="20">
        <f>IF(A2533="","",IF(A2533+1&gt;Ввод!$B$4,"",A2533+1))</f>
        <v/>
      </c>
      <c r="B2534">
        <f>IF(A2534="","",IFERROR(INDEX(Ввод!$B$12:$B$71,MATCH(A2534,Ввод!$D$12:$D$71,1)),""))</f>
        <v/>
      </c>
      <c r="C2534">
        <f>IF(A2534="","",DATE(YEAR(A2534),12,31)-DATE(YEAR(A2534),1,1)+1)</f>
        <v/>
      </c>
      <c r="D2534">
        <f>IF(A2534="","",SUMIFS(Акты!$D$5:$D$16,Акты!$E$5:$E$16,"&lt;="&amp;A2534)-SUMIFS(Оплаты!$B$6:$B$505,Оплаты!$A$6:$A$505,"&lt;"&amp;A2534,Оплаты!$D$6:$D$505,"&lt;&gt;"))</f>
        <v/>
      </c>
      <c r="E2534">
        <f>IF(A2534="","",IF(SUMPRODUCT((Ввод!$F$12:$F$31&lt;&gt;"")*(Ввод!$F$12:$F$31&lt;=A2534)*(Ввод!$G$12:$G$31&gt;=A2534))&gt;0,1,0))</f>
        <v/>
      </c>
      <c r="G2534">
        <f>IF(A2534="","",IF(OR(B2534&lt;&gt;B2533,C2534&lt;&gt;C2533,E2534&lt;&gt;E2533),G2533+1,G2533))</f>
        <v/>
      </c>
    </row>
    <row r="2535">
      <c r="A2535" s="20">
        <f>IF(A2534="","",IF(A2534+1&gt;Ввод!$B$4,"",A2534+1))</f>
        <v/>
      </c>
      <c r="B2535">
        <f>IF(A2535="","",IFERROR(INDEX(Ввод!$B$12:$B$71,MATCH(A2535,Ввод!$D$12:$D$71,1)),""))</f>
        <v/>
      </c>
      <c r="C2535">
        <f>IF(A2535="","",DATE(YEAR(A2535),12,31)-DATE(YEAR(A2535),1,1)+1)</f>
        <v/>
      </c>
      <c r="D2535">
        <f>IF(A2535="","",SUMIFS(Акты!$D$5:$D$16,Акты!$E$5:$E$16,"&lt;="&amp;A2535)-SUMIFS(Оплаты!$B$6:$B$505,Оплаты!$A$6:$A$505,"&lt;"&amp;A2535,Оплаты!$D$6:$D$505,"&lt;&gt;"))</f>
        <v/>
      </c>
      <c r="E2535">
        <f>IF(A2535="","",IF(SUMPRODUCT((Ввод!$F$12:$F$31&lt;&gt;"")*(Ввод!$F$12:$F$31&lt;=A2535)*(Ввод!$G$12:$G$31&gt;=A2535))&gt;0,1,0))</f>
        <v/>
      </c>
      <c r="G2535">
        <f>IF(A2535="","",IF(OR(B2535&lt;&gt;B2534,C2535&lt;&gt;C2534,E2535&lt;&gt;E2534),G2534+1,G2534))</f>
        <v/>
      </c>
    </row>
    <row r="2536">
      <c r="A2536" s="20">
        <f>IF(A2535="","",IF(A2535+1&gt;Ввод!$B$4,"",A2535+1))</f>
        <v/>
      </c>
      <c r="B2536">
        <f>IF(A2536="","",IFERROR(INDEX(Ввод!$B$12:$B$71,MATCH(A2536,Ввод!$D$12:$D$71,1)),""))</f>
        <v/>
      </c>
      <c r="C2536">
        <f>IF(A2536="","",DATE(YEAR(A2536),12,31)-DATE(YEAR(A2536),1,1)+1)</f>
        <v/>
      </c>
      <c r="D2536">
        <f>IF(A2536="","",SUMIFS(Акты!$D$5:$D$16,Акты!$E$5:$E$16,"&lt;="&amp;A2536)-SUMIFS(Оплаты!$B$6:$B$505,Оплаты!$A$6:$A$505,"&lt;"&amp;A2536,Оплаты!$D$6:$D$505,"&lt;&gt;"))</f>
        <v/>
      </c>
      <c r="E2536">
        <f>IF(A2536="","",IF(SUMPRODUCT((Ввод!$F$12:$F$31&lt;&gt;"")*(Ввод!$F$12:$F$31&lt;=A2536)*(Ввод!$G$12:$G$31&gt;=A2536))&gt;0,1,0))</f>
        <v/>
      </c>
      <c r="G2536">
        <f>IF(A2536="","",IF(OR(B2536&lt;&gt;B2535,C2536&lt;&gt;C2535,E2536&lt;&gt;E2535),G2535+1,G2535))</f>
        <v/>
      </c>
    </row>
    <row r="2537">
      <c r="A2537" s="20">
        <f>IF(A2536="","",IF(A2536+1&gt;Ввод!$B$4,"",A2536+1))</f>
        <v/>
      </c>
      <c r="B2537">
        <f>IF(A2537="","",IFERROR(INDEX(Ввод!$B$12:$B$71,MATCH(A2537,Ввод!$D$12:$D$71,1)),""))</f>
        <v/>
      </c>
      <c r="C2537">
        <f>IF(A2537="","",DATE(YEAR(A2537),12,31)-DATE(YEAR(A2537),1,1)+1)</f>
        <v/>
      </c>
      <c r="D2537">
        <f>IF(A2537="","",SUMIFS(Акты!$D$5:$D$16,Акты!$E$5:$E$16,"&lt;="&amp;A2537)-SUMIFS(Оплаты!$B$6:$B$505,Оплаты!$A$6:$A$505,"&lt;"&amp;A2537,Оплаты!$D$6:$D$505,"&lt;&gt;"))</f>
        <v/>
      </c>
      <c r="E2537">
        <f>IF(A2537="","",IF(SUMPRODUCT((Ввод!$F$12:$F$31&lt;&gt;"")*(Ввод!$F$12:$F$31&lt;=A2537)*(Ввод!$G$12:$G$31&gt;=A2537))&gt;0,1,0))</f>
        <v/>
      </c>
      <c r="G2537">
        <f>IF(A2537="","",IF(OR(B2537&lt;&gt;B2536,C2537&lt;&gt;C2536,E2537&lt;&gt;E2536),G2536+1,G2536))</f>
        <v/>
      </c>
    </row>
    <row r="2538">
      <c r="A2538" s="20">
        <f>IF(A2537="","",IF(A2537+1&gt;Ввод!$B$4,"",A2537+1))</f>
        <v/>
      </c>
      <c r="B2538">
        <f>IF(A2538="","",IFERROR(INDEX(Ввод!$B$12:$B$71,MATCH(A2538,Ввод!$D$12:$D$71,1)),""))</f>
        <v/>
      </c>
      <c r="C2538">
        <f>IF(A2538="","",DATE(YEAR(A2538),12,31)-DATE(YEAR(A2538),1,1)+1)</f>
        <v/>
      </c>
      <c r="D2538">
        <f>IF(A2538="","",SUMIFS(Акты!$D$5:$D$16,Акты!$E$5:$E$16,"&lt;="&amp;A2538)-SUMIFS(Оплаты!$B$6:$B$505,Оплаты!$A$6:$A$505,"&lt;"&amp;A2538,Оплаты!$D$6:$D$505,"&lt;&gt;"))</f>
        <v/>
      </c>
      <c r="E2538">
        <f>IF(A2538="","",IF(SUMPRODUCT((Ввод!$F$12:$F$31&lt;&gt;"")*(Ввод!$F$12:$F$31&lt;=A2538)*(Ввод!$G$12:$G$31&gt;=A2538))&gt;0,1,0))</f>
        <v/>
      </c>
      <c r="G2538">
        <f>IF(A2538="","",IF(OR(B2538&lt;&gt;B2537,C2538&lt;&gt;C2537,E2538&lt;&gt;E2537),G2537+1,G2537))</f>
        <v/>
      </c>
    </row>
    <row r="2539">
      <c r="A2539" s="20">
        <f>IF(A2538="","",IF(A2538+1&gt;Ввод!$B$4,"",A2538+1))</f>
        <v/>
      </c>
      <c r="B2539">
        <f>IF(A2539="","",IFERROR(INDEX(Ввод!$B$12:$B$71,MATCH(A2539,Ввод!$D$12:$D$71,1)),""))</f>
        <v/>
      </c>
      <c r="C2539">
        <f>IF(A2539="","",DATE(YEAR(A2539),12,31)-DATE(YEAR(A2539),1,1)+1)</f>
        <v/>
      </c>
      <c r="D2539">
        <f>IF(A2539="","",SUMIFS(Акты!$D$5:$D$16,Акты!$E$5:$E$16,"&lt;="&amp;A2539)-SUMIFS(Оплаты!$B$6:$B$505,Оплаты!$A$6:$A$505,"&lt;"&amp;A2539,Оплаты!$D$6:$D$505,"&lt;&gt;"))</f>
        <v/>
      </c>
      <c r="E2539">
        <f>IF(A2539="","",IF(SUMPRODUCT((Ввод!$F$12:$F$31&lt;&gt;"")*(Ввод!$F$12:$F$31&lt;=A2539)*(Ввод!$G$12:$G$31&gt;=A2539))&gt;0,1,0))</f>
        <v/>
      </c>
      <c r="G2539">
        <f>IF(A2539="","",IF(OR(B2539&lt;&gt;B2538,C2539&lt;&gt;C2538,E2539&lt;&gt;E2538),G2538+1,G2538))</f>
        <v/>
      </c>
    </row>
    <row r="2540">
      <c r="A2540" s="20">
        <f>IF(A2539="","",IF(A2539+1&gt;Ввод!$B$4,"",A2539+1))</f>
        <v/>
      </c>
      <c r="B2540">
        <f>IF(A2540="","",IFERROR(INDEX(Ввод!$B$12:$B$71,MATCH(A2540,Ввод!$D$12:$D$71,1)),""))</f>
        <v/>
      </c>
      <c r="C2540">
        <f>IF(A2540="","",DATE(YEAR(A2540),12,31)-DATE(YEAR(A2540),1,1)+1)</f>
        <v/>
      </c>
      <c r="D2540">
        <f>IF(A2540="","",SUMIFS(Акты!$D$5:$D$16,Акты!$E$5:$E$16,"&lt;="&amp;A2540)-SUMIFS(Оплаты!$B$6:$B$505,Оплаты!$A$6:$A$505,"&lt;"&amp;A2540,Оплаты!$D$6:$D$505,"&lt;&gt;"))</f>
        <v/>
      </c>
      <c r="E2540">
        <f>IF(A2540="","",IF(SUMPRODUCT((Ввод!$F$12:$F$31&lt;&gt;"")*(Ввод!$F$12:$F$31&lt;=A2540)*(Ввод!$G$12:$G$31&gt;=A2540))&gt;0,1,0))</f>
        <v/>
      </c>
      <c r="G2540">
        <f>IF(A2540="","",IF(OR(B2540&lt;&gt;B2539,C2540&lt;&gt;C2539,E2540&lt;&gt;E2539),G2539+1,G2539))</f>
        <v/>
      </c>
    </row>
    <row r="2541">
      <c r="A2541" s="20">
        <f>IF(A2540="","",IF(A2540+1&gt;Ввод!$B$4,"",A2540+1))</f>
        <v/>
      </c>
      <c r="B2541">
        <f>IF(A2541="","",IFERROR(INDEX(Ввод!$B$12:$B$71,MATCH(A2541,Ввод!$D$12:$D$71,1)),""))</f>
        <v/>
      </c>
      <c r="C2541">
        <f>IF(A2541="","",DATE(YEAR(A2541),12,31)-DATE(YEAR(A2541),1,1)+1)</f>
        <v/>
      </c>
      <c r="D2541">
        <f>IF(A2541="","",SUMIFS(Акты!$D$5:$D$16,Акты!$E$5:$E$16,"&lt;="&amp;A2541)-SUMIFS(Оплаты!$B$6:$B$505,Оплаты!$A$6:$A$505,"&lt;"&amp;A2541,Оплаты!$D$6:$D$505,"&lt;&gt;"))</f>
        <v/>
      </c>
      <c r="E2541">
        <f>IF(A2541="","",IF(SUMPRODUCT((Ввод!$F$12:$F$31&lt;&gt;"")*(Ввод!$F$12:$F$31&lt;=A2541)*(Ввод!$G$12:$G$31&gt;=A2541))&gt;0,1,0))</f>
        <v/>
      </c>
      <c r="G2541">
        <f>IF(A2541="","",IF(OR(B2541&lt;&gt;B2540,C2541&lt;&gt;C2540,E2541&lt;&gt;E2540),G2540+1,G2540))</f>
        <v/>
      </c>
    </row>
    <row r="2542">
      <c r="A2542" s="20">
        <f>IF(A2541="","",IF(A2541+1&gt;Ввод!$B$4,"",A2541+1))</f>
        <v/>
      </c>
      <c r="B2542">
        <f>IF(A2542="","",IFERROR(INDEX(Ввод!$B$12:$B$71,MATCH(A2542,Ввод!$D$12:$D$71,1)),""))</f>
        <v/>
      </c>
      <c r="C2542">
        <f>IF(A2542="","",DATE(YEAR(A2542),12,31)-DATE(YEAR(A2542),1,1)+1)</f>
        <v/>
      </c>
      <c r="D2542">
        <f>IF(A2542="","",SUMIFS(Акты!$D$5:$D$16,Акты!$E$5:$E$16,"&lt;="&amp;A2542)-SUMIFS(Оплаты!$B$6:$B$505,Оплаты!$A$6:$A$505,"&lt;"&amp;A2542,Оплаты!$D$6:$D$505,"&lt;&gt;"))</f>
        <v/>
      </c>
      <c r="E2542">
        <f>IF(A2542="","",IF(SUMPRODUCT((Ввод!$F$12:$F$31&lt;&gt;"")*(Ввод!$F$12:$F$31&lt;=A2542)*(Ввод!$G$12:$G$31&gt;=A2542))&gt;0,1,0))</f>
        <v/>
      </c>
      <c r="G2542">
        <f>IF(A2542="","",IF(OR(B2542&lt;&gt;B2541,C2542&lt;&gt;C2541,E2542&lt;&gt;E2541),G2541+1,G2541))</f>
        <v/>
      </c>
    </row>
    <row r="2543">
      <c r="A2543" s="20">
        <f>IF(A2542="","",IF(A2542+1&gt;Ввод!$B$4,"",A2542+1))</f>
        <v/>
      </c>
      <c r="B2543">
        <f>IF(A2543="","",IFERROR(INDEX(Ввод!$B$12:$B$71,MATCH(A2543,Ввод!$D$12:$D$71,1)),""))</f>
        <v/>
      </c>
      <c r="C2543">
        <f>IF(A2543="","",DATE(YEAR(A2543),12,31)-DATE(YEAR(A2543),1,1)+1)</f>
        <v/>
      </c>
      <c r="D2543">
        <f>IF(A2543="","",SUMIFS(Акты!$D$5:$D$16,Акты!$E$5:$E$16,"&lt;="&amp;A2543)-SUMIFS(Оплаты!$B$6:$B$505,Оплаты!$A$6:$A$505,"&lt;"&amp;A2543,Оплаты!$D$6:$D$505,"&lt;&gt;"))</f>
        <v/>
      </c>
      <c r="E2543">
        <f>IF(A2543="","",IF(SUMPRODUCT((Ввод!$F$12:$F$31&lt;&gt;"")*(Ввод!$F$12:$F$31&lt;=A2543)*(Ввод!$G$12:$G$31&gt;=A2543))&gt;0,1,0))</f>
        <v/>
      </c>
      <c r="G2543">
        <f>IF(A2543="","",IF(OR(B2543&lt;&gt;B2542,C2543&lt;&gt;C2542,E2543&lt;&gt;E2542),G2542+1,G2542))</f>
        <v/>
      </c>
    </row>
    <row r="2544">
      <c r="A2544" s="20">
        <f>IF(A2543="","",IF(A2543+1&gt;Ввод!$B$4,"",A2543+1))</f>
        <v/>
      </c>
      <c r="B2544">
        <f>IF(A2544="","",IFERROR(INDEX(Ввод!$B$12:$B$71,MATCH(A2544,Ввод!$D$12:$D$71,1)),""))</f>
        <v/>
      </c>
      <c r="C2544">
        <f>IF(A2544="","",DATE(YEAR(A2544),12,31)-DATE(YEAR(A2544),1,1)+1)</f>
        <v/>
      </c>
      <c r="D2544">
        <f>IF(A2544="","",SUMIFS(Акты!$D$5:$D$16,Акты!$E$5:$E$16,"&lt;="&amp;A2544)-SUMIFS(Оплаты!$B$6:$B$505,Оплаты!$A$6:$A$505,"&lt;"&amp;A2544,Оплаты!$D$6:$D$505,"&lt;&gt;"))</f>
        <v/>
      </c>
      <c r="E2544">
        <f>IF(A2544="","",IF(SUMPRODUCT((Ввод!$F$12:$F$31&lt;&gt;"")*(Ввод!$F$12:$F$31&lt;=A2544)*(Ввод!$G$12:$G$31&gt;=A2544))&gt;0,1,0))</f>
        <v/>
      </c>
      <c r="G2544">
        <f>IF(A2544="","",IF(OR(B2544&lt;&gt;B2543,C2544&lt;&gt;C2543,E2544&lt;&gt;E2543),G2543+1,G2543))</f>
        <v/>
      </c>
    </row>
    <row r="2545">
      <c r="A2545" s="20">
        <f>IF(A2544="","",IF(A2544+1&gt;Ввод!$B$4,"",A2544+1))</f>
        <v/>
      </c>
      <c r="B2545">
        <f>IF(A2545="","",IFERROR(INDEX(Ввод!$B$12:$B$71,MATCH(A2545,Ввод!$D$12:$D$71,1)),""))</f>
        <v/>
      </c>
      <c r="C2545">
        <f>IF(A2545="","",DATE(YEAR(A2545),12,31)-DATE(YEAR(A2545),1,1)+1)</f>
        <v/>
      </c>
      <c r="D2545">
        <f>IF(A2545="","",SUMIFS(Акты!$D$5:$D$16,Акты!$E$5:$E$16,"&lt;="&amp;A2545)-SUMIFS(Оплаты!$B$6:$B$505,Оплаты!$A$6:$A$505,"&lt;"&amp;A2545,Оплаты!$D$6:$D$505,"&lt;&gt;"))</f>
        <v/>
      </c>
      <c r="E2545">
        <f>IF(A2545="","",IF(SUMPRODUCT((Ввод!$F$12:$F$31&lt;&gt;"")*(Ввод!$F$12:$F$31&lt;=A2545)*(Ввод!$G$12:$G$31&gt;=A2545))&gt;0,1,0))</f>
        <v/>
      </c>
      <c r="G2545">
        <f>IF(A2545="","",IF(OR(B2545&lt;&gt;B2544,C2545&lt;&gt;C2544,E2545&lt;&gt;E2544),G2544+1,G2544))</f>
        <v/>
      </c>
    </row>
    <row r="2546">
      <c r="A2546" s="20">
        <f>IF(A2545="","",IF(A2545+1&gt;Ввод!$B$4,"",A2545+1))</f>
        <v/>
      </c>
      <c r="B2546">
        <f>IF(A2546="","",IFERROR(INDEX(Ввод!$B$12:$B$71,MATCH(A2546,Ввод!$D$12:$D$71,1)),""))</f>
        <v/>
      </c>
      <c r="C2546">
        <f>IF(A2546="","",DATE(YEAR(A2546),12,31)-DATE(YEAR(A2546),1,1)+1)</f>
        <v/>
      </c>
      <c r="D2546">
        <f>IF(A2546="","",SUMIFS(Акты!$D$5:$D$16,Акты!$E$5:$E$16,"&lt;="&amp;A2546)-SUMIFS(Оплаты!$B$6:$B$505,Оплаты!$A$6:$A$505,"&lt;"&amp;A2546,Оплаты!$D$6:$D$505,"&lt;&gt;"))</f>
        <v/>
      </c>
      <c r="E2546">
        <f>IF(A2546="","",IF(SUMPRODUCT((Ввод!$F$12:$F$31&lt;&gt;"")*(Ввод!$F$12:$F$31&lt;=A2546)*(Ввод!$G$12:$G$31&gt;=A2546))&gt;0,1,0))</f>
        <v/>
      </c>
      <c r="G2546">
        <f>IF(A2546="","",IF(OR(B2546&lt;&gt;B2545,C2546&lt;&gt;C2545,E2546&lt;&gt;E2545),G2545+1,G2545))</f>
        <v/>
      </c>
    </row>
    <row r="2547">
      <c r="A2547" s="20">
        <f>IF(A2546="","",IF(A2546+1&gt;Ввод!$B$4,"",A2546+1))</f>
        <v/>
      </c>
      <c r="B2547">
        <f>IF(A2547="","",IFERROR(INDEX(Ввод!$B$12:$B$71,MATCH(A2547,Ввод!$D$12:$D$71,1)),""))</f>
        <v/>
      </c>
      <c r="C2547">
        <f>IF(A2547="","",DATE(YEAR(A2547),12,31)-DATE(YEAR(A2547),1,1)+1)</f>
        <v/>
      </c>
      <c r="D2547">
        <f>IF(A2547="","",SUMIFS(Акты!$D$5:$D$16,Акты!$E$5:$E$16,"&lt;="&amp;A2547)-SUMIFS(Оплаты!$B$6:$B$505,Оплаты!$A$6:$A$505,"&lt;"&amp;A2547,Оплаты!$D$6:$D$505,"&lt;&gt;"))</f>
        <v/>
      </c>
      <c r="E2547">
        <f>IF(A2547="","",IF(SUMPRODUCT((Ввод!$F$12:$F$31&lt;&gt;"")*(Ввод!$F$12:$F$31&lt;=A2547)*(Ввод!$G$12:$G$31&gt;=A2547))&gt;0,1,0))</f>
        <v/>
      </c>
      <c r="G2547">
        <f>IF(A2547="","",IF(OR(B2547&lt;&gt;B2546,C2547&lt;&gt;C2546,E2547&lt;&gt;E2546),G2546+1,G2546))</f>
        <v/>
      </c>
    </row>
    <row r="2548">
      <c r="A2548" s="20">
        <f>IF(A2547="","",IF(A2547+1&gt;Ввод!$B$4,"",A2547+1))</f>
        <v/>
      </c>
      <c r="B2548">
        <f>IF(A2548="","",IFERROR(INDEX(Ввод!$B$12:$B$71,MATCH(A2548,Ввод!$D$12:$D$71,1)),""))</f>
        <v/>
      </c>
      <c r="C2548">
        <f>IF(A2548="","",DATE(YEAR(A2548),12,31)-DATE(YEAR(A2548),1,1)+1)</f>
        <v/>
      </c>
      <c r="D2548">
        <f>IF(A2548="","",SUMIFS(Акты!$D$5:$D$16,Акты!$E$5:$E$16,"&lt;="&amp;A2548)-SUMIFS(Оплаты!$B$6:$B$505,Оплаты!$A$6:$A$505,"&lt;"&amp;A2548,Оплаты!$D$6:$D$505,"&lt;&gt;"))</f>
        <v/>
      </c>
      <c r="E2548">
        <f>IF(A2548="","",IF(SUMPRODUCT((Ввод!$F$12:$F$31&lt;&gt;"")*(Ввод!$F$12:$F$31&lt;=A2548)*(Ввод!$G$12:$G$31&gt;=A2548))&gt;0,1,0))</f>
        <v/>
      </c>
      <c r="G2548">
        <f>IF(A2548="","",IF(OR(B2548&lt;&gt;B2547,C2548&lt;&gt;C2547,E2548&lt;&gt;E2547),G2547+1,G2547))</f>
        <v/>
      </c>
    </row>
    <row r="2549">
      <c r="A2549" s="20">
        <f>IF(A2548="","",IF(A2548+1&gt;Ввод!$B$4,"",A2548+1))</f>
        <v/>
      </c>
      <c r="B2549">
        <f>IF(A2549="","",IFERROR(INDEX(Ввод!$B$12:$B$71,MATCH(A2549,Ввод!$D$12:$D$71,1)),""))</f>
        <v/>
      </c>
      <c r="C2549">
        <f>IF(A2549="","",DATE(YEAR(A2549),12,31)-DATE(YEAR(A2549),1,1)+1)</f>
        <v/>
      </c>
      <c r="D2549">
        <f>IF(A2549="","",SUMIFS(Акты!$D$5:$D$16,Акты!$E$5:$E$16,"&lt;="&amp;A2549)-SUMIFS(Оплаты!$B$6:$B$505,Оплаты!$A$6:$A$505,"&lt;"&amp;A2549,Оплаты!$D$6:$D$505,"&lt;&gt;"))</f>
        <v/>
      </c>
      <c r="E2549">
        <f>IF(A2549="","",IF(SUMPRODUCT((Ввод!$F$12:$F$31&lt;&gt;"")*(Ввод!$F$12:$F$31&lt;=A2549)*(Ввод!$G$12:$G$31&gt;=A2549))&gt;0,1,0))</f>
        <v/>
      </c>
      <c r="G2549">
        <f>IF(A2549="","",IF(OR(B2549&lt;&gt;B2548,C2549&lt;&gt;C2548,E2549&lt;&gt;E2548),G2548+1,G2548))</f>
        <v/>
      </c>
    </row>
    <row r="2550">
      <c r="A2550" s="20">
        <f>IF(A2549="","",IF(A2549+1&gt;Ввод!$B$4,"",A2549+1))</f>
        <v/>
      </c>
      <c r="B2550">
        <f>IF(A2550="","",IFERROR(INDEX(Ввод!$B$12:$B$71,MATCH(A2550,Ввод!$D$12:$D$71,1)),""))</f>
        <v/>
      </c>
      <c r="C2550">
        <f>IF(A2550="","",DATE(YEAR(A2550),12,31)-DATE(YEAR(A2550),1,1)+1)</f>
        <v/>
      </c>
      <c r="D2550">
        <f>IF(A2550="","",SUMIFS(Акты!$D$5:$D$16,Акты!$E$5:$E$16,"&lt;="&amp;A2550)-SUMIFS(Оплаты!$B$6:$B$505,Оплаты!$A$6:$A$505,"&lt;"&amp;A2550,Оплаты!$D$6:$D$505,"&lt;&gt;"))</f>
        <v/>
      </c>
      <c r="E2550">
        <f>IF(A2550="","",IF(SUMPRODUCT((Ввод!$F$12:$F$31&lt;&gt;"")*(Ввод!$F$12:$F$31&lt;=A2550)*(Ввод!$G$12:$G$31&gt;=A2550))&gt;0,1,0))</f>
        <v/>
      </c>
      <c r="G2550">
        <f>IF(A2550="","",IF(OR(B2550&lt;&gt;B2549,C2550&lt;&gt;C2549,E2550&lt;&gt;E2549),G2549+1,G2549))</f>
        <v/>
      </c>
    </row>
    <row r="2551">
      <c r="A2551" s="20">
        <f>IF(A2550="","",IF(A2550+1&gt;Ввод!$B$4,"",A2550+1))</f>
        <v/>
      </c>
      <c r="B2551">
        <f>IF(A2551="","",IFERROR(INDEX(Ввод!$B$12:$B$71,MATCH(A2551,Ввод!$D$12:$D$71,1)),""))</f>
        <v/>
      </c>
      <c r="C2551">
        <f>IF(A2551="","",DATE(YEAR(A2551),12,31)-DATE(YEAR(A2551),1,1)+1)</f>
        <v/>
      </c>
      <c r="D2551">
        <f>IF(A2551="","",SUMIFS(Акты!$D$5:$D$16,Акты!$E$5:$E$16,"&lt;="&amp;A2551)-SUMIFS(Оплаты!$B$6:$B$505,Оплаты!$A$6:$A$505,"&lt;"&amp;A2551,Оплаты!$D$6:$D$505,"&lt;&gt;"))</f>
        <v/>
      </c>
      <c r="E2551">
        <f>IF(A2551="","",IF(SUMPRODUCT((Ввод!$F$12:$F$31&lt;&gt;"")*(Ввод!$F$12:$F$31&lt;=A2551)*(Ввод!$G$12:$G$31&gt;=A2551))&gt;0,1,0))</f>
        <v/>
      </c>
      <c r="G2551">
        <f>IF(A2551="","",IF(OR(B2551&lt;&gt;B2550,C2551&lt;&gt;C2550,E2551&lt;&gt;E2550),G2550+1,G2550))</f>
        <v/>
      </c>
    </row>
    <row r="2552">
      <c r="A2552" s="20">
        <f>IF(A2551="","",IF(A2551+1&gt;Ввод!$B$4,"",A2551+1))</f>
        <v/>
      </c>
      <c r="B2552">
        <f>IF(A2552="","",IFERROR(INDEX(Ввод!$B$12:$B$71,MATCH(A2552,Ввод!$D$12:$D$71,1)),""))</f>
        <v/>
      </c>
      <c r="C2552">
        <f>IF(A2552="","",DATE(YEAR(A2552),12,31)-DATE(YEAR(A2552),1,1)+1)</f>
        <v/>
      </c>
      <c r="D2552">
        <f>IF(A2552="","",SUMIFS(Акты!$D$5:$D$16,Акты!$E$5:$E$16,"&lt;="&amp;A2552)-SUMIFS(Оплаты!$B$6:$B$505,Оплаты!$A$6:$A$505,"&lt;"&amp;A2552,Оплаты!$D$6:$D$505,"&lt;&gt;"))</f>
        <v/>
      </c>
      <c r="E2552">
        <f>IF(A2552="","",IF(SUMPRODUCT((Ввод!$F$12:$F$31&lt;&gt;"")*(Ввод!$F$12:$F$31&lt;=A2552)*(Ввод!$G$12:$G$31&gt;=A2552))&gt;0,1,0))</f>
        <v/>
      </c>
      <c r="G2552">
        <f>IF(A2552="","",IF(OR(B2552&lt;&gt;B2551,C2552&lt;&gt;C2551,E2552&lt;&gt;E2551),G2551+1,G2551))</f>
        <v/>
      </c>
    </row>
    <row r="2553">
      <c r="A2553" s="20">
        <f>IF(A2552="","",IF(A2552+1&gt;Ввод!$B$4,"",A2552+1))</f>
        <v/>
      </c>
      <c r="B2553">
        <f>IF(A2553="","",IFERROR(INDEX(Ввод!$B$12:$B$71,MATCH(A2553,Ввод!$D$12:$D$71,1)),""))</f>
        <v/>
      </c>
      <c r="C2553">
        <f>IF(A2553="","",DATE(YEAR(A2553),12,31)-DATE(YEAR(A2553),1,1)+1)</f>
        <v/>
      </c>
      <c r="D2553">
        <f>IF(A2553="","",SUMIFS(Акты!$D$5:$D$16,Акты!$E$5:$E$16,"&lt;="&amp;A2553)-SUMIFS(Оплаты!$B$6:$B$505,Оплаты!$A$6:$A$505,"&lt;"&amp;A2553,Оплаты!$D$6:$D$505,"&lt;&gt;"))</f>
        <v/>
      </c>
      <c r="E2553">
        <f>IF(A2553="","",IF(SUMPRODUCT((Ввод!$F$12:$F$31&lt;&gt;"")*(Ввод!$F$12:$F$31&lt;=A2553)*(Ввод!$G$12:$G$31&gt;=A2553))&gt;0,1,0))</f>
        <v/>
      </c>
      <c r="G2553">
        <f>IF(A2553="","",IF(OR(B2553&lt;&gt;B2552,C2553&lt;&gt;C2552,E2553&lt;&gt;E2552),G2552+1,G2552))</f>
        <v/>
      </c>
    </row>
    <row r="2554">
      <c r="A2554" s="20">
        <f>IF(A2553="","",IF(A2553+1&gt;Ввод!$B$4,"",A2553+1))</f>
        <v/>
      </c>
      <c r="B2554">
        <f>IF(A2554="","",IFERROR(INDEX(Ввод!$B$12:$B$71,MATCH(A2554,Ввод!$D$12:$D$71,1)),""))</f>
        <v/>
      </c>
      <c r="C2554">
        <f>IF(A2554="","",DATE(YEAR(A2554),12,31)-DATE(YEAR(A2554),1,1)+1)</f>
        <v/>
      </c>
      <c r="D2554">
        <f>IF(A2554="","",SUMIFS(Акты!$D$5:$D$16,Акты!$E$5:$E$16,"&lt;="&amp;A2554)-SUMIFS(Оплаты!$B$6:$B$505,Оплаты!$A$6:$A$505,"&lt;"&amp;A2554,Оплаты!$D$6:$D$505,"&lt;&gt;"))</f>
        <v/>
      </c>
      <c r="E2554">
        <f>IF(A2554="","",IF(SUMPRODUCT((Ввод!$F$12:$F$31&lt;&gt;"")*(Ввод!$F$12:$F$31&lt;=A2554)*(Ввод!$G$12:$G$31&gt;=A2554))&gt;0,1,0))</f>
        <v/>
      </c>
      <c r="G2554">
        <f>IF(A2554="","",IF(OR(B2554&lt;&gt;B2553,C2554&lt;&gt;C2553,E2554&lt;&gt;E2553),G2553+1,G2553))</f>
        <v/>
      </c>
    </row>
    <row r="2555">
      <c r="A2555" s="20">
        <f>IF(A2554="","",IF(A2554+1&gt;Ввод!$B$4,"",A2554+1))</f>
        <v/>
      </c>
      <c r="B2555">
        <f>IF(A2555="","",IFERROR(INDEX(Ввод!$B$12:$B$71,MATCH(A2555,Ввод!$D$12:$D$71,1)),""))</f>
        <v/>
      </c>
      <c r="C2555">
        <f>IF(A2555="","",DATE(YEAR(A2555),12,31)-DATE(YEAR(A2555),1,1)+1)</f>
        <v/>
      </c>
      <c r="D2555">
        <f>IF(A2555="","",SUMIFS(Акты!$D$5:$D$16,Акты!$E$5:$E$16,"&lt;="&amp;A2555)-SUMIFS(Оплаты!$B$6:$B$505,Оплаты!$A$6:$A$505,"&lt;"&amp;A2555,Оплаты!$D$6:$D$505,"&lt;&gt;"))</f>
        <v/>
      </c>
      <c r="E2555">
        <f>IF(A2555="","",IF(SUMPRODUCT((Ввод!$F$12:$F$31&lt;&gt;"")*(Ввод!$F$12:$F$31&lt;=A2555)*(Ввод!$G$12:$G$31&gt;=A2555))&gt;0,1,0))</f>
        <v/>
      </c>
      <c r="G2555">
        <f>IF(A2555="","",IF(OR(B2555&lt;&gt;B2554,C2555&lt;&gt;C2554,E2555&lt;&gt;E2554),G2554+1,G2554))</f>
        <v/>
      </c>
    </row>
    <row r="2556">
      <c r="A2556" s="20">
        <f>IF(A2555="","",IF(A2555+1&gt;Ввод!$B$4,"",A2555+1))</f>
        <v/>
      </c>
      <c r="B2556">
        <f>IF(A2556="","",IFERROR(INDEX(Ввод!$B$12:$B$71,MATCH(A2556,Ввод!$D$12:$D$71,1)),""))</f>
        <v/>
      </c>
      <c r="C2556">
        <f>IF(A2556="","",DATE(YEAR(A2556),12,31)-DATE(YEAR(A2556),1,1)+1)</f>
        <v/>
      </c>
      <c r="D2556">
        <f>IF(A2556="","",SUMIFS(Акты!$D$5:$D$16,Акты!$E$5:$E$16,"&lt;="&amp;A2556)-SUMIFS(Оплаты!$B$6:$B$505,Оплаты!$A$6:$A$505,"&lt;"&amp;A2556,Оплаты!$D$6:$D$505,"&lt;&gt;"))</f>
        <v/>
      </c>
      <c r="E2556">
        <f>IF(A2556="","",IF(SUMPRODUCT((Ввод!$F$12:$F$31&lt;&gt;"")*(Ввод!$F$12:$F$31&lt;=A2556)*(Ввод!$G$12:$G$31&gt;=A2556))&gt;0,1,0))</f>
        <v/>
      </c>
      <c r="G2556">
        <f>IF(A2556="","",IF(OR(B2556&lt;&gt;B2555,C2556&lt;&gt;C2555,E2556&lt;&gt;E2555),G2555+1,G2555))</f>
        <v/>
      </c>
    </row>
    <row r="2557">
      <c r="A2557" s="20">
        <f>IF(A2556="","",IF(A2556+1&gt;Ввод!$B$4,"",A2556+1))</f>
        <v/>
      </c>
      <c r="B2557">
        <f>IF(A2557="","",IFERROR(INDEX(Ввод!$B$12:$B$71,MATCH(A2557,Ввод!$D$12:$D$71,1)),""))</f>
        <v/>
      </c>
      <c r="C2557">
        <f>IF(A2557="","",DATE(YEAR(A2557),12,31)-DATE(YEAR(A2557),1,1)+1)</f>
        <v/>
      </c>
      <c r="D2557">
        <f>IF(A2557="","",SUMIFS(Акты!$D$5:$D$16,Акты!$E$5:$E$16,"&lt;="&amp;A2557)-SUMIFS(Оплаты!$B$6:$B$505,Оплаты!$A$6:$A$505,"&lt;"&amp;A2557,Оплаты!$D$6:$D$505,"&lt;&gt;"))</f>
        <v/>
      </c>
      <c r="E2557">
        <f>IF(A2557="","",IF(SUMPRODUCT((Ввод!$F$12:$F$31&lt;&gt;"")*(Ввод!$F$12:$F$31&lt;=A2557)*(Ввод!$G$12:$G$31&gt;=A2557))&gt;0,1,0))</f>
        <v/>
      </c>
      <c r="G2557">
        <f>IF(A2557="","",IF(OR(B2557&lt;&gt;B2556,C2557&lt;&gt;C2556,E2557&lt;&gt;E2556),G2556+1,G2556))</f>
        <v/>
      </c>
    </row>
    <row r="2558">
      <c r="A2558" s="20">
        <f>IF(A2557="","",IF(A2557+1&gt;Ввод!$B$4,"",A2557+1))</f>
        <v/>
      </c>
      <c r="B2558">
        <f>IF(A2558="","",IFERROR(INDEX(Ввод!$B$12:$B$71,MATCH(A2558,Ввод!$D$12:$D$71,1)),""))</f>
        <v/>
      </c>
      <c r="C2558">
        <f>IF(A2558="","",DATE(YEAR(A2558),12,31)-DATE(YEAR(A2558),1,1)+1)</f>
        <v/>
      </c>
      <c r="D2558">
        <f>IF(A2558="","",SUMIFS(Акты!$D$5:$D$16,Акты!$E$5:$E$16,"&lt;="&amp;A2558)-SUMIFS(Оплаты!$B$6:$B$505,Оплаты!$A$6:$A$505,"&lt;"&amp;A2558,Оплаты!$D$6:$D$505,"&lt;&gt;"))</f>
        <v/>
      </c>
      <c r="E2558">
        <f>IF(A2558="","",IF(SUMPRODUCT((Ввод!$F$12:$F$31&lt;&gt;"")*(Ввод!$F$12:$F$31&lt;=A2558)*(Ввод!$G$12:$G$31&gt;=A2558))&gt;0,1,0))</f>
        <v/>
      </c>
      <c r="G2558">
        <f>IF(A2558="","",IF(OR(B2558&lt;&gt;B2557,C2558&lt;&gt;C2557,E2558&lt;&gt;E2557),G2557+1,G2557))</f>
        <v/>
      </c>
    </row>
    <row r="2559">
      <c r="A2559" s="20">
        <f>IF(A2558="","",IF(A2558+1&gt;Ввод!$B$4,"",A2558+1))</f>
        <v/>
      </c>
      <c r="B2559">
        <f>IF(A2559="","",IFERROR(INDEX(Ввод!$B$12:$B$71,MATCH(A2559,Ввод!$D$12:$D$71,1)),""))</f>
        <v/>
      </c>
      <c r="C2559">
        <f>IF(A2559="","",DATE(YEAR(A2559),12,31)-DATE(YEAR(A2559),1,1)+1)</f>
        <v/>
      </c>
      <c r="D2559">
        <f>IF(A2559="","",SUMIFS(Акты!$D$5:$D$16,Акты!$E$5:$E$16,"&lt;="&amp;A2559)-SUMIFS(Оплаты!$B$6:$B$505,Оплаты!$A$6:$A$505,"&lt;"&amp;A2559,Оплаты!$D$6:$D$505,"&lt;&gt;"))</f>
        <v/>
      </c>
      <c r="E2559">
        <f>IF(A2559="","",IF(SUMPRODUCT((Ввод!$F$12:$F$31&lt;&gt;"")*(Ввод!$F$12:$F$31&lt;=A2559)*(Ввод!$G$12:$G$31&gt;=A2559))&gt;0,1,0))</f>
        <v/>
      </c>
      <c r="G2559">
        <f>IF(A2559="","",IF(OR(B2559&lt;&gt;B2558,C2559&lt;&gt;C2558,E2559&lt;&gt;E2558),G2558+1,G2558))</f>
        <v/>
      </c>
    </row>
    <row r="2560">
      <c r="A2560" s="20">
        <f>IF(A2559="","",IF(A2559+1&gt;Ввод!$B$4,"",A2559+1))</f>
        <v/>
      </c>
      <c r="B2560">
        <f>IF(A2560="","",IFERROR(INDEX(Ввод!$B$12:$B$71,MATCH(A2560,Ввод!$D$12:$D$71,1)),""))</f>
        <v/>
      </c>
      <c r="C2560">
        <f>IF(A2560="","",DATE(YEAR(A2560),12,31)-DATE(YEAR(A2560),1,1)+1)</f>
        <v/>
      </c>
      <c r="D2560">
        <f>IF(A2560="","",SUMIFS(Акты!$D$5:$D$16,Акты!$E$5:$E$16,"&lt;="&amp;A2560)-SUMIFS(Оплаты!$B$6:$B$505,Оплаты!$A$6:$A$505,"&lt;"&amp;A2560,Оплаты!$D$6:$D$505,"&lt;&gt;"))</f>
        <v/>
      </c>
      <c r="E2560">
        <f>IF(A2560="","",IF(SUMPRODUCT((Ввод!$F$12:$F$31&lt;&gt;"")*(Ввод!$F$12:$F$31&lt;=A2560)*(Ввод!$G$12:$G$31&gt;=A2560))&gt;0,1,0))</f>
        <v/>
      </c>
      <c r="G2560">
        <f>IF(A2560="","",IF(OR(B2560&lt;&gt;B2559,C2560&lt;&gt;C2559,E2560&lt;&gt;E2559),G2559+1,G2559))</f>
        <v/>
      </c>
    </row>
    <row r="2561">
      <c r="A2561" s="20">
        <f>IF(A2560="","",IF(A2560+1&gt;Ввод!$B$4,"",A2560+1))</f>
        <v/>
      </c>
      <c r="B2561">
        <f>IF(A2561="","",IFERROR(INDEX(Ввод!$B$12:$B$71,MATCH(A2561,Ввод!$D$12:$D$71,1)),""))</f>
        <v/>
      </c>
      <c r="C2561">
        <f>IF(A2561="","",DATE(YEAR(A2561),12,31)-DATE(YEAR(A2561),1,1)+1)</f>
        <v/>
      </c>
      <c r="D2561">
        <f>IF(A2561="","",SUMIFS(Акты!$D$5:$D$16,Акты!$E$5:$E$16,"&lt;="&amp;A2561)-SUMIFS(Оплаты!$B$6:$B$505,Оплаты!$A$6:$A$505,"&lt;"&amp;A2561,Оплаты!$D$6:$D$505,"&lt;&gt;"))</f>
        <v/>
      </c>
      <c r="E2561">
        <f>IF(A2561="","",IF(SUMPRODUCT((Ввод!$F$12:$F$31&lt;&gt;"")*(Ввод!$F$12:$F$31&lt;=A2561)*(Ввод!$G$12:$G$31&gt;=A2561))&gt;0,1,0))</f>
        <v/>
      </c>
      <c r="G2561">
        <f>IF(A2561="","",IF(OR(B2561&lt;&gt;B2560,C2561&lt;&gt;C2560,E2561&lt;&gt;E2560),G2560+1,G2560))</f>
        <v/>
      </c>
    </row>
    <row r="2562">
      <c r="A2562" s="20">
        <f>IF(A2561="","",IF(A2561+1&gt;Ввод!$B$4,"",A2561+1))</f>
        <v/>
      </c>
      <c r="B2562">
        <f>IF(A2562="","",IFERROR(INDEX(Ввод!$B$12:$B$71,MATCH(A2562,Ввод!$D$12:$D$71,1)),""))</f>
        <v/>
      </c>
      <c r="C2562">
        <f>IF(A2562="","",DATE(YEAR(A2562),12,31)-DATE(YEAR(A2562),1,1)+1)</f>
        <v/>
      </c>
      <c r="D2562">
        <f>IF(A2562="","",SUMIFS(Акты!$D$5:$D$16,Акты!$E$5:$E$16,"&lt;="&amp;A2562)-SUMIFS(Оплаты!$B$6:$B$505,Оплаты!$A$6:$A$505,"&lt;"&amp;A2562,Оплаты!$D$6:$D$505,"&lt;&gt;"))</f>
        <v/>
      </c>
      <c r="E2562">
        <f>IF(A2562="","",IF(SUMPRODUCT((Ввод!$F$12:$F$31&lt;&gt;"")*(Ввод!$F$12:$F$31&lt;=A2562)*(Ввод!$G$12:$G$31&gt;=A2562))&gt;0,1,0))</f>
        <v/>
      </c>
      <c r="G2562">
        <f>IF(A2562="","",IF(OR(B2562&lt;&gt;B2561,C2562&lt;&gt;C2561,E2562&lt;&gt;E2561),G2561+1,G2561))</f>
        <v/>
      </c>
    </row>
    <row r="2563">
      <c r="A2563" s="20">
        <f>IF(A2562="","",IF(A2562+1&gt;Ввод!$B$4,"",A2562+1))</f>
        <v/>
      </c>
      <c r="B2563">
        <f>IF(A2563="","",IFERROR(INDEX(Ввод!$B$12:$B$71,MATCH(A2563,Ввод!$D$12:$D$71,1)),""))</f>
        <v/>
      </c>
      <c r="C2563">
        <f>IF(A2563="","",DATE(YEAR(A2563),12,31)-DATE(YEAR(A2563),1,1)+1)</f>
        <v/>
      </c>
      <c r="D2563">
        <f>IF(A2563="","",SUMIFS(Акты!$D$5:$D$16,Акты!$E$5:$E$16,"&lt;="&amp;A2563)-SUMIFS(Оплаты!$B$6:$B$505,Оплаты!$A$6:$A$505,"&lt;"&amp;A2563,Оплаты!$D$6:$D$505,"&lt;&gt;"))</f>
        <v/>
      </c>
      <c r="E2563">
        <f>IF(A2563="","",IF(SUMPRODUCT((Ввод!$F$12:$F$31&lt;&gt;"")*(Ввод!$F$12:$F$31&lt;=A2563)*(Ввод!$G$12:$G$31&gt;=A2563))&gt;0,1,0))</f>
        <v/>
      </c>
      <c r="G2563">
        <f>IF(A2563="","",IF(OR(B2563&lt;&gt;B2562,C2563&lt;&gt;C2562,E2563&lt;&gt;E2562),G2562+1,G2562))</f>
        <v/>
      </c>
    </row>
    <row r="2564">
      <c r="A2564" s="20">
        <f>IF(A2563="","",IF(A2563+1&gt;Ввод!$B$4,"",A2563+1))</f>
        <v/>
      </c>
      <c r="B2564">
        <f>IF(A2564="","",IFERROR(INDEX(Ввод!$B$12:$B$71,MATCH(A2564,Ввод!$D$12:$D$71,1)),""))</f>
        <v/>
      </c>
      <c r="C2564">
        <f>IF(A2564="","",DATE(YEAR(A2564),12,31)-DATE(YEAR(A2564),1,1)+1)</f>
        <v/>
      </c>
      <c r="D2564">
        <f>IF(A2564="","",SUMIFS(Акты!$D$5:$D$16,Акты!$E$5:$E$16,"&lt;="&amp;A2564)-SUMIFS(Оплаты!$B$6:$B$505,Оплаты!$A$6:$A$505,"&lt;"&amp;A2564,Оплаты!$D$6:$D$505,"&lt;&gt;"))</f>
        <v/>
      </c>
      <c r="E2564">
        <f>IF(A2564="","",IF(SUMPRODUCT((Ввод!$F$12:$F$31&lt;&gt;"")*(Ввод!$F$12:$F$31&lt;=A2564)*(Ввод!$G$12:$G$31&gt;=A2564))&gt;0,1,0))</f>
        <v/>
      </c>
      <c r="G2564">
        <f>IF(A2564="","",IF(OR(B2564&lt;&gt;B2563,C2564&lt;&gt;C2563,E2564&lt;&gt;E2563),G2563+1,G2563))</f>
        <v/>
      </c>
    </row>
    <row r="2565">
      <c r="A2565" s="20">
        <f>IF(A2564="","",IF(A2564+1&gt;Ввод!$B$4,"",A2564+1))</f>
        <v/>
      </c>
      <c r="B2565">
        <f>IF(A2565="","",IFERROR(INDEX(Ввод!$B$12:$B$71,MATCH(A2565,Ввод!$D$12:$D$71,1)),""))</f>
        <v/>
      </c>
      <c r="C2565">
        <f>IF(A2565="","",DATE(YEAR(A2565),12,31)-DATE(YEAR(A2565),1,1)+1)</f>
        <v/>
      </c>
      <c r="D2565">
        <f>IF(A2565="","",SUMIFS(Акты!$D$5:$D$16,Акты!$E$5:$E$16,"&lt;="&amp;A2565)-SUMIFS(Оплаты!$B$6:$B$505,Оплаты!$A$6:$A$505,"&lt;"&amp;A2565,Оплаты!$D$6:$D$505,"&lt;&gt;"))</f>
        <v/>
      </c>
      <c r="E2565">
        <f>IF(A2565="","",IF(SUMPRODUCT((Ввод!$F$12:$F$31&lt;&gt;"")*(Ввод!$F$12:$F$31&lt;=A2565)*(Ввод!$G$12:$G$31&gt;=A2565))&gt;0,1,0))</f>
        <v/>
      </c>
      <c r="G2565">
        <f>IF(A2565="","",IF(OR(B2565&lt;&gt;B2564,C2565&lt;&gt;C2564,E2565&lt;&gt;E2564),G2564+1,G2564))</f>
        <v/>
      </c>
    </row>
    <row r="2566">
      <c r="A2566" s="20">
        <f>IF(A2565="","",IF(A2565+1&gt;Ввод!$B$4,"",A2565+1))</f>
        <v/>
      </c>
      <c r="B2566">
        <f>IF(A2566="","",IFERROR(INDEX(Ввод!$B$12:$B$71,MATCH(A2566,Ввод!$D$12:$D$71,1)),""))</f>
        <v/>
      </c>
      <c r="C2566">
        <f>IF(A2566="","",DATE(YEAR(A2566),12,31)-DATE(YEAR(A2566),1,1)+1)</f>
        <v/>
      </c>
      <c r="D2566">
        <f>IF(A2566="","",SUMIFS(Акты!$D$5:$D$16,Акты!$E$5:$E$16,"&lt;="&amp;A2566)-SUMIFS(Оплаты!$B$6:$B$505,Оплаты!$A$6:$A$505,"&lt;"&amp;A2566,Оплаты!$D$6:$D$505,"&lt;&gt;"))</f>
        <v/>
      </c>
      <c r="E2566">
        <f>IF(A2566="","",IF(SUMPRODUCT((Ввод!$F$12:$F$31&lt;&gt;"")*(Ввод!$F$12:$F$31&lt;=A2566)*(Ввод!$G$12:$G$31&gt;=A2566))&gt;0,1,0))</f>
        <v/>
      </c>
      <c r="G2566">
        <f>IF(A2566="","",IF(OR(B2566&lt;&gt;B2565,C2566&lt;&gt;C2565,E2566&lt;&gt;E2565),G2565+1,G2565))</f>
        <v/>
      </c>
    </row>
    <row r="2567">
      <c r="A2567" s="20">
        <f>IF(A2566="","",IF(A2566+1&gt;Ввод!$B$4,"",A2566+1))</f>
        <v/>
      </c>
      <c r="B2567">
        <f>IF(A2567="","",IFERROR(INDEX(Ввод!$B$12:$B$71,MATCH(A2567,Ввод!$D$12:$D$71,1)),""))</f>
        <v/>
      </c>
      <c r="C2567">
        <f>IF(A2567="","",DATE(YEAR(A2567),12,31)-DATE(YEAR(A2567),1,1)+1)</f>
        <v/>
      </c>
      <c r="D2567">
        <f>IF(A2567="","",SUMIFS(Акты!$D$5:$D$16,Акты!$E$5:$E$16,"&lt;="&amp;A2567)-SUMIFS(Оплаты!$B$6:$B$505,Оплаты!$A$6:$A$505,"&lt;"&amp;A2567,Оплаты!$D$6:$D$505,"&lt;&gt;"))</f>
        <v/>
      </c>
      <c r="E2567">
        <f>IF(A2567="","",IF(SUMPRODUCT((Ввод!$F$12:$F$31&lt;&gt;"")*(Ввод!$F$12:$F$31&lt;=A2567)*(Ввод!$G$12:$G$31&gt;=A2567))&gt;0,1,0))</f>
        <v/>
      </c>
      <c r="G2567">
        <f>IF(A2567="","",IF(OR(B2567&lt;&gt;B2566,C2567&lt;&gt;C2566,E2567&lt;&gt;E2566),G2566+1,G2566))</f>
        <v/>
      </c>
    </row>
    <row r="2568">
      <c r="A2568" s="20">
        <f>IF(A2567="","",IF(A2567+1&gt;Ввод!$B$4,"",A2567+1))</f>
        <v/>
      </c>
      <c r="B2568">
        <f>IF(A2568="","",IFERROR(INDEX(Ввод!$B$12:$B$71,MATCH(A2568,Ввод!$D$12:$D$71,1)),""))</f>
        <v/>
      </c>
      <c r="C2568">
        <f>IF(A2568="","",DATE(YEAR(A2568),12,31)-DATE(YEAR(A2568),1,1)+1)</f>
        <v/>
      </c>
      <c r="D2568">
        <f>IF(A2568="","",SUMIFS(Акты!$D$5:$D$16,Акты!$E$5:$E$16,"&lt;="&amp;A2568)-SUMIFS(Оплаты!$B$6:$B$505,Оплаты!$A$6:$A$505,"&lt;"&amp;A2568,Оплаты!$D$6:$D$505,"&lt;&gt;"))</f>
        <v/>
      </c>
      <c r="E2568">
        <f>IF(A2568="","",IF(SUMPRODUCT((Ввод!$F$12:$F$31&lt;&gt;"")*(Ввод!$F$12:$F$31&lt;=A2568)*(Ввод!$G$12:$G$31&gt;=A2568))&gt;0,1,0))</f>
        <v/>
      </c>
      <c r="G2568">
        <f>IF(A2568="","",IF(OR(B2568&lt;&gt;B2567,C2568&lt;&gt;C2567,E2568&lt;&gt;E2567),G2567+1,G2567))</f>
        <v/>
      </c>
    </row>
    <row r="2569">
      <c r="A2569" s="20">
        <f>IF(A2568="","",IF(A2568+1&gt;Ввод!$B$4,"",A2568+1))</f>
        <v/>
      </c>
      <c r="B2569">
        <f>IF(A2569="","",IFERROR(INDEX(Ввод!$B$12:$B$71,MATCH(A2569,Ввод!$D$12:$D$71,1)),""))</f>
        <v/>
      </c>
      <c r="C2569">
        <f>IF(A2569="","",DATE(YEAR(A2569),12,31)-DATE(YEAR(A2569),1,1)+1)</f>
        <v/>
      </c>
      <c r="D2569">
        <f>IF(A2569="","",SUMIFS(Акты!$D$5:$D$16,Акты!$E$5:$E$16,"&lt;="&amp;A2569)-SUMIFS(Оплаты!$B$6:$B$505,Оплаты!$A$6:$A$505,"&lt;"&amp;A2569,Оплаты!$D$6:$D$505,"&lt;&gt;"))</f>
        <v/>
      </c>
      <c r="E2569">
        <f>IF(A2569="","",IF(SUMPRODUCT((Ввод!$F$12:$F$31&lt;&gt;"")*(Ввод!$F$12:$F$31&lt;=A2569)*(Ввод!$G$12:$G$31&gt;=A2569))&gt;0,1,0))</f>
        <v/>
      </c>
      <c r="G2569">
        <f>IF(A2569="","",IF(OR(B2569&lt;&gt;B2568,C2569&lt;&gt;C2568,E2569&lt;&gt;E2568),G2568+1,G2568))</f>
        <v/>
      </c>
    </row>
    <row r="2570">
      <c r="A2570" s="20">
        <f>IF(A2569="","",IF(A2569+1&gt;Ввод!$B$4,"",A2569+1))</f>
        <v/>
      </c>
      <c r="B2570">
        <f>IF(A2570="","",IFERROR(INDEX(Ввод!$B$12:$B$71,MATCH(A2570,Ввод!$D$12:$D$71,1)),""))</f>
        <v/>
      </c>
      <c r="C2570">
        <f>IF(A2570="","",DATE(YEAR(A2570),12,31)-DATE(YEAR(A2570),1,1)+1)</f>
        <v/>
      </c>
      <c r="D2570">
        <f>IF(A2570="","",SUMIFS(Акты!$D$5:$D$16,Акты!$E$5:$E$16,"&lt;="&amp;A2570)-SUMIFS(Оплаты!$B$6:$B$505,Оплаты!$A$6:$A$505,"&lt;"&amp;A2570,Оплаты!$D$6:$D$505,"&lt;&gt;"))</f>
        <v/>
      </c>
      <c r="E2570">
        <f>IF(A2570="","",IF(SUMPRODUCT((Ввод!$F$12:$F$31&lt;&gt;"")*(Ввод!$F$12:$F$31&lt;=A2570)*(Ввод!$G$12:$G$31&gt;=A2570))&gt;0,1,0))</f>
        <v/>
      </c>
      <c r="G2570">
        <f>IF(A2570="","",IF(OR(B2570&lt;&gt;B2569,C2570&lt;&gt;C2569,E2570&lt;&gt;E2569),G2569+1,G2569))</f>
        <v/>
      </c>
    </row>
    <row r="2571">
      <c r="A2571" s="20">
        <f>IF(A2570="","",IF(A2570+1&gt;Ввод!$B$4,"",A2570+1))</f>
        <v/>
      </c>
      <c r="B2571">
        <f>IF(A2571="","",IFERROR(INDEX(Ввод!$B$12:$B$71,MATCH(A2571,Ввод!$D$12:$D$71,1)),""))</f>
        <v/>
      </c>
      <c r="C2571">
        <f>IF(A2571="","",DATE(YEAR(A2571),12,31)-DATE(YEAR(A2571),1,1)+1)</f>
        <v/>
      </c>
      <c r="D2571">
        <f>IF(A2571="","",SUMIFS(Акты!$D$5:$D$16,Акты!$E$5:$E$16,"&lt;="&amp;A2571)-SUMIFS(Оплаты!$B$6:$B$505,Оплаты!$A$6:$A$505,"&lt;"&amp;A2571,Оплаты!$D$6:$D$505,"&lt;&gt;"))</f>
        <v/>
      </c>
      <c r="E2571">
        <f>IF(A2571="","",IF(SUMPRODUCT((Ввод!$F$12:$F$31&lt;&gt;"")*(Ввод!$F$12:$F$31&lt;=A2571)*(Ввод!$G$12:$G$31&gt;=A2571))&gt;0,1,0))</f>
        <v/>
      </c>
      <c r="G2571">
        <f>IF(A2571="","",IF(OR(B2571&lt;&gt;B2570,C2571&lt;&gt;C2570,E2571&lt;&gt;E2570),G2570+1,G2570))</f>
        <v/>
      </c>
    </row>
    <row r="2572">
      <c r="A2572" s="20">
        <f>IF(A2571="","",IF(A2571+1&gt;Ввод!$B$4,"",A2571+1))</f>
        <v/>
      </c>
      <c r="B2572">
        <f>IF(A2572="","",IFERROR(INDEX(Ввод!$B$12:$B$71,MATCH(A2572,Ввод!$D$12:$D$71,1)),""))</f>
        <v/>
      </c>
      <c r="C2572">
        <f>IF(A2572="","",DATE(YEAR(A2572),12,31)-DATE(YEAR(A2572),1,1)+1)</f>
        <v/>
      </c>
      <c r="D2572">
        <f>IF(A2572="","",SUMIFS(Акты!$D$5:$D$16,Акты!$E$5:$E$16,"&lt;="&amp;A2572)-SUMIFS(Оплаты!$B$6:$B$505,Оплаты!$A$6:$A$505,"&lt;"&amp;A2572,Оплаты!$D$6:$D$505,"&lt;&gt;"))</f>
        <v/>
      </c>
      <c r="E2572">
        <f>IF(A2572="","",IF(SUMPRODUCT((Ввод!$F$12:$F$31&lt;&gt;"")*(Ввод!$F$12:$F$31&lt;=A2572)*(Ввод!$G$12:$G$31&gt;=A2572))&gt;0,1,0))</f>
        <v/>
      </c>
      <c r="G2572">
        <f>IF(A2572="","",IF(OR(B2572&lt;&gt;B2571,C2572&lt;&gt;C2571,E2572&lt;&gt;E2571),G2571+1,G2571))</f>
        <v/>
      </c>
    </row>
    <row r="2573">
      <c r="A2573" s="20">
        <f>IF(A2572="","",IF(A2572+1&gt;Ввод!$B$4,"",A2572+1))</f>
        <v/>
      </c>
      <c r="B2573">
        <f>IF(A2573="","",IFERROR(INDEX(Ввод!$B$12:$B$71,MATCH(A2573,Ввод!$D$12:$D$71,1)),""))</f>
        <v/>
      </c>
      <c r="C2573">
        <f>IF(A2573="","",DATE(YEAR(A2573),12,31)-DATE(YEAR(A2573),1,1)+1)</f>
        <v/>
      </c>
      <c r="D2573">
        <f>IF(A2573="","",SUMIFS(Акты!$D$5:$D$16,Акты!$E$5:$E$16,"&lt;="&amp;A2573)-SUMIFS(Оплаты!$B$6:$B$505,Оплаты!$A$6:$A$505,"&lt;"&amp;A2573,Оплаты!$D$6:$D$505,"&lt;&gt;"))</f>
        <v/>
      </c>
      <c r="E2573">
        <f>IF(A2573="","",IF(SUMPRODUCT((Ввод!$F$12:$F$31&lt;&gt;"")*(Ввод!$F$12:$F$31&lt;=A2573)*(Ввод!$G$12:$G$31&gt;=A2573))&gt;0,1,0))</f>
        <v/>
      </c>
      <c r="G2573">
        <f>IF(A2573="","",IF(OR(B2573&lt;&gt;B2572,C2573&lt;&gt;C2572,E2573&lt;&gt;E2572),G2572+1,G2572))</f>
        <v/>
      </c>
    </row>
    <row r="2574">
      <c r="A2574" s="20">
        <f>IF(A2573="","",IF(A2573+1&gt;Ввод!$B$4,"",A2573+1))</f>
        <v/>
      </c>
      <c r="B2574">
        <f>IF(A2574="","",IFERROR(INDEX(Ввод!$B$12:$B$71,MATCH(A2574,Ввод!$D$12:$D$71,1)),""))</f>
        <v/>
      </c>
      <c r="C2574">
        <f>IF(A2574="","",DATE(YEAR(A2574),12,31)-DATE(YEAR(A2574),1,1)+1)</f>
        <v/>
      </c>
      <c r="D2574">
        <f>IF(A2574="","",SUMIFS(Акты!$D$5:$D$16,Акты!$E$5:$E$16,"&lt;="&amp;A2574)-SUMIFS(Оплаты!$B$6:$B$505,Оплаты!$A$6:$A$505,"&lt;"&amp;A2574,Оплаты!$D$6:$D$505,"&lt;&gt;"))</f>
        <v/>
      </c>
      <c r="E2574">
        <f>IF(A2574="","",IF(SUMPRODUCT((Ввод!$F$12:$F$31&lt;&gt;"")*(Ввод!$F$12:$F$31&lt;=A2574)*(Ввод!$G$12:$G$31&gt;=A2574))&gt;0,1,0))</f>
        <v/>
      </c>
      <c r="G2574">
        <f>IF(A2574="","",IF(OR(B2574&lt;&gt;B2573,C2574&lt;&gt;C2573,E2574&lt;&gt;E2573),G2573+1,G2573))</f>
        <v/>
      </c>
    </row>
    <row r="2575">
      <c r="A2575" s="20">
        <f>IF(A2574="","",IF(A2574+1&gt;Ввод!$B$4,"",A2574+1))</f>
        <v/>
      </c>
      <c r="B2575">
        <f>IF(A2575="","",IFERROR(INDEX(Ввод!$B$12:$B$71,MATCH(A2575,Ввод!$D$12:$D$71,1)),""))</f>
        <v/>
      </c>
      <c r="C2575">
        <f>IF(A2575="","",DATE(YEAR(A2575),12,31)-DATE(YEAR(A2575),1,1)+1)</f>
        <v/>
      </c>
      <c r="D2575">
        <f>IF(A2575="","",SUMIFS(Акты!$D$5:$D$16,Акты!$E$5:$E$16,"&lt;="&amp;A2575)-SUMIFS(Оплаты!$B$6:$B$505,Оплаты!$A$6:$A$505,"&lt;"&amp;A2575,Оплаты!$D$6:$D$505,"&lt;&gt;"))</f>
        <v/>
      </c>
      <c r="E2575">
        <f>IF(A2575="","",IF(SUMPRODUCT((Ввод!$F$12:$F$31&lt;&gt;"")*(Ввод!$F$12:$F$31&lt;=A2575)*(Ввод!$G$12:$G$31&gt;=A2575))&gt;0,1,0))</f>
        <v/>
      </c>
      <c r="G2575">
        <f>IF(A2575="","",IF(OR(B2575&lt;&gt;B2574,C2575&lt;&gt;C2574,E2575&lt;&gt;E2574),G2574+1,G2574))</f>
        <v/>
      </c>
    </row>
    <row r="2576">
      <c r="A2576" s="20">
        <f>IF(A2575="","",IF(A2575+1&gt;Ввод!$B$4,"",A2575+1))</f>
        <v/>
      </c>
      <c r="B2576">
        <f>IF(A2576="","",IFERROR(INDEX(Ввод!$B$12:$B$71,MATCH(A2576,Ввод!$D$12:$D$71,1)),""))</f>
        <v/>
      </c>
      <c r="C2576">
        <f>IF(A2576="","",DATE(YEAR(A2576),12,31)-DATE(YEAR(A2576),1,1)+1)</f>
        <v/>
      </c>
      <c r="D2576">
        <f>IF(A2576="","",SUMIFS(Акты!$D$5:$D$16,Акты!$E$5:$E$16,"&lt;="&amp;A2576)-SUMIFS(Оплаты!$B$6:$B$505,Оплаты!$A$6:$A$505,"&lt;"&amp;A2576,Оплаты!$D$6:$D$505,"&lt;&gt;"))</f>
        <v/>
      </c>
      <c r="E2576">
        <f>IF(A2576="","",IF(SUMPRODUCT((Ввод!$F$12:$F$31&lt;&gt;"")*(Ввод!$F$12:$F$31&lt;=A2576)*(Ввод!$G$12:$G$31&gt;=A2576))&gt;0,1,0))</f>
        <v/>
      </c>
      <c r="G2576">
        <f>IF(A2576="","",IF(OR(B2576&lt;&gt;B2575,C2576&lt;&gt;C2575,E2576&lt;&gt;E2575),G2575+1,G2575))</f>
        <v/>
      </c>
    </row>
    <row r="2577">
      <c r="A2577" s="20">
        <f>IF(A2576="","",IF(A2576+1&gt;Ввод!$B$4,"",A2576+1))</f>
        <v/>
      </c>
      <c r="B2577">
        <f>IF(A2577="","",IFERROR(INDEX(Ввод!$B$12:$B$71,MATCH(A2577,Ввод!$D$12:$D$71,1)),""))</f>
        <v/>
      </c>
      <c r="C2577">
        <f>IF(A2577="","",DATE(YEAR(A2577),12,31)-DATE(YEAR(A2577),1,1)+1)</f>
        <v/>
      </c>
      <c r="D2577">
        <f>IF(A2577="","",SUMIFS(Акты!$D$5:$D$16,Акты!$E$5:$E$16,"&lt;="&amp;A2577)-SUMIFS(Оплаты!$B$6:$B$505,Оплаты!$A$6:$A$505,"&lt;"&amp;A2577,Оплаты!$D$6:$D$505,"&lt;&gt;"))</f>
        <v/>
      </c>
      <c r="E2577">
        <f>IF(A2577="","",IF(SUMPRODUCT((Ввод!$F$12:$F$31&lt;&gt;"")*(Ввод!$F$12:$F$31&lt;=A2577)*(Ввод!$G$12:$G$31&gt;=A2577))&gt;0,1,0))</f>
        <v/>
      </c>
      <c r="G2577">
        <f>IF(A2577="","",IF(OR(B2577&lt;&gt;B2576,C2577&lt;&gt;C2576,E2577&lt;&gt;E2576),G2576+1,G2576))</f>
        <v/>
      </c>
    </row>
    <row r="2578">
      <c r="A2578" s="20">
        <f>IF(A2577="","",IF(A2577+1&gt;Ввод!$B$4,"",A2577+1))</f>
        <v/>
      </c>
      <c r="B2578">
        <f>IF(A2578="","",IFERROR(INDEX(Ввод!$B$12:$B$71,MATCH(A2578,Ввод!$D$12:$D$71,1)),""))</f>
        <v/>
      </c>
      <c r="C2578">
        <f>IF(A2578="","",DATE(YEAR(A2578),12,31)-DATE(YEAR(A2578),1,1)+1)</f>
        <v/>
      </c>
      <c r="D2578">
        <f>IF(A2578="","",SUMIFS(Акты!$D$5:$D$16,Акты!$E$5:$E$16,"&lt;="&amp;A2578)-SUMIFS(Оплаты!$B$6:$B$505,Оплаты!$A$6:$A$505,"&lt;"&amp;A2578,Оплаты!$D$6:$D$505,"&lt;&gt;"))</f>
        <v/>
      </c>
      <c r="E2578">
        <f>IF(A2578="","",IF(SUMPRODUCT((Ввод!$F$12:$F$31&lt;&gt;"")*(Ввод!$F$12:$F$31&lt;=A2578)*(Ввод!$G$12:$G$31&gt;=A2578))&gt;0,1,0))</f>
        <v/>
      </c>
      <c r="G2578">
        <f>IF(A2578="","",IF(OR(B2578&lt;&gt;B2577,C2578&lt;&gt;C2577,E2578&lt;&gt;E2577),G2577+1,G2577))</f>
        <v/>
      </c>
    </row>
    <row r="2579">
      <c r="A2579" s="20">
        <f>IF(A2578="","",IF(A2578+1&gt;Ввод!$B$4,"",A2578+1))</f>
        <v/>
      </c>
      <c r="B2579">
        <f>IF(A2579="","",IFERROR(INDEX(Ввод!$B$12:$B$71,MATCH(A2579,Ввод!$D$12:$D$71,1)),""))</f>
        <v/>
      </c>
      <c r="C2579">
        <f>IF(A2579="","",DATE(YEAR(A2579),12,31)-DATE(YEAR(A2579),1,1)+1)</f>
        <v/>
      </c>
      <c r="D2579">
        <f>IF(A2579="","",SUMIFS(Акты!$D$5:$D$16,Акты!$E$5:$E$16,"&lt;="&amp;A2579)-SUMIFS(Оплаты!$B$6:$B$505,Оплаты!$A$6:$A$505,"&lt;"&amp;A2579,Оплаты!$D$6:$D$505,"&lt;&gt;"))</f>
        <v/>
      </c>
      <c r="E2579">
        <f>IF(A2579="","",IF(SUMPRODUCT((Ввод!$F$12:$F$31&lt;&gt;"")*(Ввод!$F$12:$F$31&lt;=A2579)*(Ввод!$G$12:$G$31&gt;=A2579))&gt;0,1,0))</f>
        <v/>
      </c>
      <c r="G2579">
        <f>IF(A2579="","",IF(OR(B2579&lt;&gt;B2578,C2579&lt;&gt;C2578,E2579&lt;&gt;E2578),G2578+1,G2578))</f>
        <v/>
      </c>
    </row>
    <row r="2580">
      <c r="A2580" s="20">
        <f>IF(A2579="","",IF(A2579+1&gt;Ввод!$B$4,"",A2579+1))</f>
        <v/>
      </c>
      <c r="B2580">
        <f>IF(A2580="","",IFERROR(INDEX(Ввод!$B$12:$B$71,MATCH(A2580,Ввод!$D$12:$D$71,1)),""))</f>
        <v/>
      </c>
      <c r="C2580">
        <f>IF(A2580="","",DATE(YEAR(A2580),12,31)-DATE(YEAR(A2580),1,1)+1)</f>
        <v/>
      </c>
      <c r="D2580">
        <f>IF(A2580="","",SUMIFS(Акты!$D$5:$D$16,Акты!$E$5:$E$16,"&lt;="&amp;A2580)-SUMIFS(Оплаты!$B$6:$B$505,Оплаты!$A$6:$A$505,"&lt;"&amp;A2580,Оплаты!$D$6:$D$505,"&lt;&gt;"))</f>
        <v/>
      </c>
      <c r="E2580">
        <f>IF(A2580="","",IF(SUMPRODUCT((Ввод!$F$12:$F$31&lt;&gt;"")*(Ввод!$F$12:$F$31&lt;=A2580)*(Ввод!$G$12:$G$31&gt;=A2580))&gt;0,1,0))</f>
        <v/>
      </c>
      <c r="G2580">
        <f>IF(A2580="","",IF(OR(B2580&lt;&gt;B2579,C2580&lt;&gt;C2579,E2580&lt;&gt;E2579),G2579+1,G2579))</f>
        <v/>
      </c>
    </row>
    <row r="2581">
      <c r="A2581" s="20">
        <f>IF(A2580="","",IF(A2580+1&gt;Ввод!$B$4,"",A2580+1))</f>
        <v/>
      </c>
      <c r="B2581">
        <f>IF(A2581="","",IFERROR(INDEX(Ввод!$B$12:$B$71,MATCH(A2581,Ввод!$D$12:$D$71,1)),""))</f>
        <v/>
      </c>
      <c r="C2581">
        <f>IF(A2581="","",DATE(YEAR(A2581),12,31)-DATE(YEAR(A2581),1,1)+1)</f>
        <v/>
      </c>
      <c r="D2581">
        <f>IF(A2581="","",SUMIFS(Акты!$D$5:$D$16,Акты!$E$5:$E$16,"&lt;="&amp;A2581)-SUMIFS(Оплаты!$B$6:$B$505,Оплаты!$A$6:$A$505,"&lt;"&amp;A2581,Оплаты!$D$6:$D$505,"&lt;&gt;"))</f>
        <v/>
      </c>
      <c r="E2581">
        <f>IF(A2581="","",IF(SUMPRODUCT((Ввод!$F$12:$F$31&lt;&gt;"")*(Ввод!$F$12:$F$31&lt;=A2581)*(Ввод!$G$12:$G$31&gt;=A2581))&gt;0,1,0))</f>
        <v/>
      </c>
      <c r="G2581">
        <f>IF(A2581="","",IF(OR(B2581&lt;&gt;B2580,C2581&lt;&gt;C2580,E2581&lt;&gt;E2580),G2580+1,G2580))</f>
        <v/>
      </c>
    </row>
    <row r="2582">
      <c r="A2582" s="20">
        <f>IF(A2581="","",IF(A2581+1&gt;Ввод!$B$4,"",A2581+1))</f>
        <v/>
      </c>
      <c r="B2582">
        <f>IF(A2582="","",IFERROR(INDEX(Ввод!$B$12:$B$71,MATCH(A2582,Ввод!$D$12:$D$71,1)),""))</f>
        <v/>
      </c>
      <c r="C2582">
        <f>IF(A2582="","",DATE(YEAR(A2582),12,31)-DATE(YEAR(A2582),1,1)+1)</f>
        <v/>
      </c>
      <c r="D2582">
        <f>IF(A2582="","",SUMIFS(Акты!$D$5:$D$16,Акты!$E$5:$E$16,"&lt;="&amp;A2582)-SUMIFS(Оплаты!$B$6:$B$505,Оплаты!$A$6:$A$505,"&lt;"&amp;A2582,Оплаты!$D$6:$D$505,"&lt;&gt;"))</f>
        <v/>
      </c>
      <c r="E2582">
        <f>IF(A2582="","",IF(SUMPRODUCT((Ввод!$F$12:$F$31&lt;&gt;"")*(Ввод!$F$12:$F$31&lt;=A2582)*(Ввод!$G$12:$G$31&gt;=A2582))&gt;0,1,0))</f>
        <v/>
      </c>
      <c r="G2582">
        <f>IF(A2582="","",IF(OR(B2582&lt;&gt;B2581,C2582&lt;&gt;C2581,E2582&lt;&gt;E2581),G2581+1,G2581))</f>
        <v/>
      </c>
    </row>
    <row r="2583">
      <c r="A2583" s="20">
        <f>IF(A2582="","",IF(A2582+1&gt;Ввод!$B$4,"",A2582+1))</f>
        <v/>
      </c>
      <c r="B2583">
        <f>IF(A2583="","",IFERROR(INDEX(Ввод!$B$12:$B$71,MATCH(A2583,Ввод!$D$12:$D$71,1)),""))</f>
        <v/>
      </c>
      <c r="C2583">
        <f>IF(A2583="","",DATE(YEAR(A2583),12,31)-DATE(YEAR(A2583),1,1)+1)</f>
        <v/>
      </c>
      <c r="D2583">
        <f>IF(A2583="","",SUMIFS(Акты!$D$5:$D$16,Акты!$E$5:$E$16,"&lt;="&amp;A2583)-SUMIFS(Оплаты!$B$6:$B$505,Оплаты!$A$6:$A$505,"&lt;"&amp;A2583,Оплаты!$D$6:$D$505,"&lt;&gt;"))</f>
        <v/>
      </c>
      <c r="E2583">
        <f>IF(A2583="","",IF(SUMPRODUCT((Ввод!$F$12:$F$31&lt;&gt;"")*(Ввод!$F$12:$F$31&lt;=A2583)*(Ввод!$G$12:$G$31&gt;=A2583))&gt;0,1,0))</f>
        <v/>
      </c>
      <c r="G2583">
        <f>IF(A2583="","",IF(OR(B2583&lt;&gt;B2582,C2583&lt;&gt;C2582,E2583&lt;&gt;E2582),G2582+1,G2582))</f>
        <v/>
      </c>
    </row>
    <row r="2584">
      <c r="A2584" s="20">
        <f>IF(A2583="","",IF(A2583+1&gt;Ввод!$B$4,"",A2583+1))</f>
        <v/>
      </c>
      <c r="B2584">
        <f>IF(A2584="","",IFERROR(INDEX(Ввод!$B$12:$B$71,MATCH(A2584,Ввод!$D$12:$D$71,1)),""))</f>
        <v/>
      </c>
      <c r="C2584">
        <f>IF(A2584="","",DATE(YEAR(A2584),12,31)-DATE(YEAR(A2584),1,1)+1)</f>
        <v/>
      </c>
      <c r="D2584">
        <f>IF(A2584="","",SUMIFS(Акты!$D$5:$D$16,Акты!$E$5:$E$16,"&lt;="&amp;A2584)-SUMIFS(Оплаты!$B$6:$B$505,Оплаты!$A$6:$A$505,"&lt;"&amp;A2584,Оплаты!$D$6:$D$505,"&lt;&gt;"))</f>
        <v/>
      </c>
      <c r="E2584">
        <f>IF(A2584="","",IF(SUMPRODUCT((Ввод!$F$12:$F$31&lt;&gt;"")*(Ввод!$F$12:$F$31&lt;=A2584)*(Ввод!$G$12:$G$31&gt;=A2584))&gt;0,1,0))</f>
        <v/>
      </c>
      <c r="G2584">
        <f>IF(A2584="","",IF(OR(B2584&lt;&gt;B2583,C2584&lt;&gt;C2583,E2584&lt;&gt;E2583),G2583+1,G2583))</f>
        <v/>
      </c>
    </row>
    <row r="2585">
      <c r="A2585" s="20">
        <f>IF(A2584="","",IF(A2584+1&gt;Ввод!$B$4,"",A2584+1))</f>
        <v/>
      </c>
      <c r="B2585">
        <f>IF(A2585="","",IFERROR(INDEX(Ввод!$B$12:$B$71,MATCH(A2585,Ввод!$D$12:$D$71,1)),""))</f>
        <v/>
      </c>
      <c r="C2585">
        <f>IF(A2585="","",DATE(YEAR(A2585),12,31)-DATE(YEAR(A2585),1,1)+1)</f>
        <v/>
      </c>
      <c r="D2585">
        <f>IF(A2585="","",SUMIFS(Акты!$D$5:$D$16,Акты!$E$5:$E$16,"&lt;="&amp;A2585)-SUMIFS(Оплаты!$B$6:$B$505,Оплаты!$A$6:$A$505,"&lt;"&amp;A2585,Оплаты!$D$6:$D$505,"&lt;&gt;"))</f>
        <v/>
      </c>
      <c r="E2585">
        <f>IF(A2585="","",IF(SUMPRODUCT((Ввод!$F$12:$F$31&lt;&gt;"")*(Ввод!$F$12:$F$31&lt;=A2585)*(Ввод!$G$12:$G$31&gt;=A2585))&gt;0,1,0))</f>
        <v/>
      </c>
      <c r="G2585">
        <f>IF(A2585="","",IF(OR(B2585&lt;&gt;B2584,C2585&lt;&gt;C2584,E2585&lt;&gt;E2584),G2584+1,G2584))</f>
        <v/>
      </c>
    </row>
    <row r="2586">
      <c r="A2586" s="20">
        <f>IF(A2585="","",IF(A2585+1&gt;Ввод!$B$4,"",A2585+1))</f>
        <v/>
      </c>
      <c r="B2586">
        <f>IF(A2586="","",IFERROR(INDEX(Ввод!$B$12:$B$71,MATCH(A2586,Ввод!$D$12:$D$71,1)),""))</f>
        <v/>
      </c>
      <c r="C2586">
        <f>IF(A2586="","",DATE(YEAR(A2586),12,31)-DATE(YEAR(A2586),1,1)+1)</f>
        <v/>
      </c>
      <c r="D2586">
        <f>IF(A2586="","",SUMIFS(Акты!$D$5:$D$16,Акты!$E$5:$E$16,"&lt;="&amp;A2586)-SUMIFS(Оплаты!$B$6:$B$505,Оплаты!$A$6:$A$505,"&lt;"&amp;A2586,Оплаты!$D$6:$D$505,"&lt;&gt;"))</f>
        <v/>
      </c>
      <c r="E2586">
        <f>IF(A2586="","",IF(SUMPRODUCT((Ввод!$F$12:$F$31&lt;&gt;"")*(Ввод!$F$12:$F$31&lt;=A2586)*(Ввод!$G$12:$G$31&gt;=A2586))&gt;0,1,0))</f>
        <v/>
      </c>
      <c r="G2586">
        <f>IF(A2586="","",IF(OR(B2586&lt;&gt;B2585,C2586&lt;&gt;C2585,E2586&lt;&gt;E2585),G2585+1,G2585))</f>
        <v/>
      </c>
    </row>
    <row r="2587">
      <c r="A2587" s="20">
        <f>IF(A2586="","",IF(A2586+1&gt;Ввод!$B$4,"",A2586+1))</f>
        <v/>
      </c>
      <c r="B2587">
        <f>IF(A2587="","",IFERROR(INDEX(Ввод!$B$12:$B$71,MATCH(A2587,Ввод!$D$12:$D$71,1)),""))</f>
        <v/>
      </c>
      <c r="C2587">
        <f>IF(A2587="","",DATE(YEAR(A2587),12,31)-DATE(YEAR(A2587),1,1)+1)</f>
        <v/>
      </c>
      <c r="D2587">
        <f>IF(A2587="","",SUMIFS(Акты!$D$5:$D$16,Акты!$E$5:$E$16,"&lt;="&amp;A2587)-SUMIFS(Оплаты!$B$6:$B$505,Оплаты!$A$6:$A$505,"&lt;"&amp;A2587,Оплаты!$D$6:$D$505,"&lt;&gt;"))</f>
        <v/>
      </c>
      <c r="E2587">
        <f>IF(A2587="","",IF(SUMPRODUCT((Ввод!$F$12:$F$31&lt;&gt;"")*(Ввод!$F$12:$F$31&lt;=A2587)*(Ввод!$G$12:$G$31&gt;=A2587))&gt;0,1,0))</f>
        <v/>
      </c>
      <c r="G2587">
        <f>IF(A2587="","",IF(OR(B2587&lt;&gt;B2586,C2587&lt;&gt;C2586,E2587&lt;&gt;E2586),G2586+1,G2586))</f>
        <v/>
      </c>
    </row>
    <row r="2588">
      <c r="A2588" s="20">
        <f>IF(A2587="","",IF(A2587+1&gt;Ввод!$B$4,"",A2587+1))</f>
        <v/>
      </c>
      <c r="B2588">
        <f>IF(A2588="","",IFERROR(INDEX(Ввод!$B$12:$B$71,MATCH(A2588,Ввод!$D$12:$D$71,1)),""))</f>
        <v/>
      </c>
      <c r="C2588">
        <f>IF(A2588="","",DATE(YEAR(A2588),12,31)-DATE(YEAR(A2588),1,1)+1)</f>
        <v/>
      </c>
      <c r="D2588">
        <f>IF(A2588="","",SUMIFS(Акты!$D$5:$D$16,Акты!$E$5:$E$16,"&lt;="&amp;A2588)-SUMIFS(Оплаты!$B$6:$B$505,Оплаты!$A$6:$A$505,"&lt;"&amp;A2588,Оплаты!$D$6:$D$505,"&lt;&gt;"))</f>
        <v/>
      </c>
      <c r="E2588">
        <f>IF(A2588="","",IF(SUMPRODUCT((Ввод!$F$12:$F$31&lt;&gt;"")*(Ввод!$F$12:$F$31&lt;=A2588)*(Ввод!$G$12:$G$31&gt;=A2588))&gt;0,1,0))</f>
        <v/>
      </c>
      <c r="G2588">
        <f>IF(A2588="","",IF(OR(B2588&lt;&gt;B2587,C2588&lt;&gt;C2587,E2588&lt;&gt;E2587),G2587+1,G2587))</f>
        <v/>
      </c>
    </row>
    <row r="2589">
      <c r="A2589" s="20">
        <f>IF(A2588="","",IF(A2588+1&gt;Ввод!$B$4,"",A2588+1))</f>
        <v/>
      </c>
      <c r="B2589">
        <f>IF(A2589="","",IFERROR(INDEX(Ввод!$B$12:$B$71,MATCH(A2589,Ввод!$D$12:$D$71,1)),""))</f>
        <v/>
      </c>
      <c r="C2589">
        <f>IF(A2589="","",DATE(YEAR(A2589),12,31)-DATE(YEAR(A2589),1,1)+1)</f>
        <v/>
      </c>
      <c r="D2589">
        <f>IF(A2589="","",SUMIFS(Акты!$D$5:$D$16,Акты!$E$5:$E$16,"&lt;="&amp;A2589)-SUMIFS(Оплаты!$B$6:$B$505,Оплаты!$A$6:$A$505,"&lt;"&amp;A2589,Оплаты!$D$6:$D$505,"&lt;&gt;"))</f>
        <v/>
      </c>
      <c r="E2589">
        <f>IF(A2589="","",IF(SUMPRODUCT((Ввод!$F$12:$F$31&lt;&gt;"")*(Ввод!$F$12:$F$31&lt;=A2589)*(Ввод!$G$12:$G$31&gt;=A2589))&gt;0,1,0))</f>
        <v/>
      </c>
      <c r="G2589">
        <f>IF(A2589="","",IF(OR(B2589&lt;&gt;B2588,C2589&lt;&gt;C2588,E2589&lt;&gt;E2588),G2588+1,G2588))</f>
        <v/>
      </c>
    </row>
    <row r="2590">
      <c r="A2590" s="20">
        <f>IF(A2589="","",IF(A2589+1&gt;Ввод!$B$4,"",A2589+1))</f>
        <v/>
      </c>
      <c r="B2590">
        <f>IF(A2590="","",IFERROR(INDEX(Ввод!$B$12:$B$71,MATCH(A2590,Ввод!$D$12:$D$71,1)),""))</f>
        <v/>
      </c>
      <c r="C2590">
        <f>IF(A2590="","",DATE(YEAR(A2590),12,31)-DATE(YEAR(A2590),1,1)+1)</f>
        <v/>
      </c>
      <c r="D2590">
        <f>IF(A2590="","",SUMIFS(Акты!$D$5:$D$16,Акты!$E$5:$E$16,"&lt;="&amp;A2590)-SUMIFS(Оплаты!$B$6:$B$505,Оплаты!$A$6:$A$505,"&lt;"&amp;A2590,Оплаты!$D$6:$D$505,"&lt;&gt;"))</f>
        <v/>
      </c>
      <c r="E2590">
        <f>IF(A2590="","",IF(SUMPRODUCT((Ввод!$F$12:$F$31&lt;&gt;"")*(Ввод!$F$12:$F$31&lt;=A2590)*(Ввод!$G$12:$G$31&gt;=A2590))&gt;0,1,0))</f>
        <v/>
      </c>
      <c r="G2590">
        <f>IF(A2590="","",IF(OR(B2590&lt;&gt;B2589,C2590&lt;&gt;C2589,E2590&lt;&gt;E2589),G2589+1,G2589))</f>
        <v/>
      </c>
    </row>
    <row r="2591">
      <c r="A2591" s="20">
        <f>IF(A2590="","",IF(A2590+1&gt;Ввод!$B$4,"",A2590+1))</f>
        <v/>
      </c>
      <c r="B2591">
        <f>IF(A2591="","",IFERROR(INDEX(Ввод!$B$12:$B$71,MATCH(A2591,Ввод!$D$12:$D$71,1)),""))</f>
        <v/>
      </c>
      <c r="C2591">
        <f>IF(A2591="","",DATE(YEAR(A2591),12,31)-DATE(YEAR(A2591),1,1)+1)</f>
        <v/>
      </c>
      <c r="D2591">
        <f>IF(A2591="","",SUMIFS(Акты!$D$5:$D$16,Акты!$E$5:$E$16,"&lt;="&amp;A2591)-SUMIFS(Оплаты!$B$6:$B$505,Оплаты!$A$6:$A$505,"&lt;"&amp;A2591,Оплаты!$D$6:$D$505,"&lt;&gt;"))</f>
        <v/>
      </c>
      <c r="E2591">
        <f>IF(A2591="","",IF(SUMPRODUCT((Ввод!$F$12:$F$31&lt;&gt;"")*(Ввод!$F$12:$F$31&lt;=A2591)*(Ввод!$G$12:$G$31&gt;=A2591))&gt;0,1,0))</f>
        <v/>
      </c>
      <c r="G2591">
        <f>IF(A2591="","",IF(OR(B2591&lt;&gt;B2590,C2591&lt;&gt;C2590,E2591&lt;&gt;E2590),G2590+1,G2590))</f>
        <v/>
      </c>
    </row>
    <row r="2592">
      <c r="A2592" s="20">
        <f>IF(A2591="","",IF(A2591+1&gt;Ввод!$B$4,"",A2591+1))</f>
        <v/>
      </c>
      <c r="B2592">
        <f>IF(A2592="","",IFERROR(INDEX(Ввод!$B$12:$B$71,MATCH(A2592,Ввод!$D$12:$D$71,1)),""))</f>
        <v/>
      </c>
      <c r="C2592">
        <f>IF(A2592="","",DATE(YEAR(A2592),12,31)-DATE(YEAR(A2592),1,1)+1)</f>
        <v/>
      </c>
      <c r="D2592">
        <f>IF(A2592="","",SUMIFS(Акты!$D$5:$D$16,Акты!$E$5:$E$16,"&lt;="&amp;A2592)-SUMIFS(Оплаты!$B$6:$B$505,Оплаты!$A$6:$A$505,"&lt;"&amp;A2592,Оплаты!$D$6:$D$505,"&lt;&gt;"))</f>
        <v/>
      </c>
      <c r="E2592">
        <f>IF(A2592="","",IF(SUMPRODUCT((Ввод!$F$12:$F$31&lt;&gt;"")*(Ввод!$F$12:$F$31&lt;=A2592)*(Ввод!$G$12:$G$31&gt;=A2592))&gt;0,1,0))</f>
        <v/>
      </c>
      <c r="G2592">
        <f>IF(A2592="","",IF(OR(B2592&lt;&gt;B2591,C2592&lt;&gt;C2591,E2592&lt;&gt;E2591),G2591+1,G2591))</f>
        <v/>
      </c>
    </row>
    <row r="2593">
      <c r="A2593" s="20">
        <f>IF(A2592="","",IF(A2592+1&gt;Ввод!$B$4,"",A2592+1))</f>
        <v/>
      </c>
      <c r="B2593">
        <f>IF(A2593="","",IFERROR(INDEX(Ввод!$B$12:$B$71,MATCH(A2593,Ввод!$D$12:$D$71,1)),""))</f>
        <v/>
      </c>
      <c r="C2593">
        <f>IF(A2593="","",DATE(YEAR(A2593),12,31)-DATE(YEAR(A2593),1,1)+1)</f>
        <v/>
      </c>
      <c r="D2593">
        <f>IF(A2593="","",SUMIFS(Акты!$D$5:$D$16,Акты!$E$5:$E$16,"&lt;="&amp;A2593)-SUMIFS(Оплаты!$B$6:$B$505,Оплаты!$A$6:$A$505,"&lt;"&amp;A2593,Оплаты!$D$6:$D$505,"&lt;&gt;"))</f>
        <v/>
      </c>
      <c r="E2593">
        <f>IF(A2593="","",IF(SUMPRODUCT((Ввод!$F$12:$F$31&lt;&gt;"")*(Ввод!$F$12:$F$31&lt;=A2593)*(Ввод!$G$12:$G$31&gt;=A2593))&gt;0,1,0))</f>
        <v/>
      </c>
      <c r="G2593">
        <f>IF(A2593="","",IF(OR(B2593&lt;&gt;B2592,C2593&lt;&gt;C2592,E2593&lt;&gt;E2592),G2592+1,G2592))</f>
        <v/>
      </c>
    </row>
    <row r="2594">
      <c r="A2594" s="20">
        <f>IF(A2593="","",IF(A2593+1&gt;Ввод!$B$4,"",A2593+1))</f>
        <v/>
      </c>
      <c r="B2594">
        <f>IF(A2594="","",IFERROR(INDEX(Ввод!$B$12:$B$71,MATCH(A2594,Ввод!$D$12:$D$71,1)),""))</f>
        <v/>
      </c>
      <c r="C2594">
        <f>IF(A2594="","",DATE(YEAR(A2594),12,31)-DATE(YEAR(A2594),1,1)+1)</f>
        <v/>
      </c>
      <c r="D2594">
        <f>IF(A2594="","",SUMIFS(Акты!$D$5:$D$16,Акты!$E$5:$E$16,"&lt;="&amp;A2594)-SUMIFS(Оплаты!$B$6:$B$505,Оплаты!$A$6:$A$505,"&lt;"&amp;A2594,Оплаты!$D$6:$D$505,"&lt;&gt;"))</f>
        <v/>
      </c>
      <c r="E2594">
        <f>IF(A2594="","",IF(SUMPRODUCT((Ввод!$F$12:$F$31&lt;&gt;"")*(Ввод!$F$12:$F$31&lt;=A2594)*(Ввод!$G$12:$G$31&gt;=A2594))&gt;0,1,0))</f>
        <v/>
      </c>
      <c r="G2594">
        <f>IF(A2594="","",IF(OR(B2594&lt;&gt;B2593,C2594&lt;&gt;C2593,E2594&lt;&gt;E2593),G2593+1,G2593))</f>
        <v/>
      </c>
    </row>
    <row r="2595">
      <c r="A2595" s="20">
        <f>IF(A2594="","",IF(A2594+1&gt;Ввод!$B$4,"",A2594+1))</f>
        <v/>
      </c>
      <c r="B2595">
        <f>IF(A2595="","",IFERROR(INDEX(Ввод!$B$12:$B$71,MATCH(A2595,Ввод!$D$12:$D$71,1)),""))</f>
        <v/>
      </c>
      <c r="C2595">
        <f>IF(A2595="","",DATE(YEAR(A2595),12,31)-DATE(YEAR(A2595),1,1)+1)</f>
        <v/>
      </c>
      <c r="D2595">
        <f>IF(A2595="","",SUMIFS(Акты!$D$5:$D$16,Акты!$E$5:$E$16,"&lt;="&amp;A2595)-SUMIFS(Оплаты!$B$6:$B$505,Оплаты!$A$6:$A$505,"&lt;"&amp;A2595,Оплаты!$D$6:$D$505,"&lt;&gt;"))</f>
        <v/>
      </c>
      <c r="E2595">
        <f>IF(A2595="","",IF(SUMPRODUCT((Ввод!$F$12:$F$31&lt;&gt;"")*(Ввод!$F$12:$F$31&lt;=A2595)*(Ввод!$G$12:$G$31&gt;=A2595))&gt;0,1,0))</f>
        <v/>
      </c>
      <c r="G2595">
        <f>IF(A2595="","",IF(OR(B2595&lt;&gt;B2594,C2595&lt;&gt;C2594,E2595&lt;&gt;E2594),G2594+1,G2594))</f>
        <v/>
      </c>
    </row>
    <row r="2596">
      <c r="A2596" s="20">
        <f>IF(A2595="","",IF(A2595+1&gt;Ввод!$B$4,"",A2595+1))</f>
        <v/>
      </c>
      <c r="B2596">
        <f>IF(A2596="","",IFERROR(INDEX(Ввод!$B$12:$B$71,MATCH(A2596,Ввод!$D$12:$D$71,1)),""))</f>
        <v/>
      </c>
      <c r="C2596">
        <f>IF(A2596="","",DATE(YEAR(A2596),12,31)-DATE(YEAR(A2596),1,1)+1)</f>
        <v/>
      </c>
      <c r="D2596">
        <f>IF(A2596="","",SUMIFS(Акты!$D$5:$D$16,Акты!$E$5:$E$16,"&lt;="&amp;A2596)-SUMIFS(Оплаты!$B$6:$B$505,Оплаты!$A$6:$A$505,"&lt;"&amp;A2596,Оплаты!$D$6:$D$505,"&lt;&gt;"))</f>
        <v/>
      </c>
      <c r="E2596">
        <f>IF(A2596="","",IF(SUMPRODUCT((Ввод!$F$12:$F$31&lt;&gt;"")*(Ввод!$F$12:$F$31&lt;=A2596)*(Ввод!$G$12:$G$31&gt;=A2596))&gt;0,1,0))</f>
        <v/>
      </c>
      <c r="G2596">
        <f>IF(A2596="","",IF(OR(B2596&lt;&gt;B2595,C2596&lt;&gt;C2595,E2596&lt;&gt;E2595),G2595+1,G2595))</f>
        <v/>
      </c>
    </row>
    <row r="2597">
      <c r="A2597" s="20">
        <f>IF(A2596="","",IF(A2596+1&gt;Ввод!$B$4,"",A2596+1))</f>
        <v/>
      </c>
      <c r="B2597">
        <f>IF(A2597="","",IFERROR(INDEX(Ввод!$B$12:$B$71,MATCH(A2597,Ввод!$D$12:$D$71,1)),""))</f>
        <v/>
      </c>
      <c r="C2597">
        <f>IF(A2597="","",DATE(YEAR(A2597),12,31)-DATE(YEAR(A2597),1,1)+1)</f>
        <v/>
      </c>
      <c r="D2597">
        <f>IF(A2597="","",SUMIFS(Акты!$D$5:$D$16,Акты!$E$5:$E$16,"&lt;="&amp;A2597)-SUMIFS(Оплаты!$B$6:$B$505,Оплаты!$A$6:$A$505,"&lt;"&amp;A2597,Оплаты!$D$6:$D$505,"&lt;&gt;"))</f>
        <v/>
      </c>
      <c r="E2597">
        <f>IF(A2597="","",IF(SUMPRODUCT((Ввод!$F$12:$F$31&lt;&gt;"")*(Ввод!$F$12:$F$31&lt;=A2597)*(Ввод!$G$12:$G$31&gt;=A2597))&gt;0,1,0))</f>
        <v/>
      </c>
      <c r="G2597">
        <f>IF(A2597="","",IF(OR(B2597&lt;&gt;B2596,C2597&lt;&gt;C2596,E2597&lt;&gt;E2596),G2596+1,G2596))</f>
        <v/>
      </c>
    </row>
    <row r="2598">
      <c r="A2598" s="20">
        <f>IF(A2597="","",IF(A2597+1&gt;Ввод!$B$4,"",A2597+1))</f>
        <v/>
      </c>
      <c r="B2598">
        <f>IF(A2598="","",IFERROR(INDEX(Ввод!$B$12:$B$71,MATCH(A2598,Ввод!$D$12:$D$71,1)),""))</f>
        <v/>
      </c>
      <c r="C2598">
        <f>IF(A2598="","",DATE(YEAR(A2598),12,31)-DATE(YEAR(A2598),1,1)+1)</f>
        <v/>
      </c>
      <c r="D2598">
        <f>IF(A2598="","",SUMIFS(Акты!$D$5:$D$16,Акты!$E$5:$E$16,"&lt;="&amp;A2598)-SUMIFS(Оплаты!$B$6:$B$505,Оплаты!$A$6:$A$505,"&lt;"&amp;A2598,Оплаты!$D$6:$D$505,"&lt;&gt;"))</f>
        <v/>
      </c>
      <c r="E2598">
        <f>IF(A2598="","",IF(SUMPRODUCT((Ввод!$F$12:$F$31&lt;&gt;"")*(Ввод!$F$12:$F$31&lt;=A2598)*(Ввод!$G$12:$G$31&gt;=A2598))&gt;0,1,0))</f>
        <v/>
      </c>
      <c r="G2598">
        <f>IF(A2598="","",IF(OR(B2598&lt;&gt;B2597,C2598&lt;&gt;C2597,E2598&lt;&gt;E2597),G2597+1,G2597))</f>
        <v/>
      </c>
    </row>
    <row r="2599">
      <c r="A2599" s="20">
        <f>IF(A2598="","",IF(A2598+1&gt;Ввод!$B$4,"",A2598+1))</f>
        <v/>
      </c>
      <c r="B2599">
        <f>IF(A2599="","",IFERROR(INDEX(Ввод!$B$12:$B$71,MATCH(A2599,Ввод!$D$12:$D$71,1)),""))</f>
        <v/>
      </c>
      <c r="C2599">
        <f>IF(A2599="","",DATE(YEAR(A2599),12,31)-DATE(YEAR(A2599),1,1)+1)</f>
        <v/>
      </c>
      <c r="D2599">
        <f>IF(A2599="","",SUMIFS(Акты!$D$5:$D$16,Акты!$E$5:$E$16,"&lt;="&amp;A2599)-SUMIFS(Оплаты!$B$6:$B$505,Оплаты!$A$6:$A$505,"&lt;"&amp;A2599,Оплаты!$D$6:$D$505,"&lt;&gt;"))</f>
        <v/>
      </c>
      <c r="E2599">
        <f>IF(A2599="","",IF(SUMPRODUCT((Ввод!$F$12:$F$31&lt;&gt;"")*(Ввод!$F$12:$F$31&lt;=A2599)*(Ввод!$G$12:$G$31&gt;=A2599))&gt;0,1,0))</f>
        <v/>
      </c>
      <c r="G2599">
        <f>IF(A2599="","",IF(OR(B2599&lt;&gt;B2598,C2599&lt;&gt;C2598,E2599&lt;&gt;E2598),G2598+1,G2598))</f>
        <v/>
      </c>
    </row>
    <row r="2600">
      <c r="A2600" s="20">
        <f>IF(A2599="","",IF(A2599+1&gt;Ввод!$B$4,"",A2599+1))</f>
        <v/>
      </c>
      <c r="B2600">
        <f>IF(A2600="","",IFERROR(INDEX(Ввод!$B$12:$B$71,MATCH(A2600,Ввод!$D$12:$D$71,1)),""))</f>
        <v/>
      </c>
      <c r="C2600">
        <f>IF(A2600="","",DATE(YEAR(A2600),12,31)-DATE(YEAR(A2600),1,1)+1)</f>
        <v/>
      </c>
      <c r="D2600">
        <f>IF(A2600="","",SUMIFS(Акты!$D$5:$D$16,Акты!$E$5:$E$16,"&lt;="&amp;A2600)-SUMIFS(Оплаты!$B$6:$B$505,Оплаты!$A$6:$A$505,"&lt;"&amp;A2600,Оплаты!$D$6:$D$505,"&lt;&gt;"))</f>
        <v/>
      </c>
      <c r="E2600">
        <f>IF(A2600="","",IF(SUMPRODUCT((Ввод!$F$12:$F$31&lt;&gt;"")*(Ввод!$F$12:$F$31&lt;=A2600)*(Ввод!$G$12:$G$31&gt;=A2600))&gt;0,1,0))</f>
        <v/>
      </c>
      <c r="G2600">
        <f>IF(A2600="","",IF(OR(B2600&lt;&gt;B2599,C2600&lt;&gt;C2599,E2600&lt;&gt;E2599),G2599+1,G2599))</f>
        <v/>
      </c>
    </row>
    <row r="2601">
      <c r="A2601" s="20">
        <f>IF(A2600="","",IF(A2600+1&gt;Ввод!$B$4,"",A2600+1))</f>
        <v/>
      </c>
      <c r="B2601">
        <f>IF(A2601="","",IFERROR(INDEX(Ввод!$B$12:$B$71,MATCH(A2601,Ввод!$D$12:$D$71,1)),""))</f>
        <v/>
      </c>
      <c r="C2601">
        <f>IF(A2601="","",DATE(YEAR(A2601),12,31)-DATE(YEAR(A2601),1,1)+1)</f>
        <v/>
      </c>
      <c r="D2601">
        <f>IF(A2601="","",SUMIFS(Акты!$D$5:$D$16,Акты!$E$5:$E$16,"&lt;="&amp;A2601)-SUMIFS(Оплаты!$B$6:$B$505,Оплаты!$A$6:$A$505,"&lt;"&amp;A2601,Оплаты!$D$6:$D$505,"&lt;&gt;"))</f>
        <v/>
      </c>
      <c r="E2601">
        <f>IF(A2601="","",IF(SUMPRODUCT((Ввод!$F$12:$F$31&lt;&gt;"")*(Ввод!$F$12:$F$31&lt;=A2601)*(Ввод!$G$12:$G$31&gt;=A2601))&gt;0,1,0))</f>
        <v/>
      </c>
      <c r="G2601">
        <f>IF(A2601="","",IF(OR(B2601&lt;&gt;B2600,C2601&lt;&gt;C2600,E2601&lt;&gt;E2600),G2600+1,G2600))</f>
        <v/>
      </c>
    </row>
    <row r="2602">
      <c r="A2602" s="20">
        <f>IF(A2601="","",IF(A2601+1&gt;Ввод!$B$4,"",A2601+1))</f>
        <v/>
      </c>
      <c r="B2602">
        <f>IF(A2602="","",IFERROR(INDEX(Ввод!$B$12:$B$71,MATCH(A2602,Ввод!$D$12:$D$71,1)),""))</f>
        <v/>
      </c>
      <c r="C2602">
        <f>IF(A2602="","",DATE(YEAR(A2602),12,31)-DATE(YEAR(A2602),1,1)+1)</f>
        <v/>
      </c>
      <c r="D2602">
        <f>IF(A2602="","",SUMIFS(Акты!$D$5:$D$16,Акты!$E$5:$E$16,"&lt;="&amp;A2602)-SUMIFS(Оплаты!$B$6:$B$505,Оплаты!$A$6:$A$505,"&lt;"&amp;A2602,Оплаты!$D$6:$D$505,"&lt;&gt;"))</f>
        <v/>
      </c>
      <c r="E2602">
        <f>IF(A2602="","",IF(SUMPRODUCT((Ввод!$F$12:$F$31&lt;&gt;"")*(Ввод!$F$12:$F$31&lt;=A2602)*(Ввод!$G$12:$G$31&gt;=A2602))&gt;0,1,0))</f>
        <v/>
      </c>
      <c r="G2602">
        <f>IF(A2602="","",IF(OR(B2602&lt;&gt;B2601,C2602&lt;&gt;C2601,E2602&lt;&gt;E2601),G2601+1,G2601))</f>
        <v/>
      </c>
    </row>
    <row r="2603">
      <c r="A2603" s="20">
        <f>IF(A2602="","",IF(A2602+1&gt;Ввод!$B$4,"",A2602+1))</f>
        <v/>
      </c>
      <c r="B2603">
        <f>IF(A2603="","",IFERROR(INDEX(Ввод!$B$12:$B$71,MATCH(A2603,Ввод!$D$12:$D$71,1)),""))</f>
        <v/>
      </c>
      <c r="C2603">
        <f>IF(A2603="","",DATE(YEAR(A2603),12,31)-DATE(YEAR(A2603),1,1)+1)</f>
        <v/>
      </c>
      <c r="D2603">
        <f>IF(A2603="","",SUMIFS(Акты!$D$5:$D$16,Акты!$E$5:$E$16,"&lt;="&amp;A2603)-SUMIFS(Оплаты!$B$6:$B$505,Оплаты!$A$6:$A$505,"&lt;"&amp;A2603,Оплаты!$D$6:$D$505,"&lt;&gt;"))</f>
        <v/>
      </c>
      <c r="E2603">
        <f>IF(A2603="","",IF(SUMPRODUCT((Ввод!$F$12:$F$31&lt;&gt;"")*(Ввод!$F$12:$F$31&lt;=A2603)*(Ввод!$G$12:$G$31&gt;=A2603))&gt;0,1,0))</f>
        <v/>
      </c>
      <c r="G2603">
        <f>IF(A2603="","",IF(OR(B2603&lt;&gt;B2602,C2603&lt;&gt;C2602,E2603&lt;&gt;E2602),G2602+1,G2602))</f>
        <v/>
      </c>
    </row>
    <row r="2604">
      <c r="A2604" s="20">
        <f>IF(A2603="","",IF(A2603+1&gt;Ввод!$B$4,"",A2603+1))</f>
        <v/>
      </c>
      <c r="B2604">
        <f>IF(A2604="","",IFERROR(INDEX(Ввод!$B$12:$B$71,MATCH(A2604,Ввод!$D$12:$D$71,1)),""))</f>
        <v/>
      </c>
      <c r="C2604">
        <f>IF(A2604="","",DATE(YEAR(A2604),12,31)-DATE(YEAR(A2604),1,1)+1)</f>
        <v/>
      </c>
      <c r="D2604">
        <f>IF(A2604="","",SUMIFS(Акты!$D$5:$D$16,Акты!$E$5:$E$16,"&lt;="&amp;A2604)-SUMIFS(Оплаты!$B$6:$B$505,Оплаты!$A$6:$A$505,"&lt;"&amp;A2604,Оплаты!$D$6:$D$505,"&lt;&gt;"))</f>
        <v/>
      </c>
      <c r="E2604">
        <f>IF(A2604="","",IF(SUMPRODUCT((Ввод!$F$12:$F$31&lt;&gt;"")*(Ввод!$F$12:$F$31&lt;=A2604)*(Ввод!$G$12:$G$31&gt;=A2604))&gt;0,1,0))</f>
        <v/>
      </c>
      <c r="G2604">
        <f>IF(A2604="","",IF(OR(B2604&lt;&gt;B2603,C2604&lt;&gt;C2603,E2604&lt;&gt;E2603),G2603+1,G2603))</f>
        <v/>
      </c>
    </row>
    <row r="2605">
      <c r="A2605" s="20">
        <f>IF(A2604="","",IF(A2604+1&gt;Ввод!$B$4,"",A2604+1))</f>
        <v/>
      </c>
      <c r="B2605">
        <f>IF(A2605="","",IFERROR(INDEX(Ввод!$B$12:$B$71,MATCH(A2605,Ввод!$D$12:$D$71,1)),""))</f>
        <v/>
      </c>
      <c r="C2605">
        <f>IF(A2605="","",DATE(YEAR(A2605),12,31)-DATE(YEAR(A2605),1,1)+1)</f>
        <v/>
      </c>
      <c r="D2605">
        <f>IF(A2605="","",SUMIFS(Акты!$D$5:$D$16,Акты!$E$5:$E$16,"&lt;="&amp;A2605)-SUMIFS(Оплаты!$B$6:$B$505,Оплаты!$A$6:$A$505,"&lt;"&amp;A2605,Оплаты!$D$6:$D$505,"&lt;&gt;"))</f>
        <v/>
      </c>
      <c r="E2605">
        <f>IF(A2605="","",IF(SUMPRODUCT((Ввод!$F$12:$F$31&lt;&gt;"")*(Ввод!$F$12:$F$31&lt;=A2605)*(Ввод!$G$12:$G$31&gt;=A2605))&gt;0,1,0))</f>
        <v/>
      </c>
      <c r="G2605">
        <f>IF(A2605="","",IF(OR(B2605&lt;&gt;B2604,C2605&lt;&gt;C2604,E2605&lt;&gt;E2604),G2604+1,G2604))</f>
        <v/>
      </c>
    </row>
    <row r="2606">
      <c r="A2606" s="20">
        <f>IF(A2605="","",IF(A2605+1&gt;Ввод!$B$4,"",A2605+1))</f>
        <v/>
      </c>
      <c r="B2606">
        <f>IF(A2606="","",IFERROR(INDEX(Ввод!$B$12:$B$71,MATCH(A2606,Ввод!$D$12:$D$71,1)),""))</f>
        <v/>
      </c>
      <c r="C2606">
        <f>IF(A2606="","",DATE(YEAR(A2606),12,31)-DATE(YEAR(A2606),1,1)+1)</f>
        <v/>
      </c>
      <c r="D2606">
        <f>IF(A2606="","",SUMIFS(Акты!$D$5:$D$16,Акты!$E$5:$E$16,"&lt;="&amp;A2606)-SUMIFS(Оплаты!$B$6:$B$505,Оплаты!$A$6:$A$505,"&lt;"&amp;A2606,Оплаты!$D$6:$D$505,"&lt;&gt;"))</f>
        <v/>
      </c>
      <c r="E2606">
        <f>IF(A2606="","",IF(SUMPRODUCT((Ввод!$F$12:$F$31&lt;&gt;"")*(Ввод!$F$12:$F$31&lt;=A2606)*(Ввод!$G$12:$G$31&gt;=A2606))&gt;0,1,0))</f>
        <v/>
      </c>
      <c r="G2606">
        <f>IF(A2606="","",IF(OR(B2606&lt;&gt;B2605,C2606&lt;&gt;C2605,E2606&lt;&gt;E2605),G2605+1,G2605))</f>
        <v/>
      </c>
    </row>
    <row r="2607">
      <c r="A2607" s="20">
        <f>IF(A2606="","",IF(A2606+1&gt;Ввод!$B$4,"",A2606+1))</f>
        <v/>
      </c>
      <c r="B2607">
        <f>IF(A2607="","",IFERROR(INDEX(Ввод!$B$12:$B$71,MATCH(A2607,Ввод!$D$12:$D$71,1)),""))</f>
        <v/>
      </c>
      <c r="C2607">
        <f>IF(A2607="","",DATE(YEAR(A2607),12,31)-DATE(YEAR(A2607),1,1)+1)</f>
        <v/>
      </c>
      <c r="D2607">
        <f>IF(A2607="","",SUMIFS(Акты!$D$5:$D$16,Акты!$E$5:$E$16,"&lt;="&amp;A2607)-SUMIFS(Оплаты!$B$6:$B$505,Оплаты!$A$6:$A$505,"&lt;"&amp;A2607,Оплаты!$D$6:$D$505,"&lt;&gt;"))</f>
        <v/>
      </c>
      <c r="E2607">
        <f>IF(A2607="","",IF(SUMPRODUCT((Ввод!$F$12:$F$31&lt;&gt;"")*(Ввод!$F$12:$F$31&lt;=A2607)*(Ввод!$G$12:$G$31&gt;=A2607))&gt;0,1,0))</f>
        <v/>
      </c>
      <c r="G2607">
        <f>IF(A2607="","",IF(OR(B2607&lt;&gt;B2606,C2607&lt;&gt;C2606,E2607&lt;&gt;E2606),G2606+1,G2606))</f>
        <v/>
      </c>
    </row>
    <row r="2608">
      <c r="A2608" s="20">
        <f>IF(A2607="","",IF(A2607+1&gt;Ввод!$B$4,"",A2607+1))</f>
        <v/>
      </c>
      <c r="B2608">
        <f>IF(A2608="","",IFERROR(INDEX(Ввод!$B$12:$B$71,MATCH(A2608,Ввод!$D$12:$D$71,1)),""))</f>
        <v/>
      </c>
      <c r="C2608">
        <f>IF(A2608="","",DATE(YEAR(A2608),12,31)-DATE(YEAR(A2608),1,1)+1)</f>
        <v/>
      </c>
      <c r="D2608">
        <f>IF(A2608="","",SUMIFS(Акты!$D$5:$D$16,Акты!$E$5:$E$16,"&lt;="&amp;A2608)-SUMIFS(Оплаты!$B$6:$B$505,Оплаты!$A$6:$A$505,"&lt;"&amp;A2608,Оплаты!$D$6:$D$505,"&lt;&gt;"))</f>
        <v/>
      </c>
      <c r="E2608">
        <f>IF(A2608="","",IF(SUMPRODUCT((Ввод!$F$12:$F$31&lt;&gt;"")*(Ввод!$F$12:$F$31&lt;=A2608)*(Ввод!$G$12:$G$31&gt;=A2608))&gt;0,1,0))</f>
        <v/>
      </c>
      <c r="G2608">
        <f>IF(A2608="","",IF(OR(B2608&lt;&gt;B2607,C2608&lt;&gt;C2607,E2608&lt;&gt;E2607),G2607+1,G2607))</f>
        <v/>
      </c>
    </row>
    <row r="2609">
      <c r="A2609" s="20">
        <f>IF(A2608="","",IF(A2608+1&gt;Ввод!$B$4,"",A2608+1))</f>
        <v/>
      </c>
      <c r="B2609">
        <f>IF(A2609="","",IFERROR(INDEX(Ввод!$B$12:$B$71,MATCH(A2609,Ввод!$D$12:$D$71,1)),""))</f>
        <v/>
      </c>
      <c r="C2609">
        <f>IF(A2609="","",DATE(YEAR(A2609),12,31)-DATE(YEAR(A2609),1,1)+1)</f>
        <v/>
      </c>
      <c r="D2609">
        <f>IF(A2609="","",SUMIFS(Акты!$D$5:$D$16,Акты!$E$5:$E$16,"&lt;="&amp;A2609)-SUMIFS(Оплаты!$B$6:$B$505,Оплаты!$A$6:$A$505,"&lt;"&amp;A2609,Оплаты!$D$6:$D$505,"&lt;&gt;"))</f>
        <v/>
      </c>
      <c r="E2609">
        <f>IF(A2609="","",IF(SUMPRODUCT((Ввод!$F$12:$F$31&lt;&gt;"")*(Ввод!$F$12:$F$31&lt;=A2609)*(Ввод!$G$12:$G$31&gt;=A2609))&gt;0,1,0))</f>
        <v/>
      </c>
      <c r="G2609">
        <f>IF(A2609="","",IF(OR(B2609&lt;&gt;B2608,C2609&lt;&gt;C2608,E2609&lt;&gt;E2608),G2608+1,G2608))</f>
        <v/>
      </c>
    </row>
    <row r="2610">
      <c r="A2610" s="20">
        <f>IF(A2609="","",IF(A2609+1&gt;Ввод!$B$4,"",A2609+1))</f>
        <v/>
      </c>
      <c r="B2610">
        <f>IF(A2610="","",IFERROR(INDEX(Ввод!$B$12:$B$71,MATCH(A2610,Ввод!$D$12:$D$71,1)),""))</f>
        <v/>
      </c>
      <c r="C2610">
        <f>IF(A2610="","",DATE(YEAR(A2610),12,31)-DATE(YEAR(A2610),1,1)+1)</f>
        <v/>
      </c>
      <c r="D2610">
        <f>IF(A2610="","",SUMIFS(Акты!$D$5:$D$16,Акты!$E$5:$E$16,"&lt;="&amp;A2610)-SUMIFS(Оплаты!$B$6:$B$505,Оплаты!$A$6:$A$505,"&lt;"&amp;A2610,Оплаты!$D$6:$D$505,"&lt;&gt;"))</f>
        <v/>
      </c>
      <c r="E2610">
        <f>IF(A2610="","",IF(SUMPRODUCT((Ввод!$F$12:$F$31&lt;&gt;"")*(Ввод!$F$12:$F$31&lt;=A2610)*(Ввод!$G$12:$G$31&gt;=A2610))&gt;0,1,0))</f>
        <v/>
      </c>
      <c r="G2610">
        <f>IF(A2610="","",IF(OR(B2610&lt;&gt;B2609,C2610&lt;&gt;C2609,E2610&lt;&gt;E2609),G2609+1,G2609))</f>
        <v/>
      </c>
    </row>
    <row r="2611">
      <c r="A2611" s="20">
        <f>IF(A2610="","",IF(A2610+1&gt;Ввод!$B$4,"",A2610+1))</f>
        <v/>
      </c>
      <c r="B2611">
        <f>IF(A2611="","",IFERROR(INDEX(Ввод!$B$12:$B$71,MATCH(A2611,Ввод!$D$12:$D$71,1)),""))</f>
        <v/>
      </c>
      <c r="C2611">
        <f>IF(A2611="","",DATE(YEAR(A2611),12,31)-DATE(YEAR(A2611),1,1)+1)</f>
        <v/>
      </c>
      <c r="D2611">
        <f>IF(A2611="","",SUMIFS(Акты!$D$5:$D$16,Акты!$E$5:$E$16,"&lt;="&amp;A2611)-SUMIFS(Оплаты!$B$6:$B$505,Оплаты!$A$6:$A$505,"&lt;"&amp;A2611,Оплаты!$D$6:$D$505,"&lt;&gt;"))</f>
        <v/>
      </c>
      <c r="E2611">
        <f>IF(A2611="","",IF(SUMPRODUCT((Ввод!$F$12:$F$31&lt;&gt;"")*(Ввод!$F$12:$F$31&lt;=A2611)*(Ввод!$G$12:$G$31&gt;=A2611))&gt;0,1,0))</f>
        <v/>
      </c>
      <c r="G2611">
        <f>IF(A2611="","",IF(OR(B2611&lt;&gt;B2610,C2611&lt;&gt;C2610,E2611&lt;&gt;E2610),G2610+1,G2610))</f>
        <v/>
      </c>
    </row>
    <row r="2612">
      <c r="A2612" s="20">
        <f>IF(A2611="","",IF(A2611+1&gt;Ввод!$B$4,"",A2611+1))</f>
        <v/>
      </c>
      <c r="B2612">
        <f>IF(A2612="","",IFERROR(INDEX(Ввод!$B$12:$B$71,MATCH(A2612,Ввод!$D$12:$D$71,1)),""))</f>
        <v/>
      </c>
      <c r="C2612">
        <f>IF(A2612="","",DATE(YEAR(A2612),12,31)-DATE(YEAR(A2612),1,1)+1)</f>
        <v/>
      </c>
      <c r="D2612">
        <f>IF(A2612="","",SUMIFS(Акты!$D$5:$D$16,Акты!$E$5:$E$16,"&lt;="&amp;A2612)-SUMIFS(Оплаты!$B$6:$B$505,Оплаты!$A$6:$A$505,"&lt;"&amp;A2612,Оплаты!$D$6:$D$505,"&lt;&gt;"))</f>
        <v/>
      </c>
      <c r="E2612">
        <f>IF(A2612="","",IF(SUMPRODUCT((Ввод!$F$12:$F$31&lt;&gt;"")*(Ввод!$F$12:$F$31&lt;=A2612)*(Ввод!$G$12:$G$31&gt;=A2612))&gt;0,1,0))</f>
        <v/>
      </c>
      <c r="G2612">
        <f>IF(A2612="","",IF(OR(B2612&lt;&gt;B2611,C2612&lt;&gt;C2611,E2612&lt;&gt;E2611),G2611+1,G2611))</f>
        <v/>
      </c>
    </row>
    <row r="2613">
      <c r="A2613" s="20">
        <f>IF(A2612="","",IF(A2612+1&gt;Ввод!$B$4,"",A2612+1))</f>
        <v/>
      </c>
      <c r="B2613">
        <f>IF(A2613="","",IFERROR(INDEX(Ввод!$B$12:$B$71,MATCH(A2613,Ввод!$D$12:$D$71,1)),""))</f>
        <v/>
      </c>
      <c r="C2613">
        <f>IF(A2613="","",DATE(YEAR(A2613),12,31)-DATE(YEAR(A2613),1,1)+1)</f>
        <v/>
      </c>
      <c r="D2613">
        <f>IF(A2613="","",SUMIFS(Акты!$D$5:$D$16,Акты!$E$5:$E$16,"&lt;="&amp;A2613)-SUMIFS(Оплаты!$B$6:$B$505,Оплаты!$A$6:$A$505,"&lt;"&amp;A2613,Оплаты!$D$6:$D$505,"&lt;&gt;"))</f>
        <v/>
      </c>
      <c r="E2613">
        <f>IF(A2613="","",IF(SUMPRODUCT((Ввод!$F$12:$F$31&lt;&gt;"")*(Ввод!$F$12:$F$31&lt;=A2613)*(Ввод!$G$12:$G$31&gt;=A2613))&gt;0,1,0))</f>
        <v/>
      </c>
      <c r="G2613">
        <f>IF(A2613="","",IF(OR(B2613&lt;&gt;B2612,C2613&lt;&gt;C2612,E2613&lt;&gt;E2612),G2612+1,G2612))</f>
        <v/>
      </c>
    </row>
    <row r="2614">
      <c r="A2614" s="20">
        <f>IF(A2613="","",IF(A2613+1&gt;Ввод!$B$4,"",A2613+1))</f>
        <v/>
      </c>
      <c r="B2614">
        <f>IF(A2614="","",IFERROR(INDEX(Ввод!$B$12:$B$71,MATCH(A2614,Ввод!$D$12:$D$71,1)),""))</f>
        <v/>
      </c>
      <c r="C2614">
        <f>IF(A2614="","",DATE(YEAR(A2614),12,31)-DATE(YEAR(A2614),1,1)+1)</f>
        <v/>
      </c>
      <c r="D2614">
        <f>IF(A2614="","",SUMIFS(Акты!$D$5:$D$16,Акты!$E$5:$E$16,"&lt;="&amp;A2614)-SUMIFS(Оплаты!$B$6:$B$505,Оплаты!$A$6:$A$505,"&lt;"&amp;A2614,Оплаты!$D$6:$D$505,"&lt;&gt;"))</f>
        <v/>
      </c>
      <c r="E2614">
        <f>IF(A2614="","",IF(SUMPRODUCT((Ввод!$F$12:$F$31&lt;&gt;"")*(Ввод!$F$12:$F$31&lt;=A2614)*(Ввод!$G$12:$G$31&gt;=A2614))&gt;0,1,0))</f>
        <v/>
      </c>
      <c r="G2614">
        <f>IF(A2614="","",IF(OR(B2614&lt;&gt;B2613,C2614&lt;&gt;C2613,E2614&lt;&gt;E2613),G2613+1,G2613))</f>
        <v/>
      </c>
    </row>
    <row r="2615">
      <c r="A2615" s="20">
        <f>IF(A2614="","",IF(A2614+1&gt;Ввод!$B$4,"",A2614+1))</f>
        <v/>
      </c>
      <c r="B2615">
        <f>IF(A2615="","",IFERROR(INDEX(Ввод!$B$12:$B$71,MATCH(A2615,Ввод!$D$12:$D$71,1)),""))</f>
        <v/>
      </c>
      <c r="C2615">
        <f>IF(A2615="","",DATE(YEAR(A2615),12,31)-DATE(YEAR(A2615),1,1)+1)</f>
        <v/>
      </c>
      <c r="D2615">
        <f>IF(A2615="","",SUMIFS(Акты!$D$5:$D$16,Акты!$E$5:$E$16,"&lt;="&amp;A2615)-SUMIFS(Оплаты!$B$6:$B$505,Оплаты!$A$6:$A$505,"&lt;"&amp;A2615,Оплаты!$D$6:$D$505,"&lt;&gt;"))</f>
        <v/>
      </c>
      <c r="E2615">
        <f>IF(A2615="","",IF(SUMPRODUCT((Ввод!$F$12:$F$31&lt;&gt;"")*(Ввод!$F$12:$F$31&lt;=A2615)*(Ввод!$G$12:$G$31&gt;=A2615))&gt;0,1,0))</f>
        <v/>
      </c>
      <c r="G2615">
        <f>IF(A2615="","",IF(OR(B2615&lt;&gt;B2614,C2615&lt;&gt;C2614,E2615&lt;&gt;E2614),G2614+1,G2614))</f>
        <v/>
      </c>
    </row>
    <row r="2616">
      <c r="A2616" s="20">
        <f>IF(A2615="","",IF(A2615+1&gt;Ввод!$B$4,"",A2615+1))</f>
        <v/>
      </c>
      <c r="B2616">
        <f>IF(A2616="","",IFERROR(INDEX(Ввод!$B$12:$B$71,MATCH(A2616,Ввод!$D$12:$D$71,1)),""))</f>
        <v/>
      </c>
      <c r="C2616">
        <f>IF(A2616="","",DATE(YEAR(A2616),12,31)-DATE(YEAR(A2616),1,1)+1)</f>
        <v/>
      </c>
      <c r="D2616">
        <f>IF(A2616="","",SUMIFS(Акты!$D$5:$D$16,Акты!$E$5:$E$16,"&lt;="&amp;A2616)-SUMIFS(Оплаты!$B$6:$B$505,Оплаты!$A$6:$A$505,"&lt;"&amp;A2616,Оплаты!$D$6:$D$505,"&lt;&gt;"))</f>
        <v/>
      </c>
      <c r="E2616">
        <f>IF(A2616="","",IF(SUMPRODUCT((Ввод!$F$12:$F$31&lt;&gt;"")*(Ввод!$F$12:$F$31&lt;=A2616)*(Ввод!$G$12:$G$31&gt;=A2616))&gt;0,1,0))</f>
        <v/>
      </c>
      <c r="G2616">
        <f>IF(A2616="","",IF(OR(B2616&lt;&gt;B2615,C2616&lt;&gt;C2615,E2616&lt;&gt;E2615),G2615+1,G2615))</f>
        <v/>
      </c>
    </row>
    <row r="2617">
      <c r="A2617" s="20">
        <f>IF(A2616="","",IF(A2616+1&gt;Ввод!$B$4,"",A2616+1))</f>
        <v/>
      </c>
      <c r="B2617">
        <f>IF(A2617="","",IFERROR(INDEX(Ввод!$B$12:$B$71,MATCH(A2617,Ввод!$D$12:$D$71,1)),""))</f>
        <v/>
      </c>
      <c r="C2617">
        <f>IF(A2617="","",DATE(YEAR(A2617),12,31)-DATE(YEAR(A2617),1,1)+1)</f>
        <v/>
      </c>
      <c r="D2617">
        <f>IF(A2617="","",SUMIFS(Акты!$D$5:$D$16,Акты!$E$5:$E$16,"&lt;="&amp;A2617)-SUMIFS(Оплаты!$B$6:$B$505,Оплаты!$A$6:$A$505,"&lt;"&amp;A2617,Оплаты!$D$6:$D$505,"&lt;&gt;"))</f>
        <v/>
      </c>
      <c r="E2617">
        <f>IF(A2617="","",IF(SUMPRODUCT((Ввод!$F$12:$F$31&lt;&gt;"")*(Ввод!$F$12:$F$31&lt;=A2617)*(Ввод!$G$12:$G$31&gt;=A2617))&gt;0,1,0))</f>
        <v/>
      </c>
      <c r="G2617">
        <f>IF(A2617="","",IF(OR(B2617&lt;&gt;B2616,C2617&lt;&gt;C2616,E2617&lt;&gt;E2616),G2616+1,G2616))</f>
        <v/>
      </c>
    </row>
    <row r="2618">
      <c r="A2618" s="20">
        <f>IF(A2617="","",IF(A2617+1&gt;Ввод!$B$4,"",A2617+1))</f>
        <v/>
      </c>
      <c r="B2618">
        <f>IF(A2618="","",IFERROR(INDEX(Ввод!$B$12:$B$71,MATCH(A2618,Ввод!$D$12:$D$71,1)),""))</f>
        <v/>
      </c>
      <c r="C2618">
        <f>IF(A2618="","",DATE(YEAR(A2618),12,31)-DATE(YEAR(A2618),1,1)+1)</f>
        <v/>
      </c>
      <c r="D2618">
        <f>IF(A2618="","",SUMIFS(Акты!$D$5:$D$16,Акты!$E$5:$E$16,"&lt;="&amp;A2618)-SUMIFS(Оплаты!$B$6:$B$505,Оплаты!$A$6:$A$505,"&lt;"&amp;A2618,Оплаты!$D$6:$D$505,"&lt;&gt;"))</f>
        <v/>
      </c>
      <c r="E2618">
        <f>IF(A2618="","",IF(SUMPRODUCT((Ввод!$F$12:$F$31&lt;&gt;"")*(Ввод!$F$12:$F$31&lt;=A2618)*(Ввод!$G$12:$G$31&gt;=A2618))&gt;0,1,0))</f>
        <v/>
      </c>
      <c r="G2618">
        <f>IF(A2618="","",IF(OR(B2618&lt;&gt;B2617,C2618&lt;&gt;C2617,E2618&lt;&gt;E2617),G2617+1,G2617))</f>
        <v/>
      </c>
    </row>
    <row r="2619">
      <c r="A2619" s="20">
        <f>IF(A2618="","",IF(A2618+1&gt;Ввод!$B$4,"",A2618+1))</f>
        <v/>
      </c>
      <c r="B2619">
        <f>IF(A2619="","",IFERROR(INDEX(Ввод!$B$12:$B$71,MATCH(A2619,Ввод!$D$12:$D$71,1)),""))</f>
        <v/>
      </c>
      <c r="C2619">
        <f>IF(A2619="","",DATE(YEAR(A2619),12,31)-DATE(YEAR(A2619),1,1)+1)</f>
        <v/>
      </c>
      <c r="D2619">
        <f>IF(A2619="","",SUMIFS(Акты!$D$5:$D$16,Акты!$E$5:$E$16,"&lt;="&amp;A2619)-SUMIFS(Оплаты!$B$6:$B$505,Оплаты!$A$6:$A$505,"&lt;"&amp;A2619,Оплаты!$D$6:$D$505,"&lt;&gt;"))</f>
        <v/>
      </c>
      <c r="E2619">
        <f>IF(A2619="","",IF(SUMPRODUCT((Ввод!$F$12:$F$31&lt;&gt;"")*(Ввод!$F$12:$F$31&lt;=A2619)*(Ввод!$G$12:$G$31&gt;=A2619))&gt;0,1,0))</f>
        <v/>
      </c>
      <c r="G2619">
        <f>IF(A2619="","",IF(OR(B2619&lt;&gt;B2618,C2619&lt;&gt;C2618,E2619&lt;&gt;E2618),G2618+1,G2618))</f>
        <v/>
      </c>
    </row>
    <row r="2620">
      <c r="A2620" s="20">
        <f>IF(A2619="","",IF(A2619+1&gt;Ввод!$B$4,"",A2619+1))</f>
        <v/>
      </c>
      <c r="B2620">
        <f>IF(A2620="","",IFERROR(INDEX(Ввод!$B$12:$B$71,MATCH(A2620,Ввод!$D$12:$D$71,1)),""))</f>
        <v/>
      </c>
      <c r="C2620">
        <f>IF(A2620="","",DATE(YEAR(A2620),12,31)-DATE(YEAR(A2620),1,1)+1)</f>
        <v/>
      </c>
      <c r="D2620">
        <f>IF(A2620="","",SUMIFS(Акты!$D$5:$D$16,Акты!$E$5:$E$16,"&lt;="&amp;A2620)-SUMIFS(Оплаты!$B$6:$B$505,Оплаты!$A$6:$A$505,"&lt;"&amp;A2620,Оплаты!$D$6:$D$505,"&lt;&gt;"))</f>
        <v/>
      </c>
      <c r="E2620">
        <f>IF(A2620="","",IF(SUMPRODUCT((Ввод!$F$12:$F$31&lt;&gt;"")*(Ввод!$F$12:$F$31&lt;=A2620)*(Ввод!$G$12:$G$31&gt;=A2620))&gt;0,1,0))</f>
        <v/>
      </c>
      <c r="G2620">
        <f>IF(A2620="","",IF(OR(B2620&lt;&gt;B2619,C2620&lt;&gt;C2619,E2620&lt;&gt;E2619),G2619+1,G2619))</f>
        <v/>
      </c>
    </row>
    <row r="2621">
      <c r="A2621" s="20">
        <f>IF(A2620="","",IF(A2620+1&gt;Ввод!$B$4,"",A2620+1))</f>
        <v/>
      </c>
      <c r="B2621">
        <f>IF(A2621="","",IFERROR(INDEX(Ввод!$B$12:$B$71,MATCH(A2621,Ввод!$D$12:$D$71,1)),""))</f>
        <v/>
      </c>
      <c r="C2621">
        <f>IF(A2621="","",DATE(YEAR(A2621),12,31)-DATE(YEAR(A2621),1,1)+1)</f>
        <v/>
      </c>
      <c r="D2621">
        <f>IF(A2621="","",SUMIFS(Акты!$D$5:$D$16,Акты!$E$5:$E$16,"&lt;="&amp;A2621)-SUMIFS(Оплаты!$B$6:$B$505,Оплаты!$A$6:$A$505,"&lt;"&amp;A2621,Оплаты!$D$6:$D$505,"&lt;&gt;"))</f>
        <v/>
      </c>
      <c r="E2621">
        <f>IF(A2621="","",IF(SUMPRODUCT((Ввод!$F$12:$F$31&lt;&gt;"")*(Ввод!$F$12:$F$31&lt;=A2621)*(Ввод!$G$12:$G$31&gt;=A2621))&gt;0,1,0))</f>
        <v/>
      </c>
      <c r="G2621">
        <f>IF(A2621="","",IF(OR(B2621&lt;&gt;B2620,C2621&lt;&gt;C2620,E2621&lt;&gt;E2620),G2620+1,G2620))</f>
        <v/>
      </c>
    </row>
    <row r="2622">
      <c r="A2622" s="20">
        <f>IF(A2621="","",IF(A2621+1&gt;Ввод!$B$4,"",A2621+1))</f>
        <v/>
      </c>
      <c r="B2622">
        <f>IF(A2622="","",IFERROR(INDEX(Ввод!$B$12:$B$71,MATCH(A2622,Ввод!$D$12:$D$71,1)),""))</f>
        <v/>
      </c>
      <c r="C2622">
        <f>IF(A2622="","",DATE(YEAR(A2622),12,31)-DATE(YEAR(A2622),1,1)+1)</f>
        <v/>
      </c>
      <c r="D2622">
        <f>IF(A2622="","",SUMIFS(Акты!$D$5:$D$16,Акты!$E$5:$E$16,"&lt;="&amp;A2622)-SUMIFS(Оплаты!$B$6:$B$505,Оплаты!$A$6:$A$505,"&lt;"&amp;A2622,Оплаты!$D$6:$D$505,"&lt;&gt;"))</f>
        <v/>
      </c>
      <c r="E2622">
        <f>IF(A2622="","",IF(SUMPRODUCT((Ввод!$F$12:$F$31&lt;&gt;"")*(Ввод!$F$12:$F$31&lt;=A2622)*(Ввод!$G$12:$G$31&gt;=A2622))&gt;0,1,0))</f>
        <v/>
      </c>
      <c r="G2622">
        <f>IF(A2622="","",IF(OR(B2622&lt;&gt;B2621,C2622&lt;&gt;C2621,E2622&lt;&gt;E2621),G2621+1,G2621))</f>
        <v/>
      </c>
    </row>
    <row r="2623">
      <c r="A2623" s="20">
        <f>IF(A2622="","",IF(A2622+1&gt;Ввод!$B$4,"",A2622+1))</f>
        <v/>
      </c>
      <c r="B2623">
        <f>IF(A2623="","",IFERROR(INDEX(Ввод!$B$12:$B$71,MATCH(A2623,Ввод!$D$12:$D$71,1)),""))</f>
        <v/>
      </c>
      <c r="C2623">
        <f>IF(A2623="","",DATE(YEAR(A2623),12,31)-DATE(YEAR(A2623),1,1)+1)</f>
        <v/>
      </c>
      <c r="D2623">
        <f>IF(A2623="","",SUMIFS(Акты!$D$5:$D$16,Акты!$E$5:$E$16,"&lt;="&amp;A2623)-SUMIFS(Оплаты!$B$6:$B$505,Оплаты!$A$6:$A$505,"&lt;"&amp;A2623,Оплаты!$D$6:$D$505,"&lt;&gt;"))</f>
        <v/>
      </c>
      <c r="E2623">
        <f>IF(A2623="","",IF(SUMPRODUCT((Ввод!$F$12:$F$31&lt;&gt;"")*(Ввод!$F$12:$F$31&lt;=A2623)*(Ввод!$G$12:$G$31&gt;=A2623))&gt;0,1,0))</f>
        <v/>
      </c>
      <c r="G2623">
        <f>IF(A2623="","",IF(OR(B2623&lt;&gt;B2622,C2623&lt;&gt;C2622,E2623&lt;&gt;E2622),G2622+1,G2622))</f>
        <v/>
      </c>
    </row>
    <row r="2624">
      <c r="A2624" s="20">
        <f>IF(A2623="","",IF(A2623+1&gt;Ввод!$B$4,"",A2623+1))</f>
        <v/>
      </c>
      <c r="B2624">
        <f>IF(A2624="","",IFERROR(INDEX(Ввод!$B$12:$B$71,MATCH(A2624,Ввод!$D$12:$D$71,1)),""))</f>
        <v/>
      </c>
      <c r="C2624">
        <f>IF(A2624="","",DATE(YEAR(A2624),12,31)-DATE(YEAR(A2624),1,1)+1)</f>
        <v/>
      </c>
      <c r="D2624">
        <f>IF(A2624="","",SUMIFS(Акты!$D$5:$D$16,Акты!$E$5:$E$16,"&lt;="&amp;A2624)-SUMIFS(Оплаты!$B$6:$B$505,Оплаты!$A$6:$A$505,"&lt;"&amp;A2624,Оплаты!$D$6:$D$505,"&lt;&gt;"))</f>
        <v/>
      </c>
      <c r="E2624">
        <f>IF(A2624="","",IF(SUMPRODUCT((Ввод!$F$12:$F$31&lt;&gt;"")*(Ввод!$F$12:$F$31&lt;=A2624)*(Ввод!$G$12:$G$31&gt;=A2624))&gt;0,1,0))</f>
        <v/>
      </c>
      <c r="G2624">
        <f>IF(A2624="","",IF(OR(B2624&lt;&gt;B2623,C2624&lt;&gt;C2623,E2624&lt;&gt;E2623),G2623+1,G2623))</f>
        <v/>
      </c>
    </row>
    <row r="2625">
      <c r="A2625" s="20">
        <f>IF(A2624="","",IF(A2624+1&gt;Ввод!$B$4,"",A2624+1))</f>
        <v/>
      </c>
      <c r="B2625">
        <f>IF(A2625="","",IFERROR(INDEX(Ввод!$B$12:$B$71,MATCH(A2625,Ввод!$D$12:$D$71,1)),""))</f>
        <v/>
      </c>
      <c r="C2625">
        <f>IF(A2625="","",DATE(YEAR(A2625),12,31)-DATE(YEAR(A2625),1,1)+1)</f>
        <v/>
      </c>
      <c r="D2625">
        <f>IF(A2625="","",SUMIFS(Акты!$D$5:$D$16,Акты!$E$5:$E$16,"&lt;="&amp;A2625)-SUMIFS(Оплаты!$B$6:$B$505,Оплаты!$A$6:$A$505,"&lt;"&amp;A2625,Оплаты!$D$6:$D$505,"&lt;&gt;"))</f>
        <v/>
      </c>
      <c r="E2625">
        <f>IF(A2625="","",IF(SUMPRODUCT((Ввод!$F$12:$F$31&lt;&gt;"")*(Ввод!$F$12:$F$31&lt;=A2625)*(Ввод!$G$12:$G$31&gt;=A2625))&gt;0,1,0))</f>
        <v/>
      </c>
      <c r="G2625">
        <f>IF(A2625="","",IF(OR(B2625&lt;&gt;B2624,C2625&lt;&gt;C2624,E2625&lt;&gt;E2624),G2624+1,G2624))</f>
        <v/>
      </c>
    </row>
    <row r="2626">
      <c r="A2626" s="20">
        <f>IF(A2625="","",IF(A2625+1&gt;Ввод!$B$4,"",A2625+1))</f>
        <v/>
      </c>
      <c r="B2626">
        <f>IF(A2626="","",IFERROR(INDEX(Ввод!$B$12:$B$71,MATCH(A2626,Ввод!$D$12:$D$71,1)),""))</f>
        <v/>
      </c>
      <c r="C2626">
        <f>IF(A2626="","",DATE(YEAR(A2626),12,31)-DATE(YEAR(A2626),1,1)+1)</f>
        <v/>
      </c>
      <c r="D2626">
        <f>IF(A2626="","",SUMIFS(Акты!$D$5:$D$16,Акты!$E$5:$E$16,"&lt;="&amp;A2626)-SUMIFS(Оплаты!$B$6:$B$505,Оплаты!$A$6:$A$505,"&lt;"&amp;A2626,Оплаты!$D$6:$D$505,"&lt;&gt;"))</f>
        <v/>
      </c>
      <c r="E2626">
        <f>IF(A2626="","",IF(SUMPRODUCT((Ввод!$F$12:$F$31&lt;&gt;"")*(Ввод!$F$12:$F$31&lt;=A2626)*(Ввод!$G$12:$G$31&gt;=A2626))&gt;0,1,0))</f>
        <v/>
      </c>
      <c r="G2626">
        <f>IF(A2626="","",IF(OR(B2626&lt;&gt;B2625,C2626&lt;&gt;C2625,E2626&lt;&gt;E2625),G2625+1,G2625))</f>
        <v/>
      </c>
    </row>
    <row r="2627">
      <c r="A2627" s="20">
        <f>IF(A2626="","",IF(A2626+1&gt;Ввод!$B$4,"",A2626+1))</f>
        <v/>
      </c>
      <c r="B2627">
        <f>IF(A2627="","",IFERROR(INDEX(Ввод!$B$12:$B$71,MATCH(A2627,Ввод!$D$12:$D$71,1)),""))</f>
        <v/>
      </c>
      <c r="C2627">
        <f>IF(A2627="","",DATE(YEAR(A2627),12,31)-DATE(YEAR(A2627),1,1)+1)</f>
        <v/>
      </c>
      <c r="D2627">
        <f>IF(A2627="","",SUMIFS(Акты!$D$5:$D$16,Акты!$E$5:$E$16,"&lt;="&amp;A2627)-SUMIFS(Оплаты!$B$6:$B$505,Оплаты!$A$6:$A$505,"&lt;"&amp;A2627,Оплаты!$D$6:$D$505,"&lt;&gt;"))</f>
        <v/>
      </c>
      <c r="E2627">
        <f>IF(A2627="","",IF(SUMPRODUCT((Ввод!$F$12:$F$31&lt;&gt;"")*(Ввод!$F$12:$F$31&lt;=A2627)*(Ввод!$G$12:$G$31&gt;=A2627))&gt;0,1,0))</f>
        <v/>
      </c>
      <c r="G2627">
        <f>IF(A2627="","",IF(OR(B2627&lt;&gt;B2626,C2627&lt;&gt;C2626,E2627&lt;&gt;E2626),G2626+1,G2626))</f>
        <v/>
      </c>
    </row>
    <row r="2628">
      <c r="A2628" s="20">
        <f>IF(A2627="","",IF(A2627+1&gt;Ввод!$B$4,"",A2627+1))</f>
        <v/>
      </c>
      <c r="B2628">
        <f>IF(A2628="","",IFERROR(INDEX(Ввод!$B$12:$B$71,MATCH(A2628,Ввод!$D$12:$D$71,1)),""))</f>
        <v/>
      </c>
      <c r="C2628">
        <f>IF(A2628="","",DATE(YEAR(A2628),12,31)-DATE(YEAR(A2628),1,1)+1)</f>
        <v/>
      </c>
      <c r="D2628">
        <f>IF(A2628="","",SUMIFS(Акты!$D$5:$D$16,Акты!$E$5:$E$16,"&lt;="&amp;A2628)-SUMIFS(Оплаты!$B$6:$B$505,Оплаты!$A$6:$A$505,"&lt;"&amp;A2628,Оплаты!$D$6:$D$505,"&lt;&gt;"))</f>
        <v/>
      </c>
      <c r="E2628">
        <f>IF(A2628="","",IF(SUMPRODUCT((Ввод!$F$12:$F$31&lt;&gt;"")*(Ввод!$F$12:$F$31&lt;=A2628)*(Ввод!$G$12:$G$31&gt;=A2628))&gt;0,1,0))</f>
        <v/>
      </c>
      <c r="G2628">
        <f>IF(A2628="","",IF(OR(B2628&lt;&gt;B2627,C2628&lt;&gt;C2627,E2628&lt;&gt;E2627),G2627+1,G2627))</f>
        <v/>
      </c>
    </row>
    <row r="2629">
      <c r="A2629" s="20">
        <f>IF(A2628="","",IF(A2628+1&gt;Ввод!$B$4,"",A2628+1))</f>
        <v/>
      </c>
      <c r="B2629">
        <f>IF(A2629="","",IFERROR(INDEX(Ввод!$B$12:$B$71,MATCH(A2629,Ввод!$D$12:$D$71,1)),""))</f>
        <v/>
      </c>
      <c r="C2629">
        <f>IF(A2629="","",DATE(YEAR(A2629),12,31)-DATE(YEAR(A2629),1,1)+1)</f>
        <v/>
      </c>
      <c r="D2629">
        <f>IF(A2629="","",SUMIFS(Акты!$D$5:$D$16,Акты!$E$5:$E$16,"&lt;="&amp;A2629)-SUMIFS(Оплаты!$B$6:$B$505,Оплаты!$A$6:$A$505,"&lt;"&amp;A2629,Оплаты!$D$6:$D$505,"&lt;&gt;"))</f>
        <v/>
      </c>
      <c r="E2629">
        <f>IF(A2629="","",IF(SUMPRODUCT((Ввод!$F$12:$F$31&lt;&gt;"")*(Ввод!$F$12:$F$31&lt;=A2629)*(Ввод!$G$12:$G$31&gt;=A2629))&gt;0,1,0))</f>
        <v/>
      </c>
      <c r="G2629">
        <f>IF(A2629="","",IF(OR(B2629&lt;&gt;B2628,C2629&lt;&gt;C2628,E2629&lt;&gt;E2628),G2628+1,G2628))</f>
        <v/>
      </c>
    </row>
    <row r="2630">
      <c r="A2630" s="20">
        <f>IF(A2629="","",IF(A2629+1&gt;Ввод!$B$4,"",A2629+1))</f>
        <v/>
      </c>
      <c r="B2630">
        <f>IF(A2630="","",IFERROR(INDEX(Ввод!$B$12:$B$71,MATCH(A2630,Ввод!$D$12:$D$71,1)),""))</f>
        <v/>
      </c>
      <c r="C2630">
        <f>IF(A2630="","",DATE(YEAR(A2630),12,31)-DATE(YEAR(A2630),1,1)+1)</f>
        <v/>
      </c>
      <c r="D2630">
        <f>IF(A2630="","",SUMIFS(Акты!$D$5:$D$16,Акты!$E$5:$E$16,"&lt;="&amp;A2630)-SUMIFS(Оплаты!$B$6:$B$505,Оплаты!$A$6:$A$505,"&lt;"&amp;A2630,Оплаты!$D$6:$D$505,"&lt;&gt;"))</f>
        <v/>
      </c>
      <c r="E2630">
        <f>IF(A2630="","",IF(SUMPRODUCT((Ввод!$F$12:$F$31&lt;&gt;"")*(Ввод!$F$12:$F$31&lt;=A2630)*(Ввод!$G$12:$G$31&gt;=A2630))&gt;0,1,0))</f>
        <v/>
      </c>
      <c r="G2630">
        <f>IF(A2630="","",IF(OR(B2630&lt;&gt;B2629,C2630&lt;&gt;C2629,E2630&lt;&gt;E2629),G2629+1,G2629))</f>
        <v/>
      </c>
    </row>
    <row r="2631">
      <c r="A2631" s="20">
        <f>IF(A2630="","",IF(A2630+1&gt;Ввод!$B$4,"",A2630+1))</f>
        <v/>
      </c>
      <c r="B2631">
        <f>IF(A2631="","",IFERROR(INDEX(Ввод!$B$12:$B$71,MATCH(A2631,Ввод!$D$12:$D$71,1)),""))</f>
        <v/>
      </c>
      <c r="C2631">
        <f>IF(A2631="","",DATE(YEAR(A2631),12,31)-DATE(YEAR(A2631),1,1)+1)</f>
        <v/>
      </c>
      <c r="D2631">
        <f>IF(A2631="","",SUMIFS(Акты!$D$5:$D$16,Акты!$E$5:$E$16,"&lt;="&amp;A2631)-SUMIFS(Оплаты!$B$6:$B$505,Оплаты!$A$6:$A$505,"&lt;"&amp;A2631,Оплаты!$D$6:$D$505,"&lt;&gt;"))</f>
        <v/>
      </c>
      <c r="E2631">
        <f>IF(A2631="","",IF(SUMPRODUCT((Ввод!$F$12:$F$31&lt;&gt;"")*(Ввод!$F$12:$F$31&lt;=A2631)*(Ввод!$G$12:$G$31&gt;=A2631))&gt;0,1,0))</f>
        <v/>
      </c>
      <c r="G2631">
        <f>IF(A2631="","",IF(OR(B2631&lt;&gt;B2630,C2631&lt;&gt;C2630,E2631&lt;&gt;E2630),G2630+1,G2630))</f>
        <v/>
      </c>
    </row>
    <row r="2632">
      <c r="A2632" s="20">
        <f>IF(A2631="","",IF(A2631+1&gt;Ввод!$B$4,"",A2631+1))</f>
        <v/>
      </c>
      <c r="B2632">
        <f>IF(A2632="","",IFERROR(INDEX(Ввод!$B$12:$B$71,MATCH(A2632,Ввод!$D$12:$D$71,1)),""))</f>
        <v/>
      </c>
      <c r="C2632">
        <f>IF(A2632="","",DATE(YEAR(A2632),12,31)-DATE(YEAR(A2632),1,1)+1)</f>
        <v/>
      </c>
      <c r="D2632">
        <f>IF(A2632="","",SUMIFS(Акты!$D$5:$D$16,Акты!$E$5:$E$16,"&lt;="&amp;A2632)-SUMIFS(Оплаты!$B$6:$B$505,Оплаты!$A$6:$A$505,"&lt;"&amp;A2632,Оплаты!$D$6:$D$505,"&lt;&gt;"))</f>
        <v/>
      </c>
      <c r="E2632">
        <f>IF(A2632="","",IF(SUMPRODUCT((Ввод!$F$12:$F$31&lt;&gt;"")*(Ввод!$F$12:$F$31&lt;=A2632)*(Ввод!$G$12:$G$31&gt;=A2632))&gt;0,1,0))</f>
        <v/>
      </c>
      <c r="G2632">
        <f>IF(A2632="","",IF(OR(B2632&lt;&gt;B2631,C2632&lt;&gt;C2631,E2632&lt;&gt;E2631),G2631+1,G2631))</f>
        <v/>
      </c>
    </row>
    <row r="2633">
      <c r="A2633" s="20">
        <f>IF(A2632="","",IF(A2632+1&gt;Ввод!$B$4,"",A2632+1))</f>
        <v/>
      </c>
      <c r="B2633">
        <f>IF(A2633="","",IFERROR(INDEX(Ввод!$B$12:$B$71,MATCH(A2633,Ввод!$D$12:$D$71,1)),""))</f>
        <v/>
      </c>
      <c r="C2633">
        <f>IF(A2633="","",DATE(YEAR(A2633),12,31)-DATE(YEAR(A2633),1,1)+1)</f>
        <v/>
      </c>
      <c r="D2633">
        <f>IF(A2633="","",SUMIFS(Акты!$D$5:$D$16,Акты!$E$5:$E$16,"&lt;="&amp;A2633)-SUMIFS(Оплаты!$B$6:$B$505,Оплаты!$A$6:$A$505,"&lt;"&amp;A2633,Оплаты!$D$6:$D$505,"&lt;&gt;"))</f>
        <v/>
      </c>
      <c r="E2633">
        <f>IF(A2633="","",IF(SUMPRODUCT((Ввод!$F$12:$F$31&lt;&gt;"")*(Ввод!$F$12:$F$31&lt;=A2633)*(Ввод!$G$12:$G$31&gt;=A2633))&gt;0,1,0))</f>
        <v/>
      </c>
      <c r="G2633">
        <f>IF(A2633="","",IF(OR(B2633&lt;&gt;B2632,C2633&lt;&gt;C2632,E2633&lt;&gt;E2632),G2632+1,G2632))</f>
        <v/>
      </c>
    </row>
    <row r="2634">
      <c r="A2634" s="20">
        <f>IF(A2633="","",IF(A2633+1&gt;Ввод!$B$4,"",A2633+1))</f>
        <v/>
      </c>
      <c r="B2634">
        <f>IF(A2634="","",IFERROR(INDEX(Ввод!$B$12:$B$71,MATCH(A2634,Ввод!$D$12:$D$71,1)),""))</f>
        <v/>
      </c>
      <c r="C2634">
        <f>IF(A2634="","",DATE(YEAR(A2634),12,31)-DATE(YEAR(A2634),1,1)+1)</f>
        <v/>
      </c>
      <c r="D2634">
        <f>IF(A2634="","",SUMIFS(Акты!$D$5:$D$16,Акты!$E$5:$E$16,"&lt;="&amp;A2634)-SUMIFS(Оплаты!$B$6:$B$505,Оплаты!$A$6:$A$505,"&lt;"&amp;A2634,Оплаты!$D$6:$D$505,"&lt;&gt;"))</f>
        <v/>
      </c>
      <c r="E2634">
        <f>IF(A2634="","",IF(SUMPRODUCT((Ввод!$F$12:$F$31&lt;&gt;"")*(Ввод!$F$12:$F$31&lt;=A2634)*(Ввод!$G$12:$G$31&gt;=A2634))&gt;0,1,0))</f>
        <v/>
      </c>
      <c r="G2634">
        <f>IF(A2634="","",IF(OR(B2634&lt;&gt;B2633,C2634&lt;&gt;C2633,E2634&lt;&gt;E2633),G2633+1,G2633))</f>
        <v/>
      </c>
    </row>
    <row r="2635">
      <c r="A2635" s="20">
        <f>IF(A2634="","",IF(A2634+1&gt;Ввод!$B$4,"",A2634+1))</f>
        <v/>
      </c>
      <c r="B2635">
        <f>IF(A2635="","",IFERROR(INDEX(Ввод!$B$12:$B$71,MATCH(A2635,Ввод!$D$12:$D$71,1)),""))</f>
        <v/>
      </c>
      <c r="C2635">
        <f>IF(A2635="","",DATE(YEAR(A2635),12,31)-DATE(YEAR(A2635),1,1)+1)</f>
        <v/>
      </c>
      <c r="D2635">
        <f>IF(A2635="","",SUMIFS(Акты!$D$5:$D$16,Акты!$E$5:$E$16,"&lt;="&amp;A2635)-SUMIFS(Оплаты!$B$6:$B$505,Оплаты!$A$6:$A$505,"&lt;"&amp;A2635,Оплаты!$D$6:$D$505,"&lt;&gt;"))</f>
        <v/>
      </c>
      <c r="E2635">
        <f>IF(A2635="","",IF(SUMPRODUCT((Ввод!$F$12:$F$31&lt;&gt;"")*(Ввод!$F$12:$F$31&lt;=A2635)*(Ввод!$G$12:$G$31&gt;=A2635))&gt;0,1,0))</f>
        <v/>
      </c>
      <c r="G2635">
        <f>IF(A2635="","",IF(OR(B2635&lt;&gt;B2634,C2635&lt;&gt;C2634,E2635&lt;&gt;E2634),G2634+1,G2634))</f>
        <v/>
      </c>
    </row>
    <row r="2636">
      <c r="A2636" s="20">
        <f>IF(A2635="","",IF(A2635+1&gt;Ввод!$B$4,"",A2635+1))</f>
        <v/>
      </c>
      <c r="B2636">
        <f>IF(A2636="","",IFERROR(INDEX(Ввод!$B$12:$B$71,MATCH(A2636,Ввод!$D$12:$D$71,1)),""))</f>
        <v/>
      </c>
      <c r="C2636">
        <f>IF(A2636="","",DATE(YEAR(A2636),12,31)-DATE(YEAR(A2636),1,1)+1)</f>
        <v/>
      </c>
      <c r="D2636">
        <f>IF(A2636="","",SUMIFS(Акты!$D$5:$D$16,Акты!$E$5:$E$16,"&lt;="&amp;A2636)-SUMIFS(Оплаты!$B$6:$B$505,Оплаты!$A$6:$A$505,"&lt;"&amp;A2636,Оплаты!$D$6:$D$505,"&lt;&gt;"))</f>
        <v/>
      </c>
      <c r="E2636">
        <f>IF(A2636="","",IF(SUMPRODUCT((Ввод!$F$12:$F$31&lt;&gt;"")*(Ввод!$F$12:$F$31&lt;=A2636)*(Ввод!$G$12:$G$31&gt;=A2636))&gt;0,1,0))</f>
        <v/>
      </c>
      <c r="G2636">
        <f>IF(A2636="","",IF(OR(B2636&lt;&gt;B2635,C2636&lt;&gt;C2635,E2636&lt;&gt;E2635),G2635+1,G2635))</f>
        <v/>
      </c>
    </row>
    <row r="2637">
      <c r="A2637" s="20">
        <f>IF(A2636="","",IF(A2636+1&gt;Ввод!$B$4,"",A2636+1))</f>
        <v/>
      </c>
      <c r="B2637">
        <f>IF(A2637="","",IFERROR(INDEX(Ввод!$B$12:$B$71,MATCH(A2637,Ввод!$D$12:$D$71,1)),""))</f>
        <v/>
      </c>
      <c r="C2637">
        <f>IF(A2637="","",DATE(YEAR(A2637),12,31)-DATE(YEAR(A2637),1,1)+1)</f>
        <v/>
      </c>
      <c r="D2637">
        <f>IF(A2637="","",SUMIFS(Акты!$D$5:$D$16,Акты!$E$5:$E$16,"&lt;="&amp;A2637)-SUMIFS(Оплаты!$B$6:$B$505,Оплаты!$A$6:$A$505,"&lt;"&amp;A2637,Оплаты!$D$6:$D$505,"&lt;&gt;"))</f>
        <v/>
      </c>
      <c r="E2637">
        <f>IF(A2637="","",IF(SUMPRODUCT((Ввод!$F$12:$F$31&lt;&gt;"")*(Ввод!$F$12:$F$31&lt;=A2637)*(Ввод!$G$12:$G$31&gt;=A2637))&gt;0,1,0))</f>
        <v/>
      </c>
      <c r="G2637">
        <f>IF(A2637="","",IF(OR(B2637&lt;&gt;B2636,C2637&lt;&gt;C2636,E2637&lt;&gt;E2636),G2636+1,G2636))</f>
        <v/>
      </c>
    </row>
    <row r="2638">
      <c r="A2638" s="20">
        <f>IF(A2637="","",IF(A2637+1&gt;Ввод!$B$4,"",A2637+1))</f>
        <v/>
      </c>
      <c r="B2638">
        <f>IF(A2638="","",IFERROR(INDEX(Ввод!$B$12:$B$71,MATCH(A2638,Ввод!$D$12:$D$71,1)),""))</f>
        <v/>
      </c>
      <c r="C2638">
        <f>IF(A2638="","",DATE(YEAR(A2638),12,31)-DATE(YEAR(A2638),1,1)+1)</f>
        <v/>
      </c>
      <c r="D2638">
        <f>IF(A2638="","",SUMIFS(Акты!$D$5:$D$16,Акты!$E$5:$E$16,"&lt;="&amp;A2638)-SUMIFS(Оплаты!$B$6:$B$505,Оплаты!$A$6:$A$505,"&lt;"&amp;A2638,Оплаты!$D$6:$D$505,"&lt;&gt;"))</f>
        <v/>
      </c>
      <c r="E2638">
        <f>IF(A2638="","",IF(SUMPRODUCT((Ввод!$F$12:$F$31&lt;&gt;"")*(Ввод!$F$12:$F$31&lt;=A2638)*(Ввод!$G$12:$G$31&gt;=A2638))&gt;0,1,0))</f>
        <v/>
      </c>
      <c r="G2638">
        <f>IF(A2638="","",IF(OR(B2638&lt;&gt;B2637,C2638&lt;&gt;C2637,E2638&lt;&gt;E2637),G2637+1,G2637))</f>
        <v/>
      </c>
    </row>
    <row r="2639">
      <c r="A2639" s="20">
        <f>IF(A2638="","",IF(A2638+1&gt;Ввод!$B$4,"",A2638+1))</f>
        <v/>
      </c>
      <c r="B2639">
        <f>IF(A2639="","",IFERROR(INDEX(Ввод!$B$12:$B$71,MATCH(A2639,Ввод!$D$12:$D$71,1)),""))</f>
        <v/>
      </c>
      <c r="C2639">
        <f>IF(A2639="","",DATE(YEAR(A2639),12,31)-DATE(YEAR(A2639),1,1)+1)</f>
        <v/>
      </c>
      <c r="D2639">
        <f>IF(A2639="","",SUMIFS(Акты!$D$5:$D$16,Акты!$E$5:$E$16,"&lt;="&amp;A2639)-SUMIFS(Оплаты!$B$6:$B$505,Оплаты!$A$6:$A$505,"&lt;"&amp;A2639,Оплаты!$D$6:$D$505,"&lt;&gt;"))</f>
        <v/>
      </c>
      <c r="E2639">
        <f>IF(A2639="","",IF(SUMPRODUCT((Ввод!$F$12:$F$31&lt;&gt;"")*(Ввод!$F$12:$F$31&lt;=A2639)*(Ввод!$G$12:$G$31&gt;=A2639))&gt;0,1,0))</f>
        <v/>
      </c>
      <c r="G2639">
        <f>IF(A2639="","",IF(OR(B2639&lt;&gt;B2638,C2639&lt;&gt;C2638,E2639&lt;&gt;E2638),G2638+1,G2638))</f>
        <v/>
      </c>
    </row>
    <row r="2640">
      <c r="A2640" s="20">
        <f>IF(A2639="","",IF(A2639+1&gt;Ввод!$B$4,"",A2639+1))</f>
        <v/>
      </c>
      <c r="B2640">
        <f>IF(A2640="","",IFERROR(INDEX(Ввод!$B$12:$B$71,MATCH(A2640,Ввод!$D$12:$D$71,1)),""))</f>
        <v/>
      </c>
      <c r="C2640">
        <f>IF(A2640="","",DATE(YEAR(A2640),12,31)-DATE(YEAR(A2640),1,1)+1)</f>
        <v/>
      </c>
      <c r="D2640">
        <f>IF(A2640="","",SUMIFS(Акты!$D$5:$D$16,Акты!$E$5:$E$16,"&lt;="&amp;A2640)-SUMIFS(Оплаты!$B$6:$B$505,Оплаты!$A$6:$A$505,"&lt;"&amp;A2640,Оплаты!$D$6:$D$505,"&lt;&gt;"))</f>
        <v/>
      </c>
      <c r="E2640">
        <f>IF(A2640="","",IF(SUMPRODUCT((Ввод!$F$12:$F$31&lt;&gt;"")*(Ввод!$F$12:$F$31&lt;=A2640)*(Ввод!$G$12:$G$31&gt;=A2640))&gt;0,1,0))</f>
        <v/>
      </c>
      <c r="G2640">
        <f>IF(A2640="","",IF(OR(B2640&lt;&gt;B2639,C2640&lt;&gt;C2639,E2640&lt;&gt;E2639),G2639+1,G2639))</f>
        <v/>
      </c>
    </row>
    <row r="2641">
      <c r="A2641" s="20">
        <f>IF(A2640="","",IF(A2640+1&gt;Ввод!$B$4,"",A2640+1))</f>
        <v/>
      </c>
      <c r="B2641">
        <f>IF(A2641="","",IFERROR(INDEX(Ввод!$B$12:$B$71,MATCH(A2641,Ввод!$D$12:$D$71,1)),""))</f>
        <v/>
      </c>
      <c r="C2641">
        <f>IF(A2641="","",DATE(YEAR(A2641),12,31)-DATE(YEAR(A2641),1,1)+1)</f>
        <v/>
      </c>
      <c r="D2641">
        <f>IF(A2641="","",SUMIFS(Акты!$D$5:$D$16,Акты!$E$5:$E$16,"&lt;="&amp;A2641)-SUMIFS(Оплаты!$B$6:$B$505,Оплаты!$A$6:$A$505,"&lt;"&amp;A2641,Оплаты!$D$6:$D$505,"&lt;&gt;"))</f>
        <v/>
      </c>
      <c r="E2641">
        <f>IF(A2641="","",IF(SUMPRODUCT((Ввод!$F$12:$F$31&lt;&gt;"")*(Ввод!$F$12:$F$31&lt;=A2641)*(Ввод!$G$12:$G$31&gt;=A2641))&gt;0,1,0))</f>
        <v/>
      </c>
      <c r="G2641">
        <f>IF(A2641="","",IF(OR(B2641&lt;&gt;B2640,C2641&lt;&gt;C2640,E2641&lt;&gt;E2640),G2640+1,G2640))</f>
        <v/>
      </c>
    </row>
    <row r="2642">
      <c r="A2642" s="20">
        <f>IF(A2641="","",IF(A2641+1&gt;Ввод!$B$4,"",A2641+1))</f>
        <v/>
      </c>
      <c r="B2642">
        <f>IF(A2642="","",IFERROR(INDEX(Ввод!$B$12:$B$71,MATCH(A2642,Ввод!$D$12:$D$71,1)),""))</f>
        <v/>
      </c>
      <c r="C2642">
        <f>IF(A2642="","",DATE(YEAR(A2642),12,31)-DATE(YEAR(A2642),1,1)+1)</f>
        <v/>
      </c>
      <c r="D2642">
        <f>IF(A2642="","",SUMIFS(Акты!$D$5:$D$16,Акты!$E$5:$E$16,"&lt;="&amp;A2642)-SUMIFS(Оплаты!$B$6:$B$505,Оплаты!$A$6:$A$505,"&lt;"&amp;A2642,Оплаты!$D$6:$D$505,"&lt;&gt;"))</f>
        <v/>
      </c>
      <c r="E2642">
        <f>IF(A2642="","",IF(SUMPRODUCT((Ввод!$F$12:$F$31&lt;&gt;"")*(Ввод!$F$12:$F$31&lt;=A2642)*(Ввод!$G$12:$G$31&gt;=A2642))&gt;0,1,0))</f>
        <v/>
      </c>
      <c r="G2642">
        <f>IF(A2642="","",IF(OR(B2642&lt;&gt;B2641,C2642&lt;&gt;C2641,E2642&lt;&gt;E2641),G2641+1,G2641))</f>
        <v/>
      </c>
    </row>
    <row r="2643">
      <c r="A2643" s="20">
        <f>IF(A2642="","",IF(A2642+1&gt;Ввод!$B$4,"",A2642+1))</f>
        <v/>
      </c>
      <c r="B2643">
        <f>IF(A2643="","",IFERROR(INDEX(Ввод!$B$12:$B$71,MATCH(A2643,Ввод!$D$12:$D$71,1)),""))</f>
        <v/>
      </c>
      <c r="C2643">
        <f>IF(A2643="","",DATE(YEAR(A2643),12,31)-DATE(YEAR(A2643),1,1)+1)</f>
        <v/>
      </c>
      <c r="D2643">
        <f>IF(A2643="","",SUMIFS(Акты!$D$5:$D$16,Акты!$E$5:$E$16,"&lt;="&amp;A2643)-SUMIFS(Оплаты!$B$6:$B$505,Оплаты!$A$6:$A$505,"&lt;"&amp;A2643,Оплаты!$D$6:$D$505,"&lt;&gt;"))</f>
        <v/>
      </c>
      <c r="E2643">
        <f>IF(A2643="","",IF(SUMPRODUCT((Ввод!$F$12:$F$31&lt;&gt;"")*(Ввод!$F$12:$F$31&lt;=A2643)*(Ввод!$G$12:$G$31&gt;=A2643))&gt;0,1,0))</f>
        <v/>
      </c>
      <c r="G2643">
        <f>IF(A2643="","",IF(OR(B2643&lt;&gt;B2642,C2643&lt;&gt;C2642,E2643&lt;&gt;E2642),G2642+1,G2642))</f>
        <v/>
      </c>
    </row>
    <row r="2644">
      <c r="A2644" s="20">
        <f>IF(A2643="","",IF(A2643+1&gt;Ввод!$B$4,"",A2643+1))</f>
        <v/>
      </c>
      <c r="B2644">
        <f>IF(A2644="","",IFERROR(INDEX(Ввод!$B$12:$B$71,MATCH(A2644,Ввод!$D$12:$D$71,1)),""))</f>
        <v/>
      </c>
      <c r="C2644">
        <f>IF(A2644="","",DATE(YEAR(A2644),12,31)-DATE(YEAR(A2644),1,1)+1)</f>
        <v/>
      </c>
      <c r="D2644">
        <f>IF(A2644="","",SUMIFS(Акты!$D$5:$D$16,Акты!$E$5:$E$16,"&lt;="&amp;A2644)-SUMIFS(Оплаты!$B$6:$B$505,Оплаты!$A$6:$A$505,"&lt;"&amp;A2644,Оплаты!$D$6:$D$505,"&lt;&gt;"))</f>
        <v/>
      </c>
      <c r="E2644">
        <f>IF(A2644="","",IF(SUMPRODUCT((Ввод!$F$12:$F$31&lt;&gt;"")*(Ввод!$F$12:$F$31&lt;=A2644)*(Ввод!$G$12:$G$31&gt;=A2644))&gt;0,1,0))</f>
        <v/>
      </c>
      <c r="G2644">
        <f>IF(A2644="","",IF(OR(B2644&lt;&gt;B2643,C2644&lt;&gt;C2643,E2644&lt;&gt;E2643),G2643+1,G2643))</f>
        <v/>
      </c>
    </row>
    <row r="2645">
      <c r="A2645" s="20">
        <f>IF(A2644="","",IF(A2644+1&gt;Ввод!$B$4,"",A2644+1))</f>
        <v/>
      </c>
      <c r="B2645">
        <f>IF(A2645="","",IFERROR(INDEX(Ввод!$B$12:$B$71,MATCH(A2645,Ввод!$D$12:$D$71,1)),""))</f>
        <v/>
      </c>
      <c r="C2645">
        <f>IF(A2645="","",DATE(YEAR(A2645),12,31)-DATE(YEAR(A2645),1,1)+1)</f>
        <v/>
      </c>
      <c r="D2645">
        <f>IF(A2645="","",SUMIFS(Акты!$D$5:$D$16,Акты!$E$5:$E$16,"&lt;="&amp;A2645)-SUMIFS(Оплаты!$B$6:$B$505,Оплаты!$A$6:$A$505,"&lt;"&amp;A2645,Оплаты!$D$6:$D$505,"&lt;&gt;"))</f>
        <v/>
      </c>
      <c r="E2645">
        <f>IF(A2645="","",IF(SUMPRODUCT((Ввод!$F$12:$F$31&lt;&gt;"")*(Ввод!$F$12:$F$31&lt;=A2645)*(Ввод!$G$12:$G$31&gt;=A2645))&gt;0,1,0))</f>
        <v/>
      </c>
      <c r="G2645">
        <f>IF(A2645="","",IF(OR(B2645&lt;&gt;B2644,C2645&lt;&gt;C2644,E2645&lt;&gt;E2644),G2644+1,G2644))</f>
        <v/>
      </c>
    </row>
    <row r="2646">
      <c r="A2646" s="20">
        <f>IF(A2645="","",IF(A2645+1&gt;Ввод!$B$4,"",A2645+1))</f>
        <v/>
      </c>
      <c r="B2646">
        <f>IF(A2646="","",IFERROR(INDEX(Ввод!$B$12:$B$71,MATCH(A2646,Ввод!$D$12:$D$71,1)),""))</f>
        <v/>
      </c>
      <c r="C2646">
        <f>IF(A2646="","",DATE(YEAR(A2646),12,31)-DATE(YEAR(A2646),1,1)+1)</f>
        <v/>
      </c>
      <c r="D2646">
        <f>IF(A2646="","",SUMIFS(Акты!$D$5:$D$16,Акты!$E$5:$E$16,"&lt;="&amp;A2646)-SUMIFS(Оплаты!$B$6:$B$505,Оплаты!$A$6:$A$505,"&lt;"&amp;A2646,Оплаты!$D$6:$D$505,"&lt;&gt;"))</f>
        <v/>
      </c>
      <c r="E2646">
        <f>IF(A2646="","",IF(SUMPRODUCT((Ввод!$F$12:$F$31&lt;&gt;"")*(Ввод!$F$12:$F$31&lt;=A2646)*(Ввод!$G$12:$G$31&gt;=A2646))&gt;0,1,0))</f>
        <v/>
      </c>
      <c r="G2646">
        <f>IF(A2646="","",IF(OR(B2646&lt;&gt;B2645,C2646&lt;&gt;C2645,E2646&lt;&gt;E2645),G2645+1,G2645))</f>
        <v/>
      </c>
    </row>
    <row r="2647">
      <c r="A2647" s="20">
        <f>IF(A2646="","",IF(A2646+1&gt;Ввод!$B$4,"",A2646+1))</f>
        <v/>
      </c>
      <c r="B2647">
        <f>IF(A2647="","",IFERROR(INDEX(Ввод!$B$12:$B$71,MATCH(A2647,Ввод!$D$12:$D$71,1)),""))</f>
        <v/>
      </c>
      <c r="C2647">
        <f>IF(A2647="","",DATE(YEAR(A2647),12,31)-DATE(YEAR(A2647),1,1)+1)</f>
        <v/>
      </c>
      <c r="D2647">
        <f>IF(A2647="","",SUMIFS(Акты!$D$5:$D$16,Акты!$E$5:$E$16,"&lt;="&amp;A2647)-SUMIFS(Оплаты!$B$6:$B$505,Оплаты!$A$6:$A$505,"&lt;"&amp;A2647,Оплаты!$D$6:$D$505,"&lt;&gt;"))</f>
        <v/>
      </c>
      <c r="E2647">
        <f>IF(A2647="","",IF(SUMPRODUCT((Ввод!$F$12:$F$31&lt;&gt;"")*(Ввод!$F$12:$F$31&lt;=A2647)*(Ввод!$G$12:$G$31&gt;=A2647))&gt;0,1,0))</f>
        <v/>
      </c>
      <c r="G2647">
        <f>IF(A2647="","",IF(OR(B2647&lt;&gt;B2646,C2647&lt;&gt;C2646,E2647&lt;&gt;E2646),G2646+1,G2646))</f>
        <v/>
      </c>
    </row>
    <row r="2648">
      <c r="A2648" s="20">
        <f>IF(A2647="","",IF(A2647+1&gt;Ввод!$B$4,"",A2647+1))</f>
        <v/>
      </c>
      <c r="B2648">
        <f>IF(A2648="","",IFERROR(INDEX(Ввод!$B$12:$B$71,MATCH(A2648,Ввод!$D$12:$D$71,1)),""))</f>
        <v/>
      </c>
      <c r="C2648">
        <f>IF(A2648="","",DATE(YEAR(A2648),12,31)-DATE(YEAR(A2648),1,1)+1)</f>
        <v/>
      </c>
      <c r="D2648">
        <f>IF(A2648="","",SUMIFS(Акты!$D$5:$D$16,Акты!$E$5:$E$16,"&lt;="&amp;A2648)-SUMIFS(Оплаты!$B$6:$B$505,Оплаты!$A$6:$A$505,"&lt;"&amp;A2648,Оплаты!$D$6:$D$505,"&lt;&gt;"))</f>
        <v/>
      </c>
      <c r="E2648">
        <f>IF(A2648="","",IF(SUMPRODUCT((Ввод!$F$12:$F$31&lt;&gt;"")*(Ввод!$F$12:$F$31&lt;=A2648)*(Ввод!$G$12:$G$31&gt;=A2648))&gt;0,1,0))</f>
        <v/>
      </c>
      <c r="G2648">
        <f>IF(A2648="","",IF(OR(B2648&lt;&gt;B2647,C2648&lt;&gt;C2647,E2648&lt;&gt;E2647),G2647+1,G2647))</f>
        <v/>
      </c>
    </row>
    <row r="2649">
      <c r="A2649" s="20">
        <f>IF(A2648="","",IF(A2648+1&gt;Ввод!$B$4,"",A2648+1))</f>
        <v/>
      </c>
      <c r="B2649">
        <f>IF(A2649="","",IFERROR(INDEX(Ввод!$B$12:$B$71,MATCH(A2649,Ввод!$D$12:$D$71,1)),""))</f>
        <v/>
      </c>
      <c r="C2649">
        <f>IF(A2649="","",DATE(YEAR(A2649),12,31)-DATE(YEAR(A2649),1,1)+1)</f>
        <v/>
      </c>
      <c r="D2649">
        <f>IF(A2649="","",SUMIFS(Акты!$D$5:$D$16,Акты!$E$5:$E$16,"&lt;="&amp;A2649)-SUMIFS(Оплаты!$B$6:$B$505,Оплаты!$A$6:$A$505,"&lt;"&amp;A2649,Оплаты!$D$6:$D$505,"&lt;&gt;"))</f>
        <v/>
      </c>
      <c r="E2649">
        <f>IF(A2649="","",IF(SUMPRODUCT((Ввод!$F$12:$F$31&lt;&gt;"")*(Ввод!$F$12:$F$31&lt;=A2649)*(Ввод!$G$12:$G$31&gt;=A2649))&gt;0,1,0))</f>
        <v/>
      </c>
      <c r="G2649">
        <f>IF(A2649="","",IF(OR(B2649&lt;&gt;B2648,C2649&lt;&gt;C2648,E2649&lt;&gt;E2648),G2648+1,G2648))</f>
        <v/>
      </c>
    </row>
    <row r="2650">
      <c r="A2650" s="20">
        <f>IF(A2649="","",IF(A2649+1&gt;Ввод!$B$4,"",A2649+1))</f>
        <v/>
      </c>
      <c r="B2650">
        <f>IF(A2650="","",IFERROR(INDEX(Ввод!$B$12:$B$71,MATCH(A2650,Ввод!$D$12:$D$71,1)),""))</f>
        <v/>
      </c>
      <c r="C2650">
        <f>IF(A2650="","",DATE(YEAR(A2650),12,31)-DATE(YEAR(A2650),1,1)+1)</f>
        <v/>
      </c>
      <c r="D2650">
        <f>IF(A2650="","",SUMIFS(Акты!$D$5:$D$16,Акты!$E$5:$E$16,"&lt;="&amp;A2650)-SUMIFS(Оплаты!$B$6:$B$505,Оплаты!$A$6:$A$505,"&lt;"&amp;A2650,Оплаты!$D$6:$D$505,"&lt;&gt;"))</f>
        <v/>
      </c>
      <c r="E2650">
        <f>IF(A2650="","",IF(SUMPRODUCT((Ввод!$F$12:$F$31&lt;&gt;"")*(Ввод!$F$12:$F$31&lt;=A2650)*(Ввод!$G$12:$G$31&gt;=A2650))&gt;0,1,0))</f>
        <v/>
      </c>
      <c r="G2650">
        <f>IF(A2650="","",IF(OR(B2650&lt;&gt;B2649,C2650&lt;&gt;C2649,E2650&lt;&gt;E2649),G2649+1,G2649))</f>
        <v/>
      </c>
    </row>
    <row r="2651">
      <c r="A2651" s="20">
        <f>IF(A2650="","",IF(A2650+1&gt;Ввод!$B$4,"",A2650+1))</f>
        <v/>
      </c>
      <c r="B2651">
        <f>IF(A2651="","",IFERROR(INDEX(Ввод!$B$12:$B$71,MATCH(A2651,Ввод!$D$12:$D$71,1)),""))</f>
        <v/>
      </c>
      <c r="C2651">
        <f>IF(A2651="","",DATE(YEAR(A2651),12,31)-DATE(YEAR(A2651),1,1)+1)</f>
        <v/>
      </c>
      <c r="D2651">
        <f>IF(A2651="","",SUMIFS(Акты!$D$5:$D$16,Акты!$E$5:$E$16,"&lt;="&amp;A2651)-SUMIFS(Оплаты!$B$6:$B$505,Оплаты!$A$6:$A$505,"&lt;"&amp;A2651,Оплаты!$D$6:$D$505,"&lt;&gt;"))</f>
        <v/>
      </c>
      <c r="E2651">
        <f>IF(A2651="","",IF(SUMPRODUCT((Ввод!$F$12:$F$31&lt;&gt;"")*(Ввод!$F$12:$F$31&lt;=A2651)*(Ввод!$G$12:$G$31&gt;=A2651))&gt;0,1,0))</f>
        <v/>
      </c>
      <c r="G2651">
        <f>IF(A2651="","",IF(OR(B2651&lt;&gt;B2650,C2651&lt;&gt;C2650,E2651&lt;&gt;E2650),G2650+1,G2650))</f>
        <v/>
      </c>
    </row>
    <row r="2652">
      <c r="A2652" s="20">
        <f>IF(A2651="","",IF(A2651+1&gt;Ввод!$B$4,"",A2651+1))</f>
        <v/>
      </c>
      <c r="B2652">
        <f>IF(A2652="","",IFERROR(INDEX(Ввод!$B$12:$B$71,MATCH(A2652,Ввод!$D$12:$D$71,1)),""))</f>
        <v/>
      </c>
      <c r="C2652">
        <f>IF(A2652="","",DATE(YEAR(A2652),12,31)-DATE(YEAR(A2652),1,1)+1)</f>
        <v/>
      </c>
      <c r="D2652">
        <f>IF(A2652="","",SUMIFS(Акты!$D$5:$D$16,Акты!$E$5:$E$16,"&lt;="&amp;A2652)-SUMIFS(Оплаты!$B$6:$B$505,Оплаты!$A$6:$A$505,"&lt;"&amp;A2652,Оплаты!$D$6:$D$505,"&lt;&gt;"))</f>
        <v/>
      </c>
      <c r="E2652">
        <f>IF(A2652="","",IF(SUMPRODUCT((Ввод!$F$12:$F$31&lt;&gt;"")*(Ввод!$F$12:$F$31&lt;=A2652)*(Ввод!$G$12:$G$31&gt;=A2652))&gt;0,1,0))</f>
        <v/>
      </c>
      <c r="G2652">
        <f>IF(A2652="","",IF(OR(B2652&lt;&gt;B2651,C2652&lt;&gt;C2651,E2652&lt;&gt;E2651),G2651+1,G2651))</f>
        <v/>
      </c>
    </row>
    <row r="2653">
      <c r="A2653" s="20">
        <f>IF(A2652="","",IF(A2652+1&gt;Ввод!$B$4,"",A2652+1))</f>
        <v/>
      </c>
      <c r="B2653">
        <f>IF(A2653="","",IFERROR(INDEX(Ввод!$B$12:$B$71,MATCH(A2653,Ввод!$D$12:$D$71,1)),""))</f>
        <v/>
      </c>
      <c r="C2653">
        <f>IF(A2653="","",DATE(YEAR(A2653),12,31)-DATE(YEAR(A2653),1,1)+1)</f>
        <v/>
      </c>
      <c r="D2653">
        <f>IF(A2653="","",SUMIFS(Акты!$D$5:$D$16,Акты!$E$5:$E$16,"&lt;="&amp;A2653)-SUMIFS(Оплаты!$B$6:$B$505,Оплаты!$A$6:$A$505,"&lt;"&amp;A2653,Оплаты!$D$6:$D$505,"&lt;&gt;"))</f>
        <v/>
      </c>
      <c r="E2653">
        <f>IF(A2653="","",IF(SUMPRODUCT((Ввод!$F$12:$F$31&lt;&gt;"")*(Ввод!$F$12:$F$31&lt;=A2653)*(Ввод!$G$12:$G$31&gt;=A2653))&gt;0,1,0))</f>
        <v/>
      </c>
      <c r="G2653">
        <f>IF(A2653="","",IF(OR(B2653&lt;&gt;B2652,C2653&lt;&gt;C2652,E2653&lt;&gt;E2652),G2652+1,G2652))</f>
        <v/>
      </c>
    </row>
    <row r="2654">
      <c r="A2654" s="20">
        <f>IF(A2653="","",IF(A2653+1&gt;Ввод!$B$4,"",A2653+1))</f>
        <v/>
      </c>
      <c r="B2654">
        <f>IF(A2654="","",IFERROR(INDEX(Ввод!$B$12:$B$71,MATCH(A2654,Ввод!$D$12:$D$71,1)),""))</f>
        <v/>
      </c>
      <c r="C2654">
        <f>IF(A2654="","",DATE(YEAR(A2654),12,31)-DATE(YEAR(A2654),1,1)+1)</f>
        <v/>
      </c>
      <c r="D2654">
        <f>IF(A2654="","",SUMIFS(Акты!$D$5:$D$16,Акты!$E$5:$E$16,"&lt;="&amp;A2654)-SUMIFS(Оплаты!$B$6:$B$505,Оплаты!$A$6:$A$505,"&lt;"&amp;A2654,Оплаты!$D$6:$D$505,"&lt;&gt;"))</f>
        <v/>
      </c>
      <c r="E2654">
        <f>IF(A2654="","",IF(SUMPRODUCT((Ввод!$F$12:$F$31&lt;&gt;"")*(Ввод!$F$12:$F$31&lt;=A2654)*(Ввод!$G$12:$G$31&gt;=A2654))&gt;0,1,0))</f>
        <v/>
      </c>
      <c r="G2654">
        <f>IF(A2654="","",IF(OR(B2654&lt;&gt;B2653,C2654&lt;&gt;C2653,E2654&lt;&gt;E2653),G2653+1,G2653))</f>
        <v/>
      </c>
    </row>
    <row r="2655">
      <c r="A2655" s="20">
        <f>IF(A2654="","",IF(A2654+1&gt;Ввод!$B$4,"",A2654+1))</f>
        <v/>
      </c>
      <c r="B2655">
        <f>IF(A2655="","",IFERROR(INDEX(Ввод!$B$12:$B$71,MATCH(A2655,Ввод!$D$12:$D$71,1)),""))</f>
        <v/>
      </c>
      <c r="C2655">
        <f>IF(A2655="","",DATE(YEAR(A2655),12,31)-DATE(YEAR(A2655),1,1)+1)</f>
        <v/>
      </c>
      <c r="D2655">
        <f>IF(A2655="","",SUMIFS(Акты!$D$5:$D$16,Акты!$E$5:$E$16,"&lt;="&amp;A2655)-SUMIFS(Оплаты!$B$6:$B$505,Оплаты!$A$6:$A$505,"&lt;"&amp;A2655,Оплаты!$D$6:$D$505,"&lt;&gt;"))</f>
        <v/>
      </c>
      <c r="E2655">
        <f>IF(A2655="","",IF(SUMPRODUCT((Ввод!$F$12:$F$31&lt;&gt;"")*(Ввод!$F$12:$F$31&lt;=A2655)*(Ввод!$G$12:$G$31&gt;=A2655))&gt;0,1,0))</f>
        <v/>
      </c>
      <c r="G2655">
        <f>IF(A2655="","",IF(OR(B2655&lt;&gt;B2654,C2655&lt;&gt;C2654,E2655&lt;&gt;E2654),G2654+1,G2654))</f>
        <v/>
      </c>
    </row>
    <row r="2656">
      <c r="A2656" s="20">
        <f>IF(A2655="","",IF(A2655+1&gt;Ввод!$B$4,"",A2655+1))</f>
        <v/>
      </c>
      <c r="B2656">
        <f>IF(A2656="","",IFERROR(INDEX(Ввод!$B$12:$B$71,MATCH(A2656,Ввод!$D$12:$D$71,1)),""))</f>
        <v/>
      </c>
      <c r="C2656">
        <f>IF(A2656="","",DATE(YEAR(A2656),12,31)-DATE(YEAR(A2656),1,1)+1)</f>
        <v/>
      </c>
      <c r="D2656">
        <f>IF(A2656="","",SUMIFS(Акты!$D$5:$D$16,Акты!$E$5:$E$16,"&lt;="&amp;A2656)-SUMIFS(Оплаты!$B$6:$B$505,Оплаты!$A$6:$A$505,"&lt;"&amp;A2656,Оплаты!$D$6:$D$505,"&lt;&gt;"))</f>
        <v/>
      </c>
      <c r="E2656">
        <f>IF(A2656="","",IF(SUMPRODUCT((Ввод!$F$12:$F$31&lt;&gt;"")*(Ввод!$F$12:$F$31&lt;=A2656)*(Ввод!$G$12:$G$31&gt;=A2656))&gt;0,1,0))</f>
        <v/>
      </c>
      <c r="G2656">
        <f>IF(A2656="","",IF(OR(B2656&lt;&gt;B2655,C2656&lt;&gt;C2655,E2656&lt;&gt;E2655),G2655+1,G2655))</f>
        <v/>
      </c>
    </row>
    <row r="2657">
      <c r="A2657" s="20">
        <f>IF(A2656="","",IF(A2656+1&gt;Ввод!$B$4,"",A2656+1))</f>
        <v/>
      </c>
      <c r="B2657">
        <f>IF(A2657="","",IFERROR(INDEX(Ввод!$B$12:$B$71,MATCH(A2657,Ввод!$D$12:$D$71,1)),""))</f>
        <v/>
      </c>
      <c r="C2657">
        <f>IF(A2657="","",DATE(YEAR(A2657),12,31)-DATE(YEAR(A2657),1,1)+1)</f>
        <v/>
      </c>
      <c r="D2657">
        <f>IF(A2657="","",SUMIFS(Акты!$D$5:$D$16,Акты!$E$5:$E$16,"&lt;="&amp;A2657)-SUMIFS(Оплаты!$B$6:$B$505,Оплаты!$A$6:$A$505,"&lt;"&amp;A2657,Оплаты!$D$6:$D$505,"&lt;&gt;"))</f>
        <v/>
      </c>
      <c r="E2657">
        <f>IF(A2657="","",IF(SUMPRODUCT((Ввод!$F$12:$F$31&lt;&gt;"")*(Ввод!$F$12:$F$31&lt;=A2657)*(Ввод!$G$12:$G$31&gt;=A2657))&gt;0,1,0))</f>
        <v/>
      </c>
      <c r="G2657">
        <f>IF(A2657="","",IF(OR(B2657&lt;&gt;B2656,C2657&lt;&gt;C2656,E2657&lt;&gt;E2656),G2656+1,G2656))</f>
        <v/>
      </c>
    </row>
    <row r="2658">
      <c r="A2658" s="20">
        <f>IF(A2657="","",IF(A2657+1&gt;Ввод!$B$4,"",A2657+1))</f>
        <v/>
      </c>
      <c r="B2658">
        <f>IF(A2658="","",IFERROR(INDEX(Ввод!$B$12:$B$71,MATCH(A2658,Ввод!$D$12:$D$71,1)),""))</f>
        <v/>
      </c>
      <c r="C2658">
        <f>IF(A2658="","",DATE(YEAR(A2658),12,31)-DATE(YEAR(A2658),1,1)+1)</f>
        <v/>
      </c>
      <c r="D2658">
        <f>IF(A2658="","",SUMIFS(Акты!$D$5:$D$16,Акты!$E$5:$E$16,"&lt;="&amp;A2658)-SUMIFS(Оплаты!$B$6:$B$505,Оплаты!$A$6:$A$505,"&lt;"&amp;A2658,Оплаты!$D$6:$D$505,"&lt;&gt;"))</f>
        <v/>
      </c>
      <c r="E2658">
        <f>IF(A2658="","",IF(SUMPRODUCT((Ввод!$F$12:$F$31&lt;&gt;"")*(Ввод!$F$12:$F$31&lt;=A2658)*(Ввод!$G$12:$G$31&gt;=A2658))&gt;0,1,0))</f>
        <v/>
      </c>
      <c r="G2658">
        <f>IF(A2658="","",IF(OR(B2658&lt;&gt;B2657,C2658&lt;&gt;C2657,E2658&lt;&gt;E2657),G2657+1,G2657))</f>
        <v/>
      </c>
    </row>
    <row r="2659">
      <c r="A2659" s="20">
        <f>IF(A2658="","",IF(A2658+1&gt;Ввод!$B$4,"",A2658+1))</f>
        <v/>
      </c>
      <c r="B2659">
        <f>IF(A2659="","",IFERROR(INDEX(Ввод!$B$12:$B$71,MATCH(A2659,Ввод!$D$12:$D$71,1)),""))</f>
        <v/>
      </c>
      <c r="C2659">
        <f>IF(A2659="","",DATE(YEAR(A2659),12,31)-DATE(YEAR(A2659),1,1)+1)</f>
        <v/>
      </c>
      <c r="D2659">
        <f>IF(A2659="","",SUMIFS(Акты!$D$5:$D$16,Акты!$E$5:$E$16,"&lt;="&amp;A2659)-SUMIFS(Оплаты!$B$6:$B$505,Оплаты!$A$6:$A$505,"&lt;"&amp;A2659,Оплаты!$D$6:$D$505,"&lt;&gt;"))</f>
        <v/>
      </c>
      <c r="E2659">
        <f>IF(A2659="","",IF(SUMPRODUCT((Ввод!$F$12:$F$31&lt;&gt;"")*(Ввод!$F$12:$F$31&lt;=A2659)*(Ввод!$G$12:$G$31&gt;=A2659))&gt;0,1,0))</f>
        <v/>
      </c>
      <c r="G2659">
        <f>IF(A2659="","",IF(OR(B2659&lt;&gt;B2658,C2659&lt;&gt;C2658,E2659&lt;&gt;E2658),G2658+1,G2658))</f>
        <v/>
      </c>
    </row>
    <row r="2660">
      <c r="A2660" s="20">
        <f>IF(A2659="","",IF(A2659+1&gt;Ввод!$B$4,"",A2659+1))</f>
        <v/>
      </c>
      <c r="B2660">
        <f>IF(A2660="","",IFERROR(INDEX(Ввод!$B$12:$B$71,MATCH(A2660,Ввод!$D$12:$D$71,1)),""))</f>
        <v/>
      </c>
      <c r="C2660">
        <f>IF(A2660="","",DATE(YEAR(A2660),12,31)-DATE(YEAR(A2660),1,1)+1)</f>
        <v/>
      </c>
      <c r="D2660">
        <f>IF(A2660="","",SUMIFS(Акты!$D$5:$D$16,Акты!$E$5:$E$16,"&lt;="&amp;A2660)-SUMIFS(Оплаты!$B$6:$B$505,Оплаты!$A$6:$A$505,"&lt;"&amp;A2660,Оплаты!$D$6:$D$505,"&lt;&gt;"))</f>
        <v/>
      </c>
      <c r="E2660">
        <f>IF(A2660="","",IF(SUMPRODUCT((Ввод!$F$12:$F$31&lt;&gt;"")*(Ввод!$F$12:$F$31&lt;=A2660)*(Ввод!$G$12:$G$31&gt;=A2660))&gt;0,1,0))</f>
        <v/>
      </c>
      <c r="G2660">
        <f>IF(A2660="","",IF(OR(B2660&lt;&gt;B2659,C2660&lt;&gt;C2659,E2660&lt;&gt;E2659),G2659+1,G2659))</f>
        <v/>
      </c>
    </row>
    <row r="2661">
      <c r="A2661" s="20">
        <f>IF(A2660="","",IF(A2660+1&gt;Ввод!$B$4,"",A2660+1))</f>
        <v/>
      </c>
      <c r="B2661">
        <f>IF(A2661="","",IFERROR(INDEX(Ввод!$B$12:$B$71,MATCH(A2661,Ввод!$D$12:$D$71,1)),""))</f>
        <v/>
      </c>
      <c r="C2661">
        <f>IF(A2661="","",DATE(YEAR(A2661),12,31)-DATE(YEAR(A2661),1,1)+1)</f>
        <v/>
      </c>
      <c r="D2661">
        <f>IF(A2661="","",SUMIFS(Акты!$D$5:$D$16,Акты!$E$5:$E$16,"&lt;="&amp;A2661)-SUMIFS(Оплаты!$B$6:$B$505,Оплаты!$A$6:$A$505,"&lt;"&amp;A2661,Оплаты!$D$6:$D$505,"&lt;&gt;"))</f>
        <v/>
      </c>
      <c r="E2661">
        <f>IF(A2661="","",IF(SUMPRODUCT((Ввод!$F$12:$F$31&lt;&gt;"")*(Ввод!$F$12:$F$31&lt;=A2661)*(Ввод!$G$12:$G$31&gt;=A2661))&gt;0,1,0))</f>
        <v/>
      </c>
      <c r="G2661">
        <f>IF(A2661="","",IF(OR(B2661&lt;&gt;B2660,C2661&lt;&gt;C2660,E2661&lt;&gt;E2660),G2660+1,G2660))</f>
        <v/>
      </c>
    </row>
    <row r="2662">
      <c r="A2662" s="20">
        <f>IF(A2661="","",IF(A2661+1&gt;Ввод!$B$4,"",A2661+1))</f>
        <v/>
      </c>
      <c r="B2662">
        <f>IF(A2662="","",IFERROR(INDEX(Ввод!$B$12:$B$71,MATCH(A2662,Ввод!$D$12:$D$71,1)),""))</f>
        <v/>
      </c>
      <c r="C2662">
        <f>IF(A2662="","",DATE(YEAR(A2662),12,31)-DATE(YEAR(A2662),1,1)+1)</f>
        <v/>
      </c>
      <c r="D2662">
        <f>IF(A2662="","",SUMIFS(Акты!$D$5:$D$16,Акты!$E$5:$E$16,"&lt;="&amp;A2662)-SUMIFS(Оплаты!$B$6:$B$505,Оплаты!$A$6:$A$505,"&lt;"&amp;A2662,Оплаты!$D$6:$D$505,"&lt;&gt;"))</f>
        <v/>
      </c>
      <c r="E2662">
        <f>IF(A2662="","",IF(SUMPRODUCT((Ввод!$F$12:$F$31&lt;&gt;"")*(Ввод!$F$12:$F$31&lt;=A2662)*(Ввод!$G$12:$G$31&gt;=A2662))&gt;0,1,0))</f>
        <v/>
      </c>
      <c r="G2662">
        <f>IF(A2662="","",IF(OR(B2662&lt;&gt;B2661,C2662&lt;&gt;C2661,E2662&lt;&gt;E2661),G2661+1,G2661))</f>
        <v/>
      </c>
    </row>
    <row r="2663">
      <c r="A2663" s="20">
        <f>IF(A2662="","",IF(A2662+1&gt;Ввод!$B$4,"",A2662+1))</f>
        <v/>
      </c>
      <c r="B2663">
        <f>IF(A2663="","",IFERROR(INDEX(Ввод!$B$12:$B$71,MATCH(A2663,Ввод!$D$12:$D$71,1)),""))</f>
        <v/>
      </c>
      <c r="C2663">
        <f>IF(A2663="","",DATE(YEAR(A2663),12,31)-DATE(YEAR(A2663),1,1)+1)</f>
        <v/>
      </c>
      <c r="D2663">
        <f>IF(A2663="","",SUMIFS(Акты!$D$5:$D$16,Акты!$E$5:$E$16,"&lt;="&amp;A2663)-SUMIFS(Оплаты!$B$6:$B$505,Оплаты!$A$6:$A$505,"&lt;"&amp;A2663,Оплаты!$D$6:$D$505,"&lt;&gt;"))</f>
        <v/>
      </c>
      <c r="E2663">
        <f>IF(A2663="","",IF(SUMPRODUCT((Ввод!$F$12:$F$31&lt;&gt;"")*(Ввод!$F$12:$F$31&lt;=A2663)*(Ввод!$G$12:$G$31&gt;=A2663))&gt;0,1,0))</f>
        <v/>
      </c>
      <c r="G2663">
        <f>IF(A2663="","",IF(OR(B2663&lt;&gt;B2662,C2663&lt;&gt;C2662,E2663&lt;&gt;E2662),G2662+1,G2662))</f>
        <v/>
      </c>
    </row>
    <row r="2664">
      <c r="A2664" s="20">
        <f>IF(A2663="","",IF(A2663+1&gt;Ввод!$B$4,"",A2663+1))</f>
        <v/>
      </c>
      <c r="B2664">
        <f>IF(A2664="","",IFERROR(INDEX(Ввод!$B$12:$B$71,MATCH(A2664,Ввод!$D$12:$D$71,1)),""))</f>
        <v/>
      </c>
      <c r="C2664">
        <f>IF(A2664="","",DATE(YEAR(A2664),12,31)-DATE(YEAR(A2664),1,1)+1)</f>
        <v/>
      </c>
      <c r="D2664">
        <f>IF(A2664="","",SUMIFS(Акты!$D$5:$D$16,Акты!$E$5:$E$16,"&lt;="&amp;A2664)-SUMIFS(Оплаты!$B$6:$B$505,Оплаты!$A$6:$A$505,"&lt;"&amp;A2664,Оплаты!$D$6:$D$505,"&lt;&gt;"))</f>
        <v/>
      </c>
      <c r="E2664">
        <f>IF(A2664="","",IF(SUMPRODUCT((Ввод!$F$12:$F$31&lt;&gt;"")*(Ввод!$F$12:$F$31&lt;=A2664)*(Ввод!$G$12:$G$31&gt;=A2664))&gt;0,1,0))</f>
        <v/>
      </c>
      <c r="G2664">
        <f>IF(A2664="","",IF(OR(B2664&lt;&gt;B2663,C2664&lt;&gt;C2663,E2664&lt;&gt;E2663),G2663+1,G2663))</f>
        <v/>
      </c>
    </row>
    <row r="2665">
      <c r="A2665" s="20">
        <f>IF(A2664="","",IF(A2664+1&gt;Ввод!$B$4,"",A2664+1))</f>
        <v/>
      </c>
      <c r="B2665">
        <f>IF(A2665="","",IFERROR(INDEX(Ввод!$B$12:$B$71,MATCH(A2665,Ввод!$D$12:$D$71,1)),""))</f>
        <v/>
      </c>
      <c r="C2665">
        <f>IF(A2665="","",DATE(YEAR(A2665),12,31)-DATE(YEAR(A2665),1,1)+1)</f>
        <v/>
      </c>
      <c r="D2665">
        <f>IF(A2665="","",SUMIFS(Акты!$D$5:$D$16,Акты!$E$5:$E$16,"&lt;="&amp;A2665)-SUMIFS(Оплаты!$B$6:$B$505,Оплаты!$A$6:$A$505,"&lt;"&amp;A2665,Оплаты!$D$6:$D$505,"&lt;&gt;"))</f>
        <v/>
      </c>
      <c r="E2665">
        <f>IF(A2665="","",IF(SUMPRODUCT((Ввод!$F$12:$F$31&lt;&gt;"")*(Ввод!$F$12:$F$31&lt;=A2665)*(Ввод!$G$12:$G$31&gt;=A2665))&gt;0,1,0))</f>
        <v/>
      </c>
      <c r="G2665">
        <f>IF(A2665="","",IF(OR(B2665&lt;&gt;B2664,C2665&lt;&gt;C2664,E2665&lt;&gt;E2664),G2664+1,G2664))</f>
        <v/>
      </c>
    </row>
    <row r="2666">
      <c r="A2666" s="20">
        <f>IF(A2665="","",IF(A2665+1&gt;Ввод!$B$4,"",A2665+1))</f>
        <v/>
      </c>
      <c r="B2666">
        <f>IF(A2666="","",IFERROR(INDEX(Ввод!$B$12:$B$71,MATCH(A2666,Ввод!$D$12:$D$71,1)),""))</f>
        <v/>
      </c>
      <c r="C2666">
        <f>IF(A2666="","",DATE(YEAR(A2666),12,31)-DATE(YEAR(A2666),1,1)+1)</f>
        <v/>
      </c>
      <c r="D2666">
        <f>IF(A2666="","",SUMIFS(Акты!$D$5:$D$16,Акты!$E$5:$E$16,"&lt;="&amp;A2666)-SUMIFS(Оплаты!$B$6:$B$505,Оплаты!$A$6:$A$505,"&lt;"&amp;A2666,Оплаты!$D$6:$D$505,"&lt;&gt;"))</f>
        <v/>
      </c>
      <c r="E2666">
        <f>IF(A2666="","",IF(SUMPRODUCT((Ввод!$F$12:$F$31&lt;&gt;"")*(Ввод!$F$12:$F$31&lt;=A2666)*(Ввод!$G$12:$G$31&gt;=A2666))&gt;0,1,0))</f>
        <v/>
      </c>
      <c r="G2666">
        <f>IF(A2666="","",IF(OR(B2666&lt;&gt;B2665,C2666&lt;&gt;C2665,E2666&lt;&gt;E2665),G2665+1,G2665))</f>
        <v/>
      </c>
    </row>
    <row r="2667">
      <c r="A2667" s="20">
        <f>IF(A2666="","",IF(A2666+1&gt;Ввод!$B$4,"",A2666+1))</f>
        <v/>
      </c>
      <c r="B2667">
        <f>IF(A2667="","",IFERROR(INDEX(Ввод!$B$12:$B$71,MATCH(A2667,Ввод!$D$12:$D$71,1)),""))</f>
        <v/>
      </c>
      <c r="C2667">
        <f>IF(A2667="","",DATE(YEAR(A2667),12,31)-DATE(YEAR(A2667),1,1)+1)</f>
        <v/>
      </c>
      <c r="D2667">
        <f>IF(A2667="","",SUMIFS(Акты!$D$5:$D$16,Акты!$E$5:$E$16,"&lt;="&amp;A2667)-SUMIFS(Оплаты!$B$6:$B$505,Оплаты!$A$6:$A$505,"&lt;"&amp;A2667,Оплаты!$D$6:$D$505,"&lt;&gt;"))</f>
        <v/>
      </c>
      <c r="E2667">
        <f>IF(A2667="","",IF(SUMPRODUCT((Ввод!$F$12:$F$31&lt;&gt;"")*(Ввод!$F$12:$F$31&lt;=A2667)*(Ввод!$G$12:$G$31&gt;=A2667))&gt;0,1,0))</f>
        <v/>
      </c>
      <c r="G2667">
        <f>IF(A2667="","",IF(OR(B2667&lt;&gt;B2666,C2667&lt;&gt;C2666,E2667&lt;&gt;E2666),G2666+1,G2666))</f>
        <v/>
      </c>
    </row>
    <row r="2668">
      <c r="A2668" s="20">
        <f>IF(A2667="","",IF(A2667+1&gt;Ввод!$B$4,"",A2667+1))</f>
        <v/>
      </c>
      <c r="B2668">
        <f>IF(A2668="","",IFERROR(INDEX(Ввод!$B$12:$B$71,MATCH(A2668,Ввод!$D$12:$D$71,1)),""))</f>
        <v/>
      </c>
      <c r="C2668">
        <f>IF(A2668="","",DATE(YEAR(A2668),12,31)-DATE(YEAR(A2668),1,1)+1)</f>
        <v/>
      </c>
      <c r="D2668">
        <f>IF(A2668="","",SUMIFS(Акты!$D$5:$D$16,Акты!$E$5:$E$16,"&lt;="&amp;A2668)-SUMIFS(Оплаты!$B$6:$B$505,Оплаты!$A$6:$A$505,"&lt;"&amp;A2668,Оплаты!$D$6:$D$505,"&lt;&gt;"))</f>
        <v/>
      </c>
      <c r="E2668">
        <f>IF(A2668="","",IF(SUMPRODUCT((Ввод!$F$12:$F$31&lt;&gt;"")*(Ввод!$F$12:$F$31&lt;=A2668)*(Ввод!$G$12:$G$31&gt;=A2668))&gt;0,1,0))</f>
        <v/>
      </c>
      <c r="G2668">
        <f>IF(A2668="","",IF(OR(B2668&lt;&gt;B2667,C2668&lt;&gt;C2667,E2668&lt;&gt;E2667),G2667+1,G2667))</f>
        <v/>
      </c>
    </row>
    <row r="2669">
      <c r="A2669" s="20">
        <f>IF(A2668="","",IF(A2668+1&gt;Ввод!$B$4,"",A2668+1))</f>
        <v/>
      </c>
      <c r="B2669">
        <f>IF(A2669="","",IFERROR(INDEX(Ввод!$B$12:$B$71,MATCH(A2669,Ввод!$D$12:$D$71,1)),""))</f>
        <v/>
      </c>
      <c r="C2669">
        <f>IF(A2669="","",DATE(YEAR(A2669),12,31)-DATE(YEAR(A2669),1,1)+1)</f>
        <v/>
      </c>
      <c r="D2669">
        <f>IF(A2669="","",SUMIFS(Акты!$D$5:$D$16,Акты!$E$5:$E$16,"&lt;="&amp;A2669)-SUMIFS(Оплаты!$B$6:$B$505,Оплаты!$A$6:$A$505,"&lt;"&amp;A2669,Оплаты!$D$6:$D$505,"&lt;&gt;"))</f>
        <v/>
      </c>
      <c r="E2669">
        <f>IF(A2669="","",IF(SUMPRODUCT((Ввод!$F$12:$F$31&lt;&gt;"")*(Ввод!$F$12:$F$31&lt;=A2669)*(Ввод!$G$12:$G$31&gt;=A2669))&gt;0,1,0))</f>
        <v/>
      </c>
      <c r="G2669">
        <f>IF(A2669="","",IF(OR(B2669&lt;&gt;B2668,C2669&lt;&gt;C2668,E2669&lt;&gt;E2668),G2668+1,G2668))</f>
        <v/>
      </c>
    </row>
    <row r="2670">
      <c r="A2670" s="20">
        <f>IF(A2669="","",IF(A2669+1&gt;Ввод!$B$4,"",A2669+1))</f>
        <v/>
      </c>
      <c r="B2670">
        <f>IF(A2670="","",IFERROR(INDEX(Ввод!$B$12:$B$71,MATCH(A2670,Ввод!$D$12:$D$71,1)),""))</f>
        <v/>
      </c>
      <c r="C2670">
        <f>IF(A2670="","",DATE(YEAR(A2670),12,31)-DATE(YEAR(A2670),1,1)+1)</f>
        <v/>
      </c>
      <c r="D2670">
        <f>IF(A2670="","",SUMIFS(Акты!$D$5:$D$16,Акты!$E$5:$E$16,"&lt;="&amp;A2670)-SUMIFS(Оплаты!$B$6:$B$505,Оплаты!$A$6:$A$505,"&lt;"&amp;A2670,Оплаты!$D$6:$D$505,"&lt;&gt;"))</f>
        <v/>
      </c>
      <c r="E2670">
        <f>IF(A2670="","",IF(SUMPRODUCT((Ввод!$F$12:$F$31&lt;&gt;"")*(Ввод!$F$12:$F$31&lt;=A2670)*(Ввод!$G$12:$G$31&gt;=A2670))&gt;0,1,0))</f>
        <v/>
      </c>
      <c r="G2670">
        <f>IF(A2670="","",IF(OR(B2670&lt;&gt;B2669,C2670&lt;&gt;C2669,E2670&lt;&gt;E2669),G2669+1,G2669))</f>
        <v/>
      </c>
    </row>
    <row r="2671">
      <c r="A2671" s="20">
        <f>IF(A2670="","",IF(A2670+1&gt;Ввод!$B$4,"",A2670+1))</f>
        <v/>
      </c>
      <c r="B2671">
        <f>IF(A2671="","",IFERROR(INDEX(Ввод!$B$12:$B$71,MATCH(A2671,Ввод!$D$12:$D$71,1)),""))</f>
        <v/>
      </c>
      <c r="C2671">
        <f>IF(A2671="","",DATE(YEAR(A2671),12,31)-DATE(YEAR(A2671),1,1)+1)</f>
        <v/>
      </c>
      <c r="D2671">
        <f>IF(A2671="","",SUMIFS(Акты!$D$5:$D$16,Акты!$E$5:$E$16,"&lt;="&amp;A2671)-SUMIFS(Оплаты!$B$6:$B$505,Оплаты!$A$6:$A$505,"&lt;"&amp;A2671,Оплаты!$D$6:$D$505,"&lt;&gt;"))</f>
        <v/>
      </c>
      <c r="E2671">
        <f>IF(A2671="","",IF(SUMPRODUCT((Ввод!$F$12:$F$31&lt;&gt;"")*(Ввод!$F$12:$F$31&lt;=A2671)*(Ввод!$G$12:$G$31&gt;=A2671))&gt;0,1,0))</f>
        <v/>
      </c>
      <c r="G2671">
        <f>IF(A2671="","",IF(OR(B2671&lt;&gt;B2670,C2671&lt;&gt;C2670,E2671&lt;&gt;E2670),G2670+1,G2670))</f>
        <v/>
      </c>
    </row>
    <row r="2672">
      <c r="A2672" s="20">
        <f>IF(A2671="","",IF(A2671+1&gt;Ввод!$B$4,"",A2671+1))</f>
        <v/>
      </c>
      <c r="B2672">
        <f>IF(A2672="","",IFERROR(INDEX(Ввод!$B$12:$B$71,MATCH(A2672,Ввод!$D$12:$D$71,1)),""))</f>
        <v/>
      </c>
      <c r="C2672">
        <f>IF(A2672="","",DATE(YEAR(A2672),12,31)-DATE(YEAR(A2672),1,1)+1)</f>
        <v/>
      </c>
      <c r="D2672">
        <f>IF(A2672="","",SUMIFS(Акты!$D$5:$D$16,Акты!$E$5:$E$16,"&lt;="&amp;A2672)-SUMIFS(Оплаты!$B$6:$B$505,Оплаты!$A$6:$A$505,"&lt;"&amp;A2672,Оплаты!$D$6:$D$505,"&lt;&gt;"))</f>
        <v/>
      </c>
      <c r="E2672">
        <f>IF(A2672="","",IF(SUMPRODUCT((Ввод!$F$12:$F$31&lt;&gt;"")*(Ввод!$F$12:$F$31&lt;=A2672)*(Ввод!$G$12:$G$31&gt;=A2672))&gt;0,1,0))</f>
        <v/>
      </c>
      <c r="G2672">
        <f>IF(A2672="","",IF(OR(B2672&lt;&gt;B2671,C2672&lt;&gt;C2671,E2672&lt;&gt;E2671),G2671+1,G2671))</f>
        <v/>
      </c>
    </row>
    <row r="2673">
      <c r="A2673" s="20">
        <f>IF(A2672="","",IF(A2672+1&gt;Ввод!$B$4,"",A2672+1))</f>
        <v/>
      </c>
      <c r="B2673">
        <f>IF(A2673="","",IFERROR(INDEX(Ввод!$B$12:$B$71,MATCH(A2673,Ввод!$D$12:$D$71,1)),""))</f>
        <v/>
      </c>
      <c r="C2673">
        <f>IF(A2673="","",DATE(YEAR(A2673),12,31)-DATE(YEAR(A2673),1,1)+1)</f>
        <v/>
      </c>
      <c r="D2673">
        <f>IF(A2673="","",SUMIFS(Акты!$D$5:$D$16,Акты!$E$5:$E$16,"&lt;="&amp;A2673)-SUMIFS(Оплаты!$B$6:$B$505,Оплаты!$A$6:$A$505,"&lt;"&amp;A2673,Оплаты!$D$6:$D$505,"&lt;&gt;"))</f>
        <v/>
      </c>
      <c r="E2673">
        <f>IF(A2673="","",IF(SUMPRODUCT((Ввод!$F$12:$F$31&lt;&gt;"")*(Ввод!$F$12:$F$31&lt;=A2673)*(Ввод!$G$12:$G$31&gt;=A2673))&gt;0,1,0))</f>
        <v/>
      </c>
      <c r="G2673">
        <f>IF(A2673="","",IF(OR(B2673&lt;&gt;B2672,C2673&lt;&gt;C2672,E2673&lt;&gt;E2672),G2672+1,G2672))</f>
        <v/>
      </c>
    </row>
    <row r="2674">
      <c r="A2674" s="20">
        <f>IF(A2673="","",IF(A2673+1&gt;Ввод!$B$4,"",A2673+1))</f>
        <v/>
      </c>
      <c r="B2674">
        <f>IF(A2674="","",IFERROR(INDEX(Ввод!$B$12:$B$71,MATCH(A2674,Ввод!$D$12:$D$71,1)),""))</f>
        <v/>
      </c>
      <c r="C2674">
        <f>IF(A2674="","",DATE(YEAR(A2674),12,31)-DATE(YEAR(A2674),1,1)+1)</f>
        <v/>
      </c>
      <c r="D2674">
        <f>IF(A2674="","",SUMIFS(Акты!$D$5:$D$16,Акты!$E$5:$E$16,"&lt;="&amp;A2674)-SUMIFS(Оплаты!$B$6:$B$505,Оплаты!$A$6:$A$505,"&lt;"&amp;A2674,Оплаты!$D$6:$D$505,"&lt;&gt;"))</f>
        <v/>
      </c>
      <c r="E2674">
        <f>IF(A2674="","",IF(SUMPRODUCT((Ввод!$F$12:$F$31&lt;&gt;"")*(Ввод!$F$12:$F$31&lt;=A2674)*(Ввод!$G$12:$G$31&gt;=A2674))&gt;0,1,0))</f>
        <v/>
      </c>
      <c r="G2674">
        <f>IF(A2674="","",IF(OR(B2674&lt;&gt;B2673,C2674&lt;&gt;C2673,E2674&lt;&gt;E2673),G2673+1,G2673))</f>
        <v/>
      </c>
    </row>
    <row r="2675">
      <c r="A2675" s="20">
        <f>IF(A2674="","",IF(A2674+1&gt;Ввод!$B$4,"",A2674+1))</f>
        <v/>
      </c>
      <c r="B2675">
        <f>IF(A2675="","",IFERROR(INDEX(Ввод!$B$12:$B$71,MATCH(A2675,Ввод!$D$12:$D$71,1)),""))</f>
        <v/>
      </c>
      <c r="C2675">
        <f>IF(A2675="","",DATE(YEAR(A2675),12,31)-DATE(YEAR(A2675),1,1)+1)</f>
        <v/>
      </c>
      <c r="D2675">
        <f>IF(A2675="","",SUMIFS(Акты!$D$5:$D$16,Акты!$E$5:$E$16,"&lt;="&amp;A2675)-SUMIFS(Оплаты!$B$6:$B$505,Оплаты!$A$6:$A$505,"&lt;"&amp;A2675,Оплаты!$D$6:$D$505,"&lt;&gt;"))</f>
        <v/>
      </c>
      <c r="E2675">
        <f>IF(A2675="","",IF(SUMPRODUCT((Ввод!$F$12:$F$31&lt;&gt;"")*(Ввод!$F$12:$F$31&lt;=A2675)*(Ввод!$G$12:$G$31&gt;=A2675))&gt;0,1,0))</f>
        <v/>
      </c>
      <c r="G2675">
        <f>IF(A2675="","",IF(OR(B2675&lt;&gt;B2674,C2675&lt;&gt;C2674,E2675&lt;&gt;E2674),G2674+1,G2674))</f>
        <v/>
      </c>
    </row>
    <row r="2676">
      <c r="A2676" s="20">
        <f>IF(A2675="","",IF(A2675+1&gt;Ввод!$B$4,"",A2675+1))</f>
        <v/>
      </c>
      <c r="B2676">
        <f>IF(A2676="","",IFERROR(INDEX(Ввод!$B$12:$B$71,MATCH(A2676,Ввод!$D$12:$D$71,1)),""))</f>
        <v/>
      </c>
      <c r="C2676">
        <f>IF(A2676="","",DATE(YEAR(A2676),12,31)-DATE(YEAR(A2676),1,1)+1)</f>
        <v/>
      </c>
      <c r="D2676">
        <f>IF(A2676="","",SUMIFS(Акты!$D$5:$D$16,Акты!$E$5:$E$16,"&lt;="&amp;A2676)-SUMIFS(Оплаты!$B$6:$B$505,Оплаты!$A$6:$A$505,"&lt;"&amp;A2676,Оплаты!$D$6:$D$505,"&lt;&gt;"))</f>
        <v/>
      </c>
      <c r="E2676">
        <f>IF(A2676="","",IF(SUMPRODUCT((Ввод!$F$12:$F$31&lt;&gt;"")*(Ввод!$F$12:$F$31&lt;=A2676)*(Ввод!$G$12:$G$31&gt;=A2676))&gt;0,1,0))</f>
        <v/>
      </c>
      <c r="G2676">
        <f>IF(A2676="","",IF(OR(B2676&lt;&gt;B2675,C2676&lt;&gt;C2675,E2676&lt;&gt;E2675),G2675+1,G2675))</f>
        <v/>
      </c>
    </row>
    <row r="2677">
      <c r="A2677" s="20">
        <f>IF(A2676="","",IF(A2676+1&gt;Ввод!$B$4,"",A2676+1))</f>
        <v/>
      </c>
      <c r="B2677">
        <f>IF(A2677="","",IFERROR(INDEX(Ввод!$B$12:$B$71,MATCH(A2677,Ввод!$D$12:$D$71,1)),""))</f>
        <v/>
      </c>
      <c r="C2677">
        <f>IF(A2677="","",DATE(YEAR(A2677),12,31)-DATE(YEAR(A2677),1,1)+1)</f>
        <v/>
      </c>
      <c r="D2677">
        <f>IF(A2677="","",SUMIFS(Акты!$D$5:$D$16,Акты!$E$5:$E$16,"&lt;="&amp;A2677)-SUMIFS(Оплаты!$B$6:$B$505,Оплаты!$A$6:$A$505,"&lt;"&amp;A2677,Оплаты!$D$6:$D$505,"&lt;&gt;"))</f>
        <v/>
      </c>
      <c r="E2677">
        <f>IF(A2677="","",IF(SUMPRODUCT((Ввод!$F$12:$F$31&lt;&gt;"")*(Ввод!$F$12:$F$31&lt;=A2677)*(Ввод!$G$12:$G$31&gt;=A2677))&gt;0,1,0))</f>
        <v/>
      </c>
      <c r="G2677">
        <f>IF(A2677="","",IF(OR(B2677&lt;&gt;B2676,C2677&lt;&gt;C2676,E2677&lt;&gt;E2676),G2676+1,G2676))</f>
        <v/>
      </c>
    </row>
    <row r="2678">
      <c r="A2678" s="20">
        <f>IF(A2677="","",IF(A2677+1&gt;Ввод!$B$4,"",A2677+1))</f>
        <v/>
      </c>
      <c r="B2678">
        <f>IF(A2678="","",IFERROR(INDEX(Ввод!$B$12:$B$71,MATCH(A2678,Ввод!$D$12:$D$71,1)),""))</f>
        <v/>
      </c>
      <c r="C2678">
        <f>IF(A2678="","",DATE(YEAR(A2678),12,31)-DATE(YEAR(A2678),1,1)+1)</f>
        <v/>
      </c>
      <c r="D2678">
        <f>IF(A2678="","",SUMIFS(Акты!$D$5:$D$16,Акты!$E$5:$E$16,"&lt;="&amp;A2678)-SUMIFS(Оплаты!$B$6:$B$505,Оплаты!$A$6:$A$505,"&lt;"&amp;A2678,Оплаты!$D$6:$D$505,"&lt;&gt;"))</f>
        <v/>
      </c>
      <c r="E2678">
        <f>IF(A2678="","",IF(SUMPRODUCT((Ввод!$F$12:$F$31&lt;&gt;"")*(Ввод!$F$12:$F$31&lt;=A2678)*(Ввод!$G$12:$G$31&gt;=A2678))&gt;0,1,0))</f>
        <v/>
      </c>
      <c r="G2678">
        <f>IF(A2678="","",IF(OR(B2678&lt;&gt;B2677,C2678&lt;&gt;C2677,E2678&lt;&gt;E2677),G2677+1,G2677))</f>
        <v/>
      </c>
    </row>
    <row r="2679">
      <c r="A2679" s="20">
        <f>IF(A2678="","",IF(A2678+1&gt;Ввод!$B$4,"",A2678+1))</f>
        <v/>
      </c>
      <c r="B2679">
        <f>IF(A2679="","",IFERROR(INDEX(Ввод!$B$12:$B$71,MATCH(A2679,Ввод!$D$12:$D$71,1)),""))</f>
        <v/>
      </c>
      <c r="C2679">
        <f>IF(A2679="","",DATE(YEAR(A2679),12,31)-DATE(YEAR(A2679),1,1)+1)</f>
        <v/>
      </c>
      <c r="D2679">
        <f>IF(A2679="","",SUMIFS(Акты!$D$5:$D$16,Акты!$E$5:$E$16,"&lt;="&amp;A2679)-SUMIFS(Оплаты!$B$6:$B$505,Оплаты!$A$6:$A$505,"&lt;"&amp;A2679,Оплаты!$D$6:$D$505,"&lt;&gt;"))</f>
        <v/>
      </c>
      <c r="E2679">
        <f>IF(A2679="","",IF(SUMPRODUCT((Ввод!$F$12:$F$31&lt;&gt;"")*(Ввод!$F$12:$F$31&lt;=A2679)*(Ввод!$G$12:$G$31&gt;=A2679))&gt;0,1,0))</f>
        <v/>
      </c>
      <c r="G2679">
        <f>IF(A2679="","",IF(OR(B2679&lt;&gt;B2678,C2679&lt;&gt;C2678,E2679&lt;&gt;E2678),G2678+1,G2678))</f>
        <v/>
      </c>
    </row>
    <row r="2680">
      <c r="A2680" s="20">
        <f>IF(A2679="","",IF(A2679+1&gt;Ввод!$B$4,"",A2679+1))</f>
        <v/>
      </c>
      <c r="B2680">
        <f>IF(A2680="","",IFERROR(INDEX(Ввод!$B$12:$B$71,MATCH(A2680,Ввод!$D$12:$D$71,1)),""))</f>
        <v/>
      </c>
      <c r="C2680">
        <f>IF(A2680="","",DATE(YEAR(A2680),12,31)-DATE(YEAR(A2680),1,1)+1)</f>
        <v/>
      </c>
      <c r="D2680">
        <f>IF(A2680="","",SUMIFS(Акты!$D$5:$D$16,Акты!$E$5:$E$16,"&lt;="&amp;A2680)-SUMIFS(Оплаты!$B$6:$B$505,Оплаты!$A$6:$A$505,"&lt;"&amp;A2680,Оплаты!$D$6:$D$505,"&lt;&gt;"))</f>
        <v/>
      </c>
      <c r="E2680">
        <f>IF(A2680="","",IF(SUMPRODUCT((Ввод!$F$12:$F$31&lt;&gt;"")*(Ввод!$F$12:$F$31&lt;=A2680)*(Ввод!$G$12:$G$31&gt;=A2680))&gt;0,1,0))</f>
        <v/>
      </c>
      <c r="G2680">
        <f>IF(A2680="","",IF(OR(B2680&lt;&gt;B2679,C2680&lt;&gt;C2679,E2680&lt;&gt;E2679),G2679+1,G2679))</f>
        <v/>
      </c>
    </row>
    <row r="2681">
      <c r="A2681" s="20">
        <f>IF(A2680="","",IF(A2680+1&gt;Ввод!$B$4,"",A2680+1))</f>
        <v/>
      </c>
      <c r="B2681">
        <f>IF(A2681="","",IFERROR(INDEX(Ввод!$B$12:$B$71,MATCH(A2681,Ввод!$D$12:$D$71,1)),""))</f>
        <v/>
      </c>
      <c r="C2681">
        <f>IF(A2681="","",DATE(YEAR(A2681),12,31)-DATE(YEAR(A2681),1,1)+1)</f>
        <v/>
      </c>
      <c r="D2681">
        <f>IF(A2681="","",SUMIFS(Акты!$D$5:$D$16,Акты!$E$5:$E$16,"&lt;="&amp;A2681)-SUMIFS(Оплаты!$B$6:$B$505,Оплаты!$A$6:$A$505,"&lt;"&amp;A2681,Оплаты!$D$6:$D$505,"&lt;&gt;"))</f>
        <v/>
      </c>
      <c r="E2681">
        <f>IF(A2681="","",IF(SUMPRODUCT((Ввод!$F$12:$F$31&lt;&gt;"")*(Ввод!$F$12:$F$31&lt;=A2681)*(Ввод!$G$12:$G$31&gt;=A2681))&gt;0,1,0))</f>
        <v/>
      </c>
      <c r="G2681">
        <f>IF(A2681="","",IF(OR(B2681&lt;&gt;B2680,C2681&lt;&gt;C2680,E2681&lt;&gt;E2680),G2680+1,G2680))</f>
        <v/>
      </c>
    </row>
    <row r="2682">
      <c r="A2682" s="20">
        <f>IF(A2681="","",IF(A2681+1&gt;Ввод!$B$4,"",A2681+1))</f>
        <v/>
      </c>
      <c r="B2682">
        <f>IF(A2682="","",IFERROR(INDEX(Ввод!$B$12:$B$71,MATCH(A2682,Ввод!$D$12:$D$71,1)),""))</f>
        <v/>
      </c>
      <c r="C2682">
        <f>IF(A2682="","",DATE(YEAR(A2682),12,31)-DATE(YEAR(A2682),1,1)+1)</f>
        <v/>
      </c>
      <c r="D2682">
        <f>IF(A2682="","",SUMIFS(Акты!$D$5:$D$16,Акты!$E$5:$E$16,"&lt;="&amp;A2682)-SUMIFS(Оплаты!$B$6:$B$505,Оплаты!$A$6:$A$505,"&lt;"&amp;A2682,Оплаты!$D$6:$D$505,"&lt;&gt;"))</f>
        <v/>
      </c>
      <c r="E2682">
        <f>IF(A2682="","",IF(SUMPRODUCT((Ввод!$F$12:$F$31&lt;&gt;"")*(Ввод!$F$12:$F$31&lt;=A2682)*(Ввод!$G$12:$G$31&gt;=A2682))&gt;0,1,0))</f>
        <v/>
      </c>
      <c r="G2682">
        <f>IF(A2682="","",IF(OR(B2682&lt;&gt;B2681,C2682&lt;&gt;C2681,E2682&lt;&gt;E2681),G2681+1,G2681))</f>
        <v/>
      </c>
    </row>
    <row r="2683">
      <c r="A2683" s="20">
        <f>IF(A2682="","",IF(A2682+1&gt;Ввод!$B$4,"",A2682+1))</f>
        <v/>
      </c>
      <c r="B2683">
        <f>IF(A2683="","",IFERROR(INDEX(Ввод!$B$12:$B$71,MATCH(A2683,Ввод!$D$12:$D$71,1)),""))</f>
        <v/>
      </c>
      <c r="C2683">
        <f>IF(A2683="","",DATE(YEAR(A2683),12,31)-DATE(YEAR(A2683),1,1)+1)</f>
        <v/>
      </c>
      <c r="D2683">
        <f>IF(A2683="","",SUMIFS(Акты!$D$5:$D$16,Акты!$E$5:$E$16,"&lt;="&amp;A2683)-SUMIFS(Оплаты!$B$6:$B$505,Оплаты!$A$6:$A$505,"&lt;"&amp;A2683,Оплаты!$D$6:$D$505,"&lt;&gt;"))</f>
        <v/>
      </c>
      <c r="E2683">
        <f>IF(A2683="","",IF(SUMPRODUCT((Ввод!$F$12:$F$31&lt;&gt;"")*(Ввод!$F$12:$F$31&lt;=A2683)*(Ввод!$G$12:$G$31&gt;=A2683))&gt;0,1,0))</f>
        <v/>
      </c>
      <c r="G2683">
        <f>IF(A2683="","",IF(OR(B2683&lt;&gt;B2682,C2683&lt;&gt;C2682,E2683&lt;&gt;E2682),G2682+1,G2682))</f>
        <v/>
      </c>
    </row>
    <row r="2684">
      <c r="A2684" s="20">
        <f>IF(A2683="","",IF(A2683+1&gt;Ввод!$B$4,"",A2683+1))</f>
        <v/>
      </c>
      <c r="B2684">
        <f>IF(A2684="","",IFERROR(INDEX(Ввод!$B$12:$B$71,MATCH(A2684,Ввод!$D$12:$D$71,1)),""))</f>
        <v/>
      </c>
      <c r="C2684">
        <f>IF(A2684="","",DATE(YEAR(A2684),12,31)-DATE(YEAR(A2684),1,1)+1)</f>
        <v/>
      </c>
      <c r="D2684">
        <f>IF(A2684="","",SUMIFS(Акты!$D$5:$D$16,Акты!$E$5:$E$16,"&lt;="&amp;A2684)-SUMIFS(Оплаты!$B$6:$B$505,Оплаты!$A$6:$A$505,"&lt;"&amp;A2684,Оплаты!$D$6:$D$505,"&lt;&gt;"))</f>
        <v/>
      </c>
      <c r="E2684">
        <f>IF(A2684="","",IF(SUMPRODUCT((Ввод!$F$12:$F$31&lt;&gt;"")*(Ввод!$F$12:$F$31&lt;=A2684)*(Ввод!$G$12:$G$31&gt;=A2684))&gt;0,1,0))</f>
        <v/>
      </c>
      <c r="G2684">
        <f>IF(A2684="","",IF(OR(B2684&lt;&gt;B2683,C2684&lt;&gt;C2683,E2684&lt;&gt;E2683),G2683+1,G2683))</f>
        <v/>
      </c>
    </row>
    <row r="2685">
      <c r="A2685" s="20">
        <f>IF(A2684="","",IF(A2684+1&gt;Ввод!$B$4,"",A2684+1))</f>
        <v/>
      </c>
      <c r="B2685">
        <f>IF(A2685="","",IFERROR(INDEX(Ввод!$B$12:$B$71,MATCH(A2685,Ввод!$D$12:$D$71,1)),""))</f>
        <v/>
      </c>
      <c r="C2685">
        <f>IF(A2685="","",DATE(YEAR(A2685),12,31)-DATE(YEAR(A2685),1,1)+1)</f>
        <v/>
      </c>
      <c r="D2685">
        <f>IF(A2685="","",SUMIFS(Акты!$D$5:$D$16,Акты!$E$5:$E$16,"&lt;="&amp;A2685)-SUMIFS(Оплаты!$B$6:$B$505,Оплаты!$A$6:$A$505,"&lt;"&amp;A2685,Оплаты!$D$6:$D$505,"&lt;&gt;"))</f>
        <v/>
      </c>
      <c r="E2685">
        <f>IF(A2685="","",IF(SUMPRODUCT((Ввод!$F$12:$F$31&lt;&gt;"")*(Ввод!$F$12:$F$31&lt;=A2685)*(Ввод!$G$12:$G$31&gt;=A2685))&gt;0,1,0))</f>
        <v/>
      </c>
      <c r="G2685">
        <f>IF(A2685="","",IF(OR(B2685&lt;&gt;B2684,C2685&lt;&gt;C2684,E2685&lt;&gt;E2684),G2684+1,G2684))</f>
        <v/>
      </c>
    </row>
    <row r="2686">
      <c r="A2686" s="20">
        <f>IF(A2685="","",IF(A2685+1&gt;Ввод!$B$4,"",A2685+1))</f>
        <v/>
      </c>
      <c r="B2686">
        <f>IF(A2686="","",IFERROR(INDEX(Ввод!$B$12:$B$71,MATCH(A2686,Ввод!$D$12:$D$71,1)),""))</f>
        <v/>
      </c>
      <c r="C2686">
        <f>IF(A2686="","",DATE(YEAR(A2686),12,31)-DATE(YEAR(A2686),1,1)+1)</f>
        <v/>
      </c>
      <c r="D2686">
        <f>IF(A2686="","",SUMIFS(Акты!$D$5:$D$16,Акты!$E$5:$E$16,"&lt;="&amp;A2686)-SUMIFS(Оплаты!$B$6:$B$505,Оплаты!$A$6:$A$505,"&lt;"&amp;A2686,Оплаты!$D$6:$D$505,"&lt;&gt;"))</f>
        <v/>
      </c>
      <c r="E2686">
        <f>IF(A2686="","",IF(SUMPRODUCT((Ввод!$F$12:$F$31&lt;&gt;"")*(Ввод!$F$12:$F$31&lt;=A2686)*(Ввод!$G$12:$G$31&gt;=A2686))&gt;0,1,0))</f>
        <v/>
      </c>
      <c r="G2686">
        <f>IF(A2686="","",IF(OR(B2686&lt;&gt;B2685,C2686&lt;&gt;C2685,E2686&lt;&gt;E2685),G2685+1,G2685))</f>
        <v/>
      </c>
    </row>
    <row r="2687">
      <c r="A2687" s="20">
        <f>IF(A2686="","",IF(A2686+1&gt;Ввод!$B$4,"",A2686+1))</f>
        <v/>
      </c>
      <c r="B2687">
        <f>IF(A2687="","",IFERROR(INDEX(Ввод!$B$12:$B$71,MATCH(A2687,Ввод!$D$12:$D$71,1)),""))</f>
        <v/>
      </c>
      <c r="C2687">
        <f>IF(A2687="","",DATE(YEAR(A2687),12,31)-DATE(YEAR(A2687),1,1)+1)</f>
        <v/>
      </c>
      <c r="D2687">
        <f>IF(A2687="","",SUMIFS(Акты!$D$5:$D$16,Акты!$E$5:$E$16,"&lt;="&amp;A2687)-SUMIFS(Оплаты!$B$6:$B$505,Оплаты!$A$6:$A$505,"&lt;"&amp;A2687,Оплаты!$D$6:$D$505,"&lt;&gt;"))</f>
        <v/>
      </c>
      <c r="E2687">
        <f>IF(A2687="","",IF(SUMPRODUCT((Ввод!$F$12:$F$31&lt;&gt;"")*(Ввод!$F$12:$F$31&lt;=A2687)*(Ввод!$G$12:$G$31&gt;=A2687))&gt;0,1,0))</f>
        <v/>
      </c>
      <c r="G2687">
        <f>IF(A2687="","",IF(OR(B2687&lt;&gt;B2686,C2687&lt;&gt;C2686,E2687&lt;&gt;E2686),G2686+1,G2686))</f>
        <v/>
      </c>
    </row>
    <row r="2688">
      <c r="A2688" s="20">
        <f>IF(A2687="","",IF(A2687+1&gt;Ввод!$B$4,"",A2687+1))</f>
        <v/>
      </c>
      <c r="B2688">
        <f>IF(A2688="","",IFERROR(INDEX(Ввод!$B$12:$B$71,MATCH(A2688,Ввод!$D$12:$D$71,1)),""))</f>
        <v/>
      </c>
      <c r="C2688">
        <f>IF(A2688="","",DATE(YEAR(A2688),12,31)-DATE(YEAR(A2688),1,1)+1)</f>
        <v/>
      </c>
      <c r="D2688">
        <f>IF(A2688="","",SUMIFS(Акты!$D$5:$D$16,Акты!$E$5:$E$16,"&lt;="&amp;A2688)-SUMIFS(Оплаты!$B$6:$B$505,Оплаты!$A$6:$A$505,"&lt;"&amp;A2688,Оплаты!$D$6:$D$505,"&lt;&gt;"))</f>
        <v/>
      </c>
      <c r="E2688">
        <f>IF(A2688="","",IF(SUMPRODUCT((Ввод!$F$12:$F$31&lt;&gt;"")*(Ввод!$F$12:$F$31&lt;=A2688)*(Ввод!$G$12:$G$31&gt;=A2688))&gt;0,1,0))</f>
        <v/>
      </c>
      <c r="G2688">
        <f>IF(A2688="","",IF(OR(B2688&lt;&gt;B2687,C2688&lt;&gt;C2687,E2688&lt;&gt;E2687),G2687+1,G2687))</f>
        <v/>
      </c>
    </row>
    <row r="2689">
      <c r="A2689" s="20">
        <f>IF(A2688="","",IF(A2688+1&gt;Ввод!$B$4,"",A2688+1))</f>
        <v/>
      </c>
      <c r="B2689">
        <f>IF(A2689="","",IFERROR(INDEX(Ввод!$B$12:$B$71,MATCH(A2689,Ввод!$D$12:$D$71,1)),""))</f>
        <v/>
      </c>
      <c r="C2689">
        <f>IF(A2689="","",DATE(YEAR(A2689),12,31)-DATE(YEAR(A2689),1,1)+1)</f>
        <v/>
      </c>
      <c r="D2689">
        <f>IF(A2689="","",SUMIFS(Акты!$D$5:$D$16,Акты!$E$5:$E$16,"&lt;="&amp;A2689)-SUMIFS(Оплаты!$B$6:$B$505,Оплаты!$A$6:$A$505,"&lt;"&amp;A2689,Оплаты!$D$6:$D$505,"&lt;&gt;"))</f>
        <v/>
      </c>
      <c r="E2689">
        <f>IF(A2689="","",IF(SUMPRODUCT((Ввод!$F$12:$F$31&lt;&gt;"")*(Ввод!$F$12:$F$31&lt;=A2689)*(Ввод!$G$12:$G$31&gt;=A2689))&gt;0,1,0))</f>
        <v/>
      </c>
      <c r="G2689">
        <f>IF(A2689="","",IF(OR(B2689&lt;&gt;B2688,C2689&lt;&gt;C2688,E2689&lt;&gt;E2688),G2688+1,G2688))</f>
        <v/>
      </c>
    </row>
    <row r="2690">
      <c r="A2690" s="20">
        <f>IF(A2689="","",IF(A2689+1&gt;Ввод!$B$4,"",A2689+1))</f>
        <v/>
      </c>
      <c r="B2690">
        <f>IF(A2690="","",IFERROR(INDEX(Ввод!$B$12:$B$71,MATCH(A2690,Ввод!$D$12:$D$71,1)),""))</f>
        <v/>
      </c>
      <c r="C2690">
        <f>IF(A2690="","",DATE(YEAR(A2690),12,31)-DATE(YEAR(A2690),1,1)+1)</f>
        <v/>
      </c>
      <c r="D2690">
        <f>IF(A2690="","",SUMIFS(Акты!$D$5:$D$16,Акты!$E$5:$E$16,"&lt;="&amp;A2690)-SUMIFS(Оплаты!$B$6:$B$505,Оплаты!$A$6:$A$505,"&lt;"&amp;A2690,Оплаты!$D$6:$D$505,"&lt;&gt;"))</f>
        <v/>
      </c>
      <c r="E2690">
        <f>IF(A2690="","",IF(SUMPRODUCT((Ввод!$F$12:$F$31&lt;&gt;"")*(Ввод!$F$12:$F$31&lt;=A2690)*(Ввод!$G$12:$G$31&gt;=A2690))&gt;0,1,0))</f>
        <v/>
      </c>
      <c r="G2690">
        <f>IF(A2690="","",IF(OR(B2690&lt;&gt;B2689,C2690&lt;&gt;C2689,E2690&lt;&gt;E2689),G2689+1,G2689))</f>
        <v/>
      </c>
    </row>
    <row r="2691">
      <c r="A2691" s="20">
        <f>IF(A2690="","",IF(A2690+1&gt;Ввод!$B$4,"",A2690+1))</f>
        <v/>
      </c>
      <c r="B2691">
        <f>IF(A2691="","",IFERROR(INDEX(Ввод!$B$12:$B$71,MATCH(A2691,Ввод!$D$12:$D$71,1)),""))</f>
        <v/>
      </c>
      <c r="C2691">
        <f>IF(A2691="","",DATE(YEAR(A2691),12,31)-DATE(YEAR(A2691),1,1)+1)</f>
        <v/>
      </c>
      <c r="D2691">
        <f>IF(A2691="","",SUMIFS(Акты!$D$5:$D$16,Акты!$E$5:$E$16,"&lt;="&amp;A2691)-SUMIFS(Оплаты!$B$6:$B$505,Оплаты!$A$6:$A$505,"&lt;"&amp;A2691,Оплаты!$D$6:$D$505,"&lt;&gt;"))</f>
        <v/>
      </c>
      <c r="E2691">
        <f>IF(A2691="","",IF(SUMPRODUCT((Ввод!$F$12:$F$31&lt;&gt;"")*(Ввод!$F$12:$F$31&lt;=A2691)*(Ввод!$G$12:$G$31&gt;=A2691))&gt;0,1,0))</f>
        <v/>
      </c>
      <c r="G2691">
        <f>IF(A2691="","",IF(OR(B2691&lt;&gt;B2690,C2691&lt;&gt;C2690,E2691&lt;&gt;E2690),G2690+1,G2690))</f>
        <v/>
      </c>
    </row>
    <row r="2692">
      <c r="A2692" s="20">
        <f>IF(A2691="","",IF(A2691+1&gt;Ввод!$B$4,"",A2691+1))</f>
        <v/>
      </c>
      <c r="B2692">
        <f>IF(A2692="","",IFERROR(INDEX(Ввод!$B$12:$B$71,MATCH(A2692,Ввод!$D$12:$D$71,1)),""))</f>
        <v/>
      </c>
      <c r="C2692">
        <f>IF(A2692="","",DATE(YEAR(A2692),12,31)-DATE(YEAR(A2692),1,1)+1)</f>
        <v/>
      </c>
      <c r="D2692">
        <f>IF(A2692="","",SUMIFS(Акты!$D$5:$D$16,Акты!$E$5:$E$16,"&lt;="&amp;A2692)-SUMIFS(Оплаты!$B$6:$B$505,Оплаты!$A$6:$A$505,"&lt;"&amp;A2692,Оплаты!$D$6:$D$505,"&lt;&gt;"))</f>
        <v/>
      </c>
      <c r="E2692">
        <f>IF(A2692="","",IF(SUMPRODUCT((Ввод!$F$12:$F$31&lt;&gt;"")*(Ввод!$F$12:$F$31&lt;=A2692)*(Ввод!$G$12:$G$31&gt;=A2692))&gt;0,1,0))</f>
        <v/>
      </c>
      <c r="G2692">
        <f>IF(A2692="","",IF(OR(B2692&lt;&gt;B2691,C2692&lt;&gt;C2691,E2692&lt;&gt;E2691),G2691+1,G2691))</f>
        <v/>
      </c>
    </row>
    <row r="2693">
      <c r="A2693" s="20">
        <f>IF(A2692="","",IF(A2692+1&gt;Ввод!$B$4,"",A2692+1))</f>
        <v/>
      </c>
      <c r="B2693">
        <f>IF(A2693="","",IFERROR(INDEX(Ввод!$B$12:$B$71,MATCH(A2693,Ввод!$D$12:$D$71,1)),""))</f>
        <v/>
      </c>
      <c r="C2693">
        <f>IF(A2693="","",DATE(YEAR(A2693),12,31)-DATE(YEAR(A2693),1,1)+1)</f>
        <v/>
      </c>
      <c r="D2693">
        <f>IF(A2693="","",SUMIFS(Акты!$D$5:$D$16,Акты!$E$5:$E$16,"&lt;="&amp;A2693)-SUMIFS(Оплаты!$B$6:$B$505,Оплаты!$A$6:$A$505,"&lt;"&amp;A2693,Оплаты!$D$6:$D$505,"&lt;&gt;"))</f>
        <v/>
      </c>
      <c r="E2693">
        <f>IF(A2693="","",IF(SUMPRODUCT((Ввод!$F$12:$F$31&lt;&gt;"")*(Ввод!$F$12:$F$31&lt;=A2693)*(Ввод!$G$12:$G$31&gt;=A2693))&gt;0,1,0))</f>
        <v/>
      </c>
      <c r="G2693">
        <f>IF(A2693="","",IF(OR(B2693&lt;&gt;B2692,C2693&lt;&gt;C2692,E2693&lt;&gt;E2692),G2692+1,G2692))</f>
        <v/>
      </c>
    </row>
    <row r="2694">
      <c r="A2694" s="20">
        <f>IF(A2693="","",IF(A2693+1&gt;Ввод!$B$4,"",A2693+1))</f>
        <v/>
      </c>
      <c r="B2694">
        <f>IF(A2694="","",IFERROR(INDEX(Ввод!$B$12:$B$71,MATCH(A2694,Ввод!$D$12:$D$71,1)),""))</f>
        <v/>
      </c>
      <c r="C2694">
        <f>IF(A2694="","",DATE(YEAR(A2694),12,31)-DATE(YEAR(A2694),1,1)+1)</f>
        <v/>
      </c>
      <c r="D2694">
        <f>IF(A2694="","",SUMIFS(Акты!$D$5:$D$16,Акты!$E$5:$E$16,"&lt;="&amp;A2694)-SUMIFS(Оплаты!$B$6:$B$505,Оплаты!$A$6:$A$505,"&lt;"&amp;A2694,Оплаты!$D$6:$D$505,"&lt;&gt;"))</f>
        <v/>
      </c>
      <c r="E2694">
        <f>IF(A2694="","",IF(SUMPRODUCT((Ввод!$F$12:$F$31&lt;&gt;"")*(Ввод!$F$12:$F$31&lt;=A2694)*(Ввод!$G$12:$G$31&gt;=A2694))&gt;0,1,0))</f>
        <v/>
      </c>
      <c r="G2694">
        <f>IF(A2694="","",IF(OR(B2694&lt;&gt;B2693,C2694&lt;&gt;C2693,E2694&lt;&gt;E2693),G2693+1,G2693))</f>
        <v/>
      </c>
    </row>
    <row r="2695">
      <c r="A2695" s="20">
        <f>IF(A2694="","",IF(A2694+1&gt;Ввод!$B$4,"",A2694+1))</f>
        <v/>
      </c>
      <c r="B2695">
        <f>IF(A2695="","",IFERROR(INDEX(Ввод!$B$12:$B$71,MATCH(A2695,Ввод!$D$12:$D$71,1)),""))</f>
        <v/>
      </c>
      <c r="C2695">
        <f>IF(A2695="","",DATE(YEAR(A2695),12,31)-DATE(YEAR(A2695),1,1)+1)</f>
        <v/>
      </c>
      <c r="D2695">
        <f>IF(A2695="","",SUMIFS(Акты!$D$5:$D$16,Акты!$E$5:$E$16,"&lt;="&amp;A2695)-SUMIFS(Оплаты!$B$6:$B$505,Оплаты!$A$6:$A$505,"&lt;"&amp;A2695,Оплаты!$D$6:$D$505,"&lt;&gt;"))</f>
        <v/>
      </c>
      <c r="E2695">
        <f>IF(A2695="","",IF(SUMPRODUCT((Ввод!$F$12:$F$31&lt;&gt;"")*(Ввод!$F$12:$F$31&lt;=A2695)*(Ввод!$G$12:$G$31&gt;=A2695))&gt;0,1,0))</f>
        <v/>
      </c>
      <c r="G2695">
        <f>IF(A2695="","",IF(OR(B2695&lt;&gt;B2694,C2695&lt;&gt;C2694,E2695&lt;&gt;E2694),G2694+1,G2694))</f>
        <v/>
      </c>
    </row>
    <row r="2696">
      <c r="A2696" s="20">
        <f>IF(A2695="","",IF(A2695+1&gt;Ввод!$B$4,"",A2695+1))</f>
        <v/>
      </c>
      <c r="B2696">
        <f>IF(A2696="","",IFERROR(INDEX(Ввод!$B$12:$B$71,MATCH(A2696,Ввод!$D$12:$D$71,1)),""))</f>
        <v/>
      </c>
      <c r="C2696">
        <f>IF(A2696="","",DATE(YEAR(A2696),12,31)-DATE(YEAR(A2696),1,1)+1)</f>
        <v/>
      </c>
      <c r="D2696">
        <f>IF(A2696="","",SUMIFS(Акты!$D$5:$D$16,Акты!$E$5:$E$16,"&lt;="&amp;A2696)-SUMIFS(Оплаты!$B$6:$B$505,Оплаты!$A$6:$A$505,"&lt;"&amp;A2696,Оплаты!$D$6:$D$505,"&lt;&gt;"))</f>
        <v/>
      </c>
      <c r="E2696">
        <f>IF(A2696="","",IF(SUMPRODUCT((Ввод!$F$12:$F$31&lt;&gt;"")*(Ввод!$F$12:$F$31&lt;=A2696)*(Ввод!$G$12:$G$31&gt;=A2696))&gt;0,1,0))</f>
        <v/>
      </c>
      <c r="G2696">
        <f>IF(A2696="","",IF(OR(B2696&lt;&gt;B2695,C2696&lt;&gt;C2695,E2696&lt;&gt;E2695),G2695+1,G2695))</f>
        <v/>
      </c>
    </row>
    <row r="2697">
      <c r="A2697" s="20">
        <f>IF(A2696="","",IF(A2696+1&gt;Ввод!$B$4,"",A2696+1))</f>
        <v/>
      </c>
      <c r="B2697">
        <f>IF(A2697="","",IFERROR(INDEX(Ввод!$B$12:$B$71,MATCH(A2697,Ввод!$D$12:$D$71,1)),""))</f>
        <v/>
      </c>
      <c r="C2697">
        <f>IF(A2697="","",DATE(YEAR(A2697),12,31)-DATE(YEAR(A2697),1,1)+1)</f>
        <v/>
      </c>
      <c r="D2697">
        <f>IF(A2697="","",SUMIFS(Акты!$D$5:$D$16,Акты!$E$5:$E$16,"&lt;="&amp;A2697)-SUMIFS(Оплаты!$B$6:$B$505,Оплаты!$A$6:$A$505,"&lt;"&amp;A2697,Оплаты!$D$6:$D$505,"&lt;&gt;"))</f>
        <v/>
      </c>
      <c r="E2697">
        <f>IF(A2697="","",IF(SUMPRODUCT((Ввод!$F$12:$F$31&lt;&gt;"")*(Ввод!$F$12:$F$31&lt;=A2697)*(Ввод!$G$12:$G$31&gt;=A2697))&gt;0,1,0))</f>
        <v/>
      </c>
      <c r="G2697">
        <f>IF(A2697="","",IF(OR(B2697&lt;&gt;B2696,C2697&lt;&gt;C2696,E2697&lt;&gt;E2696),G2696+1,G2696))</f>
        <v/>
      </c>
    </row>
    <row r="2698">
      <c r="A2698" s="20">
        <f>IF(A2697="","",IF(A2697+1&gt;Ввод!$B$4,"",A2697+1))</f>
        <v/>
      </c>
      <c r="B2698">
        <f>IF(A2698="","",IFERROR(INDEX(Ввод!$B$12:$B$71,MATCH(A2698,Ввод!$D$12:$D$71,1)),""))</f>
        <v/>
      </c>
      <c r="C2698">
        <f>IF(A2698="","",DATE(YEAR(A2698),12,31)-DATE(YEAR(A2698),1,1)+1)</f>
        <v/>
      </c>
      <c r="D2698">
        <f>IF(A2698="","",SUMIFS(Акты!$D$5:$D$16,Акты!$E$5:$E$16,"&lt;="&amp;A2698)-SUMIFS(Оплаты!$B$6:$B$505,Оплаты!$A$6:$A$505,"&lt;"&amp;A2698,Оплаты!$D$6:$D$505,"&lt;&gt;"))</f>
        <v/>
      </c>
      <c r="E2698">
        <f>IF(A2698="","",IF(SUMPRODUCT((Ввод!$F$12:$F$31&lt;&gt;"")*(Ввод!$F$12:$F$31&lt;=A2698)*(Ввод!$G$12:$G$31&gt;=A2698))&gt;0,1,0))</f>
        <v/>
      </c>
      <c r="G2698">
        <f>IF(A2698="","",IF(OR(B2698&lt;&gt;B2697,C2698&lt;&gt;C2697,E2698&lt;&gt;E2697),G2697+1,G2697))</f>
        <v/>
      </c>
    </row>
    <row r="2699">
      <c r="A2699" s="20">
        <f>IF(A2698="","",IF(A2698+1&gt;Ввод!$B$4,"",A2698+1))</f>
        <v/>
      </c>
      <c r="B2699">
        <f>IF(A2699="","",IFERROR(INDEX(Ввод!$B$12:$B$71,MATCH(A2699,Ввод!$D$12:$D$71,1)),""))</f>
        <v/>
      </c>
      <c r="C2699">
        <f>IF(A2699="","",DATE(YEAR(A2699),12,31)-DATE(YEAR(A2699),1,1)+1)</f>
        <v/>
      </c>
      <c r="D2699">
        <f>IF(A2699="","",SUMIFS(Акты!$D$5:$D$16,Акты!$E$5:$E$16,"&lt;="&amp;A2699)-SUMIFS(Оплаты!$B$6:$B$505,Оплаты!$A$6:$A$505,"&lt;"&amp;A2699,Оплаты!$D$6:$D$505,"&lt;&gt;"))</f>
        <v/>
      </c>
      <c r="E2699">
        <f>IF(A2699="","",IF(SUMPRODUCT((Ввод!$F$12:$F$31&lt;&gt;"")*(Ввод!$F$12:$F$31&lt;=A2699)*(Ввод!$G$12:$G$31&gt;=A2699))&gt;0,1,0))</f>
        <v/>
      </c>
      <c r="G2699">
        <f>IF(A2699="","",IF(OR(B2699&lt;&gt;B2698,C2699&lt;&gt;C2698,E2699&lt;&gt;E2698),G2698+1,G2698))</f>
        <v/>
      </c>
    </row>
    <row r="2700">
      <c r="A2700" s="20">
        <f>IF(A2699="","",IF(A2699+1&gt;Ввод!$B$4,"",A2699+1))</f>
        <v/>
      </c>
      <c r="B2700">
        <f>IF(A2700="","",IFERROR(INDEX(Ввод!$B$12:$B$71,MATCH(A2700,Ввод!$D$12:$D$71,1)),""))</f>
        <v/>
      </c>
      <c r="C2700">
        <f>IF(A2700="","",DATE(YEAR(A2700),12,31)-DATE(YEAR(A2700),1,1)+1)</f>
        <v/>
      </c>
      <c r="D2700">
        <f>IF(A2700="","",SUMIFS(Акты!$D$5:$D$16,Акты!$E$5:$E$16,"&lt;="&amp;A2700)-SUMIFS(Оплаты!$B$6:$B$505,Оплаты!$A$6:$A$505,"&lt;"&amp;A2700,Оплаты!$D$6:$D$505,"&lt;&gt;"))</f>
        <v/>
      </c>
      <c r="E2700">
        <f>IF(A2700="","",IF(SUMPRODUCT((Ввод!$F$12:$F$31&lt;&gt;"")*(Ввод!$F$12:$F$31&lt;=A2700)*(Ввод!$G$12:$G$31&gt;=A2700))&gt;0,1,0))</f>
        <v/>
      </c>
      <c r="G2700">
        <f>IF(A2700="","",IF(OR(B2700&lt;&gt;B2699,C2700&lt;&gt;C2699,E2700&lt;&gt;E2699),G2699+1,G2699))</f>
        <v/>
      </c>
    </row>
    <row r="2701">
      <c r="A2701" s="20">
        <f>IF(A2700="","",IF(A2700+1&gt;Ввод!$B$4,"",A2700+1))</f>
        <v/>
      </c>
      <c r="B2701">
        <f>IF(A2701="","",IFERROR(INDEX(Ввод!$B$12:$B$71,MATCH(A2701,Ввод!$D$12:$D$71,1)),""))</f>
        <v/>
      </c>
      <c r="C2701">
        <f>IF(A2701="","",DATE(YEAR(A2701),12,31)-DATE(YEAR(A2701),1,1)+1)</f>
        <v/>
      </c>
      <c r="D2701">
        <f>IF(A2701="","",SUMIFS(Акты!$D$5:$D$16,Акты!$E$5:$E$16,"&lt;="&amp;A2701)-SUMIFS(Оплаты!$B$6:$B$505,Оплаты!$A$6:$A$505,"&lt;"&amp;A2701,Оплаты!$D$6:$D$505,"&lt;&gt;"))</f>
        <v/>
      </c>
      <c r="E2701">
        <f>IF(A2701="","",IF(SUMPRODUCT((Ввод!$F$12:$F$31&lt;&gt;"")*(Ввод!$F$12:$F$31&lt;=A2701)*(Ввод!$G$12:$G$31&gt;=A2701))&gt;0,1,0))</f>
        <v/>
      </c>
      <c r="G2701">
        <f>IF(A2701="","",IF(OR(B2701&lt;&gt;B2700,C2701&lt;&gt;C2700,E2701&lt;&gt;E2700),G2700+1,G2700))</f>
        <v/>
      </c>
    </row>
    <row r="2702">
      <c r="A2702" s="20">
        <f>IF(A2701="","",IF(A2701+1&gt;Ввод!$B$4,"",A2701+1))</f>
        <v/>
      </c>
      <c r="B2702">
        <f>IF(A2702="","",IFERROR(INDEX(Ввод!$B$12:$B$71,MATCH(A2702,Ввод!$D$12:$D$71,1)),""))</f>
        <v/>
      </c>
      <c r="C2702">
        <f>IF(A2702="","",DATE(YEAR(A2702),12,31)-DATE(YEAR(A2702),1,1)+1)</f>
        <v/>
      </c>
      <c r="D2702">
        <f>IF(A2702="","",SUMIFS(Акты!$D$5:$D$16,Акты!$E$5:$E$16,"&lt;="&amp;A2702)-SUMIFS(Оплаты!$B$6:$B$505,Оплаты!$A$6:$A$505,"&lt;"&amp;A2702,Оплаты!$D$6:$D$505,"&lt;&gt;"))</f>
        <v/>
      </c>
      <c r="E2702">
        <f>IF(A2702="","",IF(SUMPRODUCT((Ввод!$F$12:$F$31&lt;&gt;"")*(Ввод!$F$12:$F$31&lt;=A2702)*(Ввод!$G$12:$G$31&gt;=A2702))&gt;0,1,0))</f>
        <v/>
      </c>
      <c r="G2702">
        <f>IF(A2702="","",IF(OR(B2702&lt;&gt;B2701,C2702&lt;&gt;C2701,E2702&lt;&gt;E2701),G2701+1,G2701))</f>
        <v/>
      </c>
    </row>
    <row r="2703">
      <c r="A2703" s="20">
        <f>IF(A2702="","",IF(A2702+1&gt;Ввод!$B$4,"",A2702+1))</f>
        <v/>
      </c>
      <c r="B2703">
        <f>IF(A2703="","",IFERROR(INDEX(Ввод!$B$12:$B$71,MATCH(A2703,Ввод!$D$12:$D$71,1)),""))</f>
        <v/>
      </c>
      <c r="C2703">
        <f>IF(A2703="","",DATE(YEAR(A2703),12,31)-DATE(YEAR(A2703),1,1)+1)</f>
        <v/>
      </c>
      <c r="D2703">
        <f>IF(A2703="","",SUMIFS(Акты!$D$5:$D$16,Акты!$E$5:$E$16,"&lt;="&amp;A2703)-SUMIFS(Оплаты!$B$6:$B$505,Оплаты!$A$6:$A$505,"&lt;"&amp;A2703,Оплаты!$D$6:$D$505,"&lt;&gt;"))</f>
        <v/>
      </c>
      <c r="E2703">
        <f>IF(A2703="","",IF(SUMPRODUCT((Ввод!$F$12:$F$31&lt;&gt;"")*(Ввод!$F$12:$F$31&lt;=A2703)*(Ввод!$G$12:$G$31&gt;=A2703))&gt;0,1,0))</f>
        <v/>
      </c>
      <c r="G2703">
        <f>IF(A2703="","",IF(OR(B2703&lt;&gt;B2702,C2703&lt;&gt;C2702,E2703&lt;&gt;E2702),G2702+1,G2702))</f>
        <v/>
      </c>
    </row>
    <row r="2704">
      <c r="A2704" s="20">
        <f>IF(A2703="","",IF(A2703+1&gt;Ввод!$B$4,"",A2703+1))</f>
        <v/>
      </c>
      <c r="B2704">
        <f>IF(A2704="","",IFERROR(INDEX(Ввод!$B$12:$B$71,MATCH(A2704,Ввод!$D$12:$D$71,1)),""))</f>
        <v/>
      </c>
      <c r="C2704">
        <f>IF(A2704="","",DATE(YEAR(A2704),12,31)-DATE(YEAR(A2704),1,1)+1)</f>
        <v/>
      </c>
      <c r="D2704">
        <f>IF(A2704="","",SUMIFS(Акты!$D$5:$D$16,Акты!$E$5:$E$16,"&lt;="&amp;A2704)-SUMIFS(Оплаты!$B$6:$B$505,Оплаты!$A$6:$A$505,"&lt;"&amp;A2704,Оплаты!$D$6:$D$505,"&lt;&gt;"))</f>
        <v/>
      </c>
      <c r="E2704">
        <f>IF(A2704="","",IF(SUMPRODUCT((Ввод!$F$12:$F$31&lt;&gt;"")*(Ввод!$F$12:$F$31&lt;=A2704)*(Ввод!$G$12:$G$31&gt;=A2704))&gt;0,1,0))</f>
        <v/>
      </c>
      <c r="G2704">
        <f>IF(A2704="","",IF(OR(B2704&lt;&gt;B2703,C2704&lt;&gt;C2703,E2704&lt;&gt;E2703),G2703+1,G2703))</f>
        <v/>
      </c>
    </row>
    <row r="2705">
      <c r="A2705" s="20">
        <f>IF(A2704="","",IF(A2704+1&gt;Ввод!$B$4,"",A2704+1))</f>
        <v/>
      </c>
      <c r="B2705">
        <f>IF(A2705="","",IFERROR(INDEX(Ввод!$B$12:$B$71,MATCH(A2705,Ввод!$D$12:$D$71,1)),""))</f>
        <v/>
      </c>
      <c r="C2705">
        <f>IF(A2705="","",DATE(YEAR(A2705),12,31)-DATE(YEAR(A2705),1,1)+1)</f>
        <v/>
      </c>
      <c r="D2705">
        <f>IF(A2705="","",SUMIFS(Акты!$D$5:$D$16,Акты!$E$5:$E$16,"&lt;="&amp;A2705)-SUMIFS(Оплаты!$B$6:$B$505,Оплаты!$A$6:$A$505,"&lt;"&amp;A2705,Оплаты!$D$6:$D$505,"&lt;&gt;"))</f>
        <v/>
      </c>
      <c r="E2705">
        <f>IF(A2705="","",IF(SUMPRODUCT((Ввод!$F$12:$F$31&lt;&gt;"")*(Ввод!$F$12:$F$31&lt;=A2705)*(Ввод!$G$12:$G$31&gt;=A2705))&gt;0,1,0))</f>
        <v/>
      </c>
      <c r="G2705">
        <f>IF(A2705="","",IF(OR(B2705&lt;&gt;B2704,C2705&lt;&gt;C2704,E2705&lt;&gt;E2704),G2704+1,G2704))</f>
        <v/>
      </c>
    </row>
    <row r="2706">
      <c r="A2706" s="20">
        <f>IF(A2705="","",IF(A2705+1&gt;Ввод!$B$4,"",A2705+1))</f>
        <v/>
      </c>
      <c r="B2706">
        <f>IF(A2706="","",IFERROR(INDEX(Ввод!$B$12:$B$71,MATCH(A2706,Ввод!$D$12:$D$71,1)),""))</f>
        <v/>
      </c>
      <c r="C2706">
        <f>IF(A2706="","",DATE(YEAR(A2706),12,31)-DATE(YEAR(A2706),1,1)+1)</f>
        <v/>
      </c>
      <c r="D2706">
        <f>IF(A2706="","",SUMIFS(Акты!$D$5:$D$16,Акты!$E$5:$E$16,"&lt;="&amp;A2706)-SUMIFS(Оплаты!$B$6:$B$505,Оплаты!$A$6:$A$505,"&lt;"&amp;A2706,Оплаты!$D$6:$D$505,"&lt;&gt;"))</f>
        <v/>
      </c>
      <c r="E2706">
        <f>IF(A2706="","",IF(SUMPRODUCT((Ввод!$F$12:$F$31&lt;&gt;"")*(Ввод!$F$12:$F$31&lt;=A2706)*(Ввод!$G$12:$G$31&gt;=A2706))&gt;0,1,0))</f>
        <v/>
      </c>
      <c r="G2706">
        <f>IF(A2706="","",IF(OR(B2706&lt;&gt;B2705,C2706&lt;&gt;C2705,E2706&lt;&gt;E2705),G2705+1,G2705))</f>
        <v/>
      </c>
    </row>
    <row r="2707">
      <c r="A2707" s="20">
        <f>IF(A2706="","",IF(A2706+1&gt;Ввод!$B$4,"",A2706+1))</f>
        <v/>
      </c>
      <c r="B2707">
        <f>IF(A2707="","",IFERROR(INDEX(Ввод!$B$12:$B$71,MATCH(A2707,Ввод!$D$12:$D$71,1)),""))</f>
        <v/>
      </c>
      <c r="C2707">
        <f>IF(A2707="","",DATE(YEAR(A2707),12,31)-DATE(YEAR(A2707),1,1)+1)</f>
        <v/>
      </c>
      <c r="D2707">
        <f>IF(A2707="","",SUMIFS(Акты!$D$5:$D$16,Акты!$E$5:$E$16,"&lt;="&amp;A2707)-SUMIFS(Оплаты!$B$6:$B$505,Оплаты!$A$6:$A$505,"&lt;"&amp;A2707,Оплаты!$D$6:$D$505,"&lt;&gt;"))</f>
        <v/>
      </c>
      <c r="E2707">
        <f>IF(A2707="","",IF(SUMPRODUCT((Ввод!$F$12:$F$31&lt;&gt;"")*(Ввод!$F$12:$F$31&lt;=A2707)*(Ввод!$G$12:$G$31&gt;=A2707))&gt;0,1,0))</f>
        <v/>
      </c>
      <c r="G2707">
        <f>IF(A2707="","",IF(OR(B2707&lt;&gt;B2706,C2707&lt;&gt;C2706,E2707&lt;&gt;E2706),G2706+1,G2706))</f>
        <v/>
      </c>
    </row>
    <row r="2708">
      <c r="A2708" s="20">
        <f>IF(A2707="","",IF(A2707+1&gt;Ввод!$B$4,"",A2707+1))</f>
        <v/>
      </c>
      <c r="B2708">
        <f>IF(A2708="","",IFERROR(INDEX(Ввод!$B$12:$B$71,MATCH(A2708,Ввод!$D$12:$D$71,1)),""))</f>
        <v/>
      </c>
      <c r="C2708">
        <f>IF(A2708="","",DATE(YEAR(A2708),12,31)-DATE(YEAR(A2708),1,1)+1)</f>
        <v/>
      </c>
      <c r="D2708">
        <f>IF(A2708="","",SUMIFS(Акты!$D$5:$D$16,Акты!$E$5:$E$16,"&lt;="&amp;A2708)-SUMIFS(Оплаты!$B$6:$B$505,Оплаты!$A$6:$A$505,"&lt;"&amp;A2708,Оплаты!$D$6:$D$505,"&lt;&gt;"))</f>
        <v/>
      </c>
      <c r="E2708">
        <f>IF(A2708="","",IF(SUMPRODUCT((Ввод!$F$12:$F$31&lt;&gt;"")*(Ввод!$F$12:$F$31&lt;=A2708)*(Ввод!$G$12:$G$31&gt;=A2708))&gt;0,1,0))</f>
        <v/>
      </c>
      <c r="G2708">
        <f>IF(A2708="","",IF(OR(B2708&lt;&gt;B2707,C2708&lt;&gt;C2707,E2708&lt;&gt;E2707),G2707+1,G2707))</f>
        <v/>
      </c>
    </row>
    <row r="2709">
      <c r="A2709" s="20">
        <f>IF(A2708="","",IF(A2708+1&gt;Ввод!$B$4,"",A2708+1))</f>
        <v/>
      </c>
      <c r="B2709">
        <f>IF(A2709="","",IFERROR(INDEX(Ввод!$B$12:$B$71,MATCH(A2709,Ввод!$D$12:$D$71,1)),""))</f>
        <v/>
      </c>
      <c r="C2709">
        <f>IF(A2709="","",DATE(YEAR(A2709),12,31)-DATE(YEAR(A2709),1,1)+1)</f>
        <v/>
      </c>
      <c r="D2709">
        <f>IF(A2709="","",SUMIFS(Акты!$D$5:$D$16,Акты!$E$5:$E$16,"&lt;="&amp;A2709)-SUMIFS(Оплаты!$B$6:$B$505,Оплаты!$A$6:$A$505,"&lt;"&amp;A2709,Оплаты!$D$6:$D$505,"&lt;&gt;"))</f>
        <v/>
      </c>
      <c r="E2709">
        <f>IF(A2709="","",IF(SUMPRODUCT((Ввод!$F$12:$F$31&lt;&gt;"")*(Ввод!$F$12:$F$31&lt;=A2709)*(Ввод!$G$12:$G$31&gt;=A2709))&gt;0,1,0))</f>
        <v/>
      </c>
      <c r="G2709">
        <f>IF(A2709="","",IF(OR(B2709&lt;&gt;B2708,C2709&lt;&gt;C2708,E2709&lt;&gt;E2708),G2708+1,G2708))</f>
        <v/>
      </c>
    </row>
    <row r="2710">
      <c r="A2710" s="20">
        <f>IF(A2709="","",IF(A2709+1&gt;Ввод!$B$4,"",A2709+1))</f>
        <v/>
      </c>
      <c r="B2710">
        <f>IF(A2710="","",IFERROR(INDEX(Ввод!$B$12:$B$71,MATCH(A2710,Ввод!$D$12:$D$71,1)),""))</f>
        <v/>
      </c>
      <c r="C2710">
        <f>IF(A2710="","",DATE(YEAR(A2710),12,31)-DATE(YEAR(A2710),1,1)+1)</f>
        <v/>
      </c>
      <c r="D2710">
        <f>IF(A2710="","",SUMIFS(Акты!$D$5:$D$16,Акты!$E$5:$E$16,"&lt;="&amp;A2710)-SUMIFS(Оплаты!$B$6:$B$505,Оплаты!$A$6:$A$505,"&lt;"&amp;A2710,Оплаты!$D$6:$D$505,"&lt;&gt;"))</f>
        <v/>
      </c>
      <c r="E2710">
        <f>IF(A2710="","",IF(SUMPRODUCT((Ввод!$F$12:$F$31&lt;&gt;"")*(Ввод!$F$12:$F$31&lt;=A2710)*(Ввод!$G$12:$G$31&gt;=A2710))&gt;0,1,0))</f>
        <v/>
      </c>
      <c r="G2710">
        <f>IF(A2710="","",IF(OR(B2710&lt;&gt;B2709,C2710&lt;&gt;C2709,E2710&lt;&gt;E2709),G2709+1,G2709))</f>
        <v/>
      </c>
    </row>
    <row r="2711">
      <c r="A2711" s="20">
        <f>IF(A2710="","",IF(A2710+1&gt;Ввод!$B$4,"",A2710+1))</f>
        <v/>
      </c>
      <c r="B2711">
        <f>IF(A2711="","",IFERROR(INDEX(Ввод!$B$12:$B$71,MATCH(A2711,Ввод!$D$12:$D$71,1)),""))</f>
        <v/>
      </c>
      <c r="C2711">
        <f>IF(A2711="","",DATE(YEAR(A2711),12,31)-DATE(YEAR(A2711),1,1)+1)</f>
        <v/>
      </c>
      <c r="D2711">
        <f>IF(A2711="","",SUMIFS(Акты!$D$5:$D$16,Акты!$E$5:$E$16,"&lt;="&amp;A2711)-SUMIFS(Оплаты!$B$6:$B$505,Оплаты!$A$6:$A$505,"&lt;"&amp;A2711,Оплаты!$D$6:$D$505,"&lt;&gt;"))</f>
        <v/>
      </c>
      <c r="E2711">
        <f>IF(A2711="","",IF(SUMPRODUCT((Ввод!$F$12:$F$31&lt;&gt;"")*(Ввод!$F$12:$F$31&lt;=A2711)*(Ввод!$G$12:$G$31&gt;=A2711))&gt;0,1,0))</f>
        <v/>
      </c>
      <c r="G2711">
        <f>IF(A2711="","",IF(OR(B2711&lt;&gt;B2710,C2711&lt;&gt;C2710,E2711&lt;&gt;E2710),G2710+1,G2710))</f>
        <v/>
      </c>
    </row>
    <row r="2712">
      <c r="A2712" s="20">
        <f>IF(A2711="","",IF(A2711+1&gt;Ввод!$B$4,"",A2711+1))</f>
        <v/>
      </c>
      <c r="B2712">
        <f>IF(A2712="","",IFERROR(INDEX(Ввод!$B$12:$B$71,MATCH(A2712,Ввод!$D$12:$D$71,1)),""))</f>
        <v/>
      </c>
      <c r="C2712">
        <f>IF(A2712="","",DATE(YEAR(A2712),12,31)-DATE(YEAR(A2712),1,1)+1)</f>
        <v/>
      </c>
      <c r="D2712">
        <f>IF(A2712="","",SUMIFS(Акты!$D$5:$D$16,Акты!$E$5:$E$16,"&lt;="&amp;A2712)-SUMIFS(Оплаты!$B$6:$B$505,Оплаты!$A$6:$A$505,"&lt;"&amp;A2712,Оплаты!$D$6:$D$505,"&lt;&gt;"))</f>
        <v/>
      </c>
      <c r="E2712">
        <f>IF(A2712="","",IF(SUMPRODUCT((Ввод!$F$12:$F$31&lt;&gt;"")*(Ввод!$F$12:$F$31&lt;=A2712)*(Ввод!$G$12:$G$31&gt;=A2712))&gt;0,1,0))</f>
        <v/>
      </c>
      <c r="G2712">
        <f>IF(A2712="","",IF(OR(B2712&lt;&gt;B2711,C2712&lt;&gt;C2711,E2712&lt;&gt;E2711),G2711+1,G2711))</f>
        <v/>
      </c>
    </row>
    <row r="2713">
      <c r="A2713" s="20">
        <f>IF(A2712="","",IF(A2712+1&gt;Ввод!$B$4,"",A2712+1))</f>
        <v/>
      </c>
      <c r="B2713">
        <f>IF(A2713="","",IFERROR(INDEX(Ввод!$B$12:$B$71,MATCH(A2713,Ввод!$D$12:$D$71,1)),""))</f>
        <v/>
      </c>
      <c r="C2713">
        <f>IF(A2713="","",DATE(YEAR(A2713),12,31)-DATE(YEAR(A2713),1,1)+1)</f>
        <v/>
      </c>
      <c r="D2713">
        <f>IF(A2713="","",SUMIFS(Акты!$D$5:$D$16,Акты!$E$5:$E$16,"&lt;="&amp;A2713)-SUMIFS(Оплаты!$B$6:$B$505,Оплаты!$A$6:$A$505,"&lt;"&amp;A2713,Оплаты!$D$6:$D$505,"&lt;&gt;"))</f>
        <v/>
      </c>
      <c r="E2713">
        <f>IF(A2713="","",IF(SUMPRODUCT((Ввод!$F$12:$F$31&lt;&gt;"")*(Ввод!$F$12:$F$31&lt;=A2713)*(Ввод!$G$12:$G$31&gt;=A2713))&gt;0,1,0))</f>
        <v/>
      </c>
      <c r="G2713">
        <f>IF(A2713="","",IF(OR(B2713&lt;&gt;B2712,C2713&lt;&gt;C2712,E2713&lt;&gt;E2712),G2712+1,G2712))</f>
        <v/>
      </c>
    </row>
    <row r="2714">
      <c r="A2714" s="20">
        <f>IF(A2713="","",IF(A2713+1&gt;Ввод!$B$4,"",A2713+1))</f>
        <v/>
      </c>
      <c r="B2714">
        <f>IF(A2714="","",IFERROR(INDEX(Ввод!$B$12:$B$71,MATCH(A2714,Ввод!$D$12:$D$71,1)),""))</f>
        <v/>
      </c>
      <c r="C2714">
        <f>IF(A2714="","",DATE(YEAR(A2714),12,31)-DATE(YEAR(A2714),1,1)+1)</f>
        <v/>
      </c>
      <c r="D2714">
        <f>IF(A2714="","",SUMIFS(Акты!$D$5:$D$16,Акты!$E$5:$E$16,"&lt;="&amp;A2714)-SUMIFS(Оплаты!$B$6:$B$505,Оплаты!$A$6:$A$505,"&lt;"&amp;A2714,Оплаты!$D$6:$D$505,"&lt;&gt;"))</f>
        <v/>
      </c>
      <c r="E2714">
        <f>IF(A2714="","",IF(SUMPRODUCT((Ввод!$F$12:$F$31&lt;&gt;"")*(Ввод!$F$12:$F$31&lt;=A2714)*(Ввод!$G$12:$G$31&gt;=A2714))&gt;0,1,0))</f>
        <v/>
      </c>
      <c r="G2714">
        <f>IF(A2714="","",IF(OR(B2714&lt;&gt;B2713,C2714&lt;&gt;C2713,E2714&lt;&gt;E2713),G2713+1,G2713))</f>
        <v/>
      </c>
    </row>
    <row r="2715">
      <c r="A2715" s="20">
        <f>IF(A2714="","",IF(A2714+1&gt;Ввод!$B$4,"",A2714+1))</f>
        <v/>
      </c>
      <c r="B2715">
        <f>IF(A2715="","",IFERROR(INDEX(Ввод!$B$12:$B$71,MATCH(A2715,Ввод!$D$12:$D$71,1)),""))</f>
        <v/>
      </c>
      <c r="C2715">
        <f>IF(A2715="","",DATE(YEAR(A2715),12,31)-DATE(YEAR(A2715),1,1)+1)</f>
        <v/>
      </c>
      <c r="D2715">
        <f>IF(A2715="","",SUMIFS(Акты!$D$5:$D$16,Акты!$E$5:$E$16,"&lt;="&amp;A2715)-SUMIFS(Оплаты!$B$6:$B$505,Оплаты!$A$6:$A$505,"&lt;"&amp;A2715,Оплаты!$D$6:$D$505,"&lt;&gt;"))</f>
        <v/>
      </c>
      <c r="E2715">
        <f>IF(A2715="","",IF(SUMPRODUCT((Ввод!$F$12:$F$31&lt;&gt;"")*(Ввод!$F$12:$F$31&lt;=A2715)*(Ввод!$G$12:$G$31&gt;=A2715))&gt;0,1,0))</f>
        <v/>
      </c>
      <c r="G2715">
        <f>IF(A2715="","",IF(OR(B2715&lt;&gt;B2714,C2715&lt;&gt;C2714,E2715&lt;&gt;E2714),G2714+1,G2714))</f>
        <v/>
      </c>
    </row>
    <row r="2716">
      <c r="A2716" s="20">
        <f>IF(A2715="","",IF(A2715+1&gt;Ввод!$B$4,"",A2715+1))</f>
        <v/>
      </c>
      <c r="B2716">
        <f>IF(A2716="","",IFERROR(INDEX(Ввод!$B$12:$B$71,MATCH(A2716,Ввод!$D$12:$D$71,1)),""))</f>
        <v/>
      </c>
      <c r="C2716">
        <f>IF(A2716="","",DATE(YEAR(A2716),12,31)-DATE(YEAR(A2716),1,1)+1)</f>
        <v/>
      </c>
      <c r="D2716">
        <f>IF(A2716="","",SUMIFS(Акты!$D$5:$D$16,Акты!$E$5:$E$16,"&lt;="&amp;A2716)-SUMIFS(Оплаты!$B$6:$B$505,Оплаты!$A$6:$A$505,"&lt;"&amp;A2716,Оплаты!$D$6:$D$505,"&lt;&gt;"))</f>
        <v/>
      </c>
      <c r="E2716">
        <f>IF(A2716="","",IF(SUMPRODUCT((Ввод!$F$12:$F$31&lt;&gt;"")*(Ввод!$F$12:$F$31&lt;=A2716)*(Ввод!$G$12:$G$31&gt;=A2716))&gt;0,1,0))</f>
        <v/>
      </c>
      <c r="G2716">
        <f>IF(A2716="","",IF(OR(B2716&lt;&gt;B2715,C2716&lt;&gt;C2715,E2716&lt;&gt;E2715),G2715+1,G2715))</f>
        <v/>
      </c>
    </row>
    <row r="2717">
      <c r="A2717" s="20">
        <f>IF(A2716="","",IF(A2716+1&gt;Ввод!$B$4,"",A2716+1))</f>
        <v/>
      </c>
      <c r="B2717">
        <f>IF(A2717="","",IFERROR(INDEX(Ввод!$B$12:$B$71,MATCH(A2717,Ввод!$D$12:$D$71,1)),""))</f>
        <v/>
      </c>
      <c r="C2717">
        <f>IF(A2717="","",DATE(YEAR(A2717),12,31)-DATE(YEAR(A2717),1,1)+1)</f>
        <v/>
      </c>
      <c r="D2717">
        <f>IF(A2717="","",SUMIFS(Акты!$D$5:$D$16,Акты!$E$5:$E$16,"&lt;="&amp;A2717)-SUMIFS(Оплаты!$B$6:$B$505,Оплаты!$A$6:$A$505,"&lt;"&amp;A2717,Оплаты!$D$6:$D$505,"&lt;&gt;"))</f>
        <v/>
      </c>
      <c r="E2717">
        <f>IF(A2717="","",IF(SUMPRODUCT((Ввод!$F$12:$F$31&lt;&gt;"")*(Ввод!$F$12:$F$31&lt;=A2717)*(Ввод!$G$12:$G$31&gt;=A2717))&gt;0,1,0))</f>
        <v/>
      </c>
      <c r="G2717">
        <f>IF(A2717="","",IF(OR(B2717&lt;&gt;B2716,C2717&lt;&gt;C2716,E2717&lt;&gt;E2716),G2716+1,G2716))</f>
        <v/>
      </c>
    </row>
    <row r="2718">
      <c r="A2718" s="20">
        <f>IF(A2717="","",IF(A2717+1&gt;Ввод!$B$4,"",A2717+1))</f>
        <v/>
      </c>
      <c r="B2718">
        <f>IF(A2718="","",IFERROR(INDEX(Ввод!$B$12:$B$71,MATCH(A2718,Ввод!$D$12:$D$71,1)),""))</f>
        <v/>
      </c>
      <c r="C2718">
        <f>IF(A2718="","",DATE(YEAR(A2718),12,31)-DATE(YEAR(A2718),1,1)+1)</f>
        <v/>
      </c>
      <c r="D2718">
        <f>IF(A2718="","",SUMIFS(Акты!$D$5:$D$16,Акты!$E$5:$E$16,"&lt;="&amp;A2718)-SUMIFS(Оплаты!$B$6:$B$505,Оплаты!$A$6:$A$505,"&lt;"&amp;A2718,Оплаты!$D$6:$D$505,"&lt;&gt;"))</f>
        <v/>
      </c>
      <c r="E2718">
        <f>IF(A2718="","",IF(SUMPRODUCT((Ввод!$F$12:$F$31&lt;&gt;"")*(Ввод!$F$12:$F$31&lt;=A2718)*(Ввод!$G$12:$G$31&gt;=A2718))&gt;0,1,0))</f>
        <v/>
      </c>
      <c r="G2718">
        <f>IF(A2718="","",IF(OR(B2718&lt;&gt;B2717,C2718&lt;&gt;C2717,E2718&lt;&gt;E2717),G2717+1,G2717))</f>
        <v/>
      </c>
    </row>
    <row r="2719">
      <c r="A2719" s="20">
        <f>IF(A2718="","",IF(A2718+1&gt;Ввод!$B$4,"",A2718+1))</f>
        <v/>
      </c>
      <c r="B2719">
        <f>IF(A2719="","",IFERROR(INDEX(Ввод!$B$12:$B$71,MATCH(A2719,Ввод!$D$12:$D$71,1)),""))</f>
        <v/>
      </c>
      <c r="C2719">
        <f>IF(A2719="","",DATE(YEAR(A2719),12,31)-DATE(YEAR(A2719),1,1)+1)</f>
        <v/>
      </c>
      <c r="D2719">
        <f>IF(A2719="","",SUMIFS(Акты!$D$5:$D$16,Акты!$E$5:$E$16,"&lt;="&amp;A2719)-SUMIFS(Оплаты!$B$6:$B$505,Оплаты!$A$6:$A$505,"&lt;"&amp;A2719,Оплаты!$D$6:$D$505,"&lt;&gt;"))</f>
        <v/>
      </c>
      <c r="E2719">
        <f>IF(A2719="","",IF(SUMPRODUCT((Ввод!$F$12:$F$31&lt;&gt;"")*(Ввод!$F$12:$F$31&lt;=A2719)*(Ввод!$G$12:$G$31&gt;=A2719))&gt;0,1,0))</f>
        <v/>
      </c>
      <c r="G2719">
        <f>IF(A2719="","",IF(OR(B2719&lt;&gt;B2718,C2719&lt;&gt;C2718,E2719&lt;&gt;E2718),G2718+1,G2718))</f>
        <v/>
      </c>
    </row>
    <row r="2720">
      <c r="A2720" s="20">
        <f>IF(A2719="","",IF(A2719+1&gt;Ввод!$B$4,"",A2719+1))</f>
        <v/>
      </c>
      <c r="B2720">
        <f>IF(A2720="","",IFERROR(INDEX(Ввод!$B$12:$B$71,MATCH(A2720,Ввод!$D$12:$D$71,1)),""))</f>
        <v/>
      </c>
      <c r="C2720">
        <f>IF(A2720="","",DATE(YEAR(A2720),12,31)-DATE(YEAR(A2720),1,1)+1)</f>
        <v/>
      </c>
      <c r="D2720">
        <f>IF(A2720="","",SUMIFS(Акты!$D$5:$D$16,Акты!$E$5:$E$16,"&lt;="&amp;A2720)-SUMIFS(Оплаты!$B$6:$B$505,Оплаты!$A$6:$A$505,"&lt;"&amp;A2720,Оплаты!$D$6:$D$505,"&lt;&gt;"))</f>
        <v/>
      </c>
      <c r="E2720">
        <f>IF(A2720="","",IF(SUMPRODUCT((Ввод!$F$12:$F$31&lt;&gt;"")*(Ввод!$F$12:$F$31&lt;=A2720)*(Ввод!$G$12:$G$31&gt;=A2720))&gt;0,1,0))</f>
        <v/>
      </c>
      <c r="G2720">
        <f>IF(A2720="","",IF(OR(B2720&lt;&gt;B2719,C2720&lt;&gt;C2719,E2720&lt;&gt;E2719),G2719+1,G2719))</f>
        <v/>
      </c>
    </row>
    <row r="2721">
      <c r="A2721" s="20">
        <f>IF(A2720="","",IF(A2720+1&gt;Ввод!$B$4,"",A2720+1))</f>
        <v/>
      </c>
      <c r="B2721">
        <f>IF(A2721="","",IFERROR(INDEX(Ввод!$B$12:$B$71,MATCH(A2721,Ввод!$D$12:$D$71,1)),""))</f>
        <v/>
      </c>
      <c r="C2721">
        <f>IF(A2721="","",DATE(YEAR(A2721),12,31)-DATE(YEAR(A2721),1,1)+1)</f>
        <v/>
      </c>
      <c r="D2721">
        <f>IF(A2721="","",SUMIFS(Акты!$D$5:$D$16,Акты!$E$5:$E$16,"&lt;="&amp;A2721)-SUMIFS(Оплаты!$B$6:$B$505,Оплаты!$A$6:$A$505,"&lt;"&amp;A2721,Оплаты!$D$6:$D$505,"&lt;&gt;"))</f>
        <v/>
      </c>
      <c r="E2721">
        <f>IF(A2721="","",IF(SUMPRODUCT((Ввод!$F$12:$F$31&lt;&gt;"")*(Ввод!$F$12:$F$31&lt;=A2721)*(Ввод!$G$12:$G$31&gt;=A2721))&gt;0,1,0))</f>
        <v/>
      </c>
      <c r="G2721">
        <f>IF(A2721="","",IF(OR(B2721&lt;&gt;B2720,C2721&lt;&gt;C2720,E2721&lt;&gt;E2720),G2720+1,G2720))</f>
        <v/>
      </c>
    </row>
    <row r="2722">
      <c r="A2722" s="20">
        <f>IF(A2721="","",IF(A2721+1&gt;Ввод!$B$4,"",A2721+1))</f>
        <v/>
      </c>
      <c r="B2722">
        <f>IF(A2722="","",IFERROR(INDEX(Ввод!$B$12:$B$71,MATCH(A2722,Ввод!$D$12:$D$71,1)),""))</f>
        <v/>
      </c>
      <c r="C2722">
        <f>IF(A2722="","",DATE(YEAR(A2722),12,31)-DATE(YEAR(A2722),1,1)+1)</f>
        <v/>
      </c>
      <c r="D2722">
        <f>IF(A2722="","",SUMIFS(Акты!$D$5:$D$16,Акты!$E$5:$E$16,"&lt;="&amp;A2722)-SUMIFS(Оплаты!$B$6:$B$505,Оплаты!$A$6:$A$505,"&lt;"&amp;A2722,Оплаты!$D$6:$D$505,"&lt;&gt;"))</f>
        <v/>
      </c>
      <c r="E2722">
        <f>IF(A2722="","",IF(SUMPRODUCT((Ввод!$F$12:$F$31&lt;&gt;"")*(Ввод!$F$12:$F$31&lt;=A2722)*(Ввод!$G$12:$G$31&gt;=A2722))&gt;0,1,0))</f>
        <v/>
      </c>
      <c r="G2722">
        <f>IF(A2722="","",IF(OR(B2722&lt;&gt;B2721,C2722&lt;&gt;C2721,E2722&lt;&gt;E2721),G2721+1,G2721))</f>
        <v/>
      </c>
    </row>
    <row r="2723">
      <c r="A2723" s="20">
        <f>IF(A2722="","",IF(A2722+1&gt;Ввод!$B$4,"",A2722+1))</f>
        <v/>
      </c>
      <c r="B2723">
        <f>IF(A2723="","",IFERROR(INDEX(Ввод!$B$12:$B$71,MATCH(A2723,Ввод!$D$12:$D$71,1)),""))</f>
        <v/>
      </c>
      <c r="C2723">
        <f>IF(A2723="","",DATE(YEAR(A2723),12,31)-DATE(YEAR(A2723),1,1)+1)</f>
        <v/>
      </c>
      <c r="D2723">
        <f>IF(A2723="","",SUMIFS(Акты!$D$5:$D$16,Акты!$E$5:$E$16,"&lt;="&amp;A2723)-SUMIFS(Оплаты!$B$6:$B$505,Оплаты!$A$6:$A$505,"&lt;"&amp;A2723,Оплаты!$D$6:$D$505,"&lt;&gt;"))</f>
        <v/>
      </c>
      <c r="E2723">
        <f>IF(A2723="","",IF(SUMPRODUCT((Ввод!$F$12:$F$31&lt;&gt;"")*(Ввод!$F$12:$F$31&lt;=A2723)*(Ввод!$G$12:$G$31&gt;=A2723))&gt;0,1,0))</f>
        <v/>
      </c>
      <c r="G2723">
        <f>IF(A2723="","",IF(OR(B2723&lt;&gt;B2722,C2723&lt;&gt;C2722,E2723&lt;&gt;E2722),G2722+1,G2722))</f>
        <v/>
      </c>
    </row>
    <row r="2724">
      <c r="A2724" s="20">
        <f>IF(A2723="","",IF(A2723+1&gt;Ввод!$B$4,"",A2723+1))</f>
        <v/>
      </c>
      <c r="B2724">
        <f>IF(A2724="","",IFERROR(INDEX(Ввод!$B$12:$B$71,MATCH(A2724,Ввод!$D$12:$D$71,1)),""))</f>
        <v/>
      </c>
      <c r="C2724">
        <f>IF(A2724="","",DATE(YEAR(A2724),12,31)-DATE(YEAR(A2724),1,1)+1)</f>
        <v/>
      </c>
      <c r="D2724">
        <f>IF(A2724="","",SUMIFS(Акты!$D$5:$D$16,Акты!$E$5:$E$16,"&lt;="&amp;A2724)-SUMIFS(Оплаты!$B$6:$B$505,Оплаты!$A$6:$A$505,"&lt;"&amp;A2724,Оплаты!$D$6:$D$505,"&lt;&gt;"))</f>
        <v/>
      </c>
      <c r="E2724">
        <f>IF(A2724="","",IF(SUMPRODUCT((Ввод!$F$12:$F$31&lt;&gt;"")*(Ввод!$F$12:$F$31&lt;=A2724)*(Ввод!$G$12:$G$31&gt;=A2724))&gt;0,1,0))</f>
        <v/>
      </c>
      <c r="G2724">
        <f>IF(A2724="","",IF(OR(B2724&lt;&gt;B2723,C2724&lt;&gt;C2723,E2724&lt;&gt;E2723),G2723+1,G2723))</f>
        <v/>
      </c>
    </row>
    <row r="2725">
      <c r="A2725" s="20">
        <f>IF(A2724="","",IF(A2724+1&gt;Ввод!$B$4,"",A2724+1))</f>
        <v/>
      </c>
      <c r="B2725">
        <f>IF(A2725="","",IFERROR(INDEX(Ввод!$B$12:$B$71,MATCH(A2725,Ввод!$D$12:$D$71,1)),""))</f>
        <v/>
      </c>
      <c r="C2725">
        <f>IF(A2725="","",DATE(YEAR(A2725),12,31)-DATE(YEAR(A2725),1,1)+1)</f>
        <v/>
      </c>
      <c r="D2725">
        <f>IF(A2725="","",SUMIFS(Акты!$D$5:$D$16,Акты!$E$5:$E$16,"&lt;="&amp;A2725)-SUMIFS(Оплаты!$B$6:$B$505,Оплаты!$A$6:$A$505,"&lt;"&amp;A2725,Оплаты!$D$6:$D$505,"&lt;&gt;"))</f>
        <v/>
      </c>
      <c r="E2725">
        <f>IF(A2725="","",IF(SUMPRODUCT((Ввод!$F$12:$F$31&lt;&gt;"")*(Ввод!$F$12:$F$31&lt;=A2725)*(Ввод!$G$12:$G$31&gt;=A2725))&gt;0,1,0))</f>
        <v/>
      </c>
      <c r="G2725">
        <f>IF(A2725="","",IF(OR(B2725&lt;&gt;B2724,C2725&lt;&gt;C2724,E2725&lt;&gt;E2724),G2724+1,G2724))</f>
        <v/>
      </c>
    </row>
    <row r="2726">
      <c r="A2726" s="20">
        <f>IF(A2725="","",IF(A2725+1&gt;Ввод!$B$4,"",A2725+1))</f>
        <v/>
      </c>
      <c r="B2726">
        <f>IF(A2726="","",IFERROR(INDEX(Ввод!$B$12:$B$71,MATCH(A2726,Ввод!$D$12:$D$71,1)),""))</f>
        <v/>
      </c>
      <c r="C2726">
        <f>IF(A2726="","",DATE(YEAR(A2726),12,31)-DATE(YEAR(A2726),1,1)+1)</f>
        <v/>
      </c>
      <c r="D2726">
        <f>IF(A2726="","",SUMIFS(Акты!$D$5:$D$16,Акты!$E$5:$E$16,"&lt;="&amp;A2726)-SUMIFS(Оплаты!$B$6:$B$505,Оплаты!$A$6:$A$505,"&lt;"&amp;A2726,Оплаты!$D$6:$D$505,"&lt;&gt;"))</f>
        <v/>
      </c>
      <c r="E2726">
        <f>IF(A2726="","",IF(SUMPRODUCT((Ввод!$F$12:$F$31&lt;&gt;"")*(Ввод!$F$12:$F$31&lt;=A2726)*(Ввод!$G$12:$G$31&gt;=A2726))&gt;0,1,0))</f>
        <v/>
      </c>
      <c r="G2726">
        <f>IF(A2726="","",IF(OR(B2726&lt;&gt;B2725,C2726&lt;&gt;C2725,E2726&lt;&gt;E2725),G2725+1,G2725))</f>
        <v/>
      </c>
    </row>
    <row r="2727">
      <c r="A2727" s="20">
        <f>IF(A2726="","",IF(A2726+1&gt;Ввод!$B$4,"",A2726+1))</f>
        <v/>
      </c>
      <c r="B2727">
        <f>IF(A2727="","",IFERROR(INDEX(Ввод!$B$12:$B$71,MATCH(A2727,Ввод!$D$12:$D$71,1)),""))</f>
        <v/>
      </c>
      <c r="C2727">
        <f>IF(A2727="","",DATE(YEAR(A2727),12,31)-DATE(YEAR(A2727),1,1)+1)</f>
        <v/>
      </c>
      <c r="D2727">
        <f>IF(A2727="","",SUMIFS(Акты!$D$5:$D$16,Акты!$E$5:$E$16,"&lt;="&amp;A2727)-SUMIFS(Оплаты!$B$6:$B$505,Оплаты!$A$6:$A$505,"&lt;"&amp;A2727,Оплаты!$D$6:$D$505,"&lt;&gt;"))</f>
        <v/>
      </c>
      <c r="E2727">
        <f>IF(A2727="","",IF(SUMPRODUCT((Ввод!$F$12:$F$31&lt;&gt;"")*(Ввод!$F$12:$F$31&lt;=A2727)*(Ввод!$G$12:$G$31&gt;=A2727))&gt;0,1,0))</f>
        <v/>
      </c>
      <c r="G2727">
        <f>IF(A2727="","",IF(OR(B2727&lt;&gt;B2726,C2727&lt;&gt;C2726,E2727&lt;&gt;E2726),G2726+1,G2726))</f>
        <v/>
      </c>
    </row>
    <row r="2728">
      <c r="A2728" s="20">
        <f>IF(A2727="","",IF(A2727+1&gt;Ввод!$B$4,"",A2727+1))</f>
        <v/>
      </c>
      <c r="B2728">
        <f>IF(A2728="","",IFERROR(INDEX(Ввод!$B$12:$B$71,MATCH(A2728,Ввод!$D$12:$D$71,1)),""))</f>
        <v/>
      </c>
      <c r="C2728">
        <f>IF(A2728="","",DATE(YEAR(A2728),12,31)-DATE(YEAR(A2728),1,1)+1)</f>
        <v/>
      </c>
      <c r="D2728">
        <f>IF(A2728="","",SUMIFS(Акты!$D$5:$D$16,Акты!$E$5:$E$16,"&lt;="&amp;A2728)-SUMIFS(Оплаты!$B$6:$B$505,Оплаты!$A$6:$A$505,"&lt;"&amp;A2728,Оплаты!$D$6:$D$505,"&lt;&gt;"))</f>
        <v/>
      </c>
      <c r="E2728">
        <f>IF(A2728="","",IF(SUMPRODUCT((Ввод!$F$12:$F$31&lt;&gt;"")*(Ввод!$F$12:$F$31&lt;=A2728)*(Ввод!$G$12:$G$31&gt;=A2728))&gt;0,1,0))</f>
        <v/>
      </c>
      <c r="G2728">
        <f>IF(A2728="","",IF(OR(B2728&lt;&gt;B2727,C2728&lt;&gt;C2727,E2728&lt;&gt;E2727),G2727+1,G2727))</f>
        <v/>
      </c>
    </row>
    <row r="2729">
      <c r="A2729" s="20">
        <f>IF(A2728="","",IF(A2728+1&gt;Ввод!$B$4,"",A2728+1))</f>
        <v/>
      </c>
      <c r="B2729">
        <f>IF(A2729="","",IFERROR(INDEX(Ввод!$B$12:$B$71,MATCH(A2729,Ввод!$D$12:$D$71,1)),""))</f>
        <v/>
      </c>
      <c r="C2729">
        <f>IF(A2729="","",DATE(YEAR(A2729),12,31)-DATE(YEAR(A2729),1,1)+1)</f>
        <v/>
      </c>
      <c r="D2729">
        <f>IF(A2729="","",SUMIFS(Акты!$D$5:$D$16,Акты!$E$5:$E$16,"&lt;="&amp;A2729)-SUMIFS(Оплаты!$B$6:$B$505,Оплаты!$A$6:$A$505,"&lt;"&amp;A2729,Оплаты!$D$6:$D$505,"&lt;&gt;"))</f>
        <v/>
      </c>
      <c r="E2729">
        <f>IF(A2729="","",IF(SUMPRODUCT((Ввод!$F$12:$F$31&lt;&gt;"")*(Ввод!$F$12:$F$31&lt;=A2729)*(Ввод!$G$12:$G$31&gt;=A2729))&gt;0,1,0))</f>
        <v/>
      </c>
      <c r="G2729">
        <f>IF(A2729="","",IF(OR(B2729&lt;&gt;B2728,C2729&lt;&gt;C2728,E2729&lt;&gt;E2728),G2728+1,G2728))</f>
        <v/>
      </c>
    </row>
    <row r="2730">
      <c r="A2730" s="20">
        <f>IF(A2729="","",IF(A2729+1&gt;Ввод!$B$4,"",A2729+1))</f>
        <v/>
      </c>
      <c r="B2730">
        <f>IF(A2730="","",IFERROR(INDEX(Ввод!$B$12:$B$71,MATCH(A2730,Ввод!$D$12:$D$71,1)),""))</f>
        <v/>
      </c>
      <c r="C2730">
        <f>IF(A2730="","",DATE(YEAR(A2730),12,31)-DATE(YEAR(A2730),1,1)+1)</f>
        <v/>
      </c>
      <c r="D2730">
        <f>IF(A2730="","",SUMIFS(Акты!$D$5:$D$16,Акты!$E$5:$E$16,"&lt;="&amp;A2730)-SUMIFS(Оплаты!$B$6:$B$505,Оплаты!$A$6:$A$505,"&lt;"&amp;A2730,Оплаты!$D$6:$D$505,"&lt;&gt;"))</f>
        <v/>
      </c>
      <c r="E2730">
        <f>IF(A2730="","",IF(SUMPRODUCT((Ввод!$F$12:$F$31&lt;&gt;"")*(Ввод!$F$12:$F$31&lt;=A2730)*(Ввод!$G$12:$G$31&gt;=A2730))&gt;0,1,0))</f>
        <v/>
      </c>
      <c r="G2730">
        <f>IF(A2730="","",IF(OR(B2730&lt;&gt;B2729,C2730&lt;&gt;C2729,E2730&lt;&gt;E2729),G2729+1,G2729))</f>
        <v/>
      </c>
    </row>
    <row r="2731">
      <c r="A2731" s="20">
        <f>IF(A2730="","",IF(A2730+1&gt;Ввод!$B$4,"",A2730+1))</f>
        <v/>
      </c>
      <c r="B2731">
        <f>IF(A2731="","",IFERROR(INDEX(Ввод!$B$12:$B$71,MATCH(A2731,Ввод!$D$12:$D$71,1)),""))</f>
        <v/>
      </c>
      <c r="C2731">
        <f>IF(A2731="","",DATE(YEAR(A2731),12,31)-DATE(YEAR(A2731),1,1)+1)</f>
        <v/>
      </c>
      <c r="D2731">
        <f>IF(A2731="","",SUMIFS(Акты!$D$5:$D$16,Акты!$E$5:$E$16,"&lt;="&amp;A2731)-SUMIFS(Оплаты!$B$6:$B$505,Оплаты!$A$6:$A$505,"&lt;"&amp;A2731,Оплаты!$D$6:$D$505,"&lt;&gt;"))</f>
        <v/>
      </c>
      <c r="E2731">
        <f>IF(A2731="","",IF(SUMPRODUCT((Ввод!$F$12:$F$31&lt;&gt;"")*(Ввод!$F$12:$F$31&lt;=A2731)*(Ввод!$G$12:$G$31&gt;=A2731))&gt;0,1,0))</f>
        <v/>
      </c>
      <c r="G2731">
        <f>IF(A2731="","",IF(OR(B2731&lt;&gt;B2730,C2731&lt;&gt;C2730,E2731&lt;&gt;E2730),G2730+1,G2730))</f>
        <v/>
      </c>
    </row>
    <row r="2732">
      <c r="A2732" s="20">
        <f>IF(A2731="","",IF(A2731+1&gt;Ввод!$B$4,"",A2731+1))</f>
        <v/>
      </c>
      <c r="B2732">
        <f>IF(A2732="","",IFERROR(INDEX(Ввод!$B$12:$B$71,MATCH(A2732,Ввод!$D$12:$D$71,1)),""))</f>
        <v/>
      </c>
      <c r="C2732">
        <f>IF(A2732="","",DATE(YEAR(A2732),12,31)-DATE(YEAR(A2732),1,1)+1)</f>
        <v/>
      </c>
      <c r="D2732">
        <f>IF(A2732="","",SUMIFS(Акты!$D$5:$D$16,Акты!$E$5:$E$16,"&lt;="&amp;A2732)-SUMIFS(Оплаты!$B$6:$B$505,Оплаты!$A$6:$A$505,"&lt;"&amp;A2732,Оплаты!$D$6:$D$505,"&lt;&gt;"))</f>
        <v/>
      </c>
      <c r="E2732">
        <f>IF(A2732="","",IF(SUMPRODUCT((Ввод!$F$12:$F$31&lt;&gt;"")*(Ввод!$F$12:$F$31&lt;=A2732)*(Ввод!$G$12:$G$31&gt;=A2732))&gt;0,1,0))</f>
        <v/>
      </c>
      <c r="G2732">
        <f>IF(A2732="","",IF(OR(B2732&lt;&gt;B2731,C2732&lt;&gt;C2731,E2732&lt;&gt;E2731),G2731+1,G2731))</f>
        <v/>
      </c>
    </row>
    <row r="2733">
      <c r="A2733" s="20">
        <f>IF(A2732="","",IF(A2732+1&gt;Ввод!$B$4,"",A2732+1))</f>
        <v/>
      </c>
      <c r="B2733">
        <f>IF(A2733="","",IFERROR(INDEX(Ввод!$B$12:$B$71,MATCH(A2733,Ввод!$D$12:$D$71,1)),""))</f>
        <v/>
      </c>
      <c r="C2733">
        <f>IF(A2733="","",DATE(YEAR(A2733),12,31)-DATE(YEAR(A2733),1,1)+1)</f>
        <v/>
      </c>
      <c r="D2733">
        <f>IF(A2733="","",SUMIFS(Акты!$D$5:$D$16,Акты!$E$5:$E$16,"&lt;="&amp;A2733)-SUMIFS(Оплаты!$B$6:$B$505,Оплаты!$A$6:$A$505,"&lt;"&amp;A2733,Оплаты!$D$6:$D$505,"&lt;&gt;"))</f>
        <v/>
      </c>
      <c r="E2733">
        <f>IF(A2733="","",IF(SUMPRODUCT((Ввод!$F$12:$F$31&lt;&gt;"")*(Ввод!$F$12:$F$31&lt;=A2733)*(Ввод!$G$12:$G$31&gt;=A2733))&gt;0,1,0))</f>
        <v/>
      </c>
      <c r="G2733">
        <f>IF(A2733="","",IF(OR(B2733&lt;&gt;B2732,C2733&lt;&gt;C2732,E2733&lt;&gt;E2732),G2732+1,G2732))</f>
        <v/>
      </c>
    </row>
    <row r="2734">
      <c r="A2734" s="20">
        <f>IF(A2733="","",IF(A2733+1&gt;Ввод!$B$4,"",A2733+1))</f>
        <v/>
      </c>
      <c r="B2734">
        <f>IF(A2734="","",IFERROR(INDEX(Ввод!$B$12:$B$71,MATCH(A2734,Ввод!$D$12:$D$71,1)),""))</f>
        <v/>
      </c>
      <c r="C2734">
        <f>IF(A2734="","",DATE(YEAR(A2734),12,31)-DATE(YEAR(A2734),1,1)+1)</f>
        <v/>
      </c>
      <c r="D2734">
        <f>IF(A2734="","",SUMIFS(Акты!$D$5:$D$16,Акты!$E$5:$E$16,"&lt;="&amp;A2734)-SUMIFS(Оплаты!$B$6:$B$505,Оплаты!$A$6:$A$505,"&lt;"&amp;A2734,Оплаты!$D$6:$D$505,"&lt;&gt;"))</f>
        <v/>
      </c>
      <c r="E2734">
        <f>IF(A2734="","",IF(SUMPRODUCT((Ввод!$F$12:$F$31&lt;&gt;"")*(Ввод!$F$12:$F$31&lt;=A2734)*(Ввод!$G$12:$G$31&gt;=A2734))&gt;0,1,0))</f>
        <v/>
      </c>
      <c r="G2734">
        <f>IF(A2734="","",IF(OR(B2734&lt;&gt;B2733,C2734&lt;&gt;C2733,E2734&lt;&gt;E2733),G2733+1,G2733))</f>
        <v/>
      </c>
    </row>
    <row r="2735">
      <c r="A2735" s="20">
        <f>IF(A2734="","",IF(A2734+1&gt;Ввод!$B$4,"",A2734+1))</f>
        <v/>
      </c>
      <c r="B2735">
        <f>IF(A2735="","",IFERROR(INDEX(Ввод!$B$12:$B$71,MATCH(A2735,Ввод!$D$12:$D$71,1)),""))</f>
        <v/>
      </c>
      <c r="C2735">
        <f>IF(A2735="","",DATE(YEAR(A2735),12,31)-DATE(YEAR(A2735),1,1)+1)</f>
        <v/>
      </c>
      <c r="D2735">
        <f>IF(A2735="","",SUMIFS(Акты!$D$5:$D$16,Акты!$E$5:$E$16,"&lt;="&amp;A2735)-SUMIFS(Оплаты!$B$6:$B$505,Оплаты!$A$6:$A$505,"&lt;"&amp;A2735,Оплаты!$D$6:$D$505,"&lt;&gt;"))</f>
        <v/>
      </c>
      <c r="E2735">
        <f>IF(A2735="","",IF(SUMPRODUCT((Ввод!$F$12:$F$31&lt;&gt;"")*(Ввод!$F$12:$F$31&lt;=A2735)*(Ввод!$G$12:$G$31&gt;=A2735))&gt;0,1,0))</f>
        <v/>
      </c>
      <c r="G2735">
        <f>IF(A2735="","",IF(OR(B2735&lt;&gt;B2734,C2735&lt;&gt;C2734,E2735&lt;&gt;E2734),G2734+1,G2734))</f>
        <v/>
      </c>
    </row>
    <row r="2736">
      <c r="A2736" s="20">
        <f>IF(A2735="","",IF(A2735+1&gt;Ввод!$B$4,"",A2735+1))</f>
        <v/>
      </c>
      <c r="B2736">
        <f>IF(A2736="","",IFERROR(INDEX(Ввод!$B$12:$B$71,MATCH(A2736,Ввод!$D$12:$D$71,1)),""))</f>
        <v/>
      </c>
      <c r="C2736">
        <f>IF(A2736="","",DATE(YEAR(A2736),12,31)-DATE(YEAR(A2736),1,1)+1)</f>
        <v/>
      </c>
      <c r="D2736">
        <f>IF(A2736="","",SUMIFS(Акты!$D$5:$D$16,Акты!$E$5:$E$16,"&lt;="&amp;A2736)-SUMIFS(Оплаты!$B$6:$B$505,Оплаты!$A$6:$A$505,"&lt;"&amp;A2736,Оплаты!$D$6:$D$505,"&lt;&gt;"))</f>
        <v/>
      </c>
      <c r="E2736">
        <f>IF(A2736="","",IF(SUMPRODUCT((Ввод!$F$12:$F$31&lt;&gt;"")*(Ввод!$F$12:$F$31&lt;=A2736)*(Ввод!$G$12:$G$31&gt;=A2736))&gt;0,1,0))</f>
        <v/>
      </c>
      <c r="G2736">
        <f>IF(A2736="","",IF(OR(B2736&lt;&gt;B2735,C2736&lt;&gt;C2735,E2736&lt;&gt;E2735),G2735+1,G2735))</f>
        <v/>
      </c>
    </row>
    <row r="2737">
      <c r="A2737" s="20">
        <f>IF(A2736="","",IF(A2736+1&gt;Ввод!$B$4,"",A2736+1))</f>
        <v/>
      </c>
      <c r="B2737">
        <f>IF(A2737="","",IFERROR(INDEX(Ввод!$B$12:$B$71,MATCH(A2737,Ввод!$D$12:$D$71,1)),""))</f>
        <v/>
      </c>
      <c r="C2737">
        <f>IF(A2737="","",DATE(YEAR(A2737),12,31)-DATE(YEAR(A2737),1,1)+1)</f>
        <v/>
      </c>
      <c r="D2737">
        <f>IF(A2737="","",SUMIFS(Акты!$D$5:$D$16,Акты!$E$5:$E$16,"&lt;="&amp;A2737)-SUMIFS(Оплаты!$B$6:$B$505,Оплаты!$A$6:$A$505,"&lt;"&amp;A2737,Оплаты!$D$6:$D$505,"&lt;&gt;"))</f>
        <v/>
      </c>
      <c r="E2737">
        <f>IF(A2737="","",IF(SUMPRODUCT((Ввод!$F$12:$F$31&lt;&gt;"")*(Ввод!$F$12:$F$31&lt;=A2737)*(Ввод!$G$12:$G$31&gt;=A2737))&gt;0,1,0))</f>
        <v/>
      </c>
      <c r="G2737">
        <f>IF(A2737="","",IF(OR(B2737&lt;&gt;B2736,C2737&lt;&gt;C2736,E2737&lt;&gt;E2736),G2736+1,G2736))</f>
        <v/>
      </c>
    </row>
    <row r="2738">
      <c r="A2738" s="20">
        <f>IF(A2737="","",IF(A2737+1&gt;Ввод!$B$4,"",A2737+1))</f>
        <v/>
      </c>
      <c r="B2738">
        <f>IF(A2738="","",IFERROR(INDEX(Ввод!$B$12:$B$71,MATCH(A2738,Ввод!$D$12:$D$71,1)),""))</f>
        <v/>
      </c>
      <c r="C2738">
        <f>IF(A2738="","",DATE(YEAR(A2738),12,31)-DATE(YEAR(A2738),1,1)+1)</f>
        <v/>
      </c>
      <c r="D2738">
        <f>IF(A2738="","",SUMIFS(Акты!$D$5:$D$16,Акты!$E$5:$E$16,"&lt;="&amp;A2738)-SUMIFS(Оплаты!$B$6:$B$505,Оплаты!$A$6:$A$505,"&lt;"&amp;A2738,Оплаты!$D$6:$D$505,"&lt;&gt;"))</f>
        <v/>
      </c>
      <c r="E2738">
        <f>IF(A2738="","",IF(SUMPRODUCT((Ввод!$F$12:$F$31&lt;&gt;"")*(Ввод!$F$12:$F$31&lt;=A2738)*(Ввод!$G$12:$G$31&gt;=A2738))&gt;0,1,0))</f>
        <v/>
      </c>
      <c r="G2738">
        <f>IF(A2738="","",IF(OR(B2738&lt;&gt;B2737,C2738&lt;&gt;C2737,E2738&lt;&gt;E2737),G2737+1,G2737))</f>
        <v/>
      </c>
    </row>
    <row r="2739">
      <c r="A2739" s="20">
        <f>IF(A2738="","",IF(A2738+1&gt;Ввод!$B$4,"",A2738+1))</f>
        <v/>
      </c>
      <c r="B2739">
        <f>IF(A2739="","",IFERROR(INDEX(Ввод!$B$12:$B$71,MATCH(A2739,Ввод!$D$12:$D$71,1)),""))</f>
        <v/>
      </c>
      <c r="C2739">
        <f>IF(A2739="","",DATE(YEAR(A2739),12,31)-DATE(YEAR(A2739),1,1)+1)</f>
        <v/>
      </c>
      <c r="D2739">
        <f>IF(A2739="","",SUMIFS(Акты!$D$5:$D$16,Акты!$E$5:$E$16,"&lt;="&amp;A2739)-SUMIFS(Оплаты!$B$6:$B$505,Оплаты!$A$6:$A$505,"&lt;"&amp;A2739,Оплаты!$D$6:$D$505,"&lt;&gt;"))</f>
        <v/>
      </c>
      <c r="E2739">
        <f>IF(A2739="","",IF(SUMPRODUCT((Ввод!$F$12:$F$31&lt;&gt;"")*(Ввод!$F$12:$F$31&lt;=A2739)*(Ввод!$G$12:$G$31&gt;=A2739))&gt;0,1,0))</f>
        <v/>
      </c>
      <c r="G2739">
        <f>IF(A2739="","",IF(OR(B2739&lt;&gt;B2738,C2739&lt;&gt;C2738,E2739&lt;&gt;E2738),G2738+1,G2738))</f>
        <v/>
      </c>
    </row>
    <row r="2740">
      <c r="A2740" s="20">
        <f>IF(A2739="","",IF(A2739+1&gt;Ввод!$B$4,"",A2739+1))</f>
        <v/>
      </c>
      <c r="B2740">
        <f>IF(A2740="","",IFERROR(INDEX(Ввод!$B$12:$B$71,MATCH(A2740,Ввод!$D$12:$D$71,1)),""))</f>
        <v/>
      </c>
      <c r="C2740">
        <f>IF(A2740="","",DATE(YEAR(A2740),12,31)-DATE(YEAR(A2740),1,1)+1)</f>
        <v/>
      </c>
      <c r="D2740">
        <f>IF(A2740="","",SUMIFS(Акты!$D$5:$D$16,Акты!$E$5:$E$16,"&lt;="&amp;A2740)-SUMIFS(Оплаты!$B$6:$B$505,Оплаты!$A$6:$A$505,"&lt;"&amp;A2740,Оплаты!$D$6:$D$505,"&lt;&gt;"))</f>
        <v/>
      </c>
      <c r="E2740">
        <f>IF(A2740="","",IF(SUMPRODUCT((Ввод!$F$12:$F$31&lt;&gt;"")*(Ввод!$F$12:$F$31&lt;=A2740)*(Ввод!$G$12:$G$31&gt;=A2740))&gt;0,1,0))</f>
        <v/>
      </c>
      <c r="G2740">
        <f>IF(A2740="","",IF(OR(B2740&lt;&gt;B2739,C2740&lt;&gt;C2739,E2740&lt;&gt;E2739),G2739+1,G2739))</f>
        <v/>
      </c>
    </row>
    <row r="2741">
      <c r="A2741" s="20">
        <f>IF(A2740="","",IF(A2740+1&gt;Ввод!$B$4,"",A2740+1))</f>
        <v/>
      </c>
      <c r="B2741">
        <f>IF(A2741="","",IFERROR(INDEX(Ввод!$B$12:$B$71,MATCH(A2741,Ввод!$D$12:$D$71,1)),""))</f>
        <v/>
      </c>
      <c r="C2741">
        <f>IF(A2741="","",DATE(YEAR(A2741),12,31)-DATE(YEAR(A2741),1,1)+1)</f>
        <v/>
      </c>
      <c r="D2741">
        <f>IF(A2741="","",SUMIFS(Акты!$D$5:$D$16,Акты!$E$5:$E$16,"&lt;="&amp;A2741)-SUMIFS(Оплаты!$B$6:$B$505,Оплаты!$A$6:$A$505,"&lt;"&amp;A2741,Оплаты!$D$6:$D$505,"&lt;&gt;"))</f>
        <v/>
      </c>
      <c r="E2741">
        <f>IF(A2741="","",IF(SUMPRODUCT((Ввод!$F$12:$F$31&lt;&gt;"")*(Ввод!$F$12:$F$31&lt;=A2741)*(Ввод!$G$12:$G$31&gt;=A2741))&gt;0,1,0))</f>
        <v/>
      </c>
      <c r="G2741">
        <f>IF(A2741="","",IF(OR(B2741&lt;&gt;B2740,C2741&lt;&gt;C2740,E2741&lt;&gt;E2740),G2740+1,G2740))</f>
        <v/>
      </c>
    </row>
    <row r="2742">
      <c r="A2742" s="20">
        <f>IF(A2741="","",IF(A2741+1&gt;Ввод!$B$4,"",A2741+1))</f>
        <v/>
      </c>
      <c r="B2742">
        <f>IF(A2742="","",IFERROR(INDEX(Ввод!$B$12:$B$71,MATCH(A2742,Ввод!$D$12:$D$71,1)),""))</f>
        <v/>
      </c>
      <c r="C2742">
        <f>IF(A2742="","",DATE(YEAR(A2742),12,31)-DATE(YEAR(A2742),1,1)+1)</f>
        <v/>
      </c>
      <c r="D2742">
        <f>IF(A2742="","",SUMIFS(Акты!$D$5:$D$16,Акты!$E$5:$E$16,"&lt;="&amp;A2742)-SUMIFS(Оплаты!$B$6:$B$505,Оплаты!$A$6:$A$505,"&lt;"&amp;A2742,Оплаты!$D$6:$D$505,"&lt;&gt;"))</f>
        <v/>
      </c>
      <c r="E2742">
        <f>IF(A2742="","",IF(SUMPRODUCT((Ввод!$F$12:$F$31&lt;&gt;"")*(Ввод!$F$12:$F$31&lt;=A2742)*(Ввод!$G$12:$G$31&gt;=A2742))&gt;0,1,0))</f>
        <v/>
      </c>
      <c r="G2742">
        <f>IF(A2742="","",IF(OR(B2742&lt;&gt;B2741,C2742&lt;&gt;C2741,E2742&lt;&gt;E2741),G2741+1,G2741))</f>
        <v/>
      </c>
    </row>
    <row r="2743">
      <c r="A2743" s="20">
        <f>IF(A2742="","",IF(A2742+1&gt;Ввод!$B$4,"",A2742+1))</f>
        <v/>
      </c>
      <c r="B2743">
        <f>IF(A2743="","",IFERROR(INDEX(Ввод!$B$12:$B$71,MATCH(A2743,Ввод!$D$12:$D$71,1)),""))</f>
        <v/>
      </c>
      <c r="C2743">
        <f>IF(A2743="","",DATE(YEAR(A2743),12,31)-DATE(YEAR(A2743),1,1)+1)</f>
        <v/>
      </c>
      <c r="D2743">
        <f>IF(A2743="","",SUMIFS(Акты!$D$5:$D$16,Акты!$E$5:$E$16,"&lt;="&amp;A2743)-SUMIFS(Оплаты!$B$6:$B$505,Оплаты!$A$6:$A$505,"&lt;"&amp;A2743,Оплаты!$D$6:$D$505,"&lt;&gt;"))</f>
        <v/>
      </c>
      <c r="E2743">
        <f>IF(A2743="","",IF(SUMPRODUCT((Ввод!$F$12:$F$31&lt;&gt;"")*(Ввод!$F$12:$F$31&lt;=A2743)*(Ввод!$G$12:$G$31&gt;=A2743))&gt;0,1,0))</f>
        <v/>
      </c>
      <c r="G2743">
        <f>IF(A2743="","",IF(OR(B2743&lt;&gt;B2742,C2743&lt;&gt;C2742,E2743&lt;&gt;E2742),G2742+1,G2742))</f>
        <v/>
      </c>
    </row>
    <row r="2744">
      <c r="A2744" s="20">
        <f>IF(A2743="","",IF(A2743+1&gt;Ввод!$B$4,"",A2743+1))</f>
        <v/>
      </c>
      <c r="B2744">
        <f>IF(A2744="","",IFERROR(INDEX(Ввод!$B$12:$B$71,MATCH(A2744,Ввод!$D$12:$D$71,1)),""))</f>
        <v/>
      </c>
      <c r="C2744">
        <f>IF(A2744="","",DATE(YEAR(A2744),12,31)-DATE(YEAR(A2744),1,1)+1)</f>
        <v/>
      </c>
      <c r="D2744">
        <f>IF(A2744="","",SUMIFS(Акты!$D$5:$D$16,Акты!$E$5:$E$16,"&lt;="&amp;A2744)-SUMIFS(Оплаты!$B$6:$B$505,Оплаты!$A$6:$A$505,"&lt;"&amp;A2744,Оплаты!$D$6:$D$505,"&lt;&gt;"))</f>
        <v/>
      </c>
      <c r="E2744">
        <f>IF(A2744="","",IF(SUMPRODUCT((Ввод!$F$12:$F$31&lt;&gt;"")*(Ввод!$F$12:$F$31&lt;=A2744)*(Ввод!$G$12:$G$31&gt;=A2744))&gt;0,1,0))</f>
        <v/>
      </c>
      <c r="G2744">
        <f>IF(A2744="","",IF(OR(B2744&lt;&gt;B2743,C2744&lt;&gt;C2743,E2744&lt;&gt;E2743),G2743+1,G2743))</f>
        <v/>
      </c>
    </row>
    <row r="2745">
      <c r="A2745" s="20">
        <f>IF(A2744="","",IF(A2744+1&gt;Ввод!$B$4,"",A2744+1))</f>
        <v/>
      </c>
      <c r="B2745">
        <f>IF(A2745="","",IFERROR(INDEX(Ввод!$B$12:$B$71,MATCH(A2745,Ввод!$D$12:$D$71,1)),""))</f>
        <v/>
      </c>
      <c r="C2745">
        <f>IF(A2745="","",DATE(YEAR(A2745),12,31)-DATE(YEAR(A2745),1,1)+1)</f>
        <v/>
      </c>
      <c r="D2745">
        <f>IF(A2745="","",SUMIFS(Акты!$D$5:$D$16,Акты!$E$5:$E$16,"&lt;="&amp;A2745)-SUMIFS(Оплаты!$B$6:$B$505,Оплаты!$A$6:$A$505,"&lt;"&amp;A2745,Оплаты!$D$6:$D$505,"&lt;&gt;"))</f>
        <v/>
      </c>
      <c r="E2745">
        <f>IF(A2745="","",IF(SUMPRODUCT((Ввод!$F$12:$F$31&lt;&gt;"")*(Ввод!$F$12:$F$31&lt;=A2745)*(Ввод!$G$12:$G$31&gt;=A2745))&gt;0,1,0))</f>
        <v/>
      </c>
      <c r="G2745">
        <f>IF(A2745="","",IF(OR(B2745&lt;&gt;B2744,C2745&lt;&gt;C2744,E2745&lt;&gt;E2744),G2744+1,G2744))</f>
        <v/>
      </c>
    </row>
    <row r="2746">
      <c r="A2746" s="20">
        <f>IF(A2745="","",IF(A2745+1&gt;Ввод!$B$4,"",A2745+1))</f>
        <v/>
      </c>
      <c r="B2746">
        <f>IF(A2746="","",IFERROR(INDEX(Ввод!$B$12:$B$71,MATCH(A2746,Ввод!$D$12:$D$71,1)),""))</f>
        <v/>
      </c>
      <c r="C2746">
        <f>IF(A2746="","",DATE(YEAR(A2746),12,31)-DATE(YEAR(A2746),1,1)+1)</f>
        <v/>
      </c>
      <c r="D2746">
        <f>IF(A2746="","",SUMIFS(Акты!$D$5:$D$16,Акты!$E$5:$E$16,"&lt;="&amp;A2746)-SUMIFS(Оплаты!$B$6:$B$505,Оплаты!$A$6:$A$505,"&lt;"&amp;A2746,Оплаты!$D$6:$D$505,"&lt;&gt;"))</f>
        <v/>
      </c>
      <c r="E2746">
        <f>IF(A2746="","",IF(SUMPRODUCT((Ввод!$F$12:$F$31&lt;&gt;"")*(Ввод!$F$12:$F$31&lt;=A2746)*(Ввод!$G$12:$G$31&gt;=A2746))&gt;0,1,0))</f>
        <v/>
      </c>
      <c r="G2746">
        <f>IF(A2746="","",IF(OR(B2746&lt;&gt;B2745,C2746&lt;&gt;C2745,E2746&lt;&gt;E2745),G2745+1,G2745))</f>
        <v/>
      </c>
    </row>
    <row r="2747">
      <c r="A2747" s="20">
        <f>IF(A2746="","",IF(A2746+1&gt;Ввод!$B$4,"",A2746+1))</f>
        <v/>
      </c>
      <c r="B2747">
        <f>IF(A2747="","",IFERROR(INDEX(Ввод!$B$12:$B$71,MATCH(A2747,Ввод!$D$12:$D$71,1)),""))</f>
        <v/>
      </c>
      <c r="C2747">
        <f>IF(A2747="","",DATE(YEAR(A2747),12,31)-DATE(YEAR(A2747),1,1)+1)</f>
        <v/>
      </c>
      <c r="D2747">
        <f>IF(A2747="","",SUMIFS(Акты!$D$5:$D$16,Акты!$E$5:$E$16,"&lt;="&amp;A2747)-SUMIFS(Оплаты!$B$6:$B$505,Оплаты!$A$6:$A$505,"&lt;"&amp;A2747,Оплаты!$D$6:$D$505,"&lt;&gt;"))</f>
        <v/>
      </c>
      <c r="E2747">
        <f>IF(A2747="","",IF(SUMPRODUCT((Ввод!$F$12:$F$31&lt;&gt;"")*(Ввод!$F$12:$F$31&lt;=A2747)*(Ввод!$G$12:$G$31&gt;=A2747))&gt;0,1,0))</f>
        <v/>
      </c>
      <c r="G2747">
        <f>IF(A2747="","",IF(OR(B2747&lt;&gt;B2746,C2747&lt;&gt;C2746,E2747&lt;&gt;E2746),G2746+1,G2746))</f>
        <v/>
      </c>
    </row>
    <row r="2748">
      <c r="A2748" s="20">
        <f>IF(A2747="","",IF(A2747+1&gt;Ввод!$B$4,"",A2747+1))</f>
        <v/>
      </c>
      <c r="B2748">
        <f>IF(A2748="","",IFERROR(INDEX(Ввод!$B$12:$B$71,MATCH(A2748,Ввод!$D$12:$D$71,1)),""))</f>
        <v/>
      </c>
      <c r="C2748">
        <f>IF(A2748="","",DATE(YEAR(A2748),12,31)-DATE(YEAR(A2748),1,1)+1)</f>
        <v/>
      </c>
      <c r="D2748">
        <f>IF(A2748="","",SUMIFS(Акты!$D$5:$D$16,Акты!$E$5:$E$16,"&lt;="&amp;A2748)-SUMIFS(Оплаты!$B$6:$B$505,Оплаты!$A$6:$A$505,"&lt;"&amp;A2748,Оплаты!$D$6:$D$505,"&lt;&gt;"))</f>
        <v/>
      </c>
      <c r="E2748">
        <f>IF(A2748="","",IF(SUMPRODUCT((Ввод!$F$12:$F$31&lt;&gt;"")*(Ввод!$F$12:$F$31&lt;=A2748)*(Ввод!$G$12:$G$31&gt;=A2748))&gt;0,1,0))</f>
        <v/>
      </c>
      <c r="G2748">
        <f>IF(A2748="","",IF(OR(B2748&lt;&gt;B2747,C2748&lt;&gt;C2747,E2748&lt;&gt;E2747),G2747+1,G2747))</f>
        <v/>
      </c>
    </row>
    <row r="2749">
      <c r="A2749" s="20">
        <f>IF(A2748="","",IF(A2748+1&gt;Ввод!$B$4,"",A2748+1))</f>
        <v/>
      </c>
      <c r="B2749">
        <f>IF(A2749="","",IFERROR(INDEX(Ввод!$B$12:$B$71,MATCH(A2749,Ввод!$D$12:$D$71,1)),""))</f>
        <v/>
      </c>
      <c r="C2749">
        <f>IF(A2749="","",DATE(YEAR(A2749),12,31)-DATE(YEAR(A2749),1,1)+1)</f>
        <v/>
      </c>
      <c r="D2749">
        <f>IF(A2749="","",SUMIFS(Акты!$D$5:$D$16,Акты!$E$5:$E$16,"&lt;="&amp;A2749)-SUMIFS(Оплаты!$B$6:$B$505,Оплаты!$A$6:$A$505,"&lt;"&amp;A2749,Оплаты!$D$6:$D$505,"&lt;&gt;"))</f>
        <v/>
      </c>
      <c r="E2749">
        <f>IF(A2749="","",IF(SUMPRODUCT((Ввод!$F$12:$F$31&lt;&gt;"")*(Ввод!$F$12:$F$31&lt;=A2749)*(Ввод!$G$12:$G$31&gt;=A2749))&gt;0,1,0))</f>
        <v/>
      </c>
      <c r="G2749">
        <f>IF(A2749="","",IF(OR(B2749&lt;&gt;B2748,C2749&lt;&gt;C2748,E2749&lt;&gt;E2748),G2748+1,G2748))</f>
        <v/>
      </c>
    </row>
    <row r="2750">
      <c r="A2750" s="20">
        <f>IF(A2749="","",IF(A2749+1&gt;Ввод!$B$4,"",A2749+1))</f>
        <v/>
      </c>
      <c r="B2750">
        <f>IF(A2750="","",IFERROR(INDEX(Ввод!$B$12:$B$71,MATCH(A2750,Ввод!$D$12:$D$71,1)),""))</f>
        <v/>
      </c>
      <c r="C2750">
        <f>IF(A2750="","",DATE(YEAR(A2750),12,31)-DATE(YEAR(A2750),1,1)+1)</f>
        <v/>
      </c>
      <c r="D2750">
        <f>IF(A2750="","",SUMIFS(Акты!$D$5:$D$16,Акты!$E$5:$E$16,"&lt;="&amp;A2750)-SUMIFS(Оплаты!$B$6:$B$505,Оплаты!$A$6:$A$505,"&lt;"&amp;A2750,Оплаты!$D$6:$D$505,"&lt;&gt;"))</f>
        <v/>
      </c>
      <c r="E2750">
        <f>IF(A2750="","",IF(SUMPRODUCT((Ввод!$F$12:$F$31&lt;&gt;"")*(Ввод!$F$12:$F$31&lt;=A2750)*(Ввод!$G$12:$G$31&gt;=A2750))&gt;0,1,0))</f>
        <v/>
      </c>
      <c r="G2750">
        <f>IF(A2750="","",IF(OR(B2750&lt;&gt;B2749,C2750&lt;&gt;C2749,E2750&lt;&gt;E2749),G2749+1,G2749))</f>
        <v/>
      </c>
    </row>
    <row r="2751">
      <c r="A2751" s="20">
        <f>IF(A2750="","",IF(A2750+1&gt;Ввод!$B$4,"",A2750+1))</f>
        <v/>
      </c>
      <c r="B2751">
        <f>IF(A2751="","",IFERROR(INDEX(Ввод!$B$12:$B$71,MATCH(A2751,Ввод!$D$12:$D$71,1)),""))</f>
        <v/>
      </c>
      <c r="C2751">
        <f>IF(A2751="","",DATE(YEAR(A2751),12,31)-DATE(YEAR(A2751),1,1)+1)</f>
        <v/>
      </c>
      <c r="D2751">
        <f>IF(A2751="","",SUMIFS(Акты!$D$5:$D$16,Акты!$E$5:$E$16,"&lt;="&amp;A2751)-SUMIFS(Оплаты!$B$6:$B$505,Оплаты!$A$6:$A$505,"&lt;"&amp;A2751,Оплаты!$D$6:$D$505,"&lt;&gt;"))</f>
        <v/>
      </c>
      <c r="E2751">
        <f>IF(A2751="","",IF(SUMPRODUCT((Ввод!$F$12:$F$31&lt;&gt;"")*(Ввод!$F$12:$F$31&lt;=A2751)*(Ввод!$G$12:$G$31&gt;=A2751))&gt;0,1,0))</f>
        <v/>
      </c>
      <c r="G2751">
        <f>IF(A2751="","",IF(OR(B2751&lt;&gt;B2750,C2751&lt;&gt;C2750,E2751&lt;&gt;E2750),G2750+1,G2750))</f>
        <v/>
      </c>
    </row>
    <row r="2752">
      <c r="A2752" s="20">
        <f>IF(A2751="","",IF(A2751+1&gt;Ввод!$B$4,"",A2751+1))</f>
        <v/>
      </c>
      <c r="B2752">
        <f>IF(A2752="","",IFERROR(INDEX(Ввод!$B$12:$B$71,MATCH(A2752,Ввод!$D$12:$D$71,1)),""))</f>
        <v/>
      </c>
      <c r="C2752">
        <f>IF(A2752="","",DATE(YEAR(A2752),12,31)-DATE(YEAR(A2752),1,1)+1)</f>
        <v/>
      </c>
      <c r="D2752">
        <f>IF(A2752="","",SUMIFS(Акты!$D$5:$D$16,Акты!$E$5:$E$16,"&lt;="&amp;A2752)-SUMIFS(Оплаты!$B$6:$B$505,Оплаты!$A$6:$A$505,"&lt;"&amp;A2752,Оплаты!$D$6:$D$505,"&lt;&gt;"))</f>
        <v/>
      </c>
      <c r="E2752">
        <f>IF(A2752="","",IF(SUMPRODUCT((Ввод!$F$12:$F$31&lt;&gt;"")*(Ввод!$F$12:$F$31&lt;=A2752)*(Ввод!$G$12:$G$31&gt;=A2752))&gt;0,1,0))</f>
        <v/>
      </c>
      <c r="G2752">
        <f>IF(A2752="","",IF(OR(B2752&lt;&gt;B2751,C2752&lt;&gt;C2751,E2752&lt;&gt;E2751),G2751+1,G2751))</f>
        <v/>
      </c>
    </row>
    <row r="2753">
      <c r="A2753" s="20">
        <f>IF(A2752="","",IF(A2752+1&gt;Ввод!$B$4,"",A2752+1))</f>
        <v/>
      </c>
      <c r="B2753">
        <f>IF(A2753="","",IFERROR(INDEX(Ввод!$B$12:$B$71,MATCH(A2753,Ввод!$D$12:$D$71,1)),""))</f>
        <v/>
      </c>
      <c r="C2753">
        <f>IF(A2753="","",DATE(YEAR(A2753),12,31)-DATE(YEAR(A2753),1,1)+1)</f>
        <v/>
      </c>
      <c r="D2753">
        <f>IF(A2753="","",SUMIFS(Акты!$D$5:$D$16,Акты!$E$5:$E$16,"&lt;="&amp;A2753)-SUMIFS(Оплаты!$B$6:$B$505,Оплаты!$A$6:$A$505,"&lt;"&amp;A2753,Оплаты!$D$6:$D$505,"&lt;&gt;"))</f>
        <v/>
      </c>
      <c r="E2753">
        <f>IF(A2753="","",IF(SUMPRODUCT((Ввод!$F$12:$F$31&lt;&gt;"")*(Ввод!$F$12:$F$31&lt;=A2753)*(Ввод!$G$12:$G$31&gt;=A2753))&gt;0,1,0))</f>
        <v/>
      </c>
      <c r="G2753">
        <f>IF(A2753="","",IF(OR(B2753&lt;&gt;B2752,C2753&lt;&gt;C2752,E2753&lt;&gt;E2752),G2752+1,G2752))</f>
        <v/>
      </c>
    </row>
    <row r="2754">
      <c r="A2754" s="20">
        <f>IF(A2753="","",IF(A2753+1&gt;Ввод!$B$4,"",A2753+1))</f>
        <v/>
      </c>
      <c r="B2754">
        <f>IF(A2754="","",IFERROR(INDEX(Ввод!$B$12:$B$71,MATCH(A2754,Ввод!$D$12:$D$71,1)),""))</f>
        <v/>
      </c>
      <c r="C2754">
        <f>IF(A2754="","",DATE(YEAR(A2754),12,31)-DATE(YEAR(A2754),1,1)+1)</f>
        <v/>
      </c>
      <c r="D2754">
        <f>IF(A2754="","",SUMIFS(Акты!$D$5:$D$16,Акты!$E$5:$E$16,"&lt;="&amp;A2754)-SUMIFS(Оплаты!$B$6:$B$505,Оплаты!$A$6:$A$505,"&lt;"&amp;A2754,Оплаты!$D$6:$D$505,"&lt;&gt;"))</f>
        <v/>
      </c>
      <c r="E2754">
        <f>IF(A2754="","",IF(SUMPRODUCT((Ввод!$F$12:$F$31&lt;&gt;"")*(Ввод!$F$12:$F$31&lt;=A2754)*(Ввод!$G$12:$G$31&gt;=A2754))&gt;0,1,0))</f>
        <v/>
      </c>
      <c r="G2754">
        <f>IF(A2754="","",IF(OR(B2754&lt;&gt;B2753,C2754&lt;&gt;C2753,E2754&lt;&gt;E2753),G2753+1,G2753))</f>
        <v/>
      </c>
    </row>
    <row r="2755">
      <c r="A2755" s="20">
        <f>IF(A2754="","",IF(A2754+1&gt;Ввод!$B$4,"",A2754+1))</f>
        <v/>
      </c>
      <c r="B2755">
        <f>IF(A2755="","",IFERROR(INDEX(Ввод!$B$12:$B$71,MATCH(A2755,Ввод!$D$12:$D$71,1)),""))</f>
        <v/>
      </c>
      <c r="C2755">
        <f>IF(A2755="","",DATE(YEAR(A2755),12,31)-DATE(YEAR(A2755),1,1)+1)</f>
        <v/>
      </c>
      <c r="D2755">
        <f>IF(A2755="","",SUMIFS(Акты!$D$5:$D$16,Акты!$E$5:$E$16,"&lt;="&amp;A2755)-SUMIFS(Оплаты!$B$6:$B$505,Оплаты!$A$6:$A$505,"&lt;"&amp;A2755,Оплаты!$D$6:$D$505,"&lt;&gt;"))</f>
        <v/>
      </c>
      <c r="E2755">
        <f>IF(A2755="","",IF(SUMPRODUCT((Ввод!$F$12:$F$31&lt;&gt;"")*(Ввод!$F$12:$F$31&lt;=A2755)*(Ввод!$G$12:$G$31&gt;=A2755))&gt;0,1,0))</f>
        <v/>
      </c>
      <c r="G2755">
        <f>IF(A2755="","",IF(OR(B2755&lt;&gt;B2754,C2755&lt;&gt;C2754,E2755&lt;&gt;E2754),G2754+1,G2754))</f>
        <v/>
      </c>
    </row>
    <row r="2756">
      <c r="A2756" s="20">
        <f>IF(A2755="","",IF(A2755+1&gt;Ввод!$B$4,"",A2755+1))</f>
        <v/>
      </c>
      <c r="B2756">
        <f>IF(A2756="","",IFERROR(INDEX(Ввод!$B$12:$B$71,MATCH(A2756,Ввод!$D$12:$D$71,1)),""))</f>
        <v/>
      </c>
      <c r="C2756">
        <f>IF(A2756="","",DATE(YEAR(A2756),12,31)-DATE(YEAR(A2756),1,1)+1)</f>
        <v/>
      </c>
      <c r="D2756">
        <f>IF(A2756="","",SUMIFS(Акты!$D$5:$D$16,Акты!$E$5:$E$16,"&lt;="&amp;A2756)-SUMIFS(Оплаты!$B$6:$B$505,Оплаты!$A$6:$A$505,"&lt;"&amp;A2756,Оплаты!$D$6:$D$505,"&lt;&gt;"))</f>
        <v/>
      </c>
      <c r="E2756">
        <f>IF(A2756="","",IF(SUMPRODUCT((Ввод!$F$12:$F$31&lt;&gt;"")*(Ввод!$F$12:$F$31&lt;=A2756)*(Ввод!$G$12:$G$31&gt;=A2756))&gt;0,1,0))</f>
        <v/>
      </c>
      <c r="G2756">
        <f>IF(A2756="","",IF(OR(B2756&lt;&gt;B2755,C2756&lt;&gt;C2755,E2756&lt;&gt;E2755),G2755+1,G2755))</f>
        <v/>
      </c>
    </row>
    <row r="2757">
      <c r="A2757" s="20">
        <f>IF(A2756="","",IF(A2756+1&gt;Ввод!$B$4,"",A2756+1))</f>
        <v/>
      </c>
      <c r="B2757">
        <f>IF(A2757="","",IFERROR(INDEX(Ввод!$B$12:$B$71,MATCH(A2757,Ввод!$D$12:$D$71,1)),""))</f>
        <v/>
      </c>
      <c r="C2757">
        <f>IF(A2757="","",DATE(YEAR(A2757),12,31)-DATE(YEAR(A2757),1,1)+1)</f>
        <v/>
      </c>
      <c r="D2757">
        <f>IF(A2757="","",SUMIFS(Акты!$D$5:$D$16,Акты!$E$5:$E$16,"&lt;="&amp;A2757)-SUMIFS(Оплаты!$B$6:$B$505,Оплаты!$A$6:$A$505,"&lt;"&amp;A2757,Оплаты!$D$6:$D$505,"&lt;&gt;"))</f>
        <v/>
      </c>
      <c r="E2757">
        <f>IF(A2757="","",IF(SUMPRODUCT((Ввод!$F$12:$F$31&lt;&gt;"")*(Ввод!$F$12:$F$31&lt;=A2757)*(Ввод!$G$12:$G$31&gt;=A2757))&gt;0,1,0))</f>
        <v/>
      </c>
      <c r="G2757">
        <f>IF(A2757="","",IF(OR(B2757&lt;&gt;B2756,C2757&lt;&gt;C2756,E2757&lt;&gt;E2756),G2756+1,G2756))</f>
        <v/>
      </c>
    </row>
    <row r="2758">
      <c r="A2758" s="20">
        <f>IF(A2757="","",IF(A2757+1&gt;Ввод!$B$4,"",A2757+1))</f>
        <v/>
      </c>
      <c r="B2758">
        <f>IF(A2758="","",IFERROR(INDEX(Ввод!$B$12:$B$71,MATCH(A2758,Ввод!$D$12:$D$71,1)),""))</f>
        <v/>
      </c>
      <c r="C2758">
        <f>IF(A2758="","",DATE(YEAR(A2758),12,31)-DATE(YEAR(A2758),1,1)+1)</f>
        <v/>
      </c>
      <c r="D2758">
        <f>IF(A2758="","",SUMIFS(Акты!$D$5:$D$16,Акты!$E$5:$E$16,"&lt;="&amp;A2758)-SUMIFS(Оплаты!$B$6:$B$505,Оплаты!$A$6:$A$505,"&lt;"&amp;A2758,Оплаты!$D$6:$D$505,"&lt;&gt;"))</f>
        <v/>
      </c>
      <c r="E2758">
        <f>IF(A2758="","",IF(SUMPRODUCT((Ввод!$F$12:$F$31&lt;&gt;"")*(Ввод!$F$12:$F$31&lt;=A2758)*(Ввод!$G$12:$G$31&gt;=A2758))&gt;0,1,0))</f>
        <v/>
      </c>
      <c r="G2758">
        <f>IF(A2758="","",IF(OR(B2758&lt;&gt;B2757,C2758&lt;&gt;C2757,E2758&lt;&gt;E2757),G2757+1,G2757))</f>
        <v/>
      </c>
    </row>
    <row r="2759">
      <c r="A2759" s="20">
        <f>IF(A2758="","",IF(A2758+1&gt;Ввод!$B$4,"",A2758+1))</f>
        <v/>
      </c>
      <c r="B2759">
        <f>IF(A2759="","",IFERROR(INDEX(Ввод!$B$12:$B$71,MATCH(A2759,Ввод!$D$12:$D$71,1)),""))</f>
        <v/>
      </c>
      <c r="C2759">
        <f>IF(A2759="","",DATE(YEAR(A2759),12,31)-DATE(YEAR(A2759),1,1)+1)</f>
        <v/>
      </c>
      <c r="D2759">
        <f>IF(A2759="","",SUMIFS(Акты!$D$5:$D$16,Акты!$E$5:$E$16,"&lt;="&amp;A2759)-SUMIFS(Оплаты!$B$6:$B$505,Оплаты!$A$6:$A$505,"&lt;"&amp;A2759,Оплаты!$D$6:$D$505,"&lt;&gt;"))</f>
        <v/>
      </c>
      <c r="E2759">
        <f>IF(A2759="","",IF(SUMPRODUCT((Ввод!$F$12:$F$31&lt;&gt;"")*(Ввод!$F$12:$F$31&lt;=A2759)*(Ввод!$G$12:$G$31&gt;=A2759))&gt;0,1,0))</f>
        <v/>
      </c>
      <c r="G2759">
        <f>IF(A2759="","",IF(OR(B2759&lt;&gt;B2758,C2759&lt;&gt;C2758,E2759&lt;&gt;E2758),G2758+1,G2758))</f>
        <v/>
      </c>
    </row>
    <row r="2760">
      <c r="A2760" s="20">
        <f>IF(A2759="","",IF(A2759+1&gt;Ввод!$B$4,"",A2759+1))</f>
        <v/>
      </c>
      <c r="B2760">
        <f>IF(A2760="","",IFERROR(INDEX(Ввод!$B$12:$B$71,MATCH(A2760,Ввод!$D$12:$D$71,1)),""))</f>
        <v/>
      </c>
      <c r="C2760">
        <f>IF(A2760="","",DATE(YEAR(A2760),12,31)-DATE(YEAR(A2760),1,1)+1)</f>
        <v/>
      </c>
      <c r="D2760">
        <f>IF(A2760="","",SUMIFS(Акты!$D$5:$D$16,Акты!$E$5:$E$16,"&lt;="&amp;A2760)-SUMIFS(Оплаты!$B$6:$B$505,Оплаты!$A$6:$A$505,"&lt;"&amp;A2760,Оплаты!$D$6:$D$505,"&lt;&gt;"))</f>
        <v/>
      </c>
      <c r="E2760">
        <f>IF(A2760="","",IF(SUMPRODUCT((Ввод!$F$12:$F$31&lt;&gt;"")*(Ввод!$F$12:$F$31&lt;=A2760)*(Ввод!$G$12:$G$31&gt;=A2760))&gt;0,1,0))</f>
        <v/>
      </c>
      <c r="G2760">
        <f>IF(A2760="","",IF(OR(B2760&lt;&gt;B2759,C2760&lt;&gt;C2759,E2760&lt;&gt;E2759),G2759+1,G2759))</f>
        <v/>
      </c>
    </row>
    <row r="2761">
      <c r="A2761" s="20">
        <f>IF(A2760="","",IF(A2760+1&gt;Ввод!$B$4,"",A2760+1))</f>
        <v/>
      </c>
      <c r="B2761">
        <f>IF(A2761="","",IFERROR(INDEX(Ввод!$B$12:$B$71,MATCH(A2761,Ввод!$D$12:$D$71,1)),""))</f>
        <v/>
      </c>
      <c r="C2761">
        <f>IF(A2761="","",DATE(YEAR(A2761),12,31)-DATE(YEAR(A2761),1,1)+1)</f>
        <v/>
      </c>
      <c r="D2761">
        <f>IF(A2761="","",SUMIFS(Акты!$D$5:$D$16,Акты!$E$5:$E$16,"&lt;="&amp;A2761)-SUMIFS(Оплаты!$B$6:$B$505,Оплаты!$A$6:$A$505,"&lt;"&amp;A2761,Оплаты!$D$6:$D$505,"&lt;&gt;"))</f>
        <v/>
      </c>
      <c r="E2761">
        <f>IF(A2761="","",IF(SUMPRODUCT((Ввод!$F$12:$F$31&lt;&gt;"")*(Ввод!$F$12:$F$31&lt;=A2761)*(Ввод!$G$12:$G$31&gt;=A2761))&gt;0,1,0))</f>
        <v/>
      </c>
      <c r="G2761">
        <f>IF(A2761="","",IF(OR(B2761&lt;&gt;B2760,C2761&lt;&gt;C2760,E2761&lt;&gt;E2760),G2760+1,G2760))</f>
        <v/>
      </c>
    </row>
    <row r="2762">
      <c r="A2762" s="20">
        <f>IF(A2761="","",IF(A2761+1&gt;Ввод!$B$4,"",A2761+1))</f>
        <v/>
      </c>
      <c r="B2762">
        <f>IF(A2762="","",IFERROR(INDEX(Ввод!$B$12:$B$71,MATCH(A2762,Ввод!$D$12:$D$71,1)),""))</f>
        <v/>
      </c>
      <c r="C2762">
        <f>IF(A2762="","",DATE(YEAR(A2762),12,31)-DATE(YEAR(A2762),1,1)+1)</f>
        <v/>
      </c>
      <c r="D2762">
        <f>IF(A2762="","",SUMIFS(Акты!$D$5:$D$16,Акты!$E$5:$E$16,"&lt;="&amp;A2762)-SUMIFS(Оплаты!$B$6:$B$505,Оплаты!$A$6:$A$505,"&lt;"&amp;A2762,Оплаты!$D$6:$D$505,"&lt;&gt;"))</f>
        <v/>
      </c>
      <c r="E2762">
        <f>IF(A2762="","",IF(SUMPRODUCT((Ввод!$F$12:$F$31&lt;&gt;"")*(Ввод!$F$12:$F$31&lt;=A2762)*(Ввод!$G$12:$G$31&gt;=A2762))&gt;0,1,0))</f>
        <v/>
      </c>
      <c r="G2762">
        <f>IF(A2762="","",IF(OR(B2762&lt;&gt;B2761,C2762&lt;&gt;C2761,E2762&lt;&gt;E2761),G2761+1,G2761))</f>
        <v/>
      </c>
    </row>
    <row r="2763">
      <c r="A2763" s="20">
        <f>IF(A2762="","",IF(A2762+1&gt;Ввод!$B$4,"",A2762+1))</f>
        <v/>
      </c>
      <c r="B2763">
        <f>IF(A2763="","",IFERROR(INDEX(Ввод!$B$12:$B$71,MATCH(A2763,Ввод!$D$12:$D$71,1)),""))</f>
        <v/>
      </c>
      <c r="C2763">
        <f>IF(A2763="","",DATE(YEAR(A2763),12,31)-DATE(YEAR(A2763),1,1)+1)</f>
        <v/>
      </c>
      <c r="D2763">
        <f>IF(A2763="","",SUMIFS(Акты!$D$5:$D$16,Акты!$E$5:$E$16,"&lt;="&amp;A2763)-SUMIFS(Оплаты!$B$6:$B$505,Оплаты!$A$6:$A$505,"&lt;"&amp;A2763,Оплаты!$D$6:$D$505,"&lt;&gt;"))</f>
        <v/>
      </c>
      <c r="E2763">
        <f>IF(A2763="","",IF(SUMPRODUCT((Ввод!$F$12:$F$31&lt;&gt;"")*(Ввод!$F$12:$F$31&lt;=A2763)*(Ввод!$G$12:$G$31&gt;=A2763))&gt;0,1,0))</f>
        <v/>
      </c>
      <c r="G2763">
        <f>IF(A2763="","",IF(OR(B2763&lt;&gt;B2762,C2763&lt;&gt;C2762,E2763&lt;&gt;E2762),G2762+1,G2762))</f>
        <v/>
      </c>
    </row>
    <row r="2764">
      <c r="A2764" s="20">
        <f>IF(A2763="","",IF(A2763+1&gt;Ввод!$B$4,"",A2763+1))</f>
        <v/>
      </c>
      <c r="B2764">
        <f>IF(A2764="","",IFERROR(INDEX(Ввод!$B$12:$B$71,MATCH(A2764,Ввод!$D$12:$D$71,1)),""))</f>
        <v/>
      </c>
      <c r="C2764">
        <f>IF(A2764="","",DATE(YEAR(A2764),12,31)-DATE(YEAR(A2764),1,1)+1)</f>
        <v/>
      </c>
      <c r="D2764">
        <f>IF(A2764="","",SUMIFS(Акты!$D$5:$D$16,Акты!$E$5:$E$16,"&lt;="&amp;A2764)-SUMIFS(Оплаты!$B$6:$B$505,Оплаты!$A$6:$A$505,"&lt;"&amp;A2764,Оплаты!$D$6:$D$505,"&lt;&gt;"))</f>
        <v/>
      </c>
      <c r="E2764">
        <f>IF(A2764="","",IF(SUMPRODUCT((Ввод!$F$12:$F$31&lt;&gt;"")*(Ввод!$F$12:$F$31&lt;=A2764)*(Ввод!$G$12:$G$31&gt;=A2764))&gt;0,1,0))</f>
        <v/>
      </c>
      <c r="G2764">
        <f>IF(A2764="","",IF(OR(B2764&lt;&gt;B2763,C2764&lt;&gt;C2763,E2764&lt;&gt;E2763),G2763+1,G2763))</f>
        <v/>
      </c>
    </row>
    <row r="2765">
      <c r="A2765" s="20">
        <f>IF(A2764="","",IF(A2764+1&gt;Ввод!$B$4,"",A2764+1))</f>
        <v/>
      </c>
      <c r="B2765">
        <f>IF(A2765="","",IFERROR(INDEX(Ввод!$B$12:$B$71,MATCH(A2765,Ввод!$D$12:$D$71,1)),""))</f>
        <v/>
      </c>
      <c r="C2765">
        <f>IF(A2765="","",DATE(YEAR(A2765),12,31)-DATE(YEAR(A2765),1,1)+1)</f>
        <v/>
      </c>
      <c r="D2765">
        <f>IF(A2765="","",SUMIFS(Акты!$D$5:$D$16,Акты!$E$5:$E$16,"&lt;="&amp;A2765)-SUMIFS(Оплаты!$B$6:$B$505,Оплаты!$A$6:$A$505,"&lt;"&amp;A2765,Оплаты!$D$6:$D$505,"&lt;&gt;"))</f>
        <v/>
      </c>
      <c r="E2765">
        <f>IF(A2765="","",IF(SUMPRODUCT((Ввод!$F$12:$F$31&lt;&gt;"")*(Ввод!$F$12:$F$31&lt;=A2765)*(Ввод!$G$12:$G$31&gt;=A2765))&gt;0,1,0))</f>
        <v/>
      </c>
      <c r="G2765">
        <f>IF(A2765="","",IF(OR(B2765&lt;&gt;B2764,C2765&lt;&gt;C2764,E2765&lt;&gt;E2764),G2764+1,G2764))</f>
        <v/>
      </c>
    </row>
    <row r="2766">
      <c r="A2766" s="20">
        <f>IF(A2765="","",IF(A2765+1&gt;Ввод!$B$4,"",A2765+1))</f>
        <v/>
      </c>
      <c r="B2766">
        <f>IF(A2766="","",IFERROR(INDEX(Ввод!$B$12:$B$71,MATCH(A2766,Ввод!$D$12:$D$71,1)),""))</f>
        <v/>
      </c>
      <c r="C2766">
        <f>IF(A2766="","",DATE(YEAR(A2766),12,31)-DATE(YEAR(A2766),1,1)+1)</f>
        <v/>
      </c>
      <c r="D2766">
        <f>IF(A2766="","",SUMIFS(Акты!$D$5:$D$16,Акты!$E$5:$E$16,"&lt;="&amp;A2766)-SUMIFS(Оплаты!$B$6:$B$505,Оплаты!$A$6:$A$505,"&lt;"&amp;A2766,Оплаты!$D$6:$D$505,"&lt;&gt;"))</f>
        <v/>
      </c>
      <c r="E2766">
        <f>IF(A2766="","",IF(SUMPRODUCT((Ввод!$F$12:$F$31&lt;&gt;"")*(Ввод!$F$12:$F$31&lt;=A2766)*(Ввод!$G$12:$G$31&gt;=A2766))&gt;0,1,0))</f>
        <v/>
      </c>
      <c r="G2766">
        <f>IF(A2766="","",IF(OR(B2766&lt;&gt;B2765,C2766&lt;&gt;C2765,E2766&lt;&gt;E2765),G2765+1,G2765))</f>
        <v/>
      </c>
    </row>
    <row r="2767">
      <c r="A2767" s="20">
        <f>IF(A2766="","",IF(A2766+1&gt;Ввод!$B$4,"",A2766+1))</f>
        <v/>
      </c>
      <c r="B2767">
        <f>IF(A2767="","",IFERROR(INDEX(Ввод!$B$12:$B$71,MATCH(A2767,Ввод!$D$12:$D$71,1)),""))</f>
        <v/>
      </c>
      <c r="C2767">
        <f>IF(A2767="","",DATE(YEAR(A2767),12,31)-DATE(YEAR(A2767),1,1)+1)</f>
        <v/>
      </c>
      <c r="D2767">
        <f>IF(A2767="","",SUMIFS(Акты!$D$5:$D$16,Акты!$E$5:$E$16,"&lt;="&amp;A2767)-SUMIFS(Оплаты!$B$6:$B$505,Оплаты!$A$6:$A$505,"&lt;"&amp;A2767,Оплаты!$D$6:$D$505,"&lt;&gt;"))</f>
        <v/>
      </c>
      <c r="E2767">
        <f>IF(A2767="","",IF(SUMPRODUCT((Ввод!$F$12:$F$31&lt;&gt;"")*(Ввод!$F$12:$F$31&lt;=A2767)*(Ввод!$G$12:$G$31&gt;=A2767))&gt;0,1,0))</f>
        <v/>
      </c>
      <c r="G2767">
        <f>IF(A2767="","",IF(OR(B2767&lt;&gt;B2766,C2767&lt;&gt;C2766,E2767&lt;&gt;E2766),G2766+1,G2766))</f>
        <v/>
      </c>
    </row>
    <row r="2768">
      <c r="A2768" s="20">
        <f>IF(A2767="","",IF(A2767+1&gt;Ввод!$B$4,"",A2767+1))</f>
        <v/>
      </c>
      <c r="B2768">
        <f>IF(A2768="","",IFERROR(INDEX(Ввод!$B$12:$B$71,MATCH(A2768,Ввод!$D$12:$D$71,1)),""))</f>
        <v/>
      </c>
      <c r="C2768">
        <f>IF(A2768="","",DATE(YEAR(A2768),12,31)-DATE(YEAR(A2768),1,1)+1)</f>
        <v/>
      </c>
      <c r="D2768">
        <f>IF(A2768="","",SUMIFS(Акты!$D$5:$D$16,Акты!$E$5:$E$16,"&lt;="&amp;A2768)-SUMIFS(Оплаты!$B$6:$B$505,Оплаты!$A$6:$A$505,"&lt;"&amp;A2768,Оплаты!$D$6:$D$505,"&lt;&gt;"))</f>
        <v/>
      </c>
      <c r="E2768">
        <f>IF(A2768="","",IF(SUMPRODUCT((Ввод!$F$12:$F$31&lt;&gt;"")*(Ввод!$F$12:$F$31&lt;=A2768)*(Ввод!$G$12:$G$31&gt;=A2768))&gt;0,1,0))</f>
        <v/>
      </c>
      <c r="G2768">
        <f>IF(A2768="","",IF(OR(B2768&lt;&gt;B2767,C2768&lt;&gt;C2767,E2768&lt;&gt;E2767),G2767+1,G2767))</f>
        <v/>
      </c>
    </row>
    <row r="2769">
      <c r="A2769" s="20">
        <f>IF(A2768="","",IF(A2768+1&gt;Ввод!$B$4,"",A2768+1))</f>
        <v/>
      </c>
      <c r="B2769">
        <f>IF(A2769="","",IFERROR(INDEX(Ввод!$B$12:$B$71,MATCH(A2769,Ввод!$D$12:$D$71,1)),""))</f>
        <v/>
      </c>
      <c r="C2769">
        <f>IF(A2769="","",DATE(YEAR(A2769),12,31)-DATE(YEAR(A2769),1,1)+1)</f>
        <v/>
      </c>
      <c r="D2769">
        <f>IF(A2769="","",SUMIFS(Акты!$D$5:$D$16,Акты!$E$5:$E$16,"&lt;="&amp;A2769)-SUMIFS(Оплаты!$B$6:$B$505,Оплаты!$A$6:$A$505,"&lt;"&amp;A2769,Оплаты!$D$6:$D$505,"&lt;&gt;"))</f>
        <v/>
      </c>
      <c r="E2769">
        <f>IF(A2769="","",IF(SUMPRODUCT((Ввод!$F$12:$F$31&lt;&gt;"")*(Ввод!$F$12:$F$31&lt;=A2769)*(Ввод!$G$12:$G$31&gt;=A2769))&gt;0,1,0))</f>
        <v/>
      </c>
      <c r="G2769">
        <f>IF(A2769="","",IF(OR(B2769&lt;&gt;B2768,C2769&lt;&gt;C2768,E2769&lt;&gt;E2768),G2768+1,G2768))</f>
        <v/>
      </c>
    </row>
    <row r="2770">
      <c r="A2770" s="20">
        <f>IF(A2769="","",IF(A2769+1&gt;Ввод!$B$4,"",A2769+1))</f>
        <v/>
      </c>
      <c r="B2770">
        <f>IF(A2770="","",IFERROR(INDEX(Ввод!$B$12:$B$71,MATCH(A2770,Ввод!$D$12:$D$71,1)),""))</f>
        <v/>
      </c>
      <c r="C2770">
        <f>IF(A2770="","",DATE(YEAR(A2770),12,31)-DATE(YEAR(A2770),1,1)+1)</f>
        <v/>
      </c>
      <c r="D2770">
        <f>IF(A2770="","",SUMIFS(Акты!$D$5:$D$16,Акты!$E$5:$E$16,"&lt;="&amp;A2770)-SUMIFS(Оплаты!$B$6:$B$505,Оплаты!$A$6:$A$505,"&lt;"&amp;A2770,Оплаты!$D$6:$D$505,"&lt;&gt;"))</f>
        <v/>
      </c>
      <c r="E2770">
        <f>IF(A2770="","",IF(SUMPRODUCT((Ввод!$F$12:$F$31&lt;&gt;"")*(Ввод!$F$12:$F$31&lt;=A2770)*(Ввод!$G$12:$G$31&gt;=A2770))&gt;0,1,0))</f>
        <v/>
      </c>
      <c r="G2770">
        <f>IF(A2770="","",IF(OR(B2770&lt;&gt;B2769,C2770&lt;&gt;C2769,E2770&lt;&gt;E2769),G2769+1,G2769))</f>
        <v/>
      </c>
    </row>
    <row r="2771">
      <c r="A2771" s="20">
        <f>IF(A2770="","",IF(A2770+1&gt;Ввод!$B$4,"",A2770+1))</f>
        <v/>
      </c>
      <c r="B2771">
        <f>IF(A2771="","",IFERROR(INDEX(Ввод!$B$12:$B$71,MATCH(A2771,Ввод!$D$12:$D$71,1)),""))</f>
        <v/>
      </c>
      <c r="C2771">
        <f>IF(A2771="","",DATE(YEAR(A2771),12,31)-DATE(YEAR(A2771),1,1)+1)</f>
        <v/>
      </c>
      <c r="D2771">
        <f>IF(A2771="","",SUMIFS(Акты!$D$5:$D$16,Акты!$E$5:$E$16,"&lt;="&amp;A2771)-SUMIFS(Оплаты!$B$6:$B$505,Оплаты!$A$6:$A$505,"&lt;"&amp;A2771,Оплаты!$D$6:$D$505,"&lt;&gt;"))</f>
        <v/>
      </c>
      <c r="E2771">
        <f>IF(A2771="","",IF(SUMPRODUCT((Ввод!$F$12:$F$31&lt;&gt;"")*(Ввод!$F$12:$F$31&lt;=A2771)*(Ввод!$G$12:$G$31&gt;=A2771))&gt;0,1,0))</f>
        <v/>
      </c>
      <c r="G2771">
        <f>IF(A2771="","",IF(OR(B2771&lt;&gt;B2770,C2771&lt;&gt;C2770,E2771&lt;&gt;E2770),G2770+1,G2770))</f>
        <v/>
      </c>
    </row>
    <row r="2772">
      <c r="A2772" s="20">
        <f>IF(A2771="","",IF(A2771+1&gt;Ввод!$B$4,"",A2771+1))</f>
        <v/>
      </c>
      <c r="B2772">
        <f>IF(A2772="","",IFERROR(INDEX(Ввод!$B$12:$B$71,MATCH(A2772,Ввод!$D$12:$D$71,1)),""))</f>
        <v/>
      </c>
      <c r="C2772">
        <f>IF(A2772="","",DATE(YEAR(A2772),12,31)-DATE(YEAR(A2772),1,1)+1)</f>
        <v/>
      </c>
      <c r="D2772">
        <f>IF(A2772="","",SUMIFS(Акты!$D$5:$D$16,Акты!$E$5:$E$16,"&lt;="&amp;A2772)-SUMIFS(Оплаты!$B$6:$B$505,Оплаты!$A$6:$A$505,"&lt;"&amp;A2772,Оплаты!$D$6:$D$505,"&lt;&gt;"))</f>
        <v/>
      </c>
      <c r="E2772">
        <f>IF(A2772="","",IF(SUMPRODUCT((Ввод!$F$12:$F$31&lt;&gt;"")*(Ввод!$F$12:$F$31&lt;=A2772)*(Ввод!$G$12:$G$31&gt;=A2772))&gt;0,1,0))</f>
        <v/>
      </c>
      <c r="G2772">
        <f>IF(A2772="","",IF(OR(B2772&lt;&gt;B2771,C2772&lt;&gt;C2771,E2772&lt;&gt;E2771),G2771+1,G2771))</f>
        <v/>
      </c>
    </row>
    <row r="2773">
      <c r="A2773" s="20">
        <f>IF(A2772="","",IF(A2772+1&gt;Ввод!$B$4,"",A2772+1))</f>
        <v/>
      </c>
      <c r="B2773">
        <f>IF(A2773="","",IFERROR(INDEX(Ввод!$B$12:$B$71,MATCH(A2773,Ввод!$D$12:$D$71,1)),""))</f>
        <v/>
      </c>
      <c r="C2773">
        <f>IF(A2773="","",DATE(YEAR(A2773),12,31)-DATE(YEAR(A2773),1,1)+1)</f>
        <v/>
      </c>
      <c r="D2773">
        <f>IF(A2773="","",SUMIFS(Акты!$D$5:$D$16,Акты!$E$5:$E$16,"&lt;="&amp;A2773)-SUMIFS(Оплаты!$B$6:$B$505,Оплаты!$A$6:$A$505,"&lt;"&amp;A2773,Оплаты!$D$6:$D$505,"&lt;&gt;"))</f>
        <v/>
      </c>
      <c r="E2773">
        <f>IF(A2773="","",IF(SUMPRODUCT((Ввод!$F$12:$F$31&lt;&gt;"")*(Ввод!$F$12:$F$31&lt;=A2773)*(Ввод!$G$12:$G$31&gt;=A2773))&gt;0,1,0))</f>
        <v/>
      </c>
      <c r="G2773">
        <f>IF(A2773="","",IF(OR(B2773&lt;&gt;B2772,C2773&lt;&gt;C2772,E2773&lt;&gt;E2772),G2772+1,G2772))</f>
        <v/>
      </c>
    </row>
    <row r="2774">
      <c r="A2774" s="20">
        <f>IF(A2773="","",IF(A2773+1&gt;Ввод!$B$4,"",A2773+1))</f>
        <v/>
      </c>
      <c r="B2774">
        <f>IF(A2774="","",IFERROR(INDEX(Ввод!$B$12:$B$71,MATCH(A2774,Ввод!$D$12:$D$71,1)),""))</f>
        <v/>
      </c>
      <c r="C2774">
        <f>IF(A2774="","",DATE(YEAR(A2774),12,31)-DATE(YEAR(A2774),1,1)+1)</f>
        <v/>
      </c>
      <c r="D2774">
        <f>IF(A2774="","",SUMIFS(Акты!$D$5:$D$16,Акты!$E$5:$E$16,"&lt;="&amp;A2774)-SUMIFS(Оплаты!$B$6:$B$505,Оплаты!$A$6:$A$505,"&lt;"&amp;A2774,Оплаты!$D$6:$D$505,"&lt;&gt;"))</f>
        <v/>
      </c>
      <c r="E2774">
        <f>IF(A2774="","",IF(SUMPRODUCT((Ввод!$F$12:$F$31&lt;&gt;"")*(Ввод!$F$12:$F$31&lt;=A2774)*(Ввод!$G$12:$G$31&gt;=A2774))&gt;0,1,0))</f>
        <v/>
      </c>
      <c r="G2774">
        <f>IF(A2774="","",IF(OR(B2774&lt;&gt;B2773,C2774&lt;&gt;C2773,E2774&lt;&gt;E2773),G2773+1,G2773))</f>
        <v/>
      </c>
    </row>
    <row r="2775">
      <c r="A2775" s="20">
        <f>IF(A2774="","",IF(A2774+1&gt;Ввод!$B$4,"",A2774+1))</f>
        <v/>
      </c>
      <c r="B2775">
        <f>IF(A2775="","",IFERROR(INDEX(Ввод!$B$12:$B$71,MATCH(A2775,Ввод!$D$12:$D$71,1)),""))</f>
        <v/>
      </c>
      <c r="C2775">
        <f>IF(A2775="","",DATE(YEAR(A2775),12,31)-DATE(YEAR(A2775),1,1)+1)</f>
        <v/>
      </c>
      <c r="D2775">
        <f>IF(A2775="","",SUMIFS(Акты!$D$5:$D$16,Акты!$E$5:$E$16,"&lt;="&amp;A2775)-SUMIFS(Оплаты!$B$6:$B$505,Оплаты!$A$6:$A$505,"&lt;"&amp;A2775,Оплаты!$D$6:$D$505,"&lt;&gt;"))</f>
        <v/>
      </c>
      <c r="E2775">
        <f>IF(A2775="","",IF(SUMPRODUCT((Ввод!$F$12:$F$31&lt;&gt;"")*(Ввод!$F$12:$F$31&lt;=A2775)*(Ввод!$G$12:$G$31&gt;=A2775))&gt;0,1,0))</f>
        <v/>
      </c>
      <c r="G2775">
        <f>IF(A2775="","",IF(OR(B2775&lt;&gt;B2774,C2775&lt;&gt;C2774,E2775&lt;&gt;E2774),G2774+1,G2774))</f>
        <v/>
      </c>
    </row>
    <row r="2776">
      <c r="A2776" s="20">
        <f>IF(A2775="","",IF(A2775+1&gt;Ввод!$B$4,"",A2775+1))</f>
        <v/>
      </c>
      <c r="B2776">
        <f>IF(A2776="","",IFERROR(INDEX(Ввод!$B$12:$B$71,MATCH(A2776,Ввод!$D$12:$D$71,1)),""))</f>
        <v/>
      </c>
      <c r="C2776">
        <f>IF(A2776="","",DATE(YEAR(A2776),12,31)-DATE(YEAR(A2776),1,1)+1)</f>
        <v/>
      </c>
      <c r="D2776">
        <f>IF(A2776="","",SUMIFS(Акты!$D$5:$D$16,Акты!$E$5:$E$16,"&lt;="&amp;A2776)-SUMIFS(Оплаты!$B$6:$B$505,Оплаты!$A$6:$A$505,"&lt;"&amp;A2776,Оплаты!$D$6:$D$505,"&lt;&gt;"))</f>
        <v/>
      </c>
      <c r="E2776">
        <f>IF(A2776="","",IF(SUMPRODUCT((Ввод!$F$12:$F$31&lt;&gt;"")*(Ввод!$F$12:$F$31&lt;=A2776)*(Ввод!$G$12:$G$31&gt;=A2776))&gt;0,1,0))</f>
        <v/>
      </c>
      <c r="G2776">
        <f>IF(A2776="","",IF(OR(B2776&lt;&gt;B2775,C2776&lt;&gt;C2775,E2776&lt;&gt;E2775),G2775+1,G2775))</f>
        <v/>
      </c>
    </row>
    <row r="2777">
      <c r="A2777" s="20">
        <f>IF(A2776="","",IF(A2776+1&gt;Ввод!$B$4,"",A2776+1))</f>
        <v/>
      </c>
      <c r="B2777">
        <f>IF(A2777="","",IFERROR(INDEX(Ввод!$B$12:$B$71,MATCH(A2777,Ввод!$D$12:$D$71,1)),""))</f>
        <v/>
      </c>
      <c r="C2777">
        <f>IF(A2777="","",DATE(YEAR(A2777),12,31)-DATE(YEAR(A2777),1,1)+1)</f>
        <v/>
      </c>
      <c r="D2777">
        <f>IF(A2777="","",SUMIFS(Акты!$D$5:$D$16,Акты!$E$5:$E$16,"&lt;="&amp;A2777)-SUMIFS(Оплаты!$B$6:$B$505,Оплаты!$A$6:$A$505,"&lt;"&amp;A2777,Оплаты!$D$6:$D$505,"&lt;&gt;"))</f>
        <v/>
      </c>
      <c r="E2777">
        <f>IF(A2777="","",IF(SUMPRODUCT((Ввод!$F$12:$F$31&lt;&gt;"")*(Ввод!$F$12:$F$31&lt;=A2777)*(Ввод!$G$12:$G$31&gt;=A2777))&gt;0,1,0))</f>
        <v/>
      </c>
      <c r="G2777">
        <f>IF(A2777="","",IF(OR(B2777&lt;&gt;B2776,C2777&lt;&gt;C2776,E2777&lt;&gt;E2776),G2776+1,G2776))</f>
        <v/>
      </c>
    </row>
    <row r="2778">
      <c r="A2778" s="20">
        <f>IF(A2777="","",IF(A2777+1&gt;Ввод!$B$4,"",A2777+1))</f>
        <v/>
      </c>
      <c r="B2778">
        <f>IF(A2778="","",IFERROR(INDEX(Ввод!$B$12:$B$71,MATCH(A2778,Ввод!$D$12:$D$71,1)),""))</f>
        <v/>
      </c>
      <c r="C2778">
        <f>IF(A2778="","",DATE(YEAR(A2778),12,31)-DATE(YEAR(A2778),1,1)+1)</f>
        <v/>
      </c>
      <c r="D2778">
        <f>IF(A2778="","",SUMIFS(Акты!$D$5:$D$16,Акты!$E$5:$E$16,"&lt;="&amp;A2778)-SUMIFS(Оплаты!$B$6:$B$505,Оплаты!$A$6:$A$505,"&lt;"&amp;A2778,Оплаты!$D$6:$D$505,"&lt;&gt;"))</f>
        <v/>
      </c>
      <c r="E2778">
        <f>IF(A2778="","",IF(SUMPRODUCT((Ввод!$F$12:$F$31&lt;&gt;"")*(Ввод!$F$12:$F$31&lt;=A2778)*(Ввод!$G$12:$G$31&gt;=A2778))&gt;0,1,0))</f>
        <v/>
      </c>
      <c r="G2778">
        <f>IF(A2778="","",IF(OR(B2778&lt;&gt;B2777,C2778&lt;&gt;C2777,E2778&lt;&gt;E2777),G2777+1,G2777))</f>
        <v/>
      </c>
    </row>
    <row r="2779">
      <c r="A2779" s="20">
        <f>IF(A2778="","",IF(A2778+1&gt;Ввод!$B$4,"",A2778+1))</f>
        <v/>
      </c>
      <c r="B2779">
        <f>IF(A2779="","",IFERROR(INDEX(Ввод!$B$12:$B$71,MATCH(A2779,Ввод!$D$12:$D$71,1)),""))</f>
        <v/>
      </c>
      <c r="C2779">
        <f>IF(A2779="","",DATE(YEAR(A2779),12,31)-DATE(YEAR(A2779),1,1)+1)</f>
        <v/>
      </c>
      <c r="D2779">
        <f>IF(A2779="","",SUMIFS(Акты!$D$5:$D$16,Акты!$E$5:$E$16,"&lt;="&amp;A2779)-SUMIFS(Оплаты!$B$6:$B$505,Оплаты!$A$6:$A$505,"&lt;"&amp;A2779,Оплаты!$D$6:$D$505,"&lt;&gt;"))</f>
        <v/>
      </c>
      <c r="E2779">
        <f>IF(A2779="","",IF(SUMPRODUCT((Ввод!$F$12:$F$31&lt;&gt;"")*(Ввод!$F$12:$F$31&lt;=A2779)*(Ввод!$G$12:$G$31&gt;=A2779))&gt;0,1,0))</f>
        <v/>
      </c>
      <c r="G2779">
        <f>IF(A2779="","",IF(OR(B2779&lt;&gt;B2778,C2779&lt;&gt;C2778,E2779&lt;&gt;E2778),G2778+1,G2778))</f>
        <v/>
      </c>
    </row>
    <row r="2780">
      <c r="A2780" s="20">
        <f>IF(A2779="","",IF(A2779+1&gt;Ввод!$B$4,"",A2779+1))</f>
        <v/>
      </c>
      <c r="B2780">
        <f>IF(A2780="","",IFERROR(INDEX(Ввод!$B$12:$B$71,MATCH(A2780,Ввод!$D$12:$D$71,1)),""))</f>
        <v/>
      </c>
      <c r="C2780">
        <f>IF(A2780="","",DATE(YEAR(A2780),12,31)-DATE(YEAR(A2780),1,1)+1)</f>
        <v/>
      </c>
      <c r="D2780">
        <f>IF(A2780="","",SUMIFS(Акты!$D$5:$D$16,Акты!$E$5:$E$16,"&lt;="&amp;A2780)-SUMIFS(Оплаты!$B$6:$B$505,Оплаты!$A$6:$A$505,"&lt;"&amp;A2780,Оплаты!$D$6:$D$505,"&lt;&gt;"))</f>
        <v/>
      </c>
      <c r="E2780">
        <f>IF(A2780="","",IF(SUMPRODUCT((Ввод!$F$12:$F$31&lt;&gt;"")*(Ввод!$F$12:$F$31&lt;=A2780)*(Ввод!$G$12:$G$31&gt;=A2780))&gt;0,1,0))</f>
        <v/>
      </c>
      <c r="G2780">
        <f>IF(A2780="","",IF(OR(B2780&lt;&gt;B2779,C2780&lt;&gt;C2779,E2780&lt;&gt;E2779),G2779+1,G2779))</f>
        <v/>
      </c>
    </row>
    <row r="2781">
      <c r="A2781" s="20">
        <f>IF(A2780="","",IF(A2780+1&gt;Ввод!$B$4,"",A2780+1))</f>
        <v/>
      </c>
      <c r="B2781">
        <f>IF(A2781="","",IFERROR(INDEX(Ввод!$B$12:$B$71,MATCH(A2781,Ввод!$D$12:$D$71,1)),""))</f>
        <v/>
      </c>
      <c r="C2781">
        <f>IF(A2781="","",DATE(YEAR(A2781),12,31)-DATE(YEAR(A2781),1,1)+1)</f>
        <v/>
      </c>
      <c r="D2781">
        <f>IF(A2781="","",SUMIFS(Акты!$D$5:$D$16,Акты!$E$5:$E$16,"&lt;="&amp;A2781)-SUMIFS(Оплаты!$B$6:$B$505,Оплаты!$A$6:$A$505,"&lt;"&amp;A2781,Оплаты!$D$6:$D$505,"&lt;&gt;"))</f>
        <v/>
      </c>
      <c r="E2781">
        <f>IF(A2781="","",IF(SUMPRODUCT((Ввод!$F$12:$F$31&lt;&gt;"")*(Ввод!$F$12:$F$31&lt;=A2781)*(Ввод!$G$12:$G$31&gt;=A2781))&gt;0,1,0))</f>
        <v/>
      </c>
      <c r="G2781">
        <f>IF(A2781="","",IF(OR(B2781&lt;&gt;B2780,C2781&lt;&gt;C2780,E2781&lt;&gt;E2780),G2780+1,G2780))</f>
        <v/>
      </c>
    </row>
    <row r="2782">
      <c r="A2782" s="20">
        <f>IF(A2781="","",IF(A2781+1&gt;Ввод!$B$4,"",A2781+1))</f>
        <v/>
      </c>
      <c r="B2782">
        <f>IF(A2782="","",IFERROR(INDEX(Ввод!$B$12:$B$71,MATCH(A2782,Ввод!$D$12:$D$71,1)),""))</f>
        <v/>
      </c>
      <c r="C2782">
        <f>IF(A2782="","",DATE(YEAR(A2782),12,31)-DATE(YEAR(A2782),1,1)+1)</f>
        <v/>
      </c>
      <c r="D2782">
        <f>IF(A2782="","",SUMIFS(Акты!$D$5:$D$16,Акты!$E$5:$E$16,"&lt;="&amp;A2782)-SUMIFS(Оплаты!$B$6:$B$505,Оплаты!$A$6:$A$505,"&lt;"&amp;A2782,Оплаты!$D$6:$D$505,"&lt;&gt;"))</f>
        <v/>
      </c>
      <c r="E2782">
        <f>IF(A2782="","",IF(SUMPRODUCT((Ввод!$F$12:$F$31&lt;&gt;"")*(Ввод!$F$12:$F$31&lt;=A2782)*(Ввод!$G$12:$G$31&gt;=A2782))&gt;0,1,0))</f>
        <v/>
      </c>
      <c r="G2782">
        <f>IF(A2782="","",IF(OR(B2782&lt;&gt;B2781,C2782&lt;&gt;C2781,E2782&lt;&gt;E2781),G2781+1,G2781))</f>
        <v/>
      </c>
    </row>
    <row r="2783">
      <c r="A2783" s="20">
        <f>IF(A2782="","",IF(A2782+1&gt;Ввод!$B$4,"",A2782+1))</f>
        <v/>
      </c>
      <c r="B2783">
        <f>IF(A2783="","",IFERROR(INDEX(Ввод!$B$12:$B$71,MATCH(A2783,Ввод!$D$12:$D$71,1)),""))</f>
        <v/>
      </c>
      <c r="C2783">
        <f>IF(A2783="","",DATE(YEAR(A2783),12,31)-DATE(YEAR(A2783),1,1)+1)</f>
        <v/>
      </c>
      <c r="D2783">
        <f>IF(A2783="","",SUMIFS(Акты!$D$5:$D$16,Акты!$E$5:$E$16,"&lt;="&amp;A2783)-SUMIFS(Оплаты!$B$6:$B$505,Оплаты!$A$6:$A$505,"&lt;"&amp;A2783,Оплаты!$D$6:$D$505,"&lt;&gt;"))</f>
        <v/>
      </c>
      <c r="E2783">
        <f>IF(A2783="","",IF(SUMPRODUCT((Ввод!$F$12:$F$31&lt;&gt;"")*(Ввод!$F$12:$F$31&lt;=A2783)*(Ввод!$G$12:$G$31&gt;=A2783))&gt;0,1,0))</f>
        <v/>
      </c>
      <c r="G2783">
        <f>IF(A2783="","",IF(OR(B2783&lt;&gt;B2782,C2783&lt;&gt;C2782,E2783&lt;&gt;E2782),G2782+1,G2782))</f>
        <v/>
      </c>
    </row>
    <row r="2784">
      <c r="A2784" s="20">
        <f>IF(A2783="","",IF(A2783+1&gt;Ввод!$B$4,"",A2783+1))</f>
        <v/>
      </c>
      <c r="B2784">
        <f>IF(A2784="","",IFERROR(INDEX(Ввод!$B$12:$B$71,MATCH(A2784,Ввод!$D$12:$D$71,1)),""))</f>
        <v/>
      </c>
      <c r="C2784">
        <f>IF(A2784="","",DATE(YEAR(A2784),12,31)-DATE(YEAR(A2784),1,1)+1)</f>
        <v/>
      </c>
      <c r="D2784">
        <f>IF(A2784="","",SUMIFS(Акты!$D$5:$D$16,Акты!$E$5:$E$16,"&lt;="&amp;A2784)-SUMIFS(Оплаты!$B$6:$B$505,Оплаты!$A$6:$A$505,"&lt;"&amp;A2784,Оплаты!$D$6:$D$505,"&lt;&gt;"))</f>
        <v/>
      </c>
      <c r="E2784">
        <f>IF(A2784="","",IF(SUMPRODUCT((Ввод!$F$12:$F$31&lt;&gt;"")*(Ввод!$F$12:$F$31&lt;=A2784)*(Ввод!$G$12:$G$31&gt;=A2784))&gt;0,1,0))</f>
        <v/>
      </c>
      <c r="G2784">
        <f>IF(A2784="","",IF(OR(B2784&lt;&gt;B2783,C2784&lt;&gt;C2783,E2784&lt;&gt;E2783),G2783+1,G2783))</f>
        <v/>
      </c>
    </row>
    <row r="2785">
      <c r="A2785" s="20">
        <f>IF(A2784="","",IF(A2784+1&gt;Ввод!$B$4,"",A2784+1))</f>
        <v/>
      </c>
      <c r="B2785">
        <f>IF(A2785="","",IFERROR(INDEX(Ввод!$B$12:$B$71,MATCH(A2785,Ввод!$D$12:$D$71,1)),""))</f>
        <v/>
      </c>
      <c r="C2785">
        <f>IF(A2785="","",DATE(YEAR(A2785),12,31)-DATE(YEAR(A2785),1,1)+1)</f>
        <v/>
      </c>
      <c r="D2785">
        <f>IF(A2785="","",SUMIFS(Акты!$D$5:$D$16,Акты!$E$5:$E$16,"&lt;="&amp;A2785)-SUMIFS(Оплаты!$B$6:$B$505,Оплаты!$A$6:$A$505,"&lt;"&amp;A2785,Оплаты!$D$6:$D$505,"&lt;&gt;"))</f>
        <v/>
      </c>
      <c r="E2785">
        <f>IF(A2785="","",IF(SUMPRODUCT((Ввод!$F$12:$F$31&lt;&gt;"")*(Ввод!$F$12:$F$31&lt;=A2785)*(Ввод!$G$12:$G$31&gt;=A2785))&gt;0,1,0))</f>
        <v/>
      </c>
      <c r="G2785">
        <f>IF(A2785="","",IF(OR(B2785&lt;&gt;B2784,C2785&lt;&gt;C2784,E2785&lt;&gt;E2784),G2784+1,G2784))</f>
        <v/>
      </c>
    </row>
    <row r="2786">
      <c r="A2786" s="20">
        <f>IF(A2785="","",IF(A2785+1&gt;Ввод!$B$4,"",A2785+1))</f>
        <v/>
      </c>
      <c r="B2786">
        <f>IF(A2786="","",IFERROR(INDEX(Ввод!$B$12:$B$71,MATCH(A2786,Ввод!$D$12:$D$71,1)),""))</f>
        <v/>
      </c>
      <c r="C2786">
        <f>IF(A2786="","",DATE(YEAR(A2786),12,31)-DATE(YEAR(A2786),1,1)+1)</f>
        <v/>
      </c>
      <c r="D2786">
        <f>IF(A2786="","",SUMIFS(Акты!$D$5:$D$16,Акты!$E$5:$E$16,"&lt;="&amp;A2786)-SUMIFS(Оплаты!$B$6:$B$505,Оплаты!$A$6:$A$505,"&lt;"&amp;A2786,Оплаты!$D$6:$D$505,"&lt;&gt;"))</f>
        <v/>
      </c>
      <c r="E2786">
        <f>IF(A2786="","",IF(SUMPRODUCT((Ввод!$F$12:$F$31&lt;&gt;"")*(Ввод!$F$12:$F$31&lt;=A2786)*(Ввод!$G$12:$G$31&gt;=A2786))&gt;0,1,0))</f>
        <v/>
      </c>
      <c r="G2786">
        <f>IF(A2786="","",IF(OR(B2786&lt;&gt;B2785,C2786&lt;&gt;C2785,E2786&lt;&gt;E2785),G2785+1,G2785))</f>
        <v/>
      </c>
    </row>
    <row r="2787">
      <c r="A2787" s="20">
        <f>IF(A2786="","",IF(A2786+1&gt;Ввод!$B$4,"",A2786+1))</f>
        <v/>
      </c>
      <c r="B2787">
        <f>IF(A2787="","",IFERROR(INDEX(Ввод!$B$12:$B$71,MATCH(A2787,Ввод!$D$12:$D$71,1)),""))</f>
        <v/>
      </c>
      <c r="C2787">
        <f>IF(A2787="","",DATE(YEAR(A2787),12,31)-DATE(YEAR(A2787),1,1)+1)</f>
        <v/>
      </c>
      <c r="D2787">
        <f>IF(A2787="","",SUMIFS(Акты!$D$5:$D$16,Акты!$E$5:$E$16,"&lt;="&amp;A2787)-SUMIFS(Оплаты!$B$6:$B$505,Оплаты!$A$6:$A$505,"&lt;"&amp;A2787,Оплаты!$D$6:$D$505,"&lt;&gt;"))</f>
        <v/>
      </c>
      <c r="E2787">
        <f>IF(A2787="","",IF(SUMPRODUCT((Ввод!$F$12:$F$31&lt;&gt;"")*(Ввод!$F$12:$F$31&lt;=A2787)*(Ввод!$G$12:$G$31&gt;=A2787))&gt;0,1,0))</f>
        <v/>
      </c>
      <c r="G2787">
        <f>IF(A2787="","",IF(OR(B2787&lt;&gt;B2786,C2787&lt;&gt;C2786,E2787&lt;&gt;E2786),G2786+1,G2786))</f>
        <v/>
      </c>
    </row>
    <row r="2788">
      <c r="A2788" s="20">
        <f>IF(A2787="","",IF(A2787+1&gt;Ввод!$B$4,"",A2787+1))</f>
        <v/>
      </c>
      <c r="B2788">
        <f>IF(A2788="","",IFERROR(INDEX(Ввод!$B$12:$B$71,MATCH(A2788,Ввод!$D$12:$D$71,1)),""))</f>
        <v/>
      </c>
      <c r="C2788">
        <f>IF(A2788="","",DATE(YEAR(A2788),12,31)-DATE(YEAR(A2788),1,1)+1)</f>
        <v/>
      </c>
      <c r="D2788">
        <f>IF(A2788="","",SUMIFS(Акты!$D$5:$D$16,Акты!$E$5:$E$16,"&lt;="&amp;A2788)-SUMIFS(Оплаты!$B$6:$B$505,Оплаты!$A$6:$A$505,"&lt;"&amp;A2788,Оплаты!$D$6:$D$505,"&lt;&gt;"))</f>
        <v/>
      </c>
      <c r="E2788">
        <f>IF(A2788="","",IF(SUMPRODUCT((Ввод!$F$12:$F$31&lt;&gt;"")*(Ввод!$F$12:$F$31&lt;=A2788)*(Ввод!$G$12:$G$31&gt;=A2788))&gt;0,1,0))</f>
        <v/>
      </c>
      <c r="G2788">
        <f>IF(A2788="","",IF(OR(B2788&lt;&gt;B2787,C2788&lt;&gt;C2787,E2788&lt;&gt;E2787),G2787+1,G2787))</f>
        <v/>
      </c>
    </row>
    <row r="2789">
      <c r="A2789" s="20">
        <f>IF(A2788="","",IF(A2788+1&gt;Ввод!$B$4,"",A2788+1))</f>
        <v/>
      </c>
      <c r="B2789">
        <f>IF(A2789="","",IFERROR(INDEX(Ввод!$B$12:$B$71,MATCH(A2789,Ввод!$D$12:$D$71,1)),""))</f>
        <v/>
      </c>
      <c r="C2789">
        <f>IF(A2789="","",DATE(YEAR(A2789),12,31)-DATE(YEAR(A2789),1,1)+1)</f>
        <v/>
      </c>
      <c r="D2789">
        <f>IF(A2789="","",SUMIFS(Акты!$D$5:$D$16,Акты!$E$5:$E$16,"&lt;="&amp;A2789)-SUMIFS(Оплаты!$B$6:$B$505,Оплаты!$A$6:$A$505,"&lt;"&amp;A2789,Оплаты!$D$6:$D$505,"&lt;&gt;"))</f>
        <v/>
      </c>
      <c r="E2789">
        <f>IF(A2789="","",IF(SUMPRODUCT((Ввод!$F$12:$F$31&lt;&gt;"")*(Ввод!$F$12:$F$31&lt;=A2789)*(Ввод!$G$12:$G$31&gt;=A2789))&gt;0,1,0))</f>
        <v/>
      </c>
      <c r="G2789">
        <f>IF(A2789="","",IF(OR(B2789&lt;&gt;B2788,C2789&lt;&gt;C2788,E2789&lt;&gt;E2788),G2788+1,G2788))</f>
        <v/>
      </c>
    </row>
    <row r="2790">
      <c r="A2790" s="20">
        <f>IF(A2789="","",IF(A2789+1&gt;Ввод!$B$4,"",A2789+1))</f>
        <v/>
      </c>
      <c r="B2790">
        <f>IF(A2790="","",IFERROR(INDEX(Ввод!$B$12:$B$71,MATCH(A2790,Ввод!$D$12:$D$71,1)),""))</f>
        <v/>
      </c>
      <c r="C2790">
        <f>IF(A2790="","",DATE(YEAR(A2790),12,31)-DATE(YEAR(A2790),1,1)+1)</f>
        <v/>
      </c>
      <c r="D2790">
        <f>IF(A2790="","",SUMIFS(Акты!$D$5:$D$16,Акты!$E$5:$E$16,"&lt;="&amp;A2790)-SUMIFS(Оплаты!$B$6:$B$505,Оплаты!$A$6:$A$505,"&lt;"&amp;A2790,Оплаты!$D$6:$D$505,"&lt;&gt;"))</f>
        <v/>
      </c>
      <c r="E2790">
        <f>IF(A2790="","",IF(SUMPRODUCT((Ввод!$F$12:$F$31&lt;&gt;"")*(Ввод!$F$12:$F$31&lt;=A2790)*(Ввод!$G$12:$G$31&gt;=A2790))&gt;0,1,0))</f>
        <v/>
      </c>
      <c r="G2790">
        <f>IF(A2790="","",IF(OR(B2790&lt;&gt;B2789,C2790&lt;&gt;C2789,E2790&lt;&gt;E2789),G2789+1,G2789))</f>
        <v/>
      </c>
    </row>
    <row r="2791">
      <c r="A2791" s="20">
        <f>IF(A2790="","",IF(A2790+1&gt;Ввод!$B$4,"",A2790+1))</f>
        <v/>
      </c>
      <c r="B2791">
        <f>IF(A2791="","",IFERROR(INDEX(Ввод!$B$12:$B$71,MATCH(A2791,Ввод!$D$12:$D$71,1)),""))</f>
        <v/>
      </c>
      <c r="C2791">
        <f>IF(A2791="","",DATE(YEAR(A2791),12,31)-DATE(YEAR(A2791),1,1)+1)</f>
        <v/>
      </c>
      <c r="D2791">
        <f>IF(A2791="","",SUMIFS(Акты!$D$5:$D$16,Акты!$E$5:$E$16,"&lt;="&amp;A2791)-SUMIFS(Оплаты!$B$6:$B$505,Оплаты!$A$6:$A$505,"&lt;"&amp;A2791,Оплаты!$D$6:$D$505,"&lt;&gt;"))</f>
        <v/>
      </c>
      <c r="E2791">
        <f>IF(A2791="","",IF(SUMPRODUCT((Ввод!$F$12:$F$31&lt;&gt;"")*(Ввод!$F$12:$F$31&lt;=A2791)*(Ввод!$G$12:$G$31&gt;=A2791))&gt;0,1,0))</f>
        <v/>
      </c>
      <c r="G2791">
        <f>IF(A2791="","",IF(OR(B2791&lt;&gt;B2790,C2791&lt;&gt;C2790,E2791&lt;&gt;E2790),G2790+1,G2790))</f>
        <v/>
      </c>
    </row>
    <row r="2792">
      <c r="A2792" s="20">
        <f>IF(A2791="","",IF(A2791+1&gt;Ввод!$B$4,"",A2791+1))</f>
        <v/>
      </c>
      <c r="B2792">
        <f>IF(A2792="","",IFERROR(INDEX(Ввод!$B$12:$B$71,MATCH(A2792,Ввод!$D$12:$D$71,1)),""))</f>
        <v/>
      </c>
      <c r="C2792">
        <f>IF(A2792="","",DATE(YEAR(A2792),12,31)-DATE(YEAR(A2792),1,1)+1)</f>
        <v/>
      </c>
      <c r="D2792">
        <f>IF(A2792="","",SUMIFS(Акты!$D$5:$D$16,Акты!$E$5:$E$16,"&lt;="&amp;A2792)-SUMIFS(Оплаты!$B$6:$B$505,Оплаты!$A$6:$A$505,"&lt;"&amp;A2792,Оплаты!$D$6:$D$505,"&lt;&gt;"))</f>
        <v/>
      </c>
      <c r="E2792">
        <f>IF(A2792="","",IF(SUMPRODUCT((Ввод!$F$12:$F$31&lt;&gt;"")*(Ввод!$F$12:$F$31&lt;=A2792)*(Ввод!$G$12:$G$31&gt;=A2792))&gt;0,1,0))</f>
        <v/>
      </c>
      <c r="G2792">
        <f>IF(A2792="","",IF(OR(B2792&lt;&gt;B2791,C2792&lt;&gt;C2791,E2792&lt;&gt;E2791),G2791+1,G2791))</f>
        <v/>
      </c>
    </row>
    <row r="2793">
      <c r="A2793" s="20">
        <f>IF(A2792="","",IF(A2792+1&gt;Ввод!$B$4,"",A2792+1))</f>
        <v/>
      </c>
      <c r="B2793">
        <f>IF(A2793="","",IFERROR(INDEX(Ввод!$B$12:$B$71,MATCH(A2793,Ввод!$D$12:$D$71,1)),""))</f>
        <v/>
      </c>
      <c r="C2793">
        <f>IF(A2793="","",DATE(YEAR(A2793),12,31)-DATE(YEAR(A2793),1,1)+1)</f>
        <v/>
      </c>
      <c r="D2793">
        <f>IF(A2793="","",SUMIFS(Акты!$D$5:$D$16,Акты!$E$5:$E$16,"&lt;="&amp;A2793)-SUMIFS(Оплаты!$B$6:$B$505,Оплаты!$A$6:$A$505,"&lt;"&amp;A2793,Оплаты!$D$6:$D$505,"&lt;&gt;"))</f>
        <v/>
      </c>
      <c r="E2793">
        <f>IF(A2793="","",IF(SUMPRODUCT((Ввод!$F$12:$F$31&lt;&gt;"")*(Ввод!$F$12:$F$31&lt;=A2793)*(Ввод!$G$12:$G$31&gt;=A2793))&gt;0,1,0))</f>
        <v/>
      </c>
      <c r="G2793">
        <f>IF(A2793="","",IF(OR(B2793&lt;&gt;B2792,C2793&lt;&gt;C2792,E2793&lt;&gt;E2792),G2792+1,G2792))</f>
        <v/>
      </c>
    </row>
    <row r="2794">
      <c r="A2794" s="20">
        <f>IF(A2793="","",IF(A2793+1&gt;Ввод!$B$4,"",A2793+1))</f>
        <v/>
      </c>
      <c r="B2794">
        <f>IF(A2794="","",IFERROR(INDEX(Ввод!$B$12:$B$71,MATCH(A2794,Ввод!$D$12:$D$71,1)),""))</f>
        <v/>
      </c>
      <c r="C2794">
        <f>IF(A2794="","",DATE(YEAR(A2794),12,31)-DATE(YEAR(A2794),1,1)+1)</f>
        <v/>
      </c>
      <c r="D2794">
        <f>IF(A2794="","",SUMIFS(Акты!$D$5:$D$16,Акты!$E$5:$E$16,"&lt;="&amp;A2794)-SUMIFS(Оплаты!$B$6:$B$505,Оплаты!$A$6:$A$505,"&lt;"&amp;A2794,Оплаты!$D$6:$D$505,"&lt;&gt;"))</f>
        <v/>
      </c>
      <c r="E2794">
        <f>IF(A2794="","",IF(SUMPRODUCT((Ввод!$F$12:$F$31&lt;&gt;"")*(Ввод!$F$12:$F$31&lt;=A2794)*(Ввод!$G$12:$G$31&gt;=A2794))&gt;0,1,0))</f>
        <v/>
      </c>
      <c r="G2794">
        <f>IF(A2794="","",IF(OR(B2794&lt;&gt;B2793,C2794&lt;&gt;C2793,E2794&lt;&gt;E2793),G2793+1,G2793))</f>
        <v/>
      </c>
    </row>
    <row r="2795">
      <c r="A2795" s="20">
        <f>IF(A2794="","",IF(A2794+1&gt;Ввод!$B$4,"",A2794+1))</f>
        <v/>
      </c>
      <c r="B2795">
        <f>IF(A2795="","",IFERROR(INDEX(Ввод!$B$12:$B$71,MATCH(A2795,Ввод!$D$12:$D$71,1)),""))</f>
        <v/>
      </c>
      <c r="C2795">
        <f>IF(A2795="","",DATE(YEAR(A2795),12,31)-DATE(YEAR(A2795),1,1)+1)</f>
        <v/>
      </c>
      <c r="D2795">
        <f>IF(A2795="","",SUMIFS(Акты!$D$5:$D$16,Акты!$E$5:$E$16,"&lt;="&amp;A2795)-SUMIFS(Оплаты!$B$6:$B$505,Оплаты!$A$6:$A$505,"&lt;"&amp;A2795,Оплаты!$D$6:$D$505,"&lt;&gt;"))</f>
        <v/>
      </c>
      <c r="E2795">
        <f>IF(A2795="","",IF(SUMPRODUCT((Ввод!$F$12:$F$31&lt;&gt;"")*(Ввод!$F$12:$F$31&lt;=A2795)*(Ввод!$G$12:$G$31&gt;=A2795))&gt;0,1,0))</f>
        <v/>
      </c>
      <c r="G2795">
        <f>IF(A2795="","",IF(OR(B2795&lt;&gt;B2794,C2795&lt;&gt;C2794,E2795&lt;&gt;E2794),G2794+1,G2794))</f>
        <v/>
      </c>
    </row>
    <row r="2796">
      <c r="A2796" s="20">
        <f>IF(A2795="","",IF(A2795+1&gt;Ввод!$B$4,"",A2795+1))</f>
        <v/>
      </c>
      <c r="B2796">
        <f>IF(A2796="","",IFERROR(INDEX(Ввод!$B$12:$B$71,MATCH(A2796,Ввод!$D$12:$D$71,1)),""))</f>
        <v/>
      </c>
      <c r="C2796">
        <f>IF(A2796="","",DATE(YEAR(A2796),12,31)-DATE(YEAR(A2796),1,1)+1)</f>
        <v/>
      </c>
      <c r="D2796">
        <f>IF(A2796="","",SUMIFS(Акты!$D$5:$D$16,Акты!$E$5:$E$16,"&lt;="&amp;A2796)-SUMIFS(Оплаты!$B$6:$B$505,Оплаты!$A$6:$A$505,"&lt;"&amp;A2796,Оплаты!$D$6:$D$505,"&lt;&gt;"))</f>
        <v/>
      </c>
      <c r="E2796">
        <f>IF(A2796="","",IF(SUMPRODUCT((Ввод!$F$12:$F$31&lt;&gt;"")*(Ввод!$F$12:$F$31&lt;=A2796)*(Ввод!$G$12:$G$31&gt;=A2796))&gt;0,1,0))</f>
        <v/>
      </c>
      <c r="G2796">
        <f>IF(A2796="","",IF(OR(B2796&lt;&gt;B2795,C2796&lt;&gt;C2795,E2796&lt;&gt;E2795),G2795+1,G2795))</f>
        <v/>
      </c>
    </row>
    <row r="2797">
      <c r="A2797" s="20">
        <f>IF(A2796="","",IF(A2796+1&gt;Ввод!$B$4,"",A2796+1))</f>
        <v/>
      </c>
      <c r="B2797">
        <f>IF(A2797="","",IFERROR(INDEX(Ввод!$B$12:$B$71,MATCH(A2797,Ввод!$D$12:$D$71,1)),""))</f>
        <v/>
      </c>
      <c r="C2797">
        <f>IF(A2797="","",DATE(YEAR(A2797),12,31)-DATE(YEAR(A2797),1,1)+1)</f>
        <v/>
      </c>
      <c r="D2797">
        <f>IF(A2797="","",SUMIFS(Акты!$D$5:$D$16,Акты!$E$5:$E$16,"&lt;="&amp;A2797)-SUMIFS(Оплаты!$B$6:$B$505,Оплаты!$A$6:$A$505,"&lt;"&amp;A2797,Оплаты!$D$6:$D$505,"&lt;&gt;"))</f>
        <v/>
      </c>
      <c r="E2797">
        <f>IF(A2797="","",IF(SUMPRODUCT((Ввод!$F$12:$F$31&lt;&gt;"")*(Ввод!$F$12:$F$31&lt;=A2797)*(Ввод!$G$12:$G$31&gt;=A2797))&gt;0,1,0))</f>
        <v/>
      </c>
      <c r="G2797">
        <f>IF(A2797="","",IF(OR(B2797&lt;&gt;B2796,C2797&lt;&gt;C2796,E2797&lt;&gt;E2796),G2796+1,G2796))</f>
        <v/>
      </c>
    </row>
    <row r="2798">
      <c r="A2798" s="20">
        <f>IF(A2797="","",IF(A2797+1&gt;Ввод!$B$4,"",A2797+1))</f>
        <v/>
      </c>
      <c r="B2798">
        <f>IF(A2798="","",IFERROR(INDEX(Ввод!$B$12:$B$71,MATCH(A2798,Ввод!$D$12:$D$71,1)),""))</f>
        <v/>
      </c>
      <c r="C2798">
        <f>IF(A2798="","",DATE(YEAR(A2798),12,31)-DATE(YEAR(A2798),1,1)+1)</f>
        <v/>
      </c>
      <c r="D2798">
        <f>IF(A2798="","",SUMIFS(Акты!$D$5:$D$16,Акты!$E$5:$E$16,"&lt;="&amp;A2798)-SUMIFS(Оплаты!$B$6:$B$505,Оплаты!$A$6:$A$505,"&lt;"&amp;A2798,Оплаты!$D$6:$D$505,"&lt;&gt;"))</f>
        <v/>
      </c>
      <c r="E2798">
        <f>IF(A2798="","",IF(SUMPRODUCT((Ввод!$F$12:$F$31&lt;&gt;"")*(Ввод!$F$12:$F$31&lt;=A2798)*(Ввод!$G$12:$G$31&gt;=A2798))&gt;0,1,0))</f>
        <v/>
      </c>
      <c r="G2798">
        <f>IF(A2798="","",IF(OR(B2798&lt;&gt;B2797,C2798&lt;&gt;C2797,E2798&lt;&gt;E2797),G2797+1,G2797))</f>
        <v/>
      </c>
    </row>
    <row r="2799">
      <c r="A2799" s="20">
        <f>IF(A2798="","",IF(A2798+1&gt;Ввод!$B$4,"",A2798+1))</f>
        <v/>
      </c>
      <c r="B2799">
        <f>IF(A2799="","",IFERROR(INDEX(Ввод!$B$12:$B$71,MATCH(A2799,Ввод!$D$12:$D$71,1)),""))</f>
        <v/>
      </c>
      <c r="C2799">
        <f>IF(A2799="","",DATE(YEAR(A2799),12,31)-DATE(YEAR(A2799),1,1)+1)</f>
        <v/>
      </c>
      <c r="D2799">
        <f>IF(A2799="","",SUMIFS(Акты!$D$5:$D$16,Акты!$E$5:$E$16,"&lt;="&amp;A2799)-SUMIFS(Оплаты!$B$6:$B$505,Оплаты!$A$6:$A$505,"&lt;"&amp;A2799,Оплаты!$D$6:$D$505,"&lt;&gt;"))</f>
        <v/>
      </c>
      <c r="E2799">
        <f>IF(A2799="","",IF(SUMPRODUCT((Ввод!$F$12:$F$31&lt;&gt;"")*(Ввод!$F$12:$F$31&lt;=A2799)*(Ввод!$G$12:$G$31&gt;=A2799))&gt;0,1,0))</f>
        <v/>
      </c>
      <c r="G2799">
        <f>IF(A2799="","",IF(OR(B2799&lt;&gt;B2798,C2799&lt;&gt;C2798,E2799&lt;&gt;E2798),G2798+1,G2798))</f>
        <v/>
      </c>
    </row>
    <row r="2800">
      <c r="A2800" s="20">
        <f>IF(A2799="","",IF(A2799+1&gt;Ввод!$B$4,"",A2799+1))</f>
        <v/>
      </c>
      <c r="B2800">
        <f>IF(A2800="","",IFERROR(INDEX(Ввод!$B$12:$B$71,MATCH(A2800,Ввод!$D$12:$D$71,1)),""))</f>
        <v/>
      </c>
      <c r="C2800">
        <f>IF(A2800="","",DATE(YEAR(A2800),12,31)-DATE(YEAR(A2800),1,1)+1)</f>
        <v/>
      </c>
      <c r="D2800">
        <f>IF(A2800="","",SUMIFS(Акты!$D$5:$D$16,Акты!$E$5:$E$16,"&lt;="&amp;A2800)-SUMIFS(Оплаты!$B$6:$B$505,Оплаты!$A$6:$A$505,"&lt;"&amp;A2800,Оплаты!$D$6:$D$505,"&lt;&gt;"))</f>
        <v/>
      </c>
      <c r="E2800">
        <f>IF(A2800="","",IF(SUMPRODUCT((Ввод!$F$12:$F$31&lt;&gt;"")*(Ввод!$F$12:$F$31&lt;=A2800)*(Ввод!$G$12:$G$31&gt;=A2800))&gt;0,1,0))</f>
        <v/>
      </c>
      <c r="G2800">
        <f>IF(A2800="","",IF(OR(B2800&lt;&gt;B2799,C2800&lt;&gt;C2799,E2800&lt;&gt;E2799),G2799+1,G2799))</f>
        <v/>
      </c>
    </row>
    <row r="2801">
      <c r="A2801" s="20">
        <f>IF(A2800="","",IF(A2800+1&gt;Ввод!$B$4,"",A2800+1))</f>
        <v/>
      </c>
      <c r="B2801">
        <f>IF(A2801="","",IFERROR(INDEX(Ввод!$B$12:$B$71,MATCH(A2801,Ввод!$D$12:$D$71,1)),""))</f>
        <v/>
      </c>
      <c r="C2801">
        <f>IF(A2801="","",DATE(YEAR(A2801),12,31)-DATE(YEAR(A2801),1,1)+1)</f>
        <v/>
      </c>
      <c r="D2801">
        <f>IF(A2801="","",SUMIFS(Акты!$D$5:$D$16,Акты!$E$5:$E$16,"&lt;="&amp;A2801)-SUMIFS(Оплаты!$B$6:$B$505,Оплаты!$A$6:$A$505,"&lt;"&amp;A2801,Оплаты!$D$6:$D$505,"&lt;&gt;"))</f>
        <v/>
      </c>
      <c r="E2801">
        <f>IF(A2801="","",IF(SUMPRODUCT((Ввод!$F$12:$F$31&lt;&gt;"")*(Ввод!$F$12:$F$31&lt;=A2801)*(Ввод!$G$12:$G$31&gt;=A2801))&gt;0,1,0))</f>
        <v/>
      </c>
      <c r="G2801">
        <f>IF(A2801="","",IF(OR(B2801&lt;&gt;B2800,C2801&lt;&gt;C2800,E2801&lt;&gt;E2800),G2800+1,G2800))</f>
        <v/>
      </c>
    </row>
    <row r="2802">
      <c r="A2802" s="20">
        <f>IF(A2801="","",IF(A2801+1&gt;Ввод!$B$4,"",A2801+1))</f>
        <v/>
      </c>
      <c r="B2802">
        <f>IF(A2802="","",IFERROR(INDEX(Ввод!$B$12:$B$71,MATCH(A2802,Ввод!$D$12:$D$71,1)),""))</f>
        <v/>
      </c>
      <c r="C2802">
        <f>IF(A2802="","",DATE(YEAR(A2802),12,31)-DATE(YEAR(A2802),1,1)+1)</f>
        <v/>
      </c>
      <c r="D2802">
        <f>IF(A2802="","",SUMIFS(Акты!$D$5:$D$16,Акты!$E$5:$E$16,"&lt;="&amp;A2802)-SUMIFS(Оплаты!$B$6:$B$505,Оплаты!$A$6:$A$505,"&lt;"&amp;A2802,Оплаты!$D$6:$D$505,"&lt;&gt;"))</f>
        <v/>
      </c>
      <c r="E2802">
        <f>IF(A2802="","",IF(SUMPRODUCT((Ввод!$F$12:$F$31&lt;&gt;"")*(Ввод!$F$12:$F$31&lt;=A2802)*(Ввод!$G$12:$G$31&gt;=A2802))&gt;0,1,0))</f>
        <v/>
      </c>
      <c r="G2802">
        <f>IF(A2802="","",IF(OR(B2802&lt;&gt;B2801,C2802&lt;&gt;C2801,E2802&lt;&gt;E2801),G2801+1,G2801))</f>
        <v/>
      </c>
    </row>
    <row r="2803">
      <c r="A2803" s="20">
        <f>IF(A2802="","",IF(A2802+1&gt;Ввод!$B$4,"",A2802+1))</f>
        <v/>
      </c>
      <c r="B2803">
        <f>IF(A2803="","",IFERROR(INDEX(Ввод!$B$12:$B$71,MATCH(A2803,Ввод!$D$12:$D$71,1)),""))</f>
        <v/>
      </c>
      <c r="C2803">
        <f>IF(A2803="","",DATE(YEAR(A2803),12,31)-DATE(YEAR(A2803),1,1)+1)</f>
        <v/>
      </c>
      <c r="D2803">
        <f>IF(A2803="","",SUMIFS(Акты!$D$5:$D$16,Акты!$E$5:$E$16,"&lt;="&amp;A2803)-SUMIFS(Оплаты!$B$6:$B$505,Оплаты!$A$6:$A$505,"&lt;"&amp;A2803,Оплаты!$D$6:$D$505,"&lt;&gt;"))</f>
        <v/>
      </c>
      <c r="E2803">
        <f>IF(A2803="","",IF(SUMPRODUCT((Ввод!$F$12:$F$31&lt;&gt;"")*(Ввод!$F$12:$F$31&lt;=A2803)*(Ввод!$G$12:$G$31&gt;=A2803))&gt;0,1,0))</f>
        <v/>
      </c>
      <c r="G2803">
        <f>IF(A2803="","",IF(OR(B2803&lt;&gt;B2802,C2803&lt;&gt;C2802,E2803&lt;&gt;E2802),G2802+1,G2802))</f>
        <v/>
      </c>
    </row>
    <row r="2804">
      <c r="A2804" s="20">
        <f>IF(A2803="","",IF(A2803+1&gt;Ввод!$B$4,"",A2803+1))</f>
        <v/>
      </c>
      <c r="B2804">
        <f>IF(A2804="","",IFERROR(INDEX(Ввод!$B$12:$B$71,MATCH(A2804,Ввод!$D$12:$D$71,1)),""))</f>
        <v/>
      </c>
      <c r="C2804">
        <f>IF(A2804="","",DATE(YEAR(A2804),12,31)-DATE(YEAR(A2804),1,1)+1)</f>
        <v/>
      </c>
      <c r="D2804">
        <f>IF(A2804="","",SUMIFS(Акты!$D$5:$D$16,Акты!$E$5:$E$16,"&lt;="&amp;A2804)-SUMIFS(Оплаты!$B$6:$B$505,Оплаты!$A$6:$A$505,"&lt;"&amp;A2804,Оплаты!$D$6:$D$505,"&lt;&gt;"))</f>
        <v/>
      </c>
      <c r="E2804">
        <f>IF(A2804="","",IF(SUMPRODUCT((Ввод!$F$12:$F$31&lt;&gt;"")*(Ввод!$F$12:$F$31&lt;=A2804)*(Ввод!$G$12:$G$31&gt;=A2804))&gt;0,1,0))</f>
        <v/>
      </c>
      <c r="G2804">
        <f>IF(A2804="","",IF(OR(B2804&lt;&gt;B2803,C2804&lt;&gt;C2803,E2804&lt;&gt;E2803),G2803+1,G2803))</f>
        <v/>
      </c>
    </row>
    <row r="2805">
      <c r="A2805" s="20">
        <f>IF(A2804="","",IF(A2804+1&gt;Ввод!$B$4,"",A2804+1))</f>
        <v/>
      </c>
      <c r="B2805">
        <f>IF(A2805="","",IFERROR(INDEX(Ввод!$B$12:$B$71,MATCH(A2805,Ввод!$D$12:$D$71,1)),""))</f>
        <v/>
      </c>
      <c r="C2805">
        <f>IF(A2805="","",DATE(YEAR(A2805),12,31)-DATE(YEAR(A2805),1,1)+1)</f>
        <v/>
      </c>
      <c r="D2805">
        <f>IF(A2805="","",SUMIFS(Акты!$D$5:$D$16,Акты!$E$5:$E$16,"&lt;="&amp;A2805)-SUMIFS(Оплаты!$B$6:$B$505,Оплаты!$A$6:$A$505,"&lt;"&amp;A2805,Оплаты!$D$6:$D$505,"&lt;&gt;"))</f>
        <v/>
      </c>
      <c r="E2805">
        <f>IF(A2805="","",IF(SUMPRODUCT((Ввод!$F$12:$F$31&lt;&gt;"")*(Ввод!$F$12:$F$31&lt;=A2805)*(Ввод!$G$12:$G$31&gt;=A2805))&gt;0,1,0))</f>
        <v/>
      </c>
      <c r="G2805">
        <f>IF(A2805="","",IF(OR(B2805&lt;&gt;B2804,C2805&lt;&gt;C2804,E2805&lt;&gt;E2804),G2804+1,G2804))</f>
        <v/>
      </c>
    </row>
    <row r="2806">
      <c r="A2806" s="20">
        <f>IF(A2805="","",IF(A2805+1&gt;Ввод!$B$4,"",A2805+1))</f>
        <v/>
      </c>
      <c r="B2806">
        <f>IF(A2806="","",IFERROR(INDEX(Ввод!$B$12:$B$71,MATCH(A2806,Ввод!$D$12:$D$71,1)),""))</f>
        <v/>
      </c>
      <c r="C2806">
        <f>IF(A2806="","",DATE(YEAR(A2806),12,31)-DATE(YEAR(A2806),1,1)+1)</f>
        <v/>
      </c>
      <c r="D2806">
        <f>IF(A2806="","",SUMIFS(Акты!$D$5:$D$16,Акты!$E$5:$E$16,"&lt;="&amp;A2806)-SUMIFS(Оплаты!$B$6:$B$505,Оплаты!$A$6:$A$505,"&lt;"&amp;A2806,Оплаты!$D$6:$D$505,"&lt;&gt;"))</f>
        <v/>
      </c>
      <c r="E2806">
        <f>IF(A2806="","",IF(SUMPRODUCT((Ввод!$F$12:$F$31&lt;&gt;"")*(Ввод!$F$12:$F$31&lt;=A2806)*(Ввод!$G$12:$G$31&gt;=A2806))&gt;0,1,0))</f>
        <v/>
      </c>
      <c r="G2806">
        <f>IF(A2806="","",IF(OR(B2806&lt;&gt;B2805,C2806&lt;&gt;C2805,E2806&lt;&gt;E2805),G2805+1,G2805))</f>
        <v/>
      </c>
    </row>
    <row r="2807">
      <c r="A2807" s="20">
        <f>IF(A2806="","",IF(A2806+1&gt;Ввод!$B$4,"",A2806+1))</f>
        <v/>
      </c>
      <c r="B2807">
        <f>IF(A2807="","",IFERROR(INDEX(Ввод!$B$12:$B$71,MATCH(A2807,Ввод!$D$12:$D$71,1)),""))</f>
        <v/>
      </c>
      <c r="C2807">
        <f>IF(A2807="","",DATE(YEAR(A2807),12,31)-DATE(YEAR(A2807),1,1)+1)</f>
        <v/>
      </c>
      <c r="D2807">
        <f>IF(A2807="","",SUMIFS(Акты!$D$5:$D$16,Акты!$E$5:$E$16,"&lt;="&amp;A2807)-SUMIFS(Оплаты!$B$6:$B$505,Оплаты!$A$6:$A$505,"&lt;"&amp;A2807,Оплаты!$D$6:$D$505,"&lt;&gt;"))</f>
        <v/>
      </c>
      <c r="E2807">
        <f>IF(A2807="","",IF(SUMPRODUCT((Ввод!$F$12:$F$31&lt;&gt;"")*(Ввод!$F$12:$F$31&lt;=A2807)*(Ввод!$G$12:$G$31&gt;=A2807))&gt;0,1,0))</f>
        <v/>
      </c>
      <c r="G2807">
        <f>IF(A2807="","",IF(OR(B2807&lt;&gt;B2806,C2807&lt;&gt;C2806,E2807&lt;&gt;E2806),G2806+1,G2806))</f>
        <v/>
      </c>
    </row>
    <row r="2808">
      <c r="A2808" s="20">
        <f>IF(A2807="","",IF(A2807+1&gt;Ввод!$B$4,"",A2807+1))</f>
        <v/>
      </c>
      <c r="B2808">
        <f>IF(A2808="","",IFERROR(INDEX(Ввод!$B$12:$B$71,MATCH(A2808,Ввод!$D$12:$D$71,1)),""))</f>
        <v/>
      </c>
      <c r="C2808">
        <f>IF(A2808="","",DATE(YEAR(A2808),12,31)-DATE(YEAR(A2808),1,1)+1)</f>
        <v/>
      </c>
      <c r="D2808">
        <f>IF(A2808="","",SUMIFS(Акты!$D$5:$D$16,Акты!$E$5:$E$16,"&lt;="&amp;A2808)-SUMIFS(Оплаты!$B$6:$B$505,Оплаты!$A$6:$A$505,"&lt;"&amp;A2808,Оплаты!$D$6:$D$505,"&lt;&gt;"))</f>
        <v/>
      </c>
      <c r="E2808">
        <f>IF(A2808="","",IF(SUMPRODUCT((Ввод!$F$12:$F$31&lt;&gt;"")*(Ввод!$F$12:$F$31&lt;=A2808)*(Ввод!$G$12:$G$31&gt;=A2808))&gt;0,1,0))</f>
        <v/>
      </c>
      <c r="G2808">
        <f>IF(A2808="","",IF(OR(B2808&lt;&gt;B2807,C2808&lt;&gt;C2807,E2808&lt;&gt;E2807),G2807+1,G2807))</f>
        <v/>
      </c>
    </row>
    <row r="2809">
      <c r="A2809" s="20">
        <f>IF(A2808="","",IF(A2808+1&gt;Ввод!$B$4,"",A2808+1))</f>
        <v/>
      </c>
      <c r="B2809">
        <f>IF(A2809="","",IFERROR(INDEX(Ввод!$B$12:$B$71,MATCH(A2809,Ввод!$D$12:$D$71,1)),""))</f>
        <v/>
      </c>
      <c r="C2809">
        <f>IF(A2809="","",DATE(YEAR(A2809),12,31)-DATE(YEAR(A2809),1,1)+1)</f>
        <v/>
      </c>
      <c r="D2809">
        <f>IF(A2809="","",SUMIFS(Акты!$D$5:$D$16,Акты!$E$5:$E$16,"&lt;="&amp;A2809)-SUMIFS(Оплаты!$B$6:$B$505,Оплаты!$A$6:$A$505,"&lt;"&amp;A2809,Оплаты!$D$6:$D$505,"&lt;&gt;"))</f>
        <v/>
      </c>
      <c r="E2809">
        <f>IF(A2809="","",IF(SUMPRODUCT((Ввод!$F$12:$F$31&lt;&gt;"")*(Ввод!$F$12:$F$31&lt;=A2809)*(Ввод!$G$12:$G$31&gt;=A2809))&gt;0,1,0))</f>
        <v/>
      </c>
      <c r="G2809">
        <f>IF(A2809="","",IF(OR(B2809&lt;&gt;B2808,C2809&lt;&gt;C2808,E2809&lt;&gt;E2808),G2808+1,G2808))</f>
        <v/>
      </c>
    </row>
    <row r="2810">
      <c r="A2810" s="20">
        <f>IF(A2809="","",IF(A2809+1&gt;Ввод!$B$4,"",A2809+1))</f>
        <v/>
      </c>
      <c r="B2810">
        <f>IF(A2810="","",IFERROR(INDEX(Ввод!$B$12:$B$71,MATCH(A2810,Ввод!$D$12:$D$71,1)),""))</f>
        <v/>
      </c>
      <c r="C2810">
        <f>IF(A2810="","",DATE(YEAR(A2810),12,31)-DATE(YEAR(A2810),1,1)+1)</f>
        <v/>
      </c>
      <c r="D2810">
        <f>IF(A2810="","",SUMIFS(Акты!$D$5:$D$16,Акты!$E$5:$E$16,"&lt;="&amp;A2810)-SUMIFS(Оплаты!$B$6:$B$505,Оплаты!$A$6:$A$505,"&lt;"&amp;A2810,Оплаты!$D$6:$D$505,"&lt;&gt;"))</f>
        <v/>
      </c>
      <c r="E2810">
        <f>IF(A2810="","",IF(SUMPRODUCT((Ввод!$F$12:$F$31&lt;&gt;"")*(Ввод!$F$12:$F$31&lt;=A2810)*(Ввод!$G$12:$G$31&gt;=A2810))&gt;0,1,0))</f>
        <v/>
      </c>
      <c r="G2810">
        <f>IF(A2810="","",IF(OR(B2810&lt;&gt;B2809,C2810&lt;&gt;C2809,E2810&lt;&gt;E2809),G2809+1,G2809))</f>
        <v/>
      </c>
    </row>
    <row r="2811">
      <c r="A2811" s="20">
        <f>IF(A2810="","",IF(A2810+1&gt;Ввод!$B$4,"",A2810+1))</f>
        <v/>
      </c>
      <c r="B2811">
        <f>IF(A2811="","",IFERROR(INDEX(Ввод!$B$12:$B$71,MATCH(A2811,Ввод!$D$12:$D$71,1)),""))</f>
        <v/>
      </c>
      <c r="C2811">
        <f>IF(A2811="","",DATE(YEAR(A2811),12,31)-DATE(YEAR(A2811),1,1)+1)</f>
        <v/>
      </c>
      <c r="D2811">
        <f>IF(A2811="","",SUMIFS(Акты!$D$5:$D$16,Акты!$E$5:$E$16,"&lt;="&amp;A2811)-SUMIFS(Оплаты!$B$6:$B$505,Оплаты!$A$6:$A$505,"&lt;"&amp;A2811,Оплаты!$D$6:$D$505,"&lt;&gt;"))</f>
        <v/>
      </c>
      <c r="E2811">
        <f>IF(A2811="","",IF(SUMPRODUCT((Ввод!$F$12:$F$31&lt;&gt;"")*(Ввод!$F$12:$F$31&lt;=A2811)*(Ввод!$G$12:$G$31&gt;=A2811))&gt;0,1,0))</f>
        <v/>
      </c>
      <c r="G2811">
        <f>IF(A2811="","",IF(OR(B2811&lt;&gt;B2810,C2811&lt;&gt;C2810,E2811&lt;&gt;E2810),G2810+1,G2810))</f>
        <v/>
      </c>
    </row>
    <row r="2812">
      <c r="A2812" s="20">
        <f>IF(A2811="","",IF(A2811+1&gt;Ввод!$B$4,"",A2811+1))</f>
        <v/>
      </c>
      <c r="B2812">
        <f>IF(A2812="","",IFERROR(INDEX(Ввод!$B$12:$B$71,MATCH(A2812,Ввод!$D$12:$D$71,1)),""))</f>
        <v/>
      </c>
      <c r="C2812">
        <f>IF(A2812="","",DATE(YEAR(A2812),12,31)-DATE(YEAR(A2812),1,1)+1)</f>
        <v/>
      </c>
      <c r="D2812">
        <f>IF(A2812="","",SUMIFS(Акты!$D$5:$D$16,Акты!$E$5:$E$16,"&lt;="&amp;A2812)-SUMIFS(Оплаты!$B$6:$B$505,Оплаты!$A$6:$A$505,"&lt;"&amp;A2812,Оплаты!$D$6:$D$505,"&lt;&gt;"))</f>
        <v/>
      </c>
      <c r="E2812">
        <f>IF(A2812="","",IF(SUMPRODUCT((Ввод!$F$12:$F$31&lt;&gt;"")*(Ввод!$F$12:$F$31&lt;=A2812)*(Ввод!$G$12:$G$31&gt;=A2812))&gt;0,1,0))</f>
        <v/>
      </c>
      <c r="G2812">
        <f>IF(A2812="","",IF(OR(B2812&lt;&gt;B2811,C2812&lt;&gt;C2811,E2812&lt;&gt;E2811),G2811+1,G2811))</f>
        <v/>
      </c>
    </row>
    <row r="2813">
      <c r="A2813" s="20">
        <f>IF(A2812="","",IF(A2812+1&gt;Ввод!$B$4,"",A2812+1))</f>
        <v/>
      </c>
      <c r="B2813">
        <f>IF(A2813="","",IFERROR(INDEX(Ввод!$B$12:$B$71,MATCH(A2813,Ввод!$D$12:$D$71,1)),""))</f>
        <v/>
      </c>
      <c r="C2813">
        <f>IF(A2813="","",DATE(YEAR(A2813),12,31)-DATE(YEAR(A2813),1,1)+1)</f>
        <v/>
      </c>
      <c r="D2813">
        <f>IF(A2813="","",SUMIFS(Акты!$D$5:$D$16,Акты!$E$5:$E$16,"&lt;="&amp;A2813)-SUMIFS(Оплаты!$B$6:$B$505,Оплаты!$A$6:$A$505,"&lt;"&amp;A2813,Оплаты!$D$6:$D$505,"&lt;&gt;"))</f>
        <v/>
      </c>
      <c r="E2813">
        <f>IF(A2813="","",IF(SUMPRODUCT((Ввод!$F$12:$F$31&lt;&gt;"")*(Ввод!$F$12:$F$31&lt;=A2813)*(Ввод!$G$12:$G$31&gt;=A2813))&gt;0,1,0))</f>
        <v/>
      </c>
      <c r="G2813">
        <f>IF(A2813="","",IF(OR(B2813&lt;&gt;B2812,C2813&lt;&gt;C2812,E2813&lt;&gt;E2812),G2812+1,G2812))</f>
        <v/>
      </c>
    </row>
    <row r="2814">
      <c r="A2814" s="20">
        <f>IF(A2813="","",IF(A2813+1&gt;Ввод!$B$4,"",A2813+1))</f>
        <v/>
      </c>
      <c r="B2814">
        <f>IF(A2814="","",IFERROR(INDEX(Ввод!$B$12:$B$71,MATCH(A2814,Ввод!$D$12:$D$71,1)),""))</f>
        <v/>
      </c>
      <c r="C2814">
        <f>IF(A2814="","",DATE(YEAR(A2814),12,31)-DATE(YEAR(A2814),1,1)+1)</f>
        <v/>
      </c>
      <c r="D2814">
        <f>IF(A2814="","",SUMIFS(Акты!$D$5:$D$16,Акты!$E$5:$E$16,"&lt;="&amp;A2814)-SUMIFS(Оплаты!$B$6:$B$505,Оплаты!$A$6:$A$505,"&lt;"&amp;A2814,Оплаты!$D$6:$D$505,"&lt;&gt;"))</f>
        <v/>
      </c>
      <c r="E2814">
        <f>IF(A2814="","",IF(SUMPRODUCT((Ввод!$F$12:$F$31&lt;&gt;"")*(Ввод!$F$12:$F$31&lt;=A2814)*(Ввод!$G$12:$G$31&gt;=A2814))&gt;0,1,0))</f>
        <v/>
      </c>
      <c r="G2814">
        <f>IF(A2814="","",IF(OR(B2814&lt;&gt;B2813,C2814&lt;&gt;C2813,E2814&lt;&gt;E2813),G2813+1,G2813))</f>
        <v/>
      </c>
    </row>
    <row r="2815">
      <c r="A2815" s="20">
        <f>IF(A2814="","",IF(A2814+1&gt;Ввод!$B$4,"",A2814+1))</f>
        <v/>
      </c>
      <c r="B2815">
        <f>IF(A2815="","",IFERROR(INDEX(Ввод!$B$12:$B$71,MATCH(A2815,Ввод!$D$12:$D$71,1)),""))</f>
        <v/>
      </c>
      <c r="C2815">
        <f>IF(A2815="","",DATE(YEAR(A2815),12,31)-DATE(YEAR(A2815),1,1)+1)</f>
        <v/>
      </c>
      <c r="D2815">
        <f>IF(A2815="","",SUMIFS(Акты!$D$5:$D$16,Акты!$E$5:$E$16,"&lt;="&amp;A2815)-SUMIFS(Оплаты!$B$6:$B$505,Оплаты!$A$6:$A$505,"&lt;"&amp;A2815,Оплаты!$D$6:$D$505,"&lt;&gt;"))</f>
        <v/>
      </c>
      <c r="E2815">
        <f>IF(A2815="","",IF(SUMPRODUCT((Ввод!$F$12:$F$31&lt;&gt;"")*(Ввод!$F$12:$F$31&lt;=A2815)*(Ввод!$G$12:$G$31&gt;=A2815))&gt;0,1,0))</f>
        <v/>
      </c>
      <c r="G2815">
        <f>IF(A2815="","",IF(OR(B2815&lt;&gt;B2814,C2815&lt;&gt;C2814,E2815&lt;&gt;E2814),G2814+1,G2814))</f>
        <v/>
      </c>
    </row>
    <row r="2816">
      <c r="A2816" s="20">
        <f>IF(A2815="","",IF(A2815+1&gt;Ввод!$B$4,"",A2815+1))</f>
        <v/>
      </c>
      <c r="B2816">
        <f>IF(A2816="","",IFERROR(INDEX(Ввод!$B$12:$B$71,MATCH(A2816,Ввод!$D$12:$D$71,1)),""))</f>
        <v/>
      </c>
      <c r="C2816">
        <f>IF(A2816="","",DATE(YEAR(A2816),12,31)-DATE(YEAR(A2816),1,1)+1)</f>
        <v/>
      </c>
      <c r="D2816">
        <f>IF(A2816="","",SUMIFS(Акты!$D$5:$D$16,Акты!$E$5:$E$16,"&lt;="&amp;A2816)-SUMIFS(Оплаты!$B$6:$B$505,Оплаты!$A$6:$A$505,"&lt;"&amp;A2816,Оплаты!$D$6:$D$505,"&lt;&gt;"))</f>
        <v/>
      </c>
      <c r="E2816">
        <f>IF(A2816="","",IF(SUMPRODUCT((Ввод!$F$12:$F$31&lt;&gt;"")*(Ввод!$F$12:$F$31&lt;=A2816)*(Ввод!$G$12:$G$31&gt;=A2816))&gt;0,1,0))</f>
        <v/>
      </c>
      <c r="G2816">
        <f>IF(A2816="","",IF(OR(B2816&lt;&gt;B2815,C2816&lt;&gt;C2815,E2816&lt;&gt;E2815),G2815+1,G2815))</f>
        <v/>
      </c>
    </row>
    <row r="2817">
      <c r="A2817" s="20">
        <f>IF(A2816="","",IF(A2816+1&gt;Ввод!$B$4,"",A2816+1))</f>
        <v/>
      </c>
      <c r="B2817">
        <f>IF(A2817="","",IFERROR(INDEX(Ввод!$B$12:$B$71,MATCH(A2817,Ввод!$D$12:$D$71,1)),""))</f>
        <v/>
      </c>
      <c r="C2817">
        <f>IF(A2817="","",DATE(YEAR(A2817),12,31)-DATE(YEAR(A2817),1,1)+1)</f>
        <v/>
      </c>
      <c r="D2817">
        <f>IF(A2817="","",SUMIFS(Акты!$D$5:$D$16,Акты!$E$5:$E$16,"&lt;="&amp;A2817)-SUMIFS(Оплаты!$B$6:$B$505,Оплаты!$A$6:$A$505,"&lt;"&amp;A2817,Оплаты!$D$6:$D$505,"&lt;&gt;"))</f>
        <v/>
      </c>
      <c r="E2817">
        <f>IF(A2817="","",IF(SUMPRODUCT((Ввод!$F$12:$F$31&lt;&gt;"")*(Ввод!$F$12:$F$31&lt;=A2817)*(Ввод!$G$12:$G$31&gt;=A2817))&gt;0,1,0))</f>
        <v/>
      </c>
      <c r="G2817">
        <f>IF(A2817="","",IF(OR(B2817&lt;&gt;B2816,C2817&lt;&gt;C2816,E2817&lt;&gt;E2816),G2816+1,G2816))</f>
        <v/>
      </c>
    </row>
    <row r="2818">
      <c r="A2818" s="20">
        <f>IF(A2817="","",IF(A2817+1&gt;Ввод!$B$4,"",A2817+1))</f>
        <v/>
      </c>
      <c r="B2818">
        <f>IF(A2818="","",IFERROR(INDEX(Ввод!$B$12:$B$71,MATCH(A2818,Ввод!$D$12:$D$71,1)),""))</f>
        <v/>
      </c>
      <c r="C2818">
        <f>IF(A2818="","",DATE(YEAR(A2818),12,31)-DATE(YEAR(A2818),1,1)+1)</f>
        <v/>
      </c>
      <c r="D2818">
        <f>IF(A2818="","",SUMIFS(Акты!$D$5:$D$16,Акты!$E$5:$E$16,"&lt;="&amp;A2818)-SUMIFS(Оплаты!$B$6:$B$505,Оплаты!$A$6:$A$505,"&lt;"&amp;A2818,Оплаты!$D$6:$D$505,"&lt;&gt;"))</f>
        <v/>
      </c>
      <c r="E2818">
        <f>IF(A2818="","",IF(SUMPRODUCT((Ввод!$F$12:$F$31&lt;&gt;"")*(Ввод!$F$12:$F$31&lt;=A2818)*(Ввод!$G$12:$G$31&gt;=A2818))&gt;0,1,0))</f>
        <v/>
      </c>
      <c r="G2818">
        <f>IF(A2818="","",IF(OR(B2818&lt;&gt;B2817,C2818&lt;&gt;C2817,E2818&lt;&gt;E2817),G2817+1,G2817))</f>
        <v/>
      </c>
    </row>
    <row r="2819">
      <c r="A2819" s="20">
        <f>IF(A2818="","",IF(A2818+1&gt;Ввод!$B$4,"",A2818+1))</f>
        <v/>
      </c>
      <c r="B2819">
        <f>IF(A2819="","",IFERROR(INDEX(Ввод!$B$12:$B$71,MATCH(A2819,Ввод!$D$12:$D$71,1)),""))</f>
        <v/>
      </c>
      <c r="C2819">
        <f>IF(A2819="","",DATE(YEAR(A2819),12,31)-DATE(YEAR(A2819),1,1)+1)</f>
        <v/>
      </c>
      <c r="D2819">
        <f>IF(A2819="","",SUMIFS(Акты!$D$5:$D$16,Акты!$E$5:$E$16,"&lt;="&amp;A2819)-SUMIFS(Оплаты!$B$6:$B$505,Оплаты!$A$6:$A$505,"&lt;"&amp;A2819,Оплаты!$D$6:$D$505,"&lt;&gt;"))</f>
        <v/>
      </c>
      <c r="E2819">
        <f>IF(A2819="","",IF(SUMPRODUCT((Ввод!$F$12:$F$31&lt;&gt;"")*(Ввод!$F$12:$F$31&lt;=A2819)*(Ввод!$G$12:$G$31&gt;=A2819))&gt;0,1,0))</f>
        <v/>
      </c>
      <c r="G2819">
        <f>IF(A2819="","",IF(OR(B2819&lt;&gt;B2818,C2819&lt;&gt;C2818,E2819&lt;&gt;E2818),G2818+1,G2818))</f>
        <v/>
      </c>
    </row>
    <row r="2820">
      <c r="A2820" s="20">
        <f>IF(A2819="","",IF(A2819+1&gt;Ввод!$B$4,"",A2819+1))</f>
        <v/>
      </c>
      <c r="B2820">
        <f>IF(A2820="","",IFERROR(INDEX(Ввод!$B$12:$B$71,MATCH(A2820,Ввод!$D$12:$D$71,1)),""))</f>
        <v/>
      </c>
      <c r="C2820">
        <f>IF(A2820="","",DATE(YEAR(A2820),12,31)-DATE(YEAR(A2820),1,1)+1)</f>
        <v/>
      </c>
      <c r="D2820">
        <f>IF(A2820="","",SUMIFS(Акты!$D$5:$D$16,Акты!$E$5:$E$16,"&lt;="&amp;A2820)-SUMIFS(Оплаты!$B$6:$B$505,Оплаты!$A$6:$A$505,"&lt;"&amp;A2820,Оплаты!$D$6:$D$505,"&lt;&gt;"))</f>
        <v/>
      </c>
      <c r="E2820">
        <f>IF(A2820="","",IF(SUMPRODUCT((Ввод!$F$12:$F$31&lt;&gt;"")*(Ввод!$F$12:$F$31&lt;=A2820)*(Ввод!$G$12:$G$31&gt;=A2820))&gt;0,1,0))</f>
        <v/>
      </c>
      <c r="G2820">
        <f>IF(A2820="","",IF(OR(B2820&lt;&gt;B2819,C2820&lt;&gt;C2819,E2820&lt;&gt;E2819),G2819+1,G2819))</f>
        <v/>
      </c>
    </row>
    <row r="2821">
      <c r="A2821" s="20">
        <f>IF(A2820="","",IF(A2820+1&gt;Ввод!$B$4,"",A2820+1))</f>
        <v/>
      </c>
      <c r="B2821">
        <f>IF(A2821="","",IFERROR(INDEX(Ввод!$B$12:$B$71,MATCH(A2821,Ввод!$D$12:$D$71,1)),""))</f>
        <v/>
      </c>
      <c r="C2821">
        <f>IF(A2821="","",DATE(YEAR(A2821),12,31)-DATE(YEAR(A2821),1,1)+1)</f>
        <v/>
      </c>
      <c r="D2821">
        <f>IF(A2821="","",SUMIFS(Акты!$D$5:$D$16,Акты!$E$5:$E$16,"&lt;="&amp;A2821)-SUMIFS(Оплаты!$B$6:$B$505,Оплаты!$A$6:$A$505,"&lt;"&amp;A2821,Оплаты!$D$6:$D$505,"&lt;&gt;"))</f>
        <v/>
      </c>
      <c r="E2821">
        <f>IF(A2821="","",IF(SUMPRODUCT((Ввод!$F$12:$F$31&lt;&gt;"")*(Ввод!$F$12:$F$31&lt;=A2821)*(Ввод!$G$12:$G$31&gt;=A2821))&gt;0,1,0))</f>
        <v/>
      </c>
      <c r="G2821">
        <f>IF(A2821="","",IF(OR(B2821&lt;&gt;B2820,C2821&lt;&gt;C2820,E2821&lt;&gt;E2820),G2820+1,G2820))</f>
        <v/>
      </c>
    </row>
    <row r="2822">
      <c r="A2822" s="20">
        <f>IF(A2821="","",IF(A2821+1&gt;Ввод!$B$4,"",A2821+1))</f>
        <v/>
      </c>
      <c r="B2822">
        <f>IF(A2822="","",IFERROR(INDEX(Ввод!$B$12:$B$71,MATCH(A2822,Ввод!$D$12:$D$71,1)),""))</f>
        <v/>
      </c>
      <c r="C2822">
        <f>IF(A2822="","",DATE(YEAR(A2822),12,31)-DATE(YEAR(A2822),1,1)+1)</f>
        <v/>
      </c>
      <c r="D2822">
        <f>IF(A2822="","",SUMIFS(Акты!$D$5:$D$16,Акты!$E$5:$E$16,"&lt;="&amp;A2822)-SUMIFS(Оплаты!$B$6:$B$505,Оплаты!$A$6:$A$505,"&lt;"&amp;A2822,Оплаты!$D$6:$D$505,"&lt;&gt;"))</f>
        <v/>
      </c>
      <c r="E2822">
        <f>IF(A2822="","",IF(SUMPRODUCT((Ввод!$F$12:$F$31&lt;&gt;"")*(Ввод!$F$12:$F$31&lt;=A2822)*(Ввод!$G$12:$G$31&gt;=A2822))&gt;0,1,0))</f>
        <v/>
      </c>
      <c r="G2822">
        <f>IF(A2822="","",IF(OR(B2822&lt;&gt;B2821,C2822&lt;&gt;C2821,E2822&lt;&gt;E2821),G2821+1,G2821))</f>
        <v/>
      </c>
    </row>
    <row r="2823">
      <c r="A2823" s="20">
        <f>IF(A2822="","",IF(A2822+1&gt;Ввод!$B$4,"",A2822+1))</f>
        <v/>
      </c>
      <c r="B2823">
        <f>IF(A2823="","",IFERROR(INDEX(Ввод!$B$12:$B$71,MATCH(A2823,Ввод!$D$12:$D$71,1)),""))</f>
        <v/>
      </c>
      <c r="C2823">
        <f>IF(A2823="","",DATE(YEAR(A2823),12,31)-DATE(YEAR(A2823),1,1)+1)</f>
        <v/>
      </c>
      <c r="D2823">
        <f>IF(A2823="","",SUMIFS(Акты!$D$5:$D$16,Акты!$E$5:$E$16,"&lt;="&amp;A2823)-SUMIFS(Оплаты!$B$6:$B$505,Оплаты!$A$6:$A$505,"&lt;"&amp;A2823,Оплаты!$D$6:$D$505,"&lt;&gt;"))</f>
        <v/>
      </c>
      <c r="E2823">
        <f>IF(A2823="","",IF(SUMPRODUCT((Ввод!$F$12:$F$31&lt;&gt;"")*(Ввод!$F$12:$F$31&lt;=A2823)*(Ввод!$G$12:$G$31&gt;=A2823))&gt;0,1,0))</f>
        <v/>
      </c>
      <c r="G2823">
        <f>IF(A2823="","",IF(OR(B2823&lt;&gt;B2822,C2823&lt;&gt;C2822,E2823&lt;&gt;E2822),G2822+1,G2822))</f>
        <v/>
      </c>
    </row>
    <row r="2824">
      <c r="A2824" s="20">
        <f>IF(A2823="","",IF(A2823+1&gt;Ввод!$B$4,"",A2823+1))</f>
        <v/>
      </c>
      <c r="B2824">
        <f>IF(A2824="","",IFERROR(INDEX(Ввод!$B$12:$B$71,MATCH(A2824,Ввод!$D$12:$D$71,1)),""))</f>
        <v/>
      </c>
      <c r="C2824">
        <f>IF(A2824="","",DATE(YEAR(A2824),12,31)-DATE(YEAR(A2824),1,1)+1)</f>
        <v/>
      </c>
      <c r="D2824">
        <f>IF(A2824="","",SUMIFS(Акты!$D$5:$D$16,Акты!$E$5:$E$16,"&lt;="&amp;A2824)-SUMIFS(Оплаты!$B$6:$B$505,Оплаты!$A$6:$A$505,"&lt;"&amp;A2824,Оплаты!$D$6:$D$505,"&lt;&gt;"))</f>
        <v/>
      </c>
      <c r="E2824">
        <f>IF(A2824="","",IF(SUMPRODUCT((Ввод!$F$12:$F$31&lt;&gt;"")*(Ввод!$F$12:$F$31&lt;=A2824)*(Ввод!$G$12:$G$31&gt;=A2824))&gt;0,1,0))</f>
        <v/>
      </c>
      <c r="G2824">
        <f>IF(A2824="","",IF(OR(B2824&lt;&gt;B2823,C2824&lt;&gt;C2823,E2824&lt;&gt;E2823),G2823+1,G2823))</f>
        <v/>
      </c>
    </row>
    <row r="2825">
      <c r="A2825" s="20">
        <f>IF(A2824="","",IF(A2824+1&gt;Ввод!$B$4,"",A2824+1))</f>
        <v/>
      </c>
      <c r="B2825">
        <f>IF(A2825="","",IFERROR(INDEX(Ввод!$B$12:$B$71,MATCH(A2825,Ввод!$D$12:$D$71,1)),""))</f>
        <v/>
      </c>
      <c r="C2825">
        <f>IF(A2825="","",DATE(YEAR(A2825),12,31)-DATE(YEAR(A2825),1,1)+1)</f>
        <v/>
      </c>
      <c r="D2825">
        <f>IF(A2825="","",SUMIFS(Акты!$D$5:$D$16,Акты!$E$5:$E$16,"&lt;="&amp;A2825)-SUMIFS(Оплаты!$B$6:$B$505,Оплаты!$A$6:$A$505,"&lt;"&amp;A2825,Оплаты!$D$6:$D$505,"&lt;&gt;"))</f>
        <v/>
      </c>
      <c r="E2825">
        <f>IF(A2825="","",IF(SUMPRODUCT((Ввод!$F$12:$F$31&lt;&gt;"")*(Ввод!$F$12:$F$31&lt;=A2825)*(Ввод!$G$12:$G$31&gt;=A2825))&gt;0,1,0))</f>
        <v/>
      </c>
      <c r="G2825">
        <f>IF(A2825="","",IF(OR(B2825&lt;&gt;B2824,C2825&lt;&gt;C2824,E2825&lt;&gt;E2824),G2824+1,G2824))</f>
        <v/>
      </c>
    </row>
    <row r="2826">
      <c r="A2826" s="20">
        <f>IF(A2825="","",IF(A2825+1&gt;Ввод!$B$4,"",A2825+1))</f>
        <v/>
      </c>
      <c r="B2826">
        <f>IF(A2826="","",IFERROR(INDEX(Ввод!$B$12:$B$71,MATCH(A2826,Ввод!$D$12:$D$71,1)),""))</f>
        <v/>
      </c>
      <c r="C2826">
        <f>IF(A2826="","",DATE(YEAR(A2826),12,31)-DATE(YEAR(A2826),1,1)+1)</f>
        <v/>
      </c>
      <c r="D2826">
        <f>IF(A2826="","",SUMIFS(Акты!$D$5:$D$16,Акты!$E$5:$E$16,"&lt;="&amp;A2826)-SUMIFS(Оплаты!$B$6:$B$505,Оплаты!$A$6:$A$505,"&lt;"&amp;A2826,Оплаты!$D$6:$D$505,"&lt;&gt;"))</f>
        <v/>
      </c>
      <c r="E2826">
        <f>IF(A2826="","",IF(SUMPRODUCT((Ввод!$F$12:$F$31&lt;&gt;"")*(Ввод!$F$12:$F$31&lt;=A2826)*(Ввод!$G$12:$G$31&gt;=A2826))&gt;0,1,0))</f>
        <v/>
      </c>
      <c r="G2826">
        <f>IF(A2826="","",IF(OR(B2826&lt;&gt;B2825,C2826&lt;&gt;C2825,E2826&lt;&gt;E2825),G2825+1,G2825))</f>
        <v/>
      </c>
    </row>
    <row r="2827">
      <c r="A2827" s="20">
        <f>IF(A2826="","",IF(A2826+1&gt;Ввод!$B$4,"",A2826+1))</f>
        <v/>
      </c>
      <c r="B2827">
        <f>IF(A2827="","",IFERROR(INDEX(Ввод!$B$12:$B$71,MATCH(A2827,Ввод!$D$12:$D$71,1)),""))</f>
        <v/>
      </c>
      <c r="C2827">
        <f>IF(A2827="","",DATE(YEAR(A2827),12,31)-DATE(YEAR(A2827),1,1)+1)</f>
        <v/>
      </c>
      <c r="D2827">
        <f>IF(A2827="","",SUMIFS(Акты!$D$5:$D$16,Акты!$E$5:$E$16,"&lt;="&amp;A2827)-SUMIFS(Оплаты!$B$6:$B$505,Оплаты!$A$6:$A$505,"&lt;"&amp;A2827,Оплаты!$D$6:$D$505,"&lt;&gt;"))</f>
        <v/>
      </c>
      <c r="E2827">
        <f>IF(A2827="","",IF(SUMPRODUCT((Ввод!$F$12:$F$31&lt;&gt;"")*(Ввод!$F$12:$F$31&lt;=A2827)*(Ввод!$G$12:$G$31&gt;=A2827))&gt;0,1,0))</f>
        <v/>
      </c>
      <c r="G2827">
        <f>IF(A2827="","",IF(OR(B2827&lt;&gt;B2826,C2827&lt;&gt;C2826,E2827&lt;&gt;E2826),G2826+1,G2826))</f>
        <v/>
      </c>
    </row>
    <row r="2828">
      <c r="A2828" s="20">
        <f>IF(A2827="","",IF(A2827+1&gt;Ввод!$B$4,"",A2827+1))</f>
        <v/>
      </c>
      <c r="B2828">
        <f>IF(A2828="","",IFERROR(INDEX(Ввод!$B$12:$B$71,MATCH(A2828,Ввод!$D$12:$D$71,1)),""))</f>
        <v/>
      </c>
      <c r="C2828">
        <f>IF(A2828="","",DATE(YEAR(A2828),12,31)-DATE(YEAR(A2828),1,1)+1)</f>
        <v/>
      </c>
      <c r="D2828">
        <f>IF(A2828="","",SUMIFS(Акты!$D$5:$D$16,Акты!$E$5:$E$16,"&lt;="&amp;A2828)-SUMIFS(Оплаты!$B$6:$B$505,Оплаты!$A$6:$A$505,"&lt;"&amp;A2828,Оплаты!$D$6:$D$505,"&lt;&gt;"))</f>
        <v/>
      </c>
      <c r="E2828">
        <f>IF(A2828="","",IF(SUMPRODUCT((Ввод!$F$12:$F$31&lt;&gt;"")*(Ввод!$F$12:$F$31&lt;=A2828)*(Ввод!$G$12:$G$31&gt;=A2828))&gt;0,1,0))</f>
        <v/>
      </c>
      <c r="G2828">
        <f>IF(A2828="","",IF(OR(B2828&lt;&gt;B2827,C2828&lt;&gt;C2827,E2828&lt;&gt;E2827),G2827+1,G2827))</f>
        <v/>
      </c>
    </row>
    <row r="2829">
      <c r="A2829" s="20">
        <f>IF(A2828="","",IF(A2828+1&gt;Ввод!$B$4,"",A2828+1))</f>
        <v/>
      </c>
      <c r="B2829">
        <f>IF(A2829="","",IFERROR(INDEX(Ввод!$B$12:$B$71,MATCH(A2829,Ввод!$D$12:$D$71,1)),""))</f>
        <v/>
      </c>
      <c r="C2829">
        <f>IF(A2829="","",DATE(YEAR(A2829),12,31)-DATE(YEAR(A2829),1,1)+1)</f>
        <v/>
      </c>
      <c r="D2829">
        <f>IF(A2829="","",SUMIFS(Акты!$D$5:$D$16,Акты!$E$5:$E$16,"&lt;="&amp;A2829)-SUMIFS(Оплаты!$B$6:$B$505,Оплаты!$A$6:$A$505,"&lt;"&amp;A2829,Оплаты!$D$6:$D$505,"&lt;&gt;"))</f>
        <v/>
      </c>
      <c r="E2829">
        <f>IF(A2829="","",IF(SUMPRODUCT((Ввод!$F$12:$F$31&lt;&gt;"")*(Ввод!$F$12:$F$31&lt;=A2829)*(Ввод!$G$12:$G$31&gt;=A2829))&gt;0,1,0))</f>
        <v/>
      </c>
      <c r="G2829">
        <f>IF(A2829="","",IF(OR(B2829&lt;&gt;B2828,C2829&lt;&gt;C2828,E2829&lt;&gt;E2828),G2828+1,G2828))</f>
        <v/>
      </c>
    </row>
    <row r="2830">
      <c r="A2830" s="20">
        <f>IF(A2829="","",IF(A2829+1&gt;Ввод!$B$4,"",A2829+1))</f>
        <v/>
      </c>
      <c r="B2830">
        <f>IF(A2830="","",IFERROR(INDEX(Ввод!$B$12:$B$71,MATCH(A2830,Ввод!$D$12:$D$71,1)),""))</f>
        <v/>
      </c>
      <c r="C2830">
        <f>IF(A2830="","",DATE(YEAR(A2830),12,31)-DATE(YEAR(A2830),1,1)+1)</f>
        <v/>
      </c>
      <c r="D2830">
        <f>IF(A2830="","",SUMIFS(Акты!$D$5:$D$16,Акты!$E$5:$E$16,"&lt;="&amp;A2830)-SUMIFS(Оплаты!$B$6:$B$505,Оплаты!$A$6:$A$505,"&lt;"&amp;A2830,Оплаты!$D$6:$D$505,"&lt;&gt;"))</f>
        <v/>
      </c>
      <c r="E2830">
        <f>IF(A2830="","",IF(SUMPRODUCT((Ввод!$F$12:$F$31&lt;&gt;"")*(Ввод!$F$12:$F$31&lt;=A2830)*(Ввод!$G$12:$G$31&gt;=A2830))&gt;0,1,0))</f>
        <v/>
      </c>
      <c r="G2830">
        <f>IF(A2830="","",IF(OR(B2830&lt;&gt;B2829,C2830&lt;&gt;C2829,E2830&lt;&gt;E2829),G2829+1,G2829))</f>
        <v/>
      </c>
    </row>
    <row r="2831">
      <c r="A2831" s="20">
        <f>IF(A2830="","",IF(A2830+1&gt;Ввод!$B$4,"",A2830+1))</f>
        <v/>
      </c>
      <c r="B2831">
        <f>IF(A2831="","",IFERROR(INDEX(Ввод!$B$12:$B$71,MATCH(A2831,Ввод!$D$12:$D$71,1)),""))</f>
        <v/>
      </c>
      <c r="C2831">
        <f>IF(A2831="","",DATE(YEAR(A2831),12,31)-DATE(YEAR(A2831),1,1)+1)</f>
        <v/>
      </c>
      <c r="D2831">
        <f>IF(A2831="","",SUMIFS(Акты!$D$5:$D$16,Акты!$E$5:$E$16,"&lt;="&amp;A2831)-SUMIFS(Оплаты!$B$6:$B$505,Оплаты!$A$6:$A$505,"&lt;"&amp;A2831,Оплаты!$D$6:$D$505,"&lt;&gt;"))</f>
        <v/>
      </c>
      <c r="E2831">
        <f>IF(A2831="","",IF(SUMPRODUCT((Ввод!$F$12:$F$31&lt;&gt;"")*(Ввод!$F$12:$F$31&lt;=A2831)*(Ввод!$G$12:$G$31&gt;=A2831))&gt;0,1,0))</f>
        <v/>
      </c>
      <c r="G2831">
        <f>IF(A2831="","",IF(OR(B2831&lt;&gt;B2830,C2831&lt;&gt;C2830,E2831&lt;&gt;E2830),G2830+1,G2830))</f>
        <v/>
      </c>
    </row>
    <row r="2832">
      <c r="A2832" s="20">
        <f>IF(A2831="","",IF(A2831+1&gt;Ввод!$B$4,"",A2831+1))</f>
        <v/>
      </c>
      <c r="B2832">
        <f>IF(A2832="","",IFERROR(INDEX(Ввод!$B$12:$B$71,MATCH(A2832,Ввод!$D$12:$D$71,1)),""))</f>
        <v/>
      </c>
      <c r="C2832">
        <f>IF(A2832="","",DATE(YEAR(A2832),12,31)-DATE(YEAR(A2832),1,1)+1)</f>
        <v/>
      </c>
      <c r="D2832">
        <f>IF(A2832="","",SUMIFS(Акты!$D$5:$D$16,Акты!$E$5:$E$16,"&lt;="&amp;A2832)-SUMIFS(Оплаты!$B$6:$B$505,Оплаты!$A$6:$A$505,"&lt;"&amp;A2832,Оплаты!$D$6:$D$505,"&lt;&gt;"))</f>
        <v/>
      </c>
      <c r="E2832">
        <f>IF(A2832="","",IF(SUMPRODUCT((Ввод!$F$12:$F$31&lt;&gt;"")*(Ввод!$F$12:$F$31&lt;=A2832)*(Ввод!$G$12:$G$31&gt;=A2832))&gt;0,1,0))</f>
        <v/>
      </c>
      <c r="G2832">
        <f>IF(A2832="","",IF(OR(B2832&lt;&gt;B2831,C2832&lt;&gt;C2831,E2832&lt;&gt;E2831),G2831+1,G2831))</f>
        <v/>
      </c>
    </row>
    <row r="2833">
      <c r="A2833" s="20">
        <f>IF(A2832="","",IF(A2832+1&gt;Ввод!$B$4,"",A2832+1))</f>
        <v/>
      </c>
      <c r="B2833">
        <f>IF(A2833="","",IFERROR(INDEX(Ввод!$B$12:$B$71,MATCH(A2833,Ввод!$D$12:$D$71,1)),""))</f>
        <v/>
      </c>
      <c r="C2833">
        <f>IF(A2833="","",DATE(YEAR(A2833),12,31)-DATE(YEAR(A2833),1,1)+1)</f>
        <v/>
      </c>
      <c r="D2833">
        <f>IF(A2833="","",SUMIFS(Акты!$D$5:$D$16,Акты!$E$5:$E$16,"&lt;="&amp;A2833)-SUMIFS(Оплаты!$B$6:$B$505,Оплаты!$A$6:$A$505,"&lt;"&amp;A2833,Оплаты!$D$6:$D$505,"&lt;&gt;"))</f>
        <v/>
      </c>
      <c r="E2833">
        <f>IF(A2833="","",IF(SUMPRODUCT((Ввод!$F$12:$F$31&lt;&gt;"")*(Ввод!$F$12:$F$31&lt;=A2833)*(Ввод!$G$12:$G$31&gt;=A2833))&gt;0,1,0))</f>
        <v/>
      </c>
      <c r="G2833">
        <f>IF(A2833="","",IF(OR(B2833&lt;&gt;B2832,C2833&lt;&gt;C2832,E2833&lt;&gt;E2832),G2832+1,G2832))</f>
        <v/>
      </c>
    </row>
    <row r="2834">
      <c r="A2834" s="20">
        <f>IF(A2833="","",IF(A2833+1&gt;Ввод!$B$4,"",A2833+1))</f>
        <v/>
      </c>
      <c r="B2834">
        <f>IF(A2834="","",IFERROR(INDEX(Ввод!$B$12:$B$71,MATCH(A2834,Ввод!$D$12:$D$71,1)),""))</f>
        <v/>
      </c>
      <c r="C2834">
        <f>IF(A2834="","",DATE(YEAR(A2834),12,31)-DATE(YEAR(A2834),1,1)+1)</f>
        <v/>
      </c>
      <c r="D2834">
        <f>IF(A2834="","",SUMIFS(Акты!$D$5:$D$16,Акты!$E$5:$E$16,"&lt;="&amp;A2834)-SUMIFS(Оплаты!$B$6:$B$505,Оплаты!$A$6:$A$505,"&lt;"&amp;A2834,Оплаты!$D$6:$D$505,"&lt;&gt;"))</f>
        <v/>
      </c>
      <c r="E2834">
        <f>IF(A2834="","",IF(SUMPRODUCT((Ввод!$F$12:$F$31&lt;&gt;"")*(Ввод!$F$12:$F$31&lt;=A2834)*(Ввод!$G$12:$G$31&gt;=A2834))&gt;0,1,0))</f>
        <v/>
      </c>
      <c r="G2834">
        <f>IF(A2834="","",IF(OR(B2834&lt;&gt;B2833,C2834&lt;&gt;C2833,E2834&lt;&gt;E2833),G2833+1,G2833))</f>
        <v/>
      </c>
    </row>
    <row r="2835">
      <c r="A2835" s="20">
        <f>IF(A2834="","",IF(A2834+1&gt;Ввод!$B$4,"",A2834+1))</f>
        <v/>
      </c>
      <c r="B2835">
        <f>IF(A2835="","",IFERROR(INDEX(Ввод!$B$12:$B$71,MATCH(A2835,Ввод!$D$12:$D$71,1)),""))</f>
        <v/>
      </c>
      <c r="C2835">
        <f>IF(A2835="","",DATE(YEAR(A2835),12,31)-DATE(YEAR(A2835),1,1)+1)</f>
        <v/>
      </c>
      <c r="D2835">
        <f>IF(A2835="","",SUMIFS(Акты!$D$5:$D$16,Акты!$E$5:$E$16,"&lt;="&amp;A2835)-SUMIFS(Оплаты!$B$6:$B$505,Оплаты!$A$6:$A$505,"&lt;"&amp;A2835,Оплаты!$D$6:$D$505,"&lt;&gt;"))</f>
        <v/>
      </c>
      <c r="E2835">
        <f>IF(A2835="","",IF(SUMPRODUCT((Ввод!$F$12:$F$31&lt;&gt;"")*(Ввод!$F$12:$F$31&lt;=A2835)*(Ввод!$G$12:$G$31&gt;=A2835))&gt;0,1,0))</f>
        <v/>
      </c>
      <c r="G2835">
        <f>IF(A2835="","",IF(OR(B2835&lt;&gt;B2834,C2835&lt;&gt;C2834,E2835&lt;&gt;E2834),G2834+1,G2834))</f>
        <v/>
      </c>
    </row>
    <row r="2836">
      <c r="A2836" s="20">
        <f>IF(A2835="","",IF(A2835+1&gt;Ввод!$B$4,"",A2835+1))</f>
        <v/>
      </c>
      <c r="B2836">
        <f>IF(A2836="","",IFERROR(INDEX(Ввод!$B$12:$B$71,MATCH(A2836,Ввод!$D$12:$D$71,1)),""))</f>
        <v/>
      </c>
      <c r="C2836">
        <f>IF(A2836="","",DATE(YEAR(A2836),12,31)-DATE(YEAR(A2836),1,1)+1)</f>
        <v/>
      </c>
      <c r="D2836">
        <f>IF(A2836="","",SUMIFS(Акты!$D$5:$D$16,Акты!$E$5:$E$16,"&lt;="&amp;A2836)-SUMIFS(Оплаты!$B$6:$B$505,Оплаты!$A$6:$A$505,"&lt;"&amp;A2836,Оплаты!$D$6:$D$505,"&lt;&gt;"))</f>
        <v/>
      </c>
      <c r="E2836">
        <f>IF(A2836="","",IF(SUMPRODUCT((Ввод!$F$12:$F$31&lt;&gt;"")*(Ввод!$F$12:$F$31&lt;=A2836)*(Ввод!$G$12:$G$31&gt;=A2836))&gt;0,1,0))</f>
        <v/>
      </c>
      <c r="G2836">
        <f>IF(A2836="","",IF(OR(B2836&lt;&gt;B2835,C2836&lt;&gt;C2835,E2836&lt;&gt;E2835),G2835+1,G2835))</f>
        <v/>
      </c>
    </row>
    <row r="2837">
      <c r="A2837" s="20">
        <f>IF(A2836="","",IF(A2836+1&gt;Ввод!$B$4,"",A2836+1))</f>
        <v/>
      </c>
      <c r="B2837">
        <f>IF(A2837="","",IFERROR(INDEX(Ввод!$B$12:$B$71,MATCH(A2837,Ввод!$D$12:$D$71,1)),""))</f>
        <v/>
      </c>
      <c r="C2837">
        <f>IF(A2837="","",DATE(YEAR(A2837),12,31)-DATE(YEAR(A2837),1,1)+1)</f>
        <v/>
      </c>
      <c r="D2837">
        <f>IF(A2837="","",SUMIFS(Акты!$D$5:$D$16,Акты!$E$5:$E$16,"&lt;="&amp;A2837)-SUMIFS(Оплаты!$B$6:$B$505,Оплаты!$A$6:$A$505,"&lt;"&amp;A2837,Оплаты!$D$6:$D$505,"&lt;&gt;"))</f>
        <v/>
      </c>
      <c r="E2837">
        <f>IF(A2837="","",IF(SUMPRODUCT((Ввод!$F$12:$F$31&lt;&gt;"")*(Ввод!$F$12:$F$31&lt;=A2837)*(Ввод!$G$12:$G$31&gt;=A2837))&gt;0,1,0))</f>
        <v/>
      </c>
      <c r="G2837">
        <f>IF(A2837="","",IF(OR(B2837&lt;&gt;B2836,C2837&lt;&gt;C2836,E2837&lt;&gt;E2836),G2836+1,G2836))</f>
        <v/>
      </c>
    </row>
    <row r="2838">
      <c r="A2838" s="20">
        <f>IF(A2837="","",IF(A2837+1&gt;Ввод!$B$4,"",A2837+1))</f>
        <v/>
      </c>
      <c r="B2838">
        <f>IF(A2838="","",IFERROR(INDEX(Ввод!$B$12:$B$71,MATCH(A2838,Ввод!$D$12:$D$71,1)),""))</f>
        <v/>
      </c>
      <c r="C2838">
        <f>IF(A2838="","",DATE(YEAR(A2838),12,31)-DATE(YEAR(A2838),1,1)+1)</f>
        <v/>
      </c>
      <c r="D2838">
        <f>IF(A2838="","",SUMIFS(Акты!$D$5:$D$16,Акты!$E$5:$E$16,"&lt;="&amp;A2838)-SUMIFS(Оплаты!$B$6:$B$505,Оплаты!$A$6:$A$505,"&lt;"&amp;A2838,Оплаты!$D$6:$D$505,"&lt;&gt;"))</f>
        <v/>
      </c>
      <c r="E2838">
        <f>IF(A2838="","",IF(SUMPRODUCT((Ввод!$F$12:$F$31&lt;&gt;"")*(Ввод!$F$12:$F$31&lt;=A2838)*(Ввод!$G$12:$G$31&gt;=A2838))&gt;0,1,0))</f>
        <v/>
      </c>
      <c r="G2838">
        <f>IF(A2838="","",IF(OR(B2838&lt;&gt;B2837,C2838&lt;&gt;C2837,E2838&lt;&gt;E2837),G2837+1,G2837))</f>
        <v/>
      </c>
    </row>
    <row r="2839">
      <c r="A2839" s="20">
        <f>IF(A2838="","",IF(A2838+1&gt;Ввод!$B$4,"",A2838+1))</f>
        <v/>
      </c>
      <c r="B2839">
        <f>IF(A2839="","",IFERROR(INDEX(Ввод!$B$12:$B$71,MATCH(A2839,Ввод!$D$12:$D$71,1)),""))</f>
        <v/>
      </c>
      <c r="C2839">
        <f>IF(A2839="","",DATE(YEAR(A2839),12,31)-DATE(YEAR(A2839),1,1)+1)</f>
        <v/>
      </c>
      <c r="D2839">
        <f>IF(A2839="","",SUMIFS(Акты!$D$5:$D$16,Акты!$E$5:$E$16,"&lt;="&amp;A2839)-SUMIFS(Оплаты!$B$6:$B$505,Оплаты!$A$6:$A$505,"&lt;"&amp;A2839,Оплаты!$D$6:$D$505,"&lt;&gt;"))</f>
        <v/>
      </c>
      <c r="E2839">
        <f>IF(A2839="","",IF(SUMPRODUCT((Ввод!$F$12:$F$31&lt;&gt;"")*(Ввод!$F$12:$F$31&lt;=A2839)*(Ввод!$G$12:$G$31&gt;=A2839))&gt;0,1,0))</f>
        <v/>
      </c>
      <c r="G2839">
        <f>IF(A2839="","",IF(OR(B2839&lt;&gt;B2838,C2839&lt;&gt;C2838,E2839&lt;&gt;E2838),G2838+1,G2838))</f>
        <v/>
      </c>
    </row>
    <row r="2840">
      <c r="A2840" s="20">
        <f>IF(A2839="","",IF(A2839+1&gt;Ввод!$B$4,"",A2839+1))</f>
        <v/>
      </c>
      <c r="B2840">
        <f>IF(A2840="","",IFERROR(INDEX(Ввод!$B$12:$B$71,MATCH(A2840,Ввод!$D$12:$D$71,1)),""))</f>
        <v/>
      </c>
      <c r="C2840">
        <f>IF(A2840="","",DATE(YEAR(A2840),12,31)-DATE(YEAR(A2840),1,1)+1)</f>
        <v/>
      </c>
      <c r="D2840">
        <f>IF(A2840="","",SUMIFS(Акты!$D$5:$D$16,Акты!$E$5:$E$16,"&lt;="&amp;A2840)-SUMIFS(Оплаты!$B$6:$B$505,Оплаты!$A$6:$A$505,"&lt;"&amp;A2840,Оплаты!$D$6:$D$505,"&lt;&gt;"))</f>
        <v/>
      </c>
      <c r="E2840">
        <f>IF(A2840="","",IF(SUMPRODUCT((Ввод!$F$12:$F$31&lt;&gt;"")*(Ввод!$F$12:$F$31&lt;=A2840)*(Ввод!$G$12:$G$31&gt;=A2840))&gt;0,1,0))</f>
        <v/>
      </c>
      <c r="G2840">
        <f>IF(A2840="","",IF(OR(B2840&lt;&gt;B2839,C2840&lt;&gt;C2839,E2840&lt;&gt;E2839),G2839+1,G2839))</f>
        <v/>
      </c>
    </row>
    <row r="2841">
      <c r="A2841" s="20">
        <f>IF(A2840="","",IF(A2840+1&gt;Ввод!$B$4,"",A2840+1))</f>
        <v/>
      </c>
      <c r="B2841">
        <f>IF(A2841="","",IFERROR(INDEX(Ввод!$B$12:$B$71,MATCH(A2841,Ввод!$D$12:$D$71,1)),""))</f>
        <v/>
      </c>
      <c r="C2841">
        <f>IF(A2841="","",DATE(YEAR(A2841),12,31)-DATE(YEAR(A2841),1,1)+1)</f>
        <v/>
      </c>
      <c r="D2841">
        <f>IF(A2841="","",SUMIFS(Акты!$D$5:$D$16,Акты!$E$5:$E$16,"&lt;="&amp;A2841)-SUMIFS(Оплаты!$B$6:$B$505,Оплаты!$A$6:$A$505,"&lt;"&amp;A2841,Оплаты!$D$6:$D$505,"&lt;&gt;"))</f>
        <v/>
      </c>
      <c r="E2841">
        <f>IF(A2841="","",IF(SUMPRODUCT((Ввод!$F$12:$F$31&lt;&gt;"")*(Ввод!$F$12:$F$31&lt;=A2841)*(Ввод!$G$12:$G$31&gt;=A2841))&gt;0,1,0))</f>
        <v/>
      </c>
      <c r="G2841">
        <f>IF(A2841="","",IF(OR(B2841&lt;&gt;B2840,C2841&lt;&gt;C2840,E2841&lt;&gt;E2840),G2840+1,G2840))</f>
        <v/>
      </c>
    </row>
    <row r="2842">
      <c r="A2842" s="20">
        <f>IF(A2841="","",IF(A2841+1&gt;Ввод!$B$4,"",A2841+1))</f>
        <v/>
      </c>
      <c r="B2842">
        <f>IF(A2842="","",IFERROR(INDEX(Ввод!$B$12:$B$71,MATCH(A2842,Ввод!$D$12:$D$71,1)),""))</f>
        <v/>
      </c>
      <c r="C2842">
        <f>IF(A2842="","",DATE(YEAR(A2842),12,31)-DATE(YEAR(A2842),1,1)+1)</f>
        <v/>
      </c>
      <c r="D2842">
        <f>IF(A2842="","",SUMIFS(Акты!$D$5:$D$16,Акты!$E$5:$E$16,"&lt;="&amp;A2842)-SUMIFS(Оплаты!$B$6:$B$505,Оплаты!$A$6:$A$505,"&lt;"&amp;A2842,Оплаты!$D$6:$D$505,"&lt;&gt;"))</f>
        <v/>
      </c>
      <c r="E2842">
        <f>IF(A2842="","",IF(SUMPRODUCT((Ввод!$F$12:$F$31&lt;&gt;"")*(Ввод!$F$12:$F$31&lt;=A2842)*(Ввод!$G$12:$G$31&gt;=A2842))&gt;0,1,0))</f>
        <v/>
      </c>
      <c r="G2842">
        <f>IF(A2842="","",IF(OR(B2842&lt;&gt;B2841,C2842&lt;&gt;C2841,E2842&lt;&gt;E2841),G2841+1,G2841))</f>
        <v/>
      </c>
    </row>
    <row r="2843">
      <c r="A2843" s="20">
        <f>IF(A2842="","",IF(A2842+1&gt;Ввод!$B$4,"",A2842+1))</f>
        <v/>
      </c>
      <c r="B2843">
        <f>IF(A2843="","",IFERROR(INDEX(Ввод!$B$12:$B$71,MATCH(A2843,Ввод!$D$12:$D$71,1)),""))</f>
        <v/>
      </c>
      <c r="C2843">
        <f>IF(A2843="","",DATE(YEAR(A2843),12,31)-DATE(YEAR(A2843),1,1)+1)</f>
        <v/>
      </c>
      <c r="D2843">
        <f>IF(A2843="","",SUMIFS(Акты!$D$5:$D$16,Акты!$E$5:$E$16,"&lt;="&amp;A2843)-SUMIFS(Оплаты!$B$6:$B$505,Оплаты!$A$6:$A$505,"&lt;"&amp;A2843,Оплаты!$D$6:$D$505,"&lt;&gt;"))</f>
        <v/>
      </c>
      <c r="E2843">
        <f>IF(A2843="","",IF(SUMPRODUCT((Ввод!$F$12:$F$31&lt;&gt;"")*(Ввод!$F$12:$F$31&lt;=A2843)*(Ввод!$G$12:$G$31&gt;=A2843))&gt;0,1,0))</f>
        <v/>
      </c>
      <c r="G2843">
        <f>IF(A2843="","",IF(OR(B2843&lt;&gt;B2842,C2843&lt;&gt;C2842,E2843&lt;&gt;E2842),G2842+1,G2842))</f>
        <v/>
      </c>
    </row>
    <row r="2844">
      <c r="A2844" s="20">
        <f>IF(A2843="","",IF(A2843+1&gt;Ввод!$B$4,"",A2843+1))</f>
        <v/>
      </c>
      <c r="B2844">
        <f>IF(A2844="","",IFERROR(INDEX(Ввод!$B$12:$B$71,MATCH(A2844,Ввод!$D$12:$D$71,1)),""))</f>
        <v/>
      </c>
      <c r="C2844">
        <f>IF(A2844="","",DATE(YEAR(A2844),12,31)-DATE(YEAR(A2844),1,1)+1)</f>
        <v/>
      </c>
      <c r="D2844">
        <f>IF(A2844="","",SUMIFS(Акты!$D$5:$D$16,Акты!$E$5:$E$16,"&lt;="&amp;A2844)-SUMIFS(Оплаты!$B$6:$B$505,Оплаты!$A$6:$A$505,"&lt;"&amp;A2844,Оплаты!$D$6:$D$505,"&lt;&gt;"))</f>
        <v/>
      </c>
      <c r="E2844">
        <f>IF(A2844="","",IF(SUMPRODUCT((Ввод!$F$12:$F$31&lt;&gt;"")*(Ввод!$F$12:$F$31&lt;=A2844)*(Ввод!$G$12:$G$31&gt;=A2844))&gt;0,1,0))</f>
        <v/>
      </c>
      <c r="G2844">
        <f>IF(A2844="","",IF(OR(B2844&lt;&gt;B2843,C2844&lt;&gt;C2843,E2844&lt;&gt;E2843),G2843+1,G2843))</f>
        <v/>
      </c>
    </row>
    <row r="2845">
      <c r="A2845" s="20">
        <f>IF(A2844="","",IF(A2844+1&gt;Ввод!$B$4,"",A2844+1))</f>
        <v/>
      </c>
      <c r="B2845">
        <f>IF(A2845="","",IFERROR(INDEX(Ввод!$B$12:$B$71,MATCH(A2845,Ввод!$D$12:$D$71,1)),""))</f>
        <v/>
      </c>
      <c r="C2845">
        <f>IF(A2845="","",DATE(YEAR(A2845),12,31)-DATE(YEAR(A2845),1,1)+1)</f>
        <v/>
      </c>
      <c r="D2845">
        <f>IF(A2845="","",SUMIFS(Акты!$D$5:$D$16,Акты!$E$5:$E$16,"&lt;="&amp;A2845)-SUMIFS(Оплаты!$B$6:$B$505,Оплаты!$A$6:$A$505,"&lt;"&amp;A2845,Оплаты!$D$6:$D$505,"&lt;&gt;"))</f>
        <v/>
      </c>
      <c r="E2845">
        <f>IF(A2845="","",IF(SUMPRODUCT((Ввод!$F$12:$F$31&lt;&gt;"")*(Ввод!$F$12:$F$31&lt;=A2845)*(Ввод!$G$12:$G$31&gt;=A2845))&gt;0,1,0))</f>
        <v/>
      </c>
      <c r="G2845">
        <f>IF(A2845="","",IF(OR(B2845&lt;&gt;B2844,C2845&lt;&gt;C2844,E2845&lt;&gt;E2844),G2844+1,G2844))</f>
        <v/>
      </c>
    </row>
    <row r="2846">
      <c r="A2846" s="20">
        <f>IF(A2845="","",IF(A2845+1&gt;Ввод!$B$4,"",A2845+1))</f>
        <v/>
      </c>
      <c r="B2846">
        <f>IF(A2846="","",IFERROR(INDEX(Ввод!$B$12:$B$71,MATCH(A2846,Ввод!$D$12:$D$71,1)),""))</f>
        <v/>
      </c>
      <c r="C2846">
        <f>IF(A2846="","",DATE(YEAR(A2846),12,31)-DATE(YEAR(A2846),1,1)+1)</f>
        <v/>
      </c>
      <c r="D2846">
        <f>IF(A2846="","",SUMIFS(Акты!$D$5:$D$16,Акты!$E$5:$E$16,"&lt;="&amp;A2846)-SUMIFS(Оплаты!$B$6:$B$505,Оплаты!$A$6:$A$505,"&lt;"&amp;A2846,Оплаты!$D$6:$D$505,"&lt;&gt;"))</f>
        <v/>
      </c>
      <c r="E2846">
        <f>IF(A2846="","",IF(SUMPRODUCT((Ввод!$F$12:$F$31&lt;&gt;"")*(Ввод!$F$12:$F$31&lt;=A2846)*(Ввод!$G$12:$G$31&gt;=A2846))&gt;0,1,0))</f>
        <v/>
      </c>
      <c r="G2846">
        <f>IF(A2846="","",IF(OR(B2846&lt;&gt;B2845,C2846&lt;&gt;C2845,E2846&lt;&gt;E2845),G2845+1,G2845))</f>
        <v/>
      </c>
    </row>
    <row r="2847">
      <c r="A2847" s="20">
        <f>IF(A2846="","",IF(A2846+1&gt;Ввод!$B$4,"",A2846+1))</f>
        <v/>
      </c>
      <c r="B2847">
        <f>IF(A2847="","",IFERROR(INDEX(Ввод!$B$12:$B$71,MATCH(A2847,Ввод!$D$12:$D$71,1)),""))</f>
        <v/>
      </c>
      <c r="C2847">
        <f>IF(A2847="","",DATE(YEAR(A2847),12,31)-DATE(YEAR(A2847),1,1)+1)</f>
        <v/>
      </c>
      <c r="D2847">
        <f>IF(A2847="","",SUMIFS(Акты!$D$5:$D$16,Акты!$E$5:$E$16,"&lt;="&amp;A2847)-SUMIFS(Оплаты!$B$6:$B$505,Оплаты!$A$6:$A$505,"&lt;"&amp;A2847,Оплаты!$D$6:$D$505,"&lt;&gt;"))</f>
        <v/>
      </c>
      <c r="E2847">
        <f>IF(A2847="","",IF(SUMPRODUCT((Ввод!$F$12:$F$31&lt;&gt;"")*(Ввод!$F$12:$F$31&lt;=A2847)*(Ввод!$G$12:$G$31&gt;=A2847))&gt;0,1,0))</f>
        <v/>
      </c>
      <c r="G2847">
        <f>IF(A2847="","",IF(OR(B2847&lt;&gt;B2846,C2847&lt;&gt;C2846,E2847&lt;&gt;E2846),G2846+1,G2846))</f>
        <v/>
      </c>
    </row>
    <row r="2848">
      <c r="A2848" s="20">
        <f>IF(A2847="","",IF(A2847+1&gt;Ввод!$B$4,"",A2847+1))</f>
        <v/>
      </c>
      <c r="B2848">
        <f>IF(A2848="","",IFERROR(INDEX(Ввод!$B$12:$B$71,MATCH(A2848,Ввод!$D$12:$D$71,1)),""))</f>
        <v/>
      </c>
      <c r="C2848">
        <f>IF(A2848="","",DATE(YEAR(A2848),12,31)-DATE(YEAR(A2848),1,1)+1)</f>
        <v/>
      </c>
      <c r="D2848">
        <f>IF(A2848="","",SUMIFS(Акты!$D$5:$D$16,Акты!$E$5:$E$16,"&lt;="&amp;A2848)-SUMIFS(Оплаты!$B$6:$B$505,Оплаты!$A$6:$A$505,"&lt;"&amp;A2848,Оплаты!$D$6:$D$505,"&lt;&gt;"))</f>
        <v/>
      </c>
      <c r="E2848">
        <f>IF(A2848="","",IF(SUMPRODUCT((Ввод!$F$12:$F$31&lt;&gt;"")*(Ввод!$F$12:$F$31&lt;=A2848)*(Ввод!$G$12:$G$31&gt;=A2848))&gt;0,1,0))</f>
        <v/>
      </c>
      <c r="G2848">
        <f>IF(A2848="","",IF(OR(B2848&lt;&gt;B2847,C2848&lt;&gt;C2847,E2848&lt;&gt;E2847),G2847+1,G2847))</f>
        <v/>
      </c>
    </row>
    <row r="2849">
      <c r="A2849" s="20">
        <f>IF(A2848="","",IF(A2848+1&gt;Ввод!$B$4,"",A2848+1))</f>
        <v/>
      </c>
      <c r="B2849">
        <f>IF(A2849="","",IFERROR(INDEX(Ввод!$B$12:$B$71,MATCH(A2849,Ввод!$D$12:$D$71,1)),""))</f>
        <v/>
      </c>
      <c r="C2849">
        <f>IF(A2849="","",DATE(YEAR(A2849),12,31)-DATE(YEAR(A2849),1,1)+1)</f>
        <v/>
      </c>
      <c r="D2849">
        <f>IF(A2849="","",SUMIFS(Акты!$D$5:$D$16,Акты!$E$5:$E$16,"&lt;="&amp;A2849)-SUMIFS(Оплаты!$B$6:$B$505,Оплаты!$A$6:$A$505,"&lt;"&amp;A2849,Оплаты!$D$6:$D$505,"&lt;&gt;"))</f>
        <v/>
      </c>
      <c r="E2849">
        <f>IF(A2849="","",IF(SUMPRODUCT((Ввод!$F$12:$F$31&lt;&gt;"")*(Ввод!$F$12:$F$31&lt;=A2849)*(Ввод!$G$12:$G$31&gt;=A2849))&gt;0,1,0))</f>
        <v/>
      </c>
      <c r="G2849">
        <f>IF(A2849="","",IF(OR(B2849&lt;&gt;B2848,C2849&lt;&gt;C2848,E2849&lt;&gt;E2848),G2848+1,G2848))</f>
        <v/>
      </c>
    </row>
    <row r="2850">
      <c r="A2850" s="20">
        <f>IF(A2849="","",IF(A2849+1&gt;Ввод!$B$4,"",A2849+1))</f>
        <v/>
      </c>
      <c r="B2850">
        <f>IF(A2850="","",IFERROR(INDEX(Ввод!$B$12:$B$71,MATCH(A2850,Ввод!$D$12:$D$71,1)),""))</f>
        <v/>
      </c>
      <c r="C2850">
        <f>IF(A2850="","",DATE(YEAR(A2850),12,31)-DATE(YEAR(A2850),1,1)+1)</f>
        <v/>
      </c>
      <c r="D2850">
        <f>IF(A2850="","",SUMIFS(Акты!$D$5:$D$16,Акты!$E$5:$E$16,"&lt;="&amp;A2850)-SUMIFS(Оплаты!$B$6:$B$505,Оплаты!$A$6:$A$505,"&lt;"&amp;A2850,Оплаты!$D$6:$D$505,"&lt;&gt;"))</f>
        <v/>
      </c>
      <c r="E2850">
        <f>IF(A2850="","",IF(SUMPRODUCT((Ввод!$F$12:$F$31&lt;&gt;"")*(Ввод!$F$12:$F$31&lt;=A2850)*(Ввод!$G$12:$G$31&gt;=A2850))&gt;0,1,0))</f>
        <v/>
      </c>
      <c r="G2850">
        <f>IF(A2850="","",IF(OR(B2850&lt;&gt;B2849,C2850&lt;&gt;C2849,E2850&lt;&gt;E2849),G2849+1,G2849))</f>
        <v/>
      </c>
    </row>
    <row r="2851">
      <c r="A2851" s="20">
        <f>IF(A2850="","",IF(A2850+1&gt;Ввод!$B$4,"",A2850+1))</f>
        <v/>
      </c>
      <c r="B2851">
        <f>IF(A2851="","",IFERROR(INDEX(Ввод!$B$12:$B$71,MATCH(A2851,Ввод!$D$12:$D$71,1)),""))</f>
        <v/>
      </c>
      <c r="C2851">
        <f>IF(A2851="","",DATE(YEAR(A2851),12,31)-DATE(YEAR(A2851),1,1)+1)</f>
        <v/>
      </c>
      <c r="D2851">
        <f>IF(A2851="","",SUMIFS(Акты!$D$5:$D$16,Акты!$E$5:$E$16,"&lt;="&amp;A2851)-SUMIFS(Оплаты!$B$6:$B$505,Оплаты!$A$6:$A$505,"&lt;"&amp;A2851,Оплаты!$D$6:$D$505,"&lt;&gt;"))</f>
        <v/>
      </c>
      <c r="E2851">
        <f>IF(A2851="","",IF(SUMPRODUCT((Ввод!$F$12:$F$31&lt;&gt;"")*(Ввод!$F$12:$F$31&lt;=A2851)*(Ввод!$G$12:$G$31&gt;=A2851))&gt;0,1,0))</f>
        <v/>
      </c>
      <c r="G2851">
        <f>IF(A2851="","",IF(OR(B2851&lt;&gt;B2850,C2851&lt;&gt;C2850,E2851&lt;&gt;E2850),G2850+1,G2850))</f>
        <v/>
      </c>
    </row>
    <row r="2852">
      <c r="A2852" s="20">
        <f>IF(A2851="","",IF(A2851+1&gt;Ввод!$B$4,"",A2851+1))</f>
        <v/>
      </c>
      <c r="B2852">
        <f>IF(A2852="","",IFERROR(INDEX(Ввод!$B$12:$B$71,MATCH(A2852,Ввод!$D$12:$D$71,1)),""))</f>
        <v/>
      </c>
      <c r="C2852">
        <f>IF(A2852="","",DATE(YEAR(A2852),12,31)-DATE(YEAR(A2852),1,1)+1)</f>
        <v/>
      </c>
      <c r="D2852">
        <f>IF(A2852="","",SUMIFS(Акты!$D$5:$D$16,Акты!$E$5:$E$16,"&lt;="&amp;A2852)-SUMIFS(Оплаты!$B$6:$B$505,Оплаты!$A$6:$A$505,"&lt;"&amp;A2852,Оплаты!$D$6:$D$505,"&lt;&gt;"))</f>
        <v/>
      </c>
      <c r="E2852">
        <f>IF(A2852="","",IF(SUMPRODUCT((Ввод!$F$12:$F$31&lt;&gt;"")*(Ввод!$F$12:$F$31&lt;=A2852)*(Ввод!$G$12:$G$31&gt;=A2852))&gt;0,1,0))</f>
        <v/>
      </c>
      <c r="G2852">
        <f>IF(A2852="","",IF(OR(B2852&lt;&gt;B2851,C2852&lt;&gt;C2851,E2852&lt;&gt;E2851),G2851+1,G2851))</f>
        <v/>
      </c>
    </row>
    <row r="2853">
      <c r="A2853" s="20">
        <f>IF(A2852="","",IF(A2852+1&gt;Ввод!$B$4,"",A2852+1))</f>
        <v/>
      </c>
      <c r="B2853">
        <f>IF(A2853="","",IFERROR(INDEX(Ввод!$B$12:$B$71,MATCH(A2853,Ввод!$D$12:$D$71,1)),""))</f>
        <v/>
      </c>
      <c r="C2853">
        <f>IF(A2853="","",DATE(YEAR(A2853),12,31)-DATE(YEAR(A2853),1,1)+1)</f>
        <v/>
      </c>
      <c r="D2853">
        <f>IF(A2853="","",SUMIFS(Акты!$D$5:$D$16,Акты!$E$5:$E$16,"&lt;="&amp;A2853)-SUMIFS(Оплаты!$B$6:$B$505,Оплаты!$A$6:$A$505,"&lt;"&amp;A2853,Оплаты!$D$6:$D$505,"&lt;&gt;"))</f>
        <v/>
      </c>
      <c r="E2853">
        <f>IF(A2853="","",IF(SUMPRODUCT((Ввод!$F$12:$F$31&lt;&gt;"")*(Ввод!$F$12:$F$31&lt;=A2853)*(Ввод!$G$12:$G$31&gt;=A2853))&gt;0,1,0))</f>
        <v/>
      </c>
      <c r="G2853">
        <f>IF(A2853="","",IF(OR(B2853&lt;&gt;B2852,C2853&lt;&gt;C2852,E2853&lt;&gt;E2852),G2852+1,G2852))</f>
        <v/>
      </c>
    </row>
    <row r="2854">
      <c r="A2854" s="20">
        <f>IF(A2853="","",IF(A2853+1&gt;Ввод!$B$4,"",A2853+1))</f>
        <v/>
      </c>
      <c r="B2854">
        <f>IF(A2854="","",IFERROR(INDEX(Ввод!$B$12:$B$71,MATCH(A2854,Ввод!$D$12:$D$71,1)),""))</f>
        <v/>
      </c>
      <c r="C2854">
        <f>IF(A2854="","",DATE(YEAR(A2854),12,31)-DATE(YEAR(A2854),1,1)+1)</f>
        <v/>
      </c>
      <c r="D2854">
        <f>IF(A2854="","",SUMIFS(Акты!$D$5:$D$16,Акты!$E$5:$E$16,"&lt;="&amp;A2854)-SUMIFS(Оплаты!$B$6:$B$505,Оплаты!$A$6:$A$505,"&lt;"&amp;A2854,Оплаты!$D$6:$D$505,"&lt;&gt;"))</f>
        <v/>
      </c>
      <c r="E2854">
        <f>IF(A2854="","",IF(SUMPRODUCT((Ввод!$F$12:$F$31&lt;&gt;"")*(Ввод!$F$12:$F$31&lt;=A2854)*(Ввод!$G$12:$G$31&gt;=A2854))&gt;0,1,0))</f>
        <v/>
      </c>
      <c r="G2854">
        <f>IF(A2854="","",IF(OR(B2854&lt;&gt;B2853,C2854&lt;&gt;C2853,E2854&lt;&gt;E2853),G2853+1,G2853))</f>
        <v/>
      </c>
    </row>
    <row r="2855">
      <c r="A2855" s="20">
        <f>IF(A2854="","",IF(A2854+1&gt;Ввод!$B$4,"",A2854+1))</f>
        <v/>
      </c>
      <c r="B2855">
        <f>IF(A2855="","",IFERROR(INDEX(Ввод!$B$12:$B$71,MATCH(A2855,Ввод!$D$12:$D$71,1)),""))</f>
        <v/>
      </c>
      <c r="C2855">
        <f>IF(A2855="","",DATE(YEAR(A2855),12,31)-DATE(YEAR(A2855),1,1)+1)</f>
        <v/>
      </c>
      <c r="D2855">
        <f>IF(A2855="","",SUMIFS(Акты!$D$5:$D$16,Акты!$E$5:$E$16,"&lt;="&amp;A2855)-SUMIFS(Оплаты!$B$6:$B$505,Оплаты!$A$6:$A$505,"&lt;"&amp;A2855,Оплаты!$D$6:$D$505,"&lt;&gt;"))</f>
        <v/>
      </c>
      <c r="E2855">
        <f>IF(A2855="","",IF(SUMPRODUCT((Ввод!$F$12:$F$31&lt;&gt;"")*(Ввод!$F$12:$F$31&lt;=A2855)*(Ввод!$G$12:$G$31&gt;=A2855))&gt;0,1,0))</f>
        <v/>
      </c>
      <c r="G2855">
        <f>IF(A2855="","",IF(OR(B2855&lt;&gt;B2854,C2855&lt;&gt;C2854,E2855&lt;&gt;E2854),G2854+1,G2854))</f>
        <v/>
      </c>
    </row>
    <row r="2856">
      <c r="A2856" s="20">
        <f>IF(A2855="","",IF(A2855+1&gt;Ввод!$B$4,"",A2855+1))</f>
        <v/>
      </c>
      <c r="B2856">
        <f>IF(A2856="","",IFERROR(INDEX(Ввод!$B$12:$B$71,MATCH(A2856,Ввод!$D$12:$D$71,1)),""))</f>
        <v/>
      </c>
      <c r="C2856">
        <f>IF(A2856="","",DATE(YEAR(A2856),12,31)-DATE(YEAR(A2856),1,1)+1)</f>
        <v/>
      </c>
      <c r="D2856">
        <f>IF(A2856="","",SUMIFS(Акты!$D$5:$D$16,Акты!$E$5:$E$16,"&lt;="&amp;A2856)-SUMIFS(Оплаты!$B$6:$B$505,Оплаты!$A$6:$A$505,"&lt;"&amp;A2856,Оплаты!$D$6:$D$505,"&lt;&gt;"))</f>
        <v/>
      </c>
      <c r="E2856">
        <f>IF(A2856="","",IF(SUMPRODUCT((Ввод!$F$12:$F$31&lt;&gt;"")*(Ввод!$F$12:$F$31&lt;=A2856)*(Ввод!$G$12:$G$31&gt;=A2856))&gt;0,1,0))</f>
        <v/>
      </c>
      <c r="G2856">
        <f>IF(A2856="","",IF(OR(B2856&lt;&gt;B2855,C2856&lt;&gt;C2855,E2856&lt;&gt;E2855),G2855+1,G2855))</f>
        <v/>
      </c>
    </row>
    <row r="2857">
      <c r="A2857" s="20">
        <f>IF(A2856="","",IF(A2856+1&gt;Ввод!$B$4,"",A2856+1))</f>
        <v/>
      </c>
      <c r="B2857">
        <f>IF(A2857="","",IFERROR(INDEX(Ввод!$B$12:$B$71,MATCH(A2857,Ввод!$D$12:$D$71,1)),""))</f>
        <v/>
      </c>
      <c r="C2857">
        <f>IF(A2857="","",DATE(YEAR(A2857),12,31)-DATE(YEAR(A2857),1,1)+1)</f>
        <v/>
      </c>
      <c r="D2857">
        <f>IF(A2857="","",SUMIFS(Акты!$D$5:$D$16,Акты!$E$5:$E$16,"&lt;="&amp;A2857)-SUMIFS(Оплаты!$B$6:$B$505,Оплаты!$A$6:$A$505,"&lt;"&amp;A2857,Оплаты!$D$6:$D$505,"&lt;&gt;"))</f>
        <v/>
      </c>
      <c r="E2857">
        <f>IF(A2857="","",IF(SUMPRODUCT((Ввод!$F$12:$F$31&lt;&gt;"")*(Ввод!$F$12:$F$31&lt;=A2857)*(Ввод!$G$12:$G$31&gt;=A2857))&gt;0,1,0))</f>
        <v/>
      </c>
      <c r="G2857">
        <f>IF(A2857="","",IF(OR(B2857&lt;&gt;B2856,C2857&lt;&gt;C2856,E2857&lt;&gt;E2856),G2856+1,G2856))</f>
        <v/>
      </c>
    </row>
    <row r="2858">
      <c r="A2858" s="20">
        <f>IF(A2857="","",IF(A2857+1&gt;Ввод!$B$4,"",A2857+1))</f>
        <v/>
      </c>
      <c r="B2858">
        <f>IF(A2858="","",IFERROR(INDEX(Ввод!$B$12:$B$71,MATCH(A2858,Ввод!$D$12:$D$71,1)),""))</f>
        <v/>
      </c>
      <c r="C2858">
        <f>IF(A2858="","",DATE(YEAR(A2858),12,31)-DATE(YEAR(A2858),1,1)+1)</f>
        <v/>
      </c>
      <c r="D2858">
        <f>IF(A2858="","",SUMIFS(Акты!$D$5:$D$16,Акты!$E$5:$E$16,"&lt;="&amp;A2858)-SUMIFS(Оплаты!$B$6:$B$505,Оплаты!$A$6:$A$505,"&lt;"&amp;A2858,Оплаты!$D$6:$D$505,"&lt;&gt;"))</f>
        <v/>
      </c>
      <c r="E2858">
        <f>IF(A2858="","",IF(SUMPRODUCT((Ввод!$F$12:$F$31&lt;&gt;"")*(Ввод!$F$12:$F$31&lt;=A2858)*(Ввод!$G$12:$G$31&gt;=A2858))&gt;0,1,0))</f>
        <v/>
      </c>
      <c r="G2858">
        <f>IF(A2858="","",IF(OR(B2858&lt;&gt;B2857,C2858&lt;&gt;C2857,E2858&lt;&gt;E2857),G2857+1,G2857))</f>
        <v/>
      </c>
    </row>
    <row r="2859">
      <c r="A2859" s="20">
        <f>IF(A2858="","",IF(A2858+1&gt;Ввод!$B$4,"",A2858+1))</f>
        <v/>
      </c>
      <c r="B2859">
        <f>IF(A2859="","",IFERROR(INDEX(Ввод!$B$12:$B$71,MATCH(A2859,Ввод!$D$12:$D$71,1)),""))</f>
        <v/>
      </c>
      <c r="C2859">
        <f>IF(A2859="","",DATE(YEAR(A2859),12,31)-DATE(YEAR(A2859),1,1)+1)</f>
        <v/>
      </c>
      <c r="D2859">
        <f>IF(A2859="","",SUMIFS(Акты!$D$5:$D$16,Акты!$E$5:$E$16,"&lt;="&amp;A2859)-SUMIFS(Оплаты!$B$6:$B$505,Оплаты!$A$6:$A$505,"&lt;"&amp;A2859,Оплаты!$D$6:$D$505,"&lt;&gt;"))</f>
        <v/>
      </c>
      <c r="E2859">
        <f>IF(A2859="","",IF(SUMPRODUCT((Ввод!$F$12:$F$31&lt;&gt;"")*(Ввод!$F$12:$F$31&lt;=A2859)*(Ввод!$G$12:$G$31&gt;=A2859))&gt;0,1,0))</f>
        <v/>
      </c>
      <c r="G2859">
        <f>IF(A2859="","",IF(OR(B2859&lt;&gt;B2858,C2859&lt;&gt;C2858,E2859&lt;&gt;E2858),G2858+1,G2858))</f>
        <v/>
      </c>
    </row>
    <row r="2860">
      <c r="A2860" s="20">
        <f>IF(A2859="","",IF(A2859+1&gt;Ввод!$B$4,"",A2859+1))</f>
        <v/>
      </c>
      <c r="B2860">
        <f>IF(A2860="","",IFERROR(INDEX(Ввод!$B$12:$B$71,MATCH(A2860,Ввод!$D$12:$D$71,1)),""))</f>
        <v/>
      </c>
      <c r="C2860">
        <f>IF(A2860="","",DATE(YEAR(A2860),12,31)-DATE(YEAR(A2860),1,1)+1)</f>
        <v/>
      </c>
      <c r="D2860">
        <f>IF(A2860="","",SUMIFS(Акты!$D$5:$D$16,Акты!$E$5:$E$16,"&lt;="&amp;A2860)-SUMIFS(Оплаты!$B$6:$B$505,Оплаты!$A$6:$A$505,"&lt;"&amp;A2860,Оплаты!$D$6:$D$505,"&lt;&gt;"))</f>
        <v/>
      </c>
      <c r="E2860">
        <f>IF(A2860="","",IF(SUMPRODUCT((Ввод!$F$12:$F$31&lt;&gt;"")*(Ввод!$F$12:$F$31&lt;=A2860)*(Ввод!$G$12:$G$31&gt;=A2860))&gt;0,1,0))</f>
        <v/>
      </c>
      <c r="G2860">
        <f>IF(A2860="","",IF(OR(B2860&lt;&gt;B2859,C2860&lt;&gt;C2859,E2860&lt;&gt;E2859),G2859+1,G2859))</f>
        <v/>
      </c>
    </row>
    <row r="2861">
      <c r="A2861" s="20">
        <f>IF(A2860="","",IF(A2860+1&gt;Ввод!$B$4,"",A2860+1))</f>
        <v/>
      </c>
      <c r="B2861">
        <f>IF(A2861="","",IFERROR(INDEX(Ввод!$B$12:$B$71,MATCH(A2861,Ввод!$D$12:$D$71,1)),""))</f>
        <v/>
      </c>
      <c r="C2861">
        <f>IF(A2861="","",DATE(YEAR(A2861),12,31)-DATE(YEAR(A2861),1,1)+1)</f>
        <v/>
      </c>
      <c r="D2861">
        <f>IF(A2861="","",SUMIFS(Акты!$D$5:$D$16,Акты!$E$5:$E$16,"&lt;="&amp;A2861)-SUMIFS(Оплаты!$B$6:$B$505,Оплаты!$A$6:$A$505,"&lt;"&amp;A2861,Оплаты!$D$6:$D$505,"&lt;&gt;"))</f>
        <v/>
      </c>
      <c r="E2861">
        <f>IF(A2861="","",IF(SUMPRODUCT((Ввод!$F$12:$F$31&lt;&gt;"")*(Ввод!$F$12:$F$31&lt;=A2861)*(Ввод!$G$12:$G$31&gt;=A2861))&gt;0,1,0))</f>
        <v/>
      </c>
      <c r="G2861">
        <f>IF(A2861="","",IF(OR(B2861&lt;&gt;B2860,C2861&lt;&gt;C2860,E2861&lt;&gt;E2860),G2860+1,G2860))</f>
        <v/>
      </c>
    </row>
    <row r="2862">
      <c r="A2862" s="20">
        <f>IF(A2861="","",IF(A2861+1&gt;Ввод!$B$4,"",A2861+1))</f>
        <v/>
      </c>
      <c r="B2862">
        <f>IF(A2862="","",IFERROR(INDEX(Ввод!$B$12:$B$71,MATCH(A2862,Ввод!$D$12:$D$71,1)),""))</f>
        <v/>
      </c>
      <c r="C2862">
        <f>IF(A2862="","",DATE(YEAR(A2862),12,31)-DATE(YEAR(A2862),1,1)+1)</f>
        <v/>
      </c>
      <c r="D2862">
        <f>IF(A2862="","",SUMIFS(Акты!$D$5:$D$16,Акты!$E$5:$E$16,"&lt;="&amp;A2862)-SUMIFS(Оплаты!$B$6:$B$505,Оплаты!$A$6:$A$505,"&lt;"&amp;A2862,Оплаты!$D$6:$D$505,"&lt;&gt;"))</f>
        <v/>
      </c>
      <c r="E2862">
        <f>IF(A2862="","",IF(SUMPRODUCT((Ввод!$F$12:$F$31&lt;&gt;"")*(Ввод!$F$12:$F$31&lt;=A2862)*(Ввод!$G$12:$G$31&gt;=A2862))&gt;0,1,0))</f>
        <v/>
      </c>
      <c r="G2862">
        <f>IF(A2862="","",IF(OR(B2862&lt;&gt;B2861,C2862&lt;&gt;C2861,E2862&lt;&gt;E2861),G2861+1,G2861))</f>
        <v/>
      </c>
    </row>
    <row r="2863">
      <c r="A2863" s="20">
        <f>IF(A2862="","",IF(A2862+1&gt;Ввод!$B$4,"",A2862+1))</f>
        <v/>
      </c>
      <c r="B2863">
        <f>IF(A2863="","",IFERROR(INDEX(Ввод!$B$12:$B$71,MATCH(A2863,Ввод!$D$12:$D$71,1)),""))</f>
        <v/>
      </c>
      <c r="C2863">
        <f>IF(A2863="","",DATE(YEAR(A2863),12,31)-DATE(YEAR(A2863),1,1)+1)</f>
        <v/>
      </c>
      <c r="D2863">
        <f>IF(A2863="","",SUMIFS(Акты!$D$5:$D$16,Акты!$E$5:$E$16,"&lt;="&amp;A2863)-SUMIFS(Оплаты!$B$6:$B$505,Оплаты!$A$6:$A$505,"&lt;"&amp;A2863,Оплаты!$D$6:$D$505,"&lt;&gt;"))</f>
        <v/>
      </c>
      <c r="E2863">
        <f>IF(A2863="","",IF(SUMPRODUCT((Ввод!$F$12:$F$31&lt;&gt;"")*(Ввод!$F$12:$F$31&lt;=A2863)*(Ввод!$G$12:$G$31&gt;=A2863))&gt;0,1,0))</f>
        <v/>
      </c>
      <c r="G2863">
        <f>IF(A2863="","",IF(OR(B2863&lt;&gt;B2862,C2863&lt;&gt;C2862,E2863&lt;&gt;E2862),G2862+1,G2862))</f>
        <v/>
      </c>
    </row>
    <row r="2864">
      <c r="A2864" s="20">
        <f>IF(A2863="","",IF(A2863+1&gt;Ввод!$B$4,"",A2863+1))</f>
        <v/>
      </c>
      <c r="B2864">
        <f>IF(A2864="","",IFERROR(INDEX(Ввод!$B$12:$B$71,MATCH(A2864,Ввод!$D$12:$D$71,1)),""))</f>
        <v/>
      </c>
      <c r="C2864">
        <f>IF(A2864="","",DATE(YEAR(A2864),12,31)-DATE(YEAR(A2864),1,1)+1)</f>
        <v/>
      </c>
      <c r="D2864">
        <f>IF(A2864="","",SUMIFS(Акты!$D$5:$D$16,Акты!$E$5:$E$16,"&lt;="&amp;A2864)-SUMIFS(Оплаты!$B$6:$B$505,Оплаты!$A$6:$A$505,"&lt;"&amp;A2864,Оплаты!$D$6:$D$505,"&lt;&gt;"))</f>
        <v/>
      </c>
      <c r="E2864">
        <f>IF(A2864="","",IF(SUMPRODUCT((Ввод!$F$12:$F$31&lt;&gt;"")*(Ввод!$F$12:$F$31&lt;=A2864)*(Ввод!$G$12:$G$31&gt;=A2864))&gt;0,1,0))</f>
        <v/>
      </c>
      <c r="G2864">
        <f>IF(A2864="","",IF(OR(B2864&lt;&gt;B2863,C2864&lt;&gt;C2863,E2864&lt;&gt;E2863),G2863+1,G2863))</f>
        <v/>
      </c>
    </row>
    <row r="2865">
      <c r="A2865" s="20">
        <f>IF(A2864="","",IF(A2864+1&gt;Ввод!$B$4,"",A2864+1))</f>
        <v/>
      </c>
      <c r="B2865">
        <f>IF(A2865="","",IFERROR(INDEX(Ввод!$B$12:$B$71,MATCH(A2865,Ввод!$D$12:$D$71,1)),""))</f>
        <v/>
      </c>
      <c r="C2865">
        <f>IF(A2865="","",DATE(YEAR(A2865),12,31)-DATE(YEAR(A2865),1,1)+1)</f>
        <v/>
      </c>
      <c r="D2865">
        <f>IF(A2865="","",SUMIFS(Акты!$D$5:$D$16,Акты!$E$5:$E$16,"&lt;="&amp;A2865)-SUMIFS(Оплаты!$B$6:$B$505,Оплаты!$A$6:$A$505,"&lt;"&amp;A2865,Оплаты!$D$6:$D$505,"&lt;&gt;"))</f>
        <v/>
      </c>
      <c r="E2865">
        <f>IF(A2865="","",IF(SUMPRODUCT((Ввод!$F$12:$F$31&lt;&gt;"")*(Ввод!$F$12:$F$31&lt;=A2865)*(Ввод!$G$12:$G$31&gt;=A2865))&gt;0,1,0))</f>
        <v/>
      </c>
      <c r="G2865">
        <f>IF(A2865="","",IF(OR(B2865&lt;&gt;B2864,C2865&lt;&gt;C2864,E2865&lt;&gt;E2864),G2864+1,G2864))</f>
        <v/>
      </c>
    </row>
    <row r="2866">
      <c r="A2866" s="20">
        <f>IF(A2865="","",IF(A2865+1&gt;Ввод!$B$4,"",A2865+1))</f>
        <v/>
      </c>
      <c r="B2866">
        <f>IF(A2866="","",IFERROR(INDEX(Ввод!$B$12:$B$71,MATCH(A2866,Ввод!$D$12:$D$71,1)),""))</f>
        <v/>
      </c>
      <c r="C2866">
        <f>IF(A2866="","",DATE(YEAR(A2866),12,31)-DATE(YEAR(A2866),1,1)+1)</f>
        <v/>
      </c>
      <c r="D2866">
        <f>IF(A2866="","",SUMIFS(Акты!$D$5:$D$16,Акты!$E$5:$E$16,"&lt;="&amp;A2866)-SUMIFS(Оплаты!$B$6:$B$505,Оплаты!$A$6:$A$505,"&lt;"&amp;A2866,Оплаты!$D$6:$D$505,"&lt;&gt;"))</f>
        <v/>
      </c>
      <c r="E2866">
        <f>IF(A2866="","",IF(SUMPRODUCT((Ввод!$F$12:$F$31&lt;&gt;"")*(Ввод!$F$12:$F$31&lt;=A2866)*(Ввод!$G$12:$G$31&gt;=A2866))&gt;0,1,0))</f>
        <v/>
      </c>
      <c r="G2866">
        <f>IF(A2866="","",IF(OR(B2866&lt;&gt;B2865,C2866&lt;&gt;C2865,E2866&lt;&gt;E2865),G2865+1,G2865))</f>
        <v/>
      </c>
    </row>
    <row r="2867">
      <c r="A2867" s="20">
        <f>IF(A2866="","",IF(A2866+1&gt;Ввод!$B$4,"",A2866+1))</f>
        <v/>
      </c>
      <c r="B2867">
        <f>IF(A2867="","",IFERROR(INDEX(Ввод!$B$12:$B$71,MATCH(A2867,Ввод!$D$12:$D$71,1)),""))</f>
        <v/>
      </c>
      <c r="C2867">
        <f>IF(A2867="","",DATE(YEAR(A2867),12,31)-DATE(YEAR(A2867),1,1)+1)</f>
        <v/>
      </c>
      <c r="D2867">
        <f>IF(A2867="","",SUMIFS(Акты!$D$5:$D$16,Акты!$E$5:$E$16,"&lt;="&amp;A2867)-SUMIFS(Оплаты!$B$6:$B$505,Оплаты!$A$6:$A$505,"&lt;"&amp;A2867,Оплаты!$D$6:$D$505,"&lt;&gt;"))</f>
        <v/>
      </c>
      <c r="E2867">
        <f>IF(A2867="","",IF(SUMPRODUCT((Ввод!$F$12:$F$31&lt;&gt;"")*(Ввод!$F$12:$F$31&lt;=A2867)*(Ввод!$G$12:$G$31&gt;=A2867))&gt;0,1,0))</f>
        <v/>
      </c>
      <c r="G2867">
        <f>IF(A2867="","",IF(OR(B2867&lt;&gt;B2866,C2867&lt;&gt;C2866,E2867&lt;&gt;E2866),G2866+1,G2866))</f>
        <v/>
      </c>
    </row>
    <row r="2868">
      <c r="A2868" s="20">
        <f>IF(A2867="","",IF(A2867+1&gt;Ввод!$B$4,"",A2867+1))</f>
        <v/>
      </c>
      <c r="B2868">
        <f>IF(A2868="","",IFERROR(INDEX(Ввод!$B$12:$B$71,MATCH(A2868,Ввод!$D$12:$D$71,1)),""))</f>
        <v/>
      </c>
      <c r="C2868">
        <f>IF(A2868="","",DATE(YEAR(A2868),12,31)-DATE(YEAR(A2868),1,1)+1)</f>
        <v/>
      </c>
      <c r="D2868">
        <f>IF(A2868="","",SUMIFS(Акты!$D$5:$D$16,Акты!$E$5:$E$16,"&lt;="&amp;A2868)-SUMIFS(Оплаты!$B$6:$B$505,Оплаты!$A$6:$A$505,"&lt;"&amp;A2868,Оплаты!$D$6:$D$505,"&lt;&gt;"))</f>
        <v/>
      </c>
      <c r="E2868">
        <f>IF(A2868="","",IF(SUMPRODUCT((Ввод!$F$12:$F$31&lt;&gt;"")*(Ввод!$F$12:$F$31&lt;=A2868)*(Ввод!$G$12:$G$31&gt;=A2868))&gt;0,1,0))</f>
        <v/>
      </c>
      <c r="G2868">
        <f>IF(A2868="","",IF(OR(B2868&lt;&gt;B2867,C2868&lt;&gt;C2867,E2868&lt;&gt;E2867),G2867+1,G2867))</f>
        <v/>
      </c>
    </row>
    <row r="2869">
      <c r="A2869" s="20">
        <f>IF(A2868="","",IF(A2868+1&gt;Ввод!$B$4,"",A2868+1))</f>
        <v/>
      </c>
      <c r="B2869">
        <f>IF(A2869="","",IFERROR(INDEX(Ввод!$B$12:$B$71,MATCH(A2869,Ввод!$D$12:$D$71,1)),""))</f>
        <v/>
      </c>
      <c r="C2869">
        <f>IF(A2869="","",DATE(YEAR(A2869),12,31)-DATE(YEAR(A2869),1,1)+1)</f>
        <v/>
      </c>
      <c r="D2869">
        <f>IF(A2869="","",SUMIFS(Акты!$D$5:$D$16,Акты!$E$5:$E$16,"&lt;="&amp;A2869)-SUMIFS(Оплаты!$B$6:$B$505,Оплаты!$A$6:$A$505,"&lt;"&amp;A2869,Оплаты!$D$6:$D$505,"&lt;&gt;"))</f>
        <v/>
      </c>
      <c r="E2869">
        <f>IF(A2869="","",IF(SUMPRODUCT((Ввод!$F$12:$F$31&lt;&gt;"")*(Ввод!$F$12:$F$31&lt;=A2869)*(Ввод!$G$12:$G$31&gt;=A2869))&gt;0,1,0))</f>
        <v/>
      </c>
      <c r="G2869">
        <f>IF(A2869="","",IF(OR(B2869&lt;&gt;B2868,C2869&lt;&gt;C2868,E2869&lt;&gt;E2868),G2868+1,G2868))</f>
        <v/>
      </c>
    </row>
    <row r="2870">
      <c r="A2870" s="20">
        <f>IF(A2869="","",IF(A2869+1&gt;Ввод!$B$4,"",A2869+1))</f>
        <v/>
      </c>
      <c r="B2870">
        <f>IF(A2870="","",IFERROR(INDEX(Ввод!$B$12:$B$71,MATCH(A2870,Ввод!$D$12:$D$71,1)),""))</f>
        <v/>
      </c>
      <c r="C2870">
        <f>IF(A2870="","",DATE(YEAR(A2870),12,31)-DATE(YEAR(A2870),1,1)+1)</f>
        <v/>
      </c>
      <c r="D2870">
        <f>IF(A2870="","",SUMIFS(Акты!$D$5:$D$16,Акты!$E$5:$E$16,"&lt;="&amp;A2870)-SUMIFS(Оплаты!$B$6:$B$505,Оплаты!$A$6:$A$505,"&lt;"&amp;A2870,Оплаты!$D$6:$D$505,"&lt;&gt;"))</f>
        <v/>
      </c>
      <c r="E2870">
        <f>IF(A2870="","",IF(SUMPRODUCT((Ввод!$F$12:$F$31&lt;&gt;"")*(Ввод!$F$12:$F$31&lt;=A2870)*(Ввод!$G$12:$G$31&gt;=A2870))&gt;0,1,0))</f>
        <v/>
      </c>
      <c r="G2870">
        <f>IF(A2870="","",IF(OR(B2870&lt;&gt;B2869,C2870&lt;&gt;C2869,E2870&lt;&gt;E2869),G2869+1,G2869))</f>
        <v/>
      </c>
    </row>
    <row r="2871">
      <c r="A2871" s="20">
        <f>IF(A2870="","",IF(A2870+1&gt;Ввод!$B$4,"",A2870+1))</f>
        <v/>
      </c>
      <c r="B2871">
        <f>IF(A2871="","",IFERROR(INDEX(Ввод!$B$12:$B$71,MATCH(A2871,Ввод!$D$12:$D$71,1)),""))</f>
        <v/>
      </c>
      <c r="C2871">
        <f>IF(A2871="","",DATE(YEAR(A2871),12,31)-DATE(YEAR(A2871),1,1)+1)</f>
        <v/>
      </c>
      <c r="D2871">
        <f>IF(A2871="","",SUMIFS(Акты!$D$5:$D$16,Акты!$E$5:$E$16,"&lt;="&amp;A2871)-SUMIFS(Оплаты!$B$6:$B$505,Оплаты!$A$6:$A$505,"&lt;"&amp;A2871,Оплаты!$D$6:$D$505,"&lt;&gt;"))</f>
        <v/>
      </c>
      <c r="E2871">
        <f>IF(A2871="","",IF(SUMPRODUCT((Ввод!$F$12:$F$31&lt;&gt;"")*(Ввод!$F$12:$F$31&lt;=A2871)*(Ввод!$G$12:$G$31&gt;=A2871))&gt;0,1,0))</f>
        <v/>
      </c>
      <c r="G2871">
        <f>IF(A2871="","",IF(OR(B2871&lt;&gt;B2870,C2871&lt;&gt;C2870,E2871&lt;&gt;E2870),G2870+1,G2870))</f>
        <v/>
      </c>
    </row>
    <row r="2872">
      <c r="A2872" s="20">
        <f>IF(A2871="","",IF(A2871+1&gt;Ввод!$B$4,"",A2871+1))</f>
        <v/>
      </c>
      <c r="B2872">
        <f>IF(A2872="","",IFERROR(INDEX(Ввод!$B$12:$B$71,MATCH(A2872,Ввод!$D$12:$D$71,1)),""))</f>
        <v/>
      </c>
      <c r="C2872">
        <f>IF(A2872="","",DATE(YEAR(A2872),12,31)-DATE(YEAR(A2872),1,1)+1)</f>
        <v/>
      </c>
      <c r="D2872">
        <f>IF(A2872="","",SUMIFS(Акты!$D$5:$D$16,Акты!$E$5:$E$16,"&lt;="&amp;A2872)-SUMIFS(Оплаты!$B$6:$B$505,Оплаты!$A$6:$A$505,"&lt;"&amp;A2872,Оплаты!$D$6:$D$505,"&lt;&gt;"))</f>
        <v/>
      </c>
      <c r="E2872">
        <f>IF(A2872="","",IF(SUMPRODUCT((Ввод!$F$12:$F$31&lt;&gt;"")*(Ввод!$F$12:$F$31&lt;=A2872)*(Ввод!$G$12:$G$31&gt;=A2872))&gt;0,1,0))</f>
        <v/>
      </c>
      <c r="G2872">
        <f>IF(A2872="","",IF(OR(B2872&lt;&gt;B2871,C2872&lt;&gt;C2871,E2872&lt;&gt;E2871),G2871+1,G2871))</f>
        <v/>
      </c>
    </row>
    <row r="2873">
      <c r="A2873" s="20">
        <f>IF(A2872="","",IF(A2872+1&gt;Ввод!$B$4,"",A2872+1))</f>
        <v/>
      </c>
      <c r="B2873">
        <f>IF(A2873="","",IFERROR(INDEX(Ввод!$B$12:$B$71,MATCH(A2873,Ввод!$D$12:$D$71,1)),""))</f>
        <v/>
      </c>
      <c r="C2873">
        <f>IF(A2873="","",DATE(YEAR(A2873),12,31)-DATE(YEAR(A2873),1,1)+1)</f>
        <v/>
      </c>
      <c r="D2873">
        <f>IF(A2873="","",SUMIFS(Акты!$D$5:$D$16,Акты!$E$5:$E$16,"&lt;="&amp;A2873)-SUMIFS(Оплаты!$B$6:$B$505,Оплаты!$A$6:$A$505,"&lt;"&amp;A2873,Оплаты!$D$6:$D$505,"&lt;&gt;"))</f>
        <v/>
      </c>
      <c r="E2873">
        <f>IF(A2873="","",IF(SUMPRODUCT((Ввод!$F$12:$F$31&lt;&gt;"")*(Ввод!$F$12:$F$31&lt;=A2873)*(Ввод!$G$12:$G$31&gt;=A2873))&gt;0,1,0))</f>
        <v/>
      </c>
      <c r="G2873">
        <f>IF(A2873="","",IF(OR(B2873&lt;&gt;B2872,C2873&lt;&gt;C2872,E2873&lt;&gt;E2872),G2872+1,G2872))</f>
        <v/>
      </c>
    </row>
    <row r="2874">
      <c r="A2874" s="20">
        <f>IF(A2873="","",IF(A2873+1&gt;Ввод!$B$4,"",A2873+1))</f>
        <v/>
      </c>
      <c r="B2874">
        <f>IF(A2874="","",IFERROR(INDEX(Ввод!$B$12:$B$71,MATCH(A2874,Ввод!$D$12:$D$71,1)),""))</f>
        <v/>
      </c>
      <c r="C2874">
        <f>IF(A2874="","",DATE(YEAR(A2874),12,31)-DATE(YEAR(A2874),1,1)+1)</f>
        <v/>
      </c>
      <c r="D2874">
        <f>IF(A2874="","",SUMIFS(Акты!$D$5:$D$16,Акты!$E$5:$E$16,"&lt;="&amp;A2874)-SUMIFS(Оплаты!$B$6:$B$505,Оплаты!$A$6:$A$505,"&lt;"&amp;A2874,Оплаты!$D$6:$D$505,"&lt;&gt;"))</f>
        <v/>
      </c>
      <c r="E2874">
        <f>IF(A2874="","",IF(SUMPRODUCT((Ввод!$F$12:$F$31&lt;&gt;"")*(Ввод!$F$12:$F$31&lt;=A2874)*(Ввод!$G$12:$G$31&gt;=A2874))&gt;0,1,0))</f>
        <v/>
      </c>
      <c r="G2874">
        <f>IF(A2874="","",IF(OR(B2874&lt;&gt;B2873,C2874&lt;&gt;C2873,E2874&lt;&gt;E2873),G2873+1,G2873))</f>
        <v/>
      </c>
    </row>
    <row r="2875">
      <c r="A2875" s="20">
        <f>IF(A2874="","",IF(A2874+1&gt;Ввод!$B$4,"",A2874+1))</f>
        <v/>
      </c>
      <c r="B2875">
        <f>IF(A2875="","",IFERROR(INDEX(Ввод!$B$12:$B$71,MATCH(A2875,Ввод!$D$12:$D$71,1)),""))</f>
        <v/>
      </c>
      <c r="C2875">
        <f>IF(A2875="","",DATE(YEAR(A2875),12,31)-DATE(YEAR(A2875),1,1)+1)</f>
        <v/>
      </c>
      <c r="D2875">
        <f>IF(A2875="","",SUMIFS(Акты!$D$5:$D$16,Акты!$E$5:$E$16,"&lt;="&amp;A2875)-SUMIFS(Оплаты!$B$6:$B$505,Оплаты!$A$6:$A$505,"&lt;"&amp;A2875,Оплаты!$D$6:$D$505,"&lt;&gt;"))</f>
        <v/>
      </c>
      <c r="E2875">
        <f>IF(A2875="","",IF(SUMPRODUCT((Ввод!$F$12:$F$31&lt;&gt;"")*(Ввод!$F$12:$F$31&lt;=A2875)*(Ввод!$G$12:$G$31&gt;=A2875))&gt;0,1,0))</f>
        <v/>
      </c>
      <c r="G2875">
        <f>IF(A2875="","",IF(OR(B2875&lt;&gt;B2874,C2875&lt;&gt;C2874,E2875&lt;&gt;E2874),G2874+1,G2874))</f>
        <v/>
      </c>
    </row>
    <row r="2876">
      <c r="A2876" s="20">
        <f>IF(A2875="","",IF(A2875+1&gt;Ввод!$B$4,"",A2875+1))</f>
        <v/>
      </c>
      <c r="B2876">
        <f>IF(A2876="","",IFERROR(INDEX(Ввод!$B$12:$B$71,MATCH(A2876,Ввод!$D$12:$D$71,1)),""))</f>
        <v/>
      </c>
      <c r="C2876">
        <f>IF(A2876="","",DATE(YEAR(A2876),12,31)-DATE(YEAR(A2876),1,1)+1)</f>
        <v/>
      </c>
      <c r="D2876">
        <f>IF(A2876="","",SUMIFS(Акты!$D$5:$D$16,Акты!$E$5:$E$16,"&lt;="&amp;A2876)-SUMIFS(Оплаты!$B$6:$B$505,Оплаты!$A$6:$A$505,"&lt;"&amp;A2876,Оплаты!$D$6:$D$505,"&lt;&gt;"))</f>
        <v/>
      </c>
      <c r="E2876">
        <f>IF(A2876="","",IF(SUMPRODUCT((Ввод!$F$12:$F$31&lt;&gt;"")*(Ввод!$F$12:$F$31&lt;=A2876)*(Ввод!$G$12:$G$31&gt;=A2876))&gt;0,1,0))</f>
        <v/>
      </c>
      <c r="G2876">
        <f>IF(A2876="","",IF(OR(B2876&lt;&gt;B2875,C2876&lt;&gt;C2875,E2876&lt;&gt;E2875),G2875+1,G2875))</f>
        <v/>
      </c>
    </row>
    <row r="2877">
      <c r="A2877" s="20">
        <f>IF(A2876="","",IF(A2876+1&gt;Ввод!$B$4,"",A2876+1))</f>
        <v/>
      </c>
      <c r="B2877">
        <f>IF(A2877="","",IFERROR(INDEX(Ввод!$B$12:$B$71,MATCH(A2877,Ввод!$D$12:$D$71,1)),""))</f>
        <v/>
      </c>
      <c r="C2877">
        <f>IF(A2877="","",DATE(YEAR(A2877),12,31)-DATE(YEAR(A2877),1,1)+1)</f>
        <v/>
      </c>
      <c r="D2877">
        <f>IF(A2877="","",SUMIFS(Акты!$D$5:$D$16,Акты!$E$5:$E$16,"&lt;="&amp;A2877)-SUMIFS(Оплаты!$B$6:$B$505,Оплаты!$A$6:$A$505,"&lt;"&amp;A2877,Оплаты!$D$6:$D$505,"&lt;&gt;"))</f>
        <v/>
      </c>
      <c r="E2877">
        <f>IF(A2877="","",IF(SUMPRODUCT((Ввод!$F$12:$F$31&lt;&gt;"")*(Ввод!$F$12:$F$31&lt;=A2877)*(Ввод!$G$12:$G$31&gt;=A2877))&gt;0,1,0))</f>
        <v/>
      </c>
      <c r="G2877">
        <f>IF(A2877="","",IF(OR(B2877&lt;&gt;B2876,C2877&lt;&gt;C2876,E2877&lt;&gt;E2876),G2876+1,G2876))</f>
        <v/>
      </c>
    </row>
    <row r="2878">
      <c r="A2878" s="20">
        <f>IF(A2877="","",IF(A2877+1&gt;Ввод!$B$4,"",A2877+1))</f>
        <v/>
      </c>
      <c r="B2878">
        <f>IF(A2878="","",IFERROR(INDEX(Ввод!$B$12:$B$71,MATCH(A2878,Ввод!$D$12:$D$71,1)),""))</f>
        <v/>
      </c>
      <c r="C2878">
        <f>IF(A2878="","",DATE(YEAR(A2878),12,31)-DATE(YEAR(A2878),1,1)+1)</f>
        <v/>
      </c>
      <c r="D2878">
        <f>IF(A2878="","",SUMIFS(Акты!$D$5:$D$16,Акты!$E$5:$E$16,"&lt;="&amp;A2878)-SUMIFS(Оплаты!$B$6:$B$505,Оплаты!$A$6:$A$505,"&lt;"&amp;A2878,Оплаты!$D$6:$D$505,"&lt;&gt;"))</f>
        <v/>
      </c>
      <c r="E2878">
        <f>IF(A2878="","",IF(SUMPRODUCT((Ввод!$F$12:$F$31&lt;&gt;"")*(Ввод!$F$12:$F$31&lt;=A2878)*(Ввод!$G$12:$G$31&gt;=A2878))&gt;0,1,0))</f>
        <v/>
      </c>
      <c r="G2878">
        <f>IF(A2878="","",IF(OR(B2878&lt;&gt;B2877,C2878&lt;&gt;C2877,E2878&lt;&gt;E2877),G2877+1,G2877))</f>
        <v/>
      </c>
    </row>
    <row r="2879">
      <c r="A2879" s="20">
        <f>IF(A2878="","",IF(A2878+1&gt;Ввод!$B$4,"",A2878+1))</f>
        <v/>
      </c>
      <c r="B2879">
        <f>IF(A2879="","",IFERROR(INDEX(Ввод!$B$12:$B$71,MATCH(A2879,Ввод!$D$12:$D$71,1)),""))</f>
        <v/>
      </c>
      <c r="C2879">
        <f>IF(A2879="","",DATE(YEAR(A2879),12,31)-DATE(YEAR(A2879),1,1)+1)</f>
        <v/>
      </c>
      <c r="D2879">
        <f>IF(A2879="","",SUMIFS(Акты!$D$5:$D$16,Акты!$E$5:$E$16,"&lt;="&amp;A2879)-SUMIFS(Оплаты!$B$6:$B$505,Оплаты!$A$6:$A$505,"&lt;"&amp;A2879,Оплаты!$D$6:$D$505,"&lt;&gt;"))</f>
        <v/>
      </c>
      <c r="E2879">
        <f>IF(A2879="","",IF(SUMPRODUCT((Ввод!$F$12:$F$31&lt;&gt;"")*(Ввод!$F$12:$F$31&lt;=A2879)*(Ввод!$G$12:$G$31&gt;=A2879))&gt;0,1,0))</f>
        <v/>
      </c>
      <c r="G2879">
        <f>IF(A2879="","",IF(OR(B2879&lt;&gt;B2878,C2879&lt;&gt;C2878,E2879&lt;&gt;E2878),G2878+1,G2878))</f>
        <v/>
      </c>
    </row>
    <row r="2880">
      <c r="A2880" s="20">
        <f>IF(A2879="","",IF(A2879+1&gt;Ввод!$B$4,"",A2879+1))</f>
        <v/>
      </c>
      <c r="B2880">
        <f>IF(A2880="","",IFERROR(INDEX(Ввод!$B$12:$B$71,MATCH(A2880,Ввод!$D$12:$D$71,1)),""))</f>
        <v/>
      </c>
      <c r="C2880">
        <f>IF(A2880="","",DATE(YEAR(A2880),12,31)-DATE(YEAR(A2880),1,1)+1)</f>
        <v/>
      </c>
      <c r="D2880">
        <f>IF(A2880="","",SUMIFS(Акты!$D$5:$D$16,Акты!$E$5:$E$16,"&lt;="&amp;A2880)-SUMIFS(Оплаты!$B$6:$B$505,Оплаты!$A$6:$A$505,"&lt;"&amp;A2880,Оплаты!$D$6:$D$505,"&lt;&gt;"))</f>
        <v/>
      </c>
      <c r="E2880">
        <f>IF(A2880="","",IF(SUMPRODUCT((Ввод!$F$12:$F$31&lt;&gt;"")*(Ввод!$F$12:$F$31&lt;=A2880)*(Ввод!$G$12:$G$31&gt;=A2880))&gt;0,1,0))</f>
        <v/>
      </c>
      <c r="G2880">
        <f>IF(A2880="","",IF(OR(B2880&lt;&gt;B2879,C2880&lt;&gt;C2879,E2880&lt;&gt;E2879),G2879+1,G2879))</f>
        <v/>
      </c>
    </row>
    <row r="2881">
      <c r="A2881" s="20">
        <f>IF(A2880="","",IF(A2880+1&gt;Ввод!$B$4,"",A2880+1))</f>
        <v/>
      </c>
      <c r="B2881">
        <f>IF(A2881="","",IFERROR(INDEX(Ввод!$B$12:$B$71,MATCH(A2881,Ввод!$D$12:$D$71,1)),""))</f>
        <v/>
      </c>
      <c r="C2881">
        <f>IF(A2881="","",DATE(YEAR(A2881),12,31)-DATE(YEAR(A2881),1,1)+1)</f>
        <v/>
      </c>
      <c r="D2881">
        <f>IF(A2881="","",SUMIFS(Акты!$D$5:$D$16,Акты!$E$5:$E$16,"&lt;="&amp;A2881)-SUMIFS(Оплаты!$B$6:$B$505,Оплаты!$A$6:$A$505,"&lt;"&amp;A2881,Оплаты!$D$6:$D$505,"&lt;&gt;"))</f>
        <v/>
      </c>
      <c r="E2881">
        <f>IF(A2881="","",IF(SUMPRODUCT((Ввод!$F$12:$F$31&lt;&gt;"")*(Ввод!$F$12:$F$31&lt;=A2881)*(Ввод!$G$12:$G$31&gt;=A2881))&gt;0,1,0))</f>
        <v/>
      </c>
      <c r="G2881">
        <f>IF(A2881="","",IF(OR(B2881&lt;&gt;B2880,C2881&lt;&gt;C2880,E2881&lt;&gt;E2880),G2880+1,G2880))</f>
        <v/>
      </c>
    </row>
    <row r="2882">
      <c r="A2882" s="20">
        <f>IF(A2881="","",IF(A2881+1&gt;Ввод!$B$4,"",A2881+1))</f>
        <v/>
      </c>
      <c r="B2882">
        <f>IF(A2882="","",IFERROR(INDEX(Ввод!$B$12:$B$71,MATCH(A2882,Ввод!$D$12:$D$71,1)),""))</f>
        <v/>
      </c>
      <c r="C2882">
        <f>IF(A2882="","",DATE(YEAR(A2882),12,31)-DATE(YEAR(A2882),1,1)+1)</f>
        <v/>
      </c>
      <c r="D2882">
        <f>IF(A2882="","",SUMIFS(Акты!$D$5:$D$16,Акты!$E$5:$E$16,"&lt;="&amp;A2882)-SUMIFS(Оплаты!$B$6:$B$505,Оплаты!$A$6:$A$505,"&lt;"&amp;A2882,Оплаты!$D$6:$D$505,"&lt;&gt;"))</f>
        <v/>
      </c>
      <c r="E2882">
        <f>IF(A2882="","",IF(SUMPRODUCT((Ввод!$F$12:$F$31&lt;&gt;"")*(Ввод!$F$12:$F$31&lt;=A2882)*(Ввод!$G$12:$G$31&gt;=A2882))&gt;0,1,0))</f>
        <v/>
      </c>
      <c r="G2882">
        <f>IF(A2882="","",IF(OR(B2882&lt;&gt;B2881,C2882&lt;&gt;C2881,E2882&lt;&gt;E2881),G2881+1,G2881))</f>
        <v/>
      </c>
    </row>
    <row r="2883">
      <c r="A2883" s="20">
        <f>IF(A2882="","",IF(A2882+1&gt;Ввод!$B$4,"",A2882+1))</f>
        <v/>
      </c>
      <c r="B2883">
        <f>IF(A2883="","",IFERROR(INDEX(Ввод!$B$12:$B$71,MATCH(A2883,Ввод!$D$12:$D$71,1)),""))</f>
        <v/>
      </c>
      <c r="C2883">
        <f>IF(A2883="","",DATE(YEAR(A2883),12,31)-DATE(YEAR(A2883),1,1)+1)</f>
        <v/>
      </c>
      <c r="D2883">
        <f>IF(A2883="","",SUMIFS(Акты!$D$5:$D$16,Акты!$E$5:$E$16,"&lt;="&amp;A2883)-SUMIFS(Оплаты!$B$6:$B$505,Оплаты!$A$6:$A$505,"&lt;"&amp;A2883,Оплаты!$D$6:$D$505,"&lt;&gt;"))</f>
        <v/>
      </c>
      <c r="E2883">
        <f>IF(A2883="","",IF(SUMPRODUCT((Ввод!$F$12:$F$31&lt;&gt;"")*(Ввод!$F$12:$F$31&lt;=A2883)*(Ввод!$G$12:$G$31&gt;=A2883))&gt;0,1,0))</f>
        <v/>
      </c>
      <c r="G2883">
        <f>IF(A2883="","",IF(OR(B2883&lt;&gt;B2882,C2883&lt;&gt;C2882,E2883&lt;&gt;E2882),G2882+1,G2882))</f>
        <v/>
      </c>
    </row>
    <row r="2884">
      <c r="A2884" s="20">
        <f>IF(A2883="","",IF(A2883+1&gt;Ввод!$B$4,"",A2883+1))</f>
        <v/>
      </c>
      <c r="B2884">
        <f>IF(A2884="","",IFERROR(INDEX(Ввод!$B$12:$B$71,MATCH(A2884,Ввод!$D$12:$D$71,1)),""))</f>
        <v/>
      </c>
      <c r="C2884">
        <f>IF(A2884="","",DATE(YEAR(A2884),12,31)-DATE(YEAR(A2884),1,1)+1)</f>
        <v/>
      </c>
      <c r="D2884">
        <f>IF(A2884="","",SUMIFS(Акты!$D$5:$D$16,Акты!$E$5:$E$16,"&lt;="&amp;A2884)-SUMIFS(Оплаты!$B$6:$B$505,Оплаты!$A$6:$A$505,"&lt;"&amp;A2884,Оплаты!$D$6:$D$505,"&lt;&gt;"))</f>
        <v/>
      </c>
      <c r="E2884">
        <f>IF(A2884="","",IF(SUMPRODUCT((Ввод!$F$12:$F$31&lt;&gt;"")*(Ввод!$F$12:$F$31&lt;=A2884)*(Ввод!$G$12:$G$31&gt;=A2884))&gt;0,1,0))</f>
        <v/>
      </c>
      <c r="G2884">
        <f>IF(A2884="","",IF(OR(B2884&lt;&gt;B2883,C2884&lt;&gt;C2883,E2884&lt;&gt;E2883),G2883+1,G2883))</f>
        <v/>
      </c>
    </row>
    <row r="2885">
      <c r="A2885" s="20">
        <f>IF(A2884="","",IF(A2884+1&gt;Ввод!$B$4,"",A2884+1))</f>
        <v/>
      </c>
      <c r="B2885">
        <f>IF(A2885="","",IFERROR(INDEX(Ввод!$B$12:$B$71,MATCH(A2885,Ввод!$D$12:$D$71,1)),""))</f>
        <v/>
      </c>
      <c r="C2885">
        <f>IF(A2885="","",DATE(YEAR(A2885),12,31)-DATE(YEAR(A2885),1,1)+1)</f>
        <v/>
      </c>
      <c r="D2885">
        <f>IF(A2885="","",SUMIFS(Акты!$D$5:$D$16,Акты!$E$5:$E$16,"&lt;="&amp;A2885)-SUMIFS(Оплаты!$B$6:$B$505,Оплаты!$A$6:$A$505,"&lt;"&amp;A2885,Оплаты!$D$6:$D$505,"&lt;&gt;"))</f>
        <v/>
      </c>
      <c r="E2885">
        <f>IF(A2885="","",IF(SUMPRODUCT((Ввод!$F$12:$F$31&lt;&gt;"")*(Ввод!$F$12:$F$31&lt;=A2885)*(Ввод!$G$12:$G$31&gt;=A2885))&gt;0,1,0))</f>
        <v/>
      </c>
      <c r="G2885">
        <f>IF(A2885="","",IF(OR(B2885&lt;&gt;B2884,C2885&lt;&gt;C2884,E2885&lt;&gt;E2884),G2884+1,G2884))</f>
        <v/>
      </c>
    </row>
    <row r="2886">
      <c r="A2886" s="20">
        <f>IF(A2885="","",IF(A2885+1&gt;Ввод!$B$4,"",A2885+1))</f>
        <v/>
      </c>
      <c r="B2886">
        <f>IF(A2886="","",IFERROR(INDEX(Ввод!$B$12:$B$71,MATCH(A2886,Ввод!$D$12:$D$71,1)),""))</f>
        <v/>
      </c>
      <c r="C2886">
        <f>IF(A2886="","",DATE(YEAR(A2886),12,31)-DATE(YEAR(A2886),1,1)+1)</f>
        <v/>
      </c>
      <c r="D2886">
        <f>IF(A2886="","",SUMIFS(Акты!$D$5:$D$16,Акты!$E$5:$E$16,"&lt;="&amp;A2886)-SUMIFS(Оплаты!$B$6:$B$505,Оплаты!$A$6:$A$505,"&lt;"&amp;A2886,Оплаты!$D$6:$D$505,"&lt;&gt;"))</f>
        <v/>
      </c>
      <c r="E2886">
        <f>IF(A2886="","",IF(SUMPRODUCT((Ввод!$F$12:$F$31&lt;&gt;"")*(Ввод!$F$12:$F$31&lt;=A2886)*(Ввод!$G$12:$G$31&gt;=A2886))&gt;0,1,0))</f>
        <v/>
      </c>
      <c r="G2886">
        <f>IF(A2886="","",IF(OR(B2886&lt;&gt;B2885,C2886&lt;&gt;C2885,E2886&lt;&gt;E2885),G2885+1,G2885))</f>
        <v/>
      </c>
    </row>
    <row r="2887">
      <c r="A2887" s="20">
        <f>IF(A2886="","",IF(A2886+1&gt;Ввод!$B$4,"",A2886+1))</f>
        <v/>
      </c>
      <c r="B2887">
        <f>IF(A2887="","",IFERROR(INDEX(Ввод!$B$12:$B$71,MATCH(A2887,Ввод!$D$12:$D$71,1)),""))</f>
        <v/>
      </c>
      <c r="C2887">
        <f>IF(A2887="","",DATE(YEAR(A2887),12,31)-DATE(YEAR(A2887),1,1)+1)</f>
        <v/>
      </c>
      <c r="D2887">
        <f>IF(A2887="","",SUMIFS(Акты!$D$5:$D$16,Акты!$E$5:$E$16,"&lt;="&amp;A2887)-SUMIFS(Оплаты!$B$6:$B$505,Оплаты!$A$6:$A$505,"&lt;"&amp;A2887,Оплаты!$D$6:$D$505,"&lt;&gt;"))</f>
        <v/>
      </c>
      <c r="E2887">
        <f>IF(A2887="","",IF(SUMPRODUCT((Ввод!$F$12:$F$31&lt;&gt;"")*(Ввод!$F$12:$F$31&lt;=A2887)*(Ввод!$G$12:$G$31&gt;=A2887))&gt;0,1,0))</f>
        <v/>
      </c>
      <c r="G2887">
        <f>IF(A2887="","",IF(OR(B2887&lt;&gt;B2886,C2887&lt;&gt;C2886,E2887&lt;&gt;E2886),G2886+1,G2886))</f>
        <v/>
      </c>
    </row>
    <row r="2888">
      <c r="A2888" s="20">
        <f>IF(A2887="","",IF(A2887+1&gt;Ввод!$B$4,"",A2887+1))</f>
        <v/>
      </c>
      <c r="B2888">
        <f>IF(A2888="","",IFERROR(INDEX(Ввод!$B$12:$B$71,MATCH(A2888,Ввод!$D$12:$D$71,1)),""))</f>
        <v/>
      </c>
      <c r="C2888">
        <f>IF(A2888="","",DATE(YEAR(A2888),12,31)-DATE(YEAR(A2888),1,1)+1)</f>
        <v/>
      </c>
      <c r="D2888">
        <f>IF(A2888="","",SUMIFS(Акты!$D$5:$D$16,Акты!$E$5:$E$16,"&lt;="&amp;A2888)-SUMIFS(Оплаты!$B$6:$B$505,Оплаты!$A$6:$A$505,"&lt;"&amp;A2888,Оплаты!$D$6:$D$505,"&lt;&gt;"))</f>
        <v/>
      </c>
      <c r="E2888">
        <f>IF(A2888="","",IF(SUMPRODUCT((Ввод!$F$12:$F$31&lt;&gt;"")*(Ввод!$F$12:$F$31&lt;=A2888)*(Ввод!$G$12:$G$31&gt;=A2888))&gt;0,1,0))</f>
        <v/>
      </c>
      <c r="G2888">
        <f>IF(A2888="","",IF(OR(B2888&lt;&gt;B2887,C2888&lt;&gt;C2887,E2888&lt;&gt;E2887),G2887+1,G2887))</f>
        <v/>
      </c>
    </row>
    <row r="2889">
      <c r="A2889" s="20">
        <f>IF(A2888="","",IF(A2888+1&gt;Ввод!$B$4,"",A2888+1))</f>
        <v/>
      </c>
      <c r="B2889">
        <f>IF(A2889="","",IFERROR(INDEX(Ввод!$B$12:$B$71,MATCH(A2889,Ввод!$D$12:$D$71,1)),""))</f>
        <v/>
      </c>
      <c r="C2889">
        <f>IF(A2889="","",DATE(YEAR(A2889),12,31)-DATE(YEAR(A2889),1,1)+1)</f>
        <v/>
      </c>
      <c r="D2889">
        <f>IF(A2889="","",SUMIFS(Акты!$D$5:$D$16,Акты!$E$5:$E$16,"&lt;="&amp;A2889)-SUMIFS(Оплаты!$B$6:$B$505,Оплаты!$A$6:$A$505,"&lt;"&amp;A2889,Оплаты!$D$6:$D$505,"&lt;&gt;"))</f>
        <v/>
      </c>
      <c r="E2889">
        <f>IF(A2889="","",IF(SUMPRODUCT((Ввод!$F$12:$F$31&lt;&gt;"")*(Ввод!$F$12:$F$31&lt;=A2889)*(Ввод!$G$12:$G$31&gt;=A2889))&gt;0,1,0))</f>
        <v/>
      </c>
      <c r="G2889">
        <f>IF(A2889="","",IF(OR(B2889&lt;&gt;B2888,C2889&lt;&gt;C2888,E2889&lt;&gt;E2888),G2888+1,G2888))</f>
        <v/>
      </c>
    </row>
    <row r="2890">
      <c r="A2890" s="20">
        <f>IF(A2889="","",IF(A2889+1&gt;Ввод!$B$4,"",A2889+1))</f>
        <v/>
      </c>
      <c r="B2890">
        <f>IF(A2890="","",IFERROR(INDEX(Ввод!$B$12:$B$71,MATCH(A2890,Ввод!$D$12:$D$71,1)),""))</f>
        <v/>
      </c>
      <c r="C2890">
        <f>IF(A2890="","",DATE(YEAR(A2890),12,31)-DATE(YEAR(A2890),1,1)+1)</f>
        <v/>
      </c>
      <c r="D2890">
        <f>IF(A2890="","",SUMIFS(Акты!$D$5:$D$16,Акты!$E$5:$E$16,"&lt;="&amp;A2890)-SUMIFS(Оплаты!$B$6:$B$505,Оплаты!$A$6:$A$505,"&lt;"&amp;A2890,Оплаты!$D$6:$D$505,"&lt;&gt;"))</f>
        <v/>
      </c>
      <c r="E2890">
        <f>IF(A2890="","",IF(SUMPRODUCT((Ввод!$F$12:$F$31&lt;&gt;"")*(Ввод!$F$12:$F$31&lt;=A2890)*(Ввод!$G$12:$G$31&gt;=A2890))&gt;0,1,0))</f>
        <v/>
      </c>
      <c r="G2890">
        <f>IF(A2890="","",IF(OR(B2890&lt;&gt;B2889,C2890&lt;&gt;C2889,E2890&lt;&gt;E2889),G2889+1,G2889))</f>
        <v/>
      </c>
    </row>
    <row r="2891">
      <c r="A2891" s="20">
        <f>IF(A2890="","",IF(A2890+1&gt;Ввод!$B$4,"",A2890+1))</f>
        <v/>
      </c>
      <c r="B2891">
        <f>IF(A2891="","",IFERROR(INDEX(Ввод!$B$12:$B$71,MATCH(A2891,Ввод!$D$12:$D$71,1)),""))</f>
        <v/>
      </c>
      <c r="C2891">
        <f>IF(A2891="","",DATE(YEAR(A2891),12,31)-DATE(YEAR(A2891),1,1)+1)</f>
        <v/>
      </c>
      <c r="D2891">
        <f>IF(A2891="","",SUMIFS(Акты!$D$5:$D$16,Акты!$E$5:$E$16,"&lt;="&amp;A2891)-SUMIFS(Оплаты!$B$6:$B$505,Оплаты!$A$6:$A$505,"&lt;"&amp;A2891,Оплаты!$D$6:$D$505,"&lt;&gt;"))</f>
        <v/>
      </c>
      <c r="E2891">
        <f>IF(A2891="","",IF(SUMPRODUCT((Ввод!$F$12:$F$31&lt;&gt;"")*(Ввод!$F$12:$F$31&lt;=A2891)*(Ввод!$G$12:$G$31&gt;=A2891))&gt;0,1,0))</f>
        <v/>
      </c>
      <c r="G2891">
        <f>IF(A2891="","",IF(OR(B2891&lt;&gt;B2890,C2891&lt;&gt;C2890,E2891&lt;&gt;E2890),G2890+1,G2890))</f>
        <v/>
      </c>
    </row>
    <row r="2892">
      <c r="A2892" s="20">
        <f>IF(A2891="","",IF(A2891+1&gt;Ввод!$B$4,"",A2891+1))</f>
        <v/>
      </c>
      <c r="B2892">
        <f>IF(A2892="","",IFERROR(INDEX(Ввод!$B$12:$B$71,MATCH(A2892,Ввод!$D$12:$D$71,1)),""))</f>
        <v/>
      </c>
      <c r="C2892">
        <f>IF(A2892="","",DATE(YEAR(A2892),12,31)-DATE(YEAR(A2892),1,1)+1)</f>
        <v/>
      </c>
      <c r="D2892">
        <f>IF(A2892="","",SUMIFS(Акты!$D$5:$D$16,Акты!$E$5:$E$16,"&lt;="&amp;A2892)-SUMIFS(Оплаты!$B$6:$B$505,Оплаты!$A$6:$A$505,"&lt;"&amp;A2892,Оплаты!$D$6:$D$505,"&lt;&gt;"))</f>
        <v/>
      </c>
      <c r="E2892">
        <f>IF(A2892="","",IF(SUMPRODUCT((Ввод!$F$12:$F$31&lt;&gt;"")*(Ввод!$F$12:$F$31&lt;=A2892)*(Ввод!$G$12:$G$31&gt;=A2892))&gt;0,1,0))</f>
        <v/>
      </c>
      <c r="G2892">
        <f>IF(A2892="","",IF(OR(B2892&lt;&gt;B2891,C2892&lt;&gt;C2891,E2892&lt;&gt;E2891),G2891+1,G2891))</f>
        <v/>
      </c>
    </row>
    <row r="2893">
      <c r="A2893" s="20">
        <f>IF(A2892="","",IF(A2892+1&gt;Ввод!$B$4,"",A2892+1))</f>
        <v/>
      </c>
      <c r="B2893">
        <f>IF(A2893="","",IFERROR(INDEX(Ввод!$B$12:$B$71,MATCH(A2893,Ввод!$D$12:$D$71,1)),""))</f>
        <v/>
      </c>
      <c r="C2893">
        <f>IF(A2893="","",DATE(YEAR(A2893),12,31)-DATE(YEAR(A2893),1,1)+1)</f>
        <v/>
      </c>
      <c r="D2893">
        <f>IF(A2893="","",SUMIFS(Акты!$D$5:$D$16,Акты!$E$5:$E$16,"&lt;="&amp;A2893)-SUMIFS(Оплаты!$B$6:$B$505,Оплаты!$A$6:$A$505,"&lt;"&amp;A2893,Оплаты!$D$6:$D$505,"&lt;&gt;"))</f>
        <v/>
      </c>
      <c r="E2893">
        <f>IF(A2893="","",IF(SUMPRODUCT((Ввод!$F$12:$F$31&lt;&gt;"")*(Ввод!$F$12:$F$31&lt;=A2893)*(Ввод!$G$12:$G$31&gt;=A2893))&gt;0,1,0))</f>
        <v/>
      </c>
      <c r="G2893">
        <f>IF(A2893="","",IF(OR(B2893&lt;&gt;B2892,C2893&lt;&gt;C2892,E2893&lt;&gt;E2892),G2892+1,G2892))</f>
        <v/>
      </c>
    </row>
    <row r="2894">
      <c r="A2894" s="20">
        <f>IF(A2893="","",IF(A2893+1&gt;Ввод!$B$4,"",A2893+1))</f>
        <v/>
      </c>
      <c r="B2894">
        <f>IF(A2894="","",IFERROR(INDEX(Ввод!$B$12:$B$71,MATCH(A2894,Ввод!$D$12:$D$71,1)),""))</f>
        <v/>
      </c>
      <c r="C2894">
        <f>IF(A2894="","",DATE(YEAR(A2894),12,31)-DATE(YEAR(A2894),1,1)+1)</f>
        <v/>
      </c>
      <c r="D2894">
        <f>IF(A2894="","",SUMIFS(Акты!$D$5:$D$16,Акты!$E$5:$E$16,"&lt;="&amp;A2894)-SUMIFS(Оплаты!$B$6:$B$505,Оплаты!$A$6:$A$505,"&lt;"&amp;A2894,Оплаты!$D$6:$D$505,"&lt;&gt;"))</f>
        <v/>
      </c>
      <c r="E2894">
        <f>IF(A2894="","",IF(SUMPRODUCT((Ввод!$F$12:$F$31&lt;&gt;"")*(Ввод!$F$12:$F$31&lt;=A2894)*(Ввод!$G$12:$G$31&gt;=A2894))&gt;0,1,0))</f>
        <v/>
      </c>
      <c r="G2894">
        <f>IF(A2894="","",IF(OR(B2894&lt;&gt;B2893,C2894&lt;&gt;C2893,E2894&lt;&gt;E2893),G2893+1,G2893))</f>
        <v/>
      </c>
    </row>
    <row r="2895">
      <c r="A2895" s="20">
        <f>IF(A2894="","",IF(A2894+1&gt;Ввод!$B$4,"",A2894+1))</f>
        <v/>
      </c>
      <c r="B2895">
        <f>IF(A2895="","",IFERROR(INDEX(Ввод!$B$12:$B$71,MATCH(A2895,Ввод!$D$12:$D$71,1)),""))</f>
        <v/>
      </c>
      <c r="C2895">
        <f>IF(A2895="","",DATE(YEAR(A2895),12,31)-DATE(YEAR(A2895),1,1)+1)</f>
        <v/>
      </c>
      <c r="D2895">
        <f>IF(A2895="","",SUMIFS(Акты!$D$5:$D$16,Акты!$E$5:$E$16,"&lt;="&amp;A2895)-SUMIFS(Оплаты!$B$6:$B$505,Оплаты!$A$6:$A$505,"&lt;"&amp;A2895,Оплаты!$D$6:$D$505,"&lt;&gt;"))</f>
        <v/>
      </c>
      <c r="E2895">
        <f>IF(A2895="","",IF(SUMPRODUCT((Ввод!$F$12:$F$31&lt;&gt;"")*(Ввод!$F$12:$F$31&lt;=A2895)*(Ввод!$G$12:$G$31&gt;=A2895))&gt;0,1,0))</f>
        <v/>
      </c>
      <c r="G2895">
        <f>IF(A2895="","",IF(OR(B2895&lt;&gt;B2894,C2895&lt;&gt;C2894,E2895&lt;&gt;E2894),G2894+1,G2894))</f>
        <v/>
      </c>
    </row>
    <row r="2896">
      <c r="A2896" s="20">
        <f>IF(A2895="","",IF(A2895+1&gt;Ввод!$B$4,"",A2895+1))</f>
        <v/>
      </c>
      <c r="B2896">
        <f>IF(A2896="","",IFERROR(INDEX(Ввод!$B$12:$B$71,MATCH(A2896,Ввод!$D$12:$D$71,1)),""))</f>
        <v/>
      </c>
      <c r="C2896">
        <f>IF(A2896="","",DATE(YEAR(A2896),12,31)-DATE(YEAR(A2896),1,1)+1)</f>
        <v/>
      </c>
      <c r="D2896">
        <f>IF(A2896="","",SUMIFS(Акты!$D$5:$D$16,Акты!$E$5:$E$16,"&lt;="&amp;A2896)-SUMIFS(Оплаты!$B$6:$B$505,Оплаты!$A$6:$A$505,"&lt;"&amp;A2896,Оплаты!$D$6:$D$505,"&lt;&gt;"))</f>
        <v/>
      </c>
      <c r="E2896">
        <f>IF(A2896="","",IF(SUMPRODUCT((Ввод!$F$12:$F$31&lt;&gt;"")*(Ввод!$F$12:$F$31&lt;=A2896)*(Ввод!$G$12:$G$31&gt;=A2896))&gt;0,1,0))</f>
        <v/>
      </c>
      <c r="G2896">
        <f>IF(A2896="","",IF(OR(B2896&lt;&gt;B2895,C2896&lt;&gt;C2895,E2896&lt;&gt;E2895),G2895+1,G2895))</f>
        <v/>
      </c>
    </row>
    <row r="2897">
      <c r="A2897" s="20">
        <f>IF(A2896="","",IF(A2896+1&gt;Ввод!$B$4,"",A2896+1))</f>
        <v/>
      </c>
      <c r="B2897">
        <f>IF(A2897="","",IFERROR(INDEX(Ввод!$B$12:$B$71,MATCH(A2897,Ввод!$D$12:$D$71,1)),""))</f>
        <v/>
      </c>
      <c r="C2897">
        <f>IF(A2897="","",DATE(YEAR(A2897),12,31)-DATE(YEAR(A2897),1,1)+1)</f>
        <v/>
      </c>
      <c r="D2897">
        <f>IF(A2897="","",SUMIFS(Акты!$D$5:$D$16,Акты!$E$5:$E$16,"&lt;="&amp;A2897)-SUMIFS(Оплаты!$B$6:$B$505,Оплаты!$A$6:$A$505,"&lt;"&amp;A2897,Оплаты!$D$6:$D$505,"&lt;&gt;"))</f>
        <v/>
      </c>
      <c r="E2897">
        <f>IF(A2897="","",IF(SUMPRODUCT((Ввод!$F$12:$F$31&lt;&gt;"")*(Ввод!$F$12:$F$31&lt;=A2897)*(Ввод!$G$12:$G$31&gt;=A2897))&gt;0,1,0))</f>
        <v/>
      </c>
      <c r="G2897">
        <f>IF(A2897="","",IF(OR(B2897&lt;&gt;B2896,C2897&lt;&gt;C2896,E2897&lt;&gt;E2896),G2896+1,G2896))</f>
        <v/>
      </c>
    </row>
    <row r="2898">
      <c r="A2898" s="20">
        <f>IF(A2897="","",IF(A2897+1&gt;Ввод!$B$4,"",A2897+1))</f>
        <v/>
      </c>
      <c r="B2898">
        <f>IF(A2898="","",IFERROR(INDEX(Ввод!$B$12:$B$71,MATCH(A2898,Ввод!$D$12:$D$71,1)),""))</f>
        <v/>
      </c>
      <c r="C2898">
        <f>IF(A2898="","",DATE(YEAR(A2898),12,31)-DATE(YEAR(A2898),1,1)+1)</f>
        <v/>
      </c>
      <c r="D2898">
        <f>IF(A2898="","",SUMIFS(Акты!$D$5:$D$16,Акты!$E$5:$E$16,"&lt;="&amp;A2898)-SUMIFS(Оплаты!$B$6:$B$505,Оплаты!$A$6:$A$505,"&lt;"&amp;A2898,Оплаты!$D$6:$D$505,"&lt;&gt;"))</f>
        <v/>
      </c>
      <c r="E2898">
        <f>IF(A2898="","",IF(SUMPRODUCT((Ввод!$F$12:$F$31&lt;&gt;"")*(Ввод!$F$12:$F$31&lt;=A2898)*(Ввод!$G$12:$G$31&gt;=A2898))&gt;0,1,0))</f>
        <v/>
      </c>
      <c r="G2898">
        <f>IF(A2898="","",IF(OR(B2898&lt;&gt;B2897,C2898&lt;&gt;C2897,E2898&lt;&gt;E2897),G2897+1,G2897))</f>
        <v/>
      </c>
    </row>
    <row r="2899">
      <c r="A2899" s="20">
        <f>IF(A2898="","",IF(A2898+1&gt;Ввод!$B$4,"",A2898+1))</f>
        <v/>
      </c>
      <c r="B2899">
        <f>IF(A2899="","",IFERROR(INDEX(Ввод!$B$12:$B$71,MATCH(A2899,Ввод!$D$12:$D$71,1)),""))</f>
        <v/>
      </c>
      <c r="C2899">
        <f>IF(A2899="","",DATE(YEAR(A2899),12,31)-DATE(YEAR(A2899),1,1)+1)</f>
        <v/>
      </c>
      <c r="D2899">
        <f>IF(A2899="","",SUMIFS(Акты!$D$5:$D$16,Акты!$E$5:$E$16,"&lt;="&amp;A2899)-SUMIFS(Оплаты!$B$6:$B$505,Оплаты!$A$6:$A$505,"&lt;"&amp;A2899,Оплаты!$D$6:$D$505,"&lt;&gt;"))</f>
        <v/>
      </c>
      <c r="E2899">
        <f>IF(A2899="","",IF(SUMPRODUCT((Ввод!$F$12:$F$31&lt;&gt;"")*(Ввод!$F$12:$F$31&lt;=A2899)*(Ввод!$G$12:$G$31&gt;=A2899))&gt;0,1,0))</f>
        <v/>
      </c>
      <c r="G2899">
        <f>IF(A2899="","",IF(OR(B2899&lt;&gt;B2898,C2899&lt;&gt;C2898,E2899&lt;&gt;E2898),G2898+1,G2898))</f>
        <v/>
      </c>
    </row>
    <row r="2900">
      <c r="A2900" s="20">
        <f>IF(A2899="","",IF(A2899+1&gt;Ввод!$B$4,"",A2899+1))</f>
        <v/>
      </c>
      <c r="B2900">
        <f>IF(A2900="","",IFERROR(INDEX(Ввод!$B$12:$B$71,MATCH(A2900,Ввод!$D$12:$D$71,1)),""))</f>
        <v/>
      </c>
      <c r="C2900">
        <f>IF(A2900="","",DATE(YEAR(A2900),12,31)-DATE(YEAR(A2900),1,1)+1)</f>
        <v/>
      </c>
      <c r="D2900">
        <f>IF(A2900="","",SUMIFS(Акты!$D$5:$D$16,Акты!$E$5:$E$16,"&lt;="&amp;A2900)-SUMIFS(Оплаты!$B$6:$B$505,Оплаты!$A$6:$A$505,"&lt;"&amp;A2900,Оплаты!$D$6:$D$505,"&lt;&gt;"))</f>
        <v/>
      </c>
      <c r="E2900">
        <f>IF(A2900="","",IF(SUMPRODUCT((Ввод!$F$12:$F$31&lt;&gt;"")*(Ввод!$F$12:$F$31&lt;=A2900)*(Ввод!$G$12:$G$31&gt;=A2900))&gt;0,1,0))</f>
        <v/>
      </c>
      <c r="G2900">
        <f>IF(A2900="","",IF(OR(B2900&lt;&gt;B2899,C2900&lt;&gt;C2899,E2900&lt;&gt;E2899),G2899+1,G2899))</f>
        <v/>
      </c>
    </row>
    <row r="2901">
      <c r="A2901" s="20">
        <f>IF(A2900="","",IF(A2900+1&gt;Ввод!$B$4,"",A2900+1))</f>
        <v/>
      </c>
      <c r="B2901">
        <f>IF(A2901="","",IFERROR(INDEX(Ввод!$B$12:$B$71,MATCH(A2901,Ввод!$D$12:$D$71,1)),""))</f>
        <v/>
      </c>
      <c r="C2901">
        <f>IF(A2901="","",DATE(YEAR(A2901),12,31)-DATE(YEAR(A2901),1,1)+1)</f>
        <v/>
      </c>
      <c r="D2901">
        <f>IF(A2901="","",SUMIFS(Акты!$D$5:$D$16,Акты!$E$5:$E$16,"&lt;="&amp;A2901)-SUMIFS(Оплаты!$B$6:$B$505,Оплаты!$A$6:$A$505,"&lt;"&amp;A2901,Оплаты!$D$6:$D$505,"&lt;&gt;"))</f>
        <v/>
      </c>
      <c r="E2901">
        <f>IF(A2901="","",IF(SUMPRODUCT((Ввод!$F$12:$F$31&lt;&gt;"")*(Ввод!$F$12:$F$31&lt;=A2901)*(Ввод!$G$12:$G$31&gt;=A2901))&gt;0,1,0))</f>
        <v/>
      </c>
      <c r="G2901">
        <f>IF(A2901="","",IF(OR(B2901&lt;&gt;B2900,C2901&lt;&gt;C2900,E2901&lt;&gt;E2900),G2900+1,G2900))</f>
        <v/>
      </c>
    </row>
    <row r="2902">
      <c r="A2902" s="20">
        <f>IF(A2901="","",IF(A2901+1&gt;Ввод!$B$4,"",A2901+1))</f>
        <v/>
      </c>
      <c r="B2902">
        <f>IF(A2902="","",IFERROR(INDEX(Ввод!$B$12:$B$71,MATCH(A2902,Ввод!$D$12:$D$71,1)),""))</f>
        <v/>
      </c>
      <c r="C2902">
        <f>IF(A2902="","",DATE(YEAR(A2902),12,31)-DATE(YEAR(A2902),1,1)+1)</f>
        <v/>
      </c>
      <c r="D2902">
        <f>IF(A2902="","",SUMIFS(Акты!$D$5:$D$16,Акты!$E$5:$E$16,"&lt;="&amp;A2902)-SUMIFS(Оплаты!$B$6:$B$505,Оплаты!$A$6:$A$505,"&lt;"&amp;A2902,Оплаты!$D$6:$D$505,"&lt;&gt;"))</f>
        <v/>
      </c>
      <c r="E2902">
        <f>IF(A2902="","",IF(SUMPRODUCT((Ввод!$F$12:$F$31&lt;&gt;"")*(Ввод!$F$12:$F$31&lt;=A2902)*(Ввод!$G$12:$G$31&gt;=A2902))&gt;0,1,0))</f>
        <v/>
      </c>
      <c r="G2902">
        <f>IF(A2902="","",IF(OR(B2902&lt;&gt;B2901,C2902&lt;&gt;C2901,E2902&lt;&gt;E2901),G2901+1,G2901))</f>
        <v/>
      </c>
    </row>
    <row r="2903">
      <c r="A2903" s="20">
        <f>IF(A2902="","",IF(A2902+1&gt;Ввод!$B$4,"",A2902+1))</f>
        <v/>
      </c>
      <c r="B2903">
        <f>IF(A2903="","",IFERROR(INDEX(Ввод!$B$12:$B$71,MATCH(A2903,Ввод!$D$12:$D$71,1)),""))</f>
        <v/>
      </c>
      <c r="C2903">
        <f>IF(A2903="","",DATE(YEAR(A2903),12,31)-DATE(YEAR(A2903),1,1)+1)</f>
        <v/>
      </c>
      <c r="D2903">
        <f>IF(A2903="","",SUMIFS(Акты!$D$5:$D$16,Акты!$E$5:$E$16,"&lt;="&amp;A2903)-SUMIFS(Оплаты!$B$6:$B$505,Оплаты!$A$6:$A$505,"&lt;"&amp;A2903,Оплаты!$D$6:$D$505,"&lt;&gt;"))</f>
        <v/>
      </c>
      <c r="E2903">
        <f>IF(A2903="","",IF(SUMPRODUCT((Ввод!$F$12:$F$31&lt;&gt;"")*(Ввод!$F$12:$F$31&lt;=A2903)*(Ввод!$G$12:$G$31&gt;=A2903))&gt;0,1,0))</f>
        <v/>
      </c>
      <c r="G2903">
        <f>IF(A2903="","",IF(OR(B2903&lt;&gt;B2902,C2903&lt;&gt;C2902,E2903&lt;&gt;E2902),G2902+1,G2902))</f>
        <v/>
      </c>
    </row>
    <row r="2904">
      <c r="A2904" s="20">
        <f>IF(A2903="","",IF(A2903+1&gt;Ввод!$B$4,"",A2903+1))</f>
        <v/>
      </c>
      <c r="B2904">
        <f>IF(A2904="","",IFERROR(INDEX(Ввод!$B$12:$B$71,MATCH(A2904,Ввод!$D$12:$D$71,1)),""))</f>
        <v/>
      </c>
      <c r="C2904">
        <f>IF(A2904="","",DATE(YEAR(A2904),12,31)-DATE(YEAR(A2904),1,1)+1)</f>
        <v/>
      </c>
      <c r="D2904">
        <f>IF(A2904="","",SUMIFS(Акты!$D$5:$D$16,Акты!$E$5:$E$16,"&lt;="&amp;A2904)-SUMIFS(Оплаты!$B$6:$B$505,Оплаты!$A$6:$A$505,"&lt;"&amp;A2904,Оплаты!$D$6:$D$505,"&lt;&gt;"))</f>
        <v/>
      </c>
      <c r="E2904">
        <f>IF(A2904="","",IF(SUMPRODUCT((Ввод!$F$12:$F$31&lt;&gt;"")*(Ввод!$F$12:$F$31&lt;=A2904)*(Ввод!$G$12:$G$31&gt;=A2904))&gt;0,1,0))</f>
        <v/>
      </c>
      <c r="G2904">
        <f>IF(A2904="","",IF(OR(B2904&lt;&gt;B2903,C2904&lt;&gt;C2903,E2904&lt;&gt;E2903),G2903+1,G2903))</f>
        <v/>
      </c>
    </row>
    <row r="2905">
      <c r="A2905" s="20">
        <f>IF(A2904="","",IF(A2904+1&gt;Ввод!$B$4,"",A2904+1))</f>
        <v/>
      </c>
      <c r="B2905">
        <f>IF(A2905="","",IFERROR(INDEX(Ввод!$B$12:$B$71,MATCH(A2905,Ввод!$D$12:$D$71,1)),""))</f>
        <v/>
      </c>
      <c r="C2905">
        <f>IF(A2905="","",DATE(YEAR(A2905),12,31)-DATE(YEAR(A2905),1,1)+1)</f>
        <v/>
      </c>
      <c r="D2905">
        <f>IF(A2905="","",SUMIFS(Акты!$D$5:$D$16,Акты!$E$5:$E$16,"&lt;="&amp;A2905)-SUMIFS(Оплаты!$B$6:$B$505,Оплаты!$A$6:$A$505,"&lt;"&amp;A2905,Оплаты!$D$6:$D$505,"&lt;&gt;"))</f>
        <v/>
      </c>
      <c r="E2905">
        <f>IF(A2905="","",IF(SUMPRODUCT((Ввод!$F$12:$F$31&lt;&gt;"")*(Ввод!$F$12:$F$31&lt;=A2905)*(Ввод!$G$12:$G$31&gt;=A2905))&gt;0,1,0))</f>
        <v/>
      </c>
      <c r="G2905">
        <f>IF(A2905="","",IF(OR(B2905&lt;&gt;B2904,C2905&lt;&gt;C2904,E2905&lt;&gt;E2904),G2904+1,G2904))</f>
        <v/>
      </c>
    </row>
    <row r="2906">
      <c r="A2906" s="20">
        <f>IF(A2905="","",IF(A2905+1&gt;Ввод!$B$4,"",A2905+1))</f>
        <v/>
      </c>
      <c r="B2906">
        <f>IF(A2906="","",IFERROR(INDEX(Ввод!$B$12:$B$71,MATCH(A2906,Ввод!$D$12:$D$71,1)),""))</f>
        <v/>
      </c>
      <c r="C2906">
        <f>IF(A2906="","",DATE(YEAR(A2906),12,31)-DATE(YEAR(A2906),1,1)+1)</f>
        <v/>
      </c>
      <c r="D2906">
        <f>IF(A2906="","",SUMIFS(Акты!$D$5:$D$16,Акты!$E$5:$E$16,"&lt;="&amp;A2906)-SUMIFS(Оплаты!$B$6:$B$505,Оплаты!$A$6:$A$505,"&lt;"&amp;A2906,Оплаты!$D$6:$D$505,"&lt;&gt;"))</f>
        <v/>
      </c>
      <c r="E2906">
        <f>IF(A2906="","",IF(SUMPRODUCT((Ввод!$F$12:$F$31&lt;&gt;"")*(Ввод!$F$12:$F$31&lt;=A2906)*(Ввод!$G$12:$G$31&gt;=A2906))&gt;0,1,0))</f>
        <v/>
      </c>
      <c r="G2906">
        <f>IF(A2906="","",IF(OR(B2906&lt;&gt;B2905,C2906&lt;&gt;C2905,E2906&lt;&gt;E2905),G2905+1,G2905))</f>
        <v/>
      </c>
    </row>
    <row r="2907">
      <c r="A2907" s="20">
        <f>IF(A2906="","",IF(A2906+1&gt;Ввод!$B$4,"",A2906+1))</f>
        <v/>
      </c>
      <c r="B2907">
        <f>IF(A2907="","",IFERROR(INDEX(Ввод!$B$12:$B$71,MATCH(A2907,Ввод!$D$12:$D$71,1)),""))</f>
        <v/>
      </c>
      <c r="C2907">
        <f>IF(A2907="","",DATE(YEAR(A2907),12,31)-DATE(YEAR(A2907),1,1)+1)</f>
        <v/>
      </c>
      <c r="D2907">
        <f>IF(A2907="","",SUMIFS(Акты!$D$5:$D$16,Акты!$E$5:$E$16,"&lt;="&amp;A2907)-SUMIFS(Оплаты!$B$6:$B$505,Оплаты!$A$6:$A$505,"&lt;"&amp;A2907,Оплаты!$D$6:$D$505,"&lt;&gt;"))</f>
        <v/>
      </c>
      <c r="E2907">
        <f>IF(A2907="","",IF(SUMPRODUCT((Ввод!$F$12:$F$31&lt;&gt;"")*(Ввод!$F$12:$F$31&lt;=A2907)*(Ввод!$G$12:$G$31&gt;=A2907))&gt;0,1,0))</f>
        <v/>
      </c>
      <c r="G2907">
        <f>IF(A2907="","",IF(OR(B2907&lt;&gt;B2906,C2907&lt;&gt;C2906,E2907&lt;&gt;E2906),G2906+1,G2906))</f>
        <v/>
      </c>
    </row>
    <row r="2908">
      <c r="A2908" s="20">
        <f>IF(A2907="","",IF(A2907+1&gt;Ввод!$B$4,"",A2907+1))</f>
        <v/>
      </c>
      <c r="B2908">
        <f>IF(A2908="","",IFERROR(INDEX(Ввод!$B$12:$B$71,MATCH(A2908,Ввод!$D$12:$D$71,1)),""))</f>
        <v/>
      </c>
      <c r="C2908">
        <f>IF(A2908="","",DATE(YEAR(A2908),12,31)-DATE(YEAR(A2908),1,1)+1)</f>
        <v/>
      </c>
      <c r="D2908">
        <f>IF(A2908="","",SUMIFS(Акты!$D$5:$D$16,Акты!$E$5:$E$16,"&lt;="&amp;A2908)-SUMIFS(Оплаты!$B$6:$B$505,Оплаты!$A$6:$A$505,"&lt;"&amp;A2908,Оплаты!$D$6:$D$505,"&lt;&gt;"))</f>
        <v/>
      </c>
      <c r="E2908">
        <f>IF(A2908="","",IF(SUMPRODUCT((Ввод!$F$12:$F$31&lt;&gt;"")*(Ввод!$F$12:$F$31&lt;=A2908)*(Ввод!$G$12:$G$31&gt;=A2908))&gt;0,1,0))</f>
        <v/>
      </c>
      <c r="G2908">
        <f>IF(A2908="","",IF(OR(B2908&lt;&gt;B2907,C2908&lt;&gt;C2907,E2908&lt;&gt;E2907),G2907+1,G2907))</f>
        <v/>
      </c>
    </row>
    <row r="2909">
      <c r="A2909" s="20">
        <f>IF(A2908="","",IF(A2908+1&gt;Ввод!$B$4,"",A2908+1))</f>
        <v/>
      </c>
      <c r="B2909">
        <f>IF(A2909="","",IFERROR(INDEX(Ввод!$B$12:$B$71,MATCH(A2909,Ввод!$D$12:$D$71,1)),""))</f>
        <v/>
      </c>
      <c r="C2909">
        <f>IF(A2909="","",DATE(YEAR(A2909),12,31)-DATE(YEAR(A2909),1,1)+1)</f>
        <v/>
      </c>
      <c r="D2909">
        <f>IF(A2909="","",SUMIFS(Акты!$D$5:$D$16,Акты!$E$5:$E$16,"&lt;="&amp;A2909)-SUMIFS(Оплаты!$B$6:$B$505,Оплаты!$A$6:$A$505,"&lt;"&amp;A2909,Оплаты!$D$6:$D$505,"&lt;&gt;"))</f>
        <v/>
      </c>
      <c r="E2909">
        <f>IF(A2909="","",IF(SUMPRODUCT((Ввод!$F$12:$F$31&lt;&gt;"")*(Ввод!$F$12:$F$31&lt;=A2909)*(Ввод!$G$12:$G$31&gt;=A2909))&gt;0,1,0))</f>
        <v/>
      </c>
      <c r="G2909">
        <f>IF(A2909="","",IF(OR(B2909&lt;&gt;B2908,C2909&lt;&gt;C2908,E2909&lt;&gt;E2908),G2908+1,G2908))</f>
        <v/>
      </c>
    </row>
    <row r="2910">
      <c r="A2910" s="20">
        <f>IF(A2909="","",IF(A2909+1&gt;Ввод!$B$4,"",A2909+1))</f>
        <v/>
      </c>
      <c r="B2910">
        <f>IF(A2910="","",IFERROR(INDEX(Ввод!$B$12:$B$71,MATCH(A2910,Ввод!$D$12:$D$71,1)),""))</f>
        <v/>
      </c>
      <c r="C2910">
        <f>IF(A2910="","",DATE(YEAR(A2910),12,31)-DATE(YEAR(A2910),1,1)+1)</f>
        <v/>
      </c>
      <c r="D2910">
        <f>IF(A2910="","",SUMIFS(Акты!$D$5:$D$16,Акты!$E$5:$E$16,"&lt;="&amp;A2910)-SUMIFS(Оплаты!$B$6:$B$505,Оплаты!$A$6:$A$505,"&lt;"&amp;A2910,Оплаты!$D$6:$D$505,"&lt;&gt;"))</f>
        <v/>
      </c>
      <c r="E2910">
        <f>IF(A2910="","",IF(SUMPRODUCT((Ввод!$F$12:$F$31&lt;&gt;"")*(Ввод!$F$12:$F$31&lt;=A2910)*(Ввод!$G$12:$G$31&gt;=A2910))&gt;0,1,0))</f>
        <v/>
      </c>
      <c r="G2910">
        <f>IF(A2910="","",IF(OR(B2910&lt;&gt;B2909,C2910&lt;&gt;C2909,E2910&lt;&gt;E2909),G2909+1,G2909))</f>
        <v/>
      </c>
    </row>
    <row r="2911">
      <c r="A2911" s="20">
        <f>IF(A2910="","",IF(A2910+1&gt;Ввод!$B$4,"",A2910+1))</f>
        <v/>
      </c>
      <c r="B2911">
        <f>IF(A2911="","",IFERROR(INDEX(Ввод!$B$12:$B$71,MATCH(A2911,Ввод!$D$12:$D$71,1)),""))</f>
        <v/>
      </c>
      <c r="C2911">
        <f>IF(A2911="","",DATE(YEAR(A2911),12,31)-DATE(YEAR(A2911),1,1)+1)</f>
        <v/>
      </c>
      <c r="D2911">
        <f>IF(A2911="","",SUMIFS(Акты!$D$5:$D$16,Акты!$E$5:$E$16,"&lt;="&amp;A2911)-SUMIFS(Оплаты!$B$6:$B$505,Оплаты!$A$6:$A$505,"&lt;"&amp;A2911,Оплаты!$D$6:$D$505,"&lt;&gt;"))</f>
        <v/>
      </c>
      <c r="E2911">
        <f>IF(A2911="","",IF(SUMPRODUCT((Ввод!$F$12:$F$31&lt;&gt;"")*(Ввод!$F$12:$F$31&lt;=A2911)*(Ввод!$G$12:$G$31&gt;=A2911))&gt;0,1,0))</f>
        <v/>
      </c>
      <c r="G2911">
        <f>IF(A2911="","",IF(OR(B2911&lt;&gt;B2910,C2911&lt;&gt;C2910,E2911&lt;&gt;E2910),G2910+1,G2910))</f>
        <v/>
      </c>
    </row>
    <row r="2912">
      <c r="A2912" s="20">
        <f>IF(A2911="","",IF(A2911+1&gt;Ввод!$B$4,"",A2911+1))</f>
        <v/>
      </c>
      <c r="B2912">
        <f>IF(A2912="","",IFERROR(INDEX(Ввод!$B$12:$B$71,MATCH(A2912,Ввод!$D$12:$D$71,1)),""))</f>
        <v/>
      </c>
      <c r="C2912">
        <f>IF(A2912="","",DATE(YEAR(A2912),12,31)-DATE(YEAR(A2912),1,1)+1)</f>
        <v/>
      </c>
      <c r="D2912">
        <f>IF(A2912="","",SUMIFS(Акты!$D$5:$D$16,Акты!$E$5:$E$16,"&lt;="&amp;A2912)-SUMIFS(Оплаты!$B$6:$B$505,Оплаты!$A$6:$A$505,"&lt;"&amp;A2912,Оплаты!$D$6:$D$505,"&lt;&gt;"))</f>
        <v/>
      </c>
      <c r="E2912">
        <f>IF(A2912="","",IF(SUMPRODUCT((Ввод!$F$12:$F$31&lt;&gt;"")*(Ввод!$F$12:$F$31&lt;=A2912)*(Ввод!$G$12:$G$31&gt;=A2912))&gt;0,1,0))</f>
        <v/>
      </c>
      <c r="G2912">
        <f>IF(A2912="","",IF(OR(B2912&lt;&gt;B2911,C2912&lt;&gt;C2911,E2912&lt;&gt;E2911),G2911+1,G2911))</f>
        <v/>
      </c>
    </row>
    <row r="2913">
      <c r="A2913" s="20">
        <f>IF(A2912="","",IF(A2912+1&gt;Ввод!$B$4,"",A2912+1))</f>
        <v/>
      </c>
      <c r="B2913">
        <f>IF(A2913="","",IFERROR(INDEX(Ввод!$B$12:$B$71,MATCH(A2913,Ввод!$D$12:$D$71,1)),""))</f>
        <v/>
      </c>
      <c r="C2913">
        <f>IF(A2913="","",DATE(YEAR(A2913),12,31)-DATE(YEAR(A2913),1,1)+1)</f>
        <v/>
      </c>
      <c r="D2913">
        <f>IF(A2913="","",SUMIFS(Акты!$D$5:$D$16,Акты!$E$5:$E$16,"&lt;="&amp;A2913)-SUMIFS(Оплаты!$B$6:$B$505,Оплаты!$A$6:$A$505,"&lt;"&amp;A2913,Оплаты!$D$6:$D$505,"&lt;&gt;"))</f>
        <v/>
      </c>
      <c r="E2913">
        <f>IF(A2913="","",IF(SUMPRODUCT((Ввод!$F$12:$F$31&lt;&gt;"")*(Ввод!$F$12:$F$31&lt;=A2913)*(Ввод!$G$12:$G$31&gt;=A2913))&gt;0,1,0))</f>
        <v/>
      </c>
      <c r="G2913">
        <f>IF(A2913="","",IF(OR(B2913&lt;&gt;B2912,C2913&lt;&gt;C2912,E2913&lt;&gt;E2912),G2912+1,G2912))</f>
        <v/>
      </c>
    </row>
    <row r="2914">
      <c r="A2914" s="20">
        <f>IF(A2913="","",IF(A2913+1&gt;Ввод!$B$4,"",A2913+1))</f>
        <v/>
      </c>
      <c r="B2914">
        <f>IF(A2914="","",IFERROR(INDEX(Ввод!$B$12:$B$71,MATCH(A2914,Ввод!$D$12:$D$71,1)),""))</f>
        <v/>
      </c>
      <c r="C2914">
        <f>IF(A2914="","",DATE(YEAR(A2914),12,31)-DATE(YEAR(A2914),1,1)+1)</f>
        <v/>
      </c>
      <c r="D2914">
        <f>IF(A2914="","",SUMIFS(Акты!$D$5:$D$16,Акты!$E$5:$E$16,"&lt;="&amp;A2914)-SUMIFS(Оплаты!$B$6:$B$505,Оплаты!$A$6:$A$505,"&lt;"&amp;A2914,Оплаты!$D$6:$D$505,"&lt;&gt;"))</f>
        <v/>
      </c>
      <c r="E2914">
        <f>IF(A2914="","",IF(SUMPRODUCT((Ввод!$F$12:$F$31&lt;&gt;"")*(Ввод!$F$12:$F$31&lt;=A2914)*(Ввод!$G$12:$G$31&gt;=A2914))&gt;0,1,0))</f>
        <v/>
      </c>
      <c r="G2914">
        <f>IF(A2914="","",IF(OR(B2914&lt;&gt;B2913,C2914&lt;&gt;C2913,E2914&lt;&gt;E2913),G2913+1,G2913))</f>
        <v/>
      </c>
    </row>
    <row r="2915">
      <c r="A2915" s="20">
        <f>IF(A2914="","",IF(A2914+1&gt;Ввод!$B$4,"",A2914+1))</f>
        <v/>
      </c>
      <c r="B2915">
        <f>IF(A2915="","",IFERROR(INDEX(Ввод!$B$12:$B$71,MATCH(A2915,Ввод!$D$12:$D$71,1)),""))</f>
        <v/>
      </c>
      <c r="C2915">
        <f>IF(A2915="","",DATE(YEAR(A2915),12,31)-DATE(YEAR(A2915),1,1)+1)</f>
        <v/>
      </c>
      <c r="D2915">
        <f>IF(A2915="","",SUMIFS(Акты!$D$5:$D$16,Акты!$E$5:$E$16,"&lt;="&amp;A2915)-SUMIFS(Оплаты!$B$6:$B$505,Оплаты!$A$6:$A$505,"&lt;"&amp;A2915,Оплаты!$D$6:$D$505,"&lt;&gt;"))</f>
        <v/>
      </c>
      <c r="E2915">
        <f>IF(A2915="","",IF(SUMPRODUCT((Ввод!$F$12:$F$31&lt;&gt;"")*(Ввод!$F$12:$F$31&lt;=A2915)*(Ввод!$G$12:$G$31&gt;=A2915))&gt;0,1,0))</f>
        <v/>
      </c>
      <c r="G2915">
        <f>IF(A2915="","",IF(OR(B2915&lt;&gt;B2914,C2915&lt;&gt;C2914,E2915&lt;&gt;E2914),G2914+1,G2914))</f>
        <v/>
      </c>
    </row>
    <row r="2916">
      <c r="A2916" s="20">
        <f>IF(A2915="","",IF(A2915+1&gt;Ввод!$B$4,"",A2915+1))</f>
        <v/>
      </c>
      <c r="B2916">
        <f>IF(A2916="","",IFERROR(INDEX(Ввод!$B$12:$B$71,MATCH(A2916,Ввод!$D$12:$D$71,1)),""))</f>
        <v/>
      </c>
      <c r="C2916">
        <f>IF(A2916="","",DATE(YEAR(A2916),12,31)-DATE(YEAR(A2916),1,1)+1)</f>
        <v/>
      </c>
      <c r="D2916">
        <f>IF(A2916="","",SUMIFS(Акты!$D$5:$D$16,Акты!$E$5:$E$16,"&lt;="&amp;A2916)-SUMIFS(Оплаты!$B$6:$B$505,Оплаты!$A$6:$A$505,"&lt;"&amp;A2916,Оплаты!$D$6:$D$505,"&lt;&gt;"))</f>
        <v/>
      </c>
      <c r="E2916">
        <f>IF(A2916="","",IF(SUMPRODUCT((Ввод!$F$12:$F$31&lt;&gt;"")*(Ввод!$F$12:$F$31&lt;=A2916)*(Ввод!$G$12:$G$31&gt;=A2916))&gt;0,1,0))</f>
        <v/>
      </c>
      <c r="G2916">
        <f>IF(A2916="","",IF(OR(B2916&lt;&gt;B2915,C2916&lt;&gt;C2915,E2916&lt;&gt;E2915),G2915+1,G2915))</f>
        <v/>
      </c>
    </row>
    <row r="2917">
      <c r="A2917" s="20">
        <f>IF(A2916="","",IF(A2916+1&gt;Ввод!$B$4,"",A2916+1))</f>
        <v/>
      </c>
      <c r="B2917">
        <f>IF(A2917="","",IFERROR(INDEX(Ввод!$B$12:$B$71,MATCH(A2917,Ввод!$D$12:$D$71,1)),""))</f>
        <v/>
      </c>
      <c r="C2917">
        <f>IF(A2917="","",DATE(YEAR(A2917),12,31)-DATE(YEAR(A2917),1,1)+1)</f>
        <v/>
      </c>
      <c r="D2917">
        <f>IF(A2917="","",SUMIFS(Акты!$D$5:$D$16,Акты!$E$5:$E$16,"&lt;="&amp;A2917)-SUMIFS(Оплаты!$B$6:$B$505,Оплаты!$A$6:$A$505,"&lt;"&amp;A2917,Оплаты!$D$6:$D$505,"&lt;&gt;"))</f>
        <v/>
      </c>
      <c r="E2917">
        <f>IF(A2917="","",IF(SUMPRODUCT((Ввод!$F$12:$F$31&lt;&gt;"")*(Ввод!$F$12:$F$31&lt;=A2917)*(Ввод!$G$12:$G$31&gt;=A2917))&gt;0,1,0))</f>
        <v/>
      </c>
      <c r="G2917">
        <f>IF(A2917="","",IF(OR(B2917&lt;&gt;B2916,C2917&lt;&gt;C2916,E2917&lt;&gt;E2916),G2916+1,G2916))</f>
        <v/>
      </c>
    </row>
    <row r="2918">
      <c r="A2918" s="20">
        <f>IF(A2917="","",IF(A2917+1&gt;Ввод!$B$4,"",A2917+1))</f>
        <v/>
      </c>
      <c r="B2918">
        <f>IF(A2918="","",IFERROR(INDEX(Ввод!$B$12:$B$71,MATCH(A2918,Ввод!$D$12:$D$71,1)),""))</f>
        <v/>
      </c>
      <c r="C2918">
        <f>IF(A2918="","",DATE(YEAR(A2918),12,31)-DATE(YEAR(A2918),1,1)+1)</f>
        <v/>
      </c>
      <c r="D2918">
        <f>IF(A2918="","",SUMIFS(Акты!$D$5:$D$16,Акты!$E$5:$E$16,"&lt;="&amp;A2918)-SUMIFS(Оплаты!$B$6:$B$505,Оплаты!$A$6:$A$505,"&lt;"&amp;A2918,Оплаты!$D$6:$D$505,"&lt;&gt;"))</f>
        <v/>
      </c>
      <c r="E2918">
        <f>IF(A2918="","",IF(SUMPRODUCT((Ввод!$F$12:$F$31&lt;&gt;"")*(Ввод!$F$12:$F$31&lt;=A2918)*(Ввод!$G$12:$G$31&gt;=A2918))&gt;0,1,0))</f>
        <v/>
      </c>
      <c r="G2918">
        <f>IF(A2918="","",IF(OR(B2918&lt;&gt;B2917,C2918&lt;&gt;C2917,E2918&lt;&gt;E2917),G2917+1,G2917))</f>
        <v/>
      </c>
    </row>
    <row r="2919">
      <c r="A2919" s="20">
        <f>IF(A2918="","",IF(A2918+1&gt;Ввод!$B$4,"",A2918+1))</f>
        <v/>
      </c>
      <c r="B2919">
        <f>IF(A2919="","",IFERROR(INDEX(Ввод!$B$12:$B$71,MATCH(A2919,Ввод!$D$12:$D$71,1)),""))</f>
        <v/>
      </c>
      <c r="C2919">
        <f>IF(A2919="","",DATE(YEAR(A2919),12,31)-DATE(YEAR(A2919),1,1)+1)</f>
        <v/>
      </c>
      <c r="D2919">
        <f>IF(A2919="","",SUMIFS(Акты!$D$5:$D$16,Акты!$E$5:$E$16,"&lt;="&amp;A2919)-SUMIFS(Оплаты!$B$6:$B$505,Оплаты!$A$6:$A$505,"&lt;"&amp;A2919,Оплаты!$D$6:$D$505,"&lt;&gt;"))</f>
        <v/>
      </c>
      <c r="E2919">
        <f>IF(A2919="","",IF(SUMPRODUCT((Ввод!$F$12:$F$31&lt;&gt;"")*(Ввод!$F$12:$F$31&lt;=A2919)*(Ввод!$G$12:$G$31&gt;=A2919))&gt;0,1,0))</f>
        <v/>
      </c>
      <c r="G2919">
        <f>IF(A2919="","",IF(OR(B2919&lt;&gt;B2918,C2919&lt;&gt;C2918,E2919&lt;&gt;E2918),G2918+1,G2918))</f>
        <v/>
      </c>
    </row>
    <row r="2920">
      <c r="A2920" s="20">
        <f>IF(A2919="","",IF(A2919+1&gt;Ввод!$B$4,"",A2919+1))</f>
        <v/>
      </c>
      <c r="B2920">
        <f>IF(A2920="","",IFERROR(INDEX(Ввод!$B$12:$B$71,MATCH(A2920,Ввод!$D$12:$D$71,1)),""))</f>
        <v/>
      </c>
      <c r="C2920">
        <f>IF(A2920="","",DATE(YEAR(A2920),12,31)-DATE(YEAR(A2920),1,1)+1)</f>
        <v/>
      </c>
      <c r="D2920">
        <f>IF(A2920="","",SUMIFS(Акты!$D$5:$D$16,Акты!$E$5:$E$16,"&lt;="&amp;A2920)-SUMIFS(Оплаты!$B$6:$B$505,Оплаты!$A$6:$A$505,"&lt;"&amp;A2920,Оплаты!$D$6:$D$505,"&lt;&gt;"))</f>
        <v/>
      </c>
      <c r="E2920">
        <f>IF(A2920="","",IF(SUMPRODUCT((Ввод!$F$12:$F$31&lt;&gt;"")*(Ввод!$F$12:$F$31&lt;=A2920)*(Ввод!$G$12:$G$31&gt;=A2920))&gt;0,1,0))</f>
        <v/>
      </c>
      <c r="G2920">
        <f>IF(A2920="","",IF(OR(B2920&lt;&gt;B2919,C2920&lt;&gt;C2919,E2920&lt;&gt;E2919),G2919+1,G2919))</f>
        <v/>
      </c>
    </row>
    <row r="2921">
      <c r="A2921" s="20">
        <f>IF(A2920="","",IF(A2920+1&gt;Ввод!$B$4,"",A2920+1))</f>
        <v/>
      </c>
      <c r="B2921">
        <f>IF(A2921="","",IFERROR(INDEX(Ввод!$B$12:$B$71,MATCH(A2921,Ввод!$D$12:$D$71,1)),""))</f>
        <v/>
      </c>
      <c r="C2921">
        <f>IF(A2921="","",DATE(YEAR(A2921),12,31)-DATE(YEAR(A2921),1,1)+1)</f>
        <v/>
      </c>
      <c r="D2921">
        <f>IF(A2921="","",SUMIFS(Акты!$D$5:$D$16,Акты!$E$5:$E$16,"&lt;="&amp;A2921)-SUMIFS(Оплаты!$B$6:$B$505,Оплаты!$A$6:$A$505,"&lt;"&amp;A2921,Оплаты!$D$6:$D$505,"&lt;&gt;"))</f>
        <v/>
      </c>
      <c r="E2921">
        <f>IF(A2921="","",IF(SUMPRODUCT((Ввод!$F$12:$F$31&lt;&gt;"")*(Ввод!$F$12:$F$31&lt;=A2921)*(Ввод!$G$12:$G$31&gt;=A2921))&gt;0,1,0))</f>
        <v/>
      </c>
      <c r="G2921">
        <f>IF(A2921="","",IF(OR(B2921&lt;&gt;B2920,C2921&lt;&gt;C2920,E2921&lt;&gt;E2920),G2920+1,G2920))</f>
        <v/>
      </c>
    </row>
    <row r="2922">
      <c r="A2922" s="20">
        <f>IF(A2921="","",IF(A2921+1&gt;Ввод!$B$4,"",A2921+1))</f>
        <v/>
      </c>
      <c r="B2922">
        <f>IF(A2922="","",IFERROR(INDEX(Ввод!$B$12:$B$71,MATCH(A2922,Ввод!$D$12:$D$71,1)),""))</f>
        <v/>
      </c>
      <c r="C2922">
        <f>IF(A2922="","",DATE(YEAR(A2922),12,31)-DATE(YEAR(A2922),1,1)+1)</f>
        <v/>
      </c>
      <c r="D2922">
        <f>IF(A2922="","",SUMIFS(Акты!$D$5:$D$16,Акты!$E$5:$E$16,"&lt;="&amp;A2922)-SUMIFS(Оплаты!$B$6:$B$505,Оплаты!$A$6:$A$505,"&lt;"&amp;A2922,Оплаты!$D$6:$D$505,"&lt;&gt;"))</f>
        <v/>
      </c>
      <c r="E2922">
        <f>IF(A2922="","",IF(SUMPRODUCT((Ввод!$F$12:$F$31&lt;&gt;"")*(Ввод!$F$12:$F$31&lt;=A2922)*(Ввод!$G$12:$G$31&gt;=A2922))&gt;0,1,0))</f>
        <v/>
      </c>
      <c r="G2922">
        <f>IF(A2922="","",IF(OR(B2922&lt;&gt;B2921,C2922&lt;&gt;C2921,E2922&lt;&gt;E2921),G2921+1,G2921))</f>
        <v/>
      </c>
    </row>
    <row r="2923">
      <c r="A2923" s="20">
        <f>IF(A2922="","",IF(A2922+1&gt;Ввод!$B$4,"",A2922+1))</f>
        <v/>
      </c>
      <c r="B2923">
        <f>IF(A2923="","",IFERROR(INDEX(Ввод!$B$12:$B$71,MATCH(A2923,Ввод!$D$12:$D$71,1)),""))</f>
        <v/>
      </c>
      <c r="C2923">
        <f>IF(A2923="","",DATE(YEAR(A2923),12,31)-DATE(YEAR(A2923),1,1)+1)</f>
        <v/>
      </c>
      <c r="D2923">
        <f>IF(A2923="","",SUMIFS(Акты!$D$5:$D$16,Акты!$E$5:$E$16,"&lt;="&amp;A2923)-SUMIFS(Оплаты!$B$6:$B$505,Оплаты!$A$6:$A$505,"&lt;"&amp;A2923,Оплаты!$D$6:$D$505,"&lt;&gt;"))</f>
        <v/>
      </c>
      <c r="E2923">
        <f>IF(A2923="","",IF(SUMPRODUCT((Ввод!$F$12:$F$31&lt;&gt;"")*(Ввод!$F$12:$F$31&lt;=A2923)*(Ввод!$G$12:$G$31&gt;=A2923))&gt;0,1,0))</f>
        <v/>
      </c>
      <c r="G2923">
        <f>IF(A2923="","",IF(OR(B2923&lt;&gt;B2922,C2923&lt;&gt;C2922,E2923&lt;&gt;E2922),G2922+1,G2922))</f>
        <v/>
      </c>
    </row>
    <row r="2924">
      <c r="A2924" s="20">
        <f>IF(A2923="","",IF(A2923+1&gt;Ввод!$B$4,"",A2923+1))</f>
        <v/>
      </c>
      <c r="B2924">
        <f>IF(A2924="","",IFERROR(INDEX(Ввод!$B$12:$B$71,MATCH(A2924,Ввод!$D$12:$D$71,1)),""))</f>
        <v/>
      </c>
      <c r="C2924">
        <f>IF(A2924="","",DATE(YEAR(A2924),12,31)-DATE(YEAR(A2924),1,1)+1)</f>
        <v/>
      </c>
      <c r="D2924">
        <f>IF(A2924="","",SUMIFS(Акты!$D$5:$D$16,Акты!$E$5:$E$16,"&lt;="&amp;A2924)-SUMIFS(Оплаты!$B$6:$B$505,Оплаты!$A$6:$A$505,"&lt;"&amp;A2924,Оплаты!$D$6:$D$505,"&lt;&gt;"))</f>
        <v/>
      </c>
      <c r="E2924">
        <f>IF(A2924="","",IF(SUMPRODUCT((Ввод!$F$12:$F$31&lt;&gt;"")*(Ввод!$F$12:$F$31&lt;=A2924)*(Ввод!$G$12:$G$31&gt;=A2924))&gt;0,1,0))</f>
        <v/>
      </c>
      <c r="G2924">
        <f>IF(A2924="","",IF(OR(B2924&lt;&gt;B2923,C2924&lt;&gt;C2923,E2924&lt;&gt;E2923),G2923+1,G2923))</f>
        <v/>
      </c>
    </row>
    <row r="2925">
      <c r="A2925" s="20">
        <f>IF(A2924="","",IF(A2924+1&gt;Ввод!$B$4,"",A2924+1))</f>
        <v/>
      </c>
      <c r="B2925">
        <f>IF(A2925="","",IFERROR(INDEX(Ввод!$B$12:$B$71,MATCH(A2925,Ввод!$D$12:$D$71,1)),""))</f>
        <v/>
      </c>
      <c r="C2925">
        <f>IF(A2925="","",DATE(YEAR(A2925),12,31)-DATE(YEAR(A2925),1,1)+1)</f>
        <v/>
      </c>
      <c r="D2925">
        <f>IF(A2925="","",SUMIFS(Акты!$D$5:$D$16,Акты!$E$5:$E$16,"&lt;="&amp;A2925)-SUMIFS(Оплаты!$B$6:$B$505,Оплаты!$A$6:$A$505,"&lt;"&amp;A2925,Оплаты!$D$6:$D$505,"&lt;&gt;"))</f>
        <v/>
      </c>
      <c r="E2925">
        <f>IF(A2925="","",IF(SUMPRODUCT((Ввод!$F$12:$F$31&lt;&gt;"")*(Ввод!$F$12:$F$31&lt;=A2925)*(Ввод!$G$12:$G$31&gt;=A2925))&gt;0,1,0))</f>
        <v/>
      </c>
      <c r="G2925">
        <f>IF(A2925="","",IF(OR(B2925&lt;&gt;B2924,C2925&lt;&gt;C2924,E2925&lt;&gt;E2924),G2924+1,G2924))</f>
        <v/>
      </c>
    </row>
    <row r="2926">
      <c r="A2926" s="20">
        <f>IF(A2925="","",IF(A2925+1&gt;Ввод!$B$4,"",A2925+1))</f>
        <v/>
      </c>
      <c r="B2926">
        <f>IF(A2926="","",IFERROR(INDEX(Ввод!$B$12:$B$71,MATCH(A2926,Ввод!$D$12:$D$71,1)),""))</f>
        <v/>
      </c>
      <c r="C2926">
        <f>IF(A2926="","",DATE(YEAR(A2926),12,31)-DATE(YEAR(A2926),1,1)+1)</f>
        <v/>
      </c>
      <c r="D2926">
        <f>IF(A2926="","",SUMIFS(Акты!$D$5:$D$16,Акты!$E$5:$E$16,"&lt;="&amp;A2926)-SUMIFS(Оплаты!$B$6:$B$505,Оплаты!$A$6:$A$505,"&lt;"&amp;A2926,Оплаты!$D$6:$D$505,"&lt;&gt;"))</f>
        <v/>
      </c>
      <c r="E2926">
        <f>IF(A2926="","",IF(SUMPRODUCT((Ввод!$F$12:$F$31&lt;&gt;"")*(Ввод!$F$12:$F$31&lt;=A2926)*(Ввод!$G$12:$G$31&gt;=A2926))&gt;0,1,0))</f>
        <v/>
      </c>
      <c r="G2926">
        <f>IF(A2926="","",IF(OR(B2926&lt;&gt;B2925,C2926&lt;&gt;C2925,E2926&lt;&gt;E2925),G2925+1,G2925))</f>
        <v/>
      </c>
    </row>
    <row r="2927">
      <c r="A2927" s="20">
        <f>IF(A2926="","",IF(A2926+1&gt;Ввод!$B$4,"",A2926+1))</f>
        <v/>
      </c>
      <c r="B2927">
        <f>IF(A2927="","",IFERROR(INDEX(Ввод!$B$12:$B$71,MATCH(A2927,Ввод!$D$12:$D$71,1)),""))</f>
        <v/>
      </c>
      <c r="C2927">
        <f>IF(A2927="","",DATE(YEAR(A2927),12,31)-DATE(YEAR(A2927),1,1)+1)</f>
        <v/>
      </c>
      <c r="D2927">
        <f>IF(A2927="","",SUMIFS(Акты!$D$5:$D$16,Акты!$E$5:$E$16,"&lt;="&amp;A2927)-SUMIFS(Оплаты!$B$6:$B$505,Оплаты!$A$6:$A$505,"&lt;"&amp;A2927,Оплаты!$D$6:$D$505,"&lt;&gt;"))</f>
        <v/>
      </c>
      <c r="E2927">
        <f>IF(A2927="","",IF(SUMPRODUCT((Ввод!$F$12:$F$31&lt;&gt;"")*(Ввод!$F$12:$F$31&lt;=A2927)*(Ввод!$G$12:$G$31&gt;=A2927))&gt;0,1,0))</f>
        <v/>
      </c>
      <c r="G2927">
        <f>IF(A2927="","",IF(OR(B2927&lt;&gt;B2926,C2927&lt;&gt;C2926,E2927&lt;&gt;E2926),G2926+1,G2926))</f>
        <v/>
      </c>
    </row>
    <row r="2928">
      <c r="A2928" s="20">
        <f>IF(A2927="","",IF(A2927+1&gt;Ввод!$B$4,"",A2927+1))</f>
        <v/>
      </c>
      <c r="B2928">
        <f>IF(A2928="","",IFERROR(INDEX(Ввод!$B$12:$B$71,MATCH(A2928,Ввод!$D$12:$D$71,1)),""))</f>
        <v/>
      </c>
      <c r="C2928">
        <f>IF(A2928="","",DATE(YEAR(A2928),12,31)-DATE(YEAR(A2928),1,1)+1)</f>
        <v/>
      </c>
      <c r="D2928">
        <f>IF(A2928="","",SUMIFS(Акты!$D$5:$D$16,Акты!$E$5:$E$16,"&lt;="&amp;A2928)-SUMIFS(Оплаты!$B$6:$B$505,Оплаты!$A$6:$A$505,"&lt;"&amp;A2928,Оплаты!$D$6:$D$505,"&lt;&gt;"))</f>
        <v/>
      </c>
      <c r="E2928">
        <f>IF(A2928="","",IF(SUMPRODUCT((Ввод!$F$12:$F$31&lt;&gt;"")*(Ввод!$F$12:$F$31&lt;=A2928)*(Ввод!$G$12:$G$31&gt;=A2928))&gt;0,1,0))</f>
        <v/>
      </c>
      <c r="G2928">
        <f>IF(A2928="","",IF(OR(B2928&lt;&gt;B2927,C2928&lt;&gt;C2927,E2928&lt;&gt;E2927),G2927+1,G2927))</f>
        <v/>
      </c>
    </row>
    <row r="2929">
      <c r="A2929" s="20">
        <f>IF(A2928="","",IF(A2928+1&gt;Ввод!$B$4,"",A2928+1))</f>
        <v/>
      </c>
      <c r="B2929">
        <f>IF(A2929="","",IFERROR(INDEX(Ввод!$B$12:$B$71,MATCH(A2929,Ввод!$D$12:$D$71,1)),""))</f>
        <v/>
      </c>
      <c r="C2929">
        <f>IF(A2929="","",DATE(YEAR(A2929),12,31)-DATE(YEAR(A2929),1,1)+1)</f>
        <v/>
      </c>
      <c r="D2929">
        <f>IF(A2929="","",SUMIFS(Акты!$D$5:$D$16,Акты!$E$5:$E$16,"&lt;="&amp;A2929)-SUMIFS(Оплаты!$B$6:$B$505,Оплаты!$A$6:$A$505,"&lt;"&amp;A2929,Оплаты!$D$6:$D$505,"&lt;&gt;"))</f>
        <v/>
      </c>
      <c r="E2929">
        <f>IF(A2929="","",IF(SUMPRODUCT((Ввод!$F$12:$F$31&lt;&gt;"")*(Ввод!$F$12:$F$31&lt;=A2929)*(Ввод!$G$12:$G$31&gt;=A2929))&gt;0,1,0))</f>
        <v/>
      </c>
      <c r="G2929">
        <f>IF(A2929="","",IF(OR(B2929&lt;&gt;B2928,C2929&lt;&gt;C2928,E2929&lt;&gt;E2928),G2928+1,G2928))</f>
        <v/>
      </c>
    </row>
    <row r="2930">
      <c r="A2930" s="20">
        <f>IF(A2929="","",IF(A2929+1&gt;Ввод!$B$4,"",A2929+1))</f>
        <v/>
      </c>
      <c r="B2930">
        <f>IF(A2930="","",IFERROR(INDEX(Ввод!$B$12:$B$71,MATCH(A2930,Ввод!$D$12:$D$71,1)),""))</f>
        <v/>
      </c>
      <c r="C2930">
        <f>IF(A2930="","",DATE(YEAR(A2930),12,31)-DATE(YEAR(A2930),1,1)+1)</f>
        <v/>
      </c>
      <c r="D2930">
        <f>IF(A2930="","",SUMIFS(Акты!$D$5:$D$16,Акты!$E$5:$E$16,"&lt;="&amp;A2930)-SUMIFS(Оплаты!$B$6:$B$505,Оплаты!$A$6:$A$505,"&lt;"&amp;A2930,Оплаты!$D$6:$D$505,"&lt;&gt;"))</f>
        <v/>
      </c>
      <c r="E2930">
        <f>IF(A2930="","",IF(SUMPRODUCT((Ввод!$F$12:$F$31&lt;&gt;"")*(Ввод!$F$12:$F$31&lt;=A2930)*(Ввод!$G$12:$G$31&gt;=A2930))&gt;0,1,0))</f>
        <v/>
      </c>
      <c r="G2930">
        <f>IF(A2930="","",IF(OR(B2930&lt;&gt;B2929,C2930&lt;&gt;C2929,E2930&lt;&gt;E2929),G2929+1,G2929))</f>
        <v/>
      </c>
    </row>
    <row r="2931">
      <c r="A2931" s="20">
        <f>IF(A2930="","",IF(A2930+1&gt;Ввод!$B$4,"",A2930+1))</f>
        <v/>
      </c>
      <c r="B2931">
        <f>IF(A2931="","",IFERROR(INDEX(Ввод!$B$12:$B$71,MATCH(A2931,Ввод!$D$12:$D$71,1)),""))</f>
        <v/>
      </c>
      <c r="C2931">
        <f>IF(A2931="","",DATE(YEAR(A2931),12,31)-DATE(YEAR(A2931),1,1)+1)</f>
        <v/>
      </c>
      <c r="D2931">
        <f>IF(A2931="","",SUMIFS(Акты!$D$5:$D$16,Акты!$E$5:$E$16,"&lt;="&amp;A2931)-SUMIFS(Оплаты!$B$6:$B$505,Оплаты!$A$6:$A$505,"&lt;"&amp;A2931,Оплаты!$D$6:$D$505,"&lt;&gt;"))</f>
        <v/>
      </c>
      <c r="E2931">
        <f>IF(A2931="","",IF(SUMPRODUCT((Ввод!$F$12:$F$31&lt;&gt;"")*(Ввод!$F$12:$F$31&lt;=A2931)*(Ввод!$G$12:$G$31&gt;=A2931))&gt;0,1,0))</f>
        <v/>
      </c>
      <c r="G2931">
        <f>IF(A2931="","",IF(OR(B2931&lt;&gt;B2930,C2931&lt;&gt;C2930,E2931&lt;&gt;E2930),G2930+1,G2930))</f>
        <v/>
      </c>
    </row>
    <row r="2932">
      <c r="A2932" s="20">
        <f>IF(A2931="","",IF(A2931+1&gt;Ввод!$B$4,"",A2931+1))</f>
        <v/>
      </c>
      <c r="B2932">
        <f>IF(A2932="","",IFERROR(INDEX(Ввод!$B$12:$B$71,MATCH(A2932,Ввод!$D$12:$D$71,1)),""))</f>
        <v/>
      </c>
      <c r="C2932">
        <f>IF(A2932="","",DATE(YEAR(A2932),12,31)-DATE(YEAR(A2932),1,1)+1)</f>
        <v/>
      </c>
      <c r="D2932">
        <f>IF(A2932="","",SUMIFS(Акты!$D$5:$D$16,Акты!$E$5:$E$16,"&lt;="&amp;A2932)-SUMIFS(Оплаты!$B$6:$B$505,Оплаты!$A$6:$A$505,"&lt;"&amp;A2932,Оплаты!$D$6:$D$505,"&lt;&gt;"))</f>
        <v/>
      </c>
      <c r="E2932">
        <f>IF(A2932="","",IF(SUMPRODUCT((Ввод!$F$12:$F$31&lt;&gt;"")*(Ввод!$F$12:$F$31&lt;=A2932)*(Ввод!$G$12:$G$31&gt;=A2932))&gt;0,1,0))</f>
        <v/>
      </c>
      <c r="G2932">
        <f>IF(A2932="","",IF(OR(B2932&lt;&gt;B2931,C2932&lt;&gt;C2931,E2932&lt;&gt;E2931),G2931+1,G2931))</f>
        <v/>
      </c>
    </row>
    <row r="2933">
      <c r="A2933" s="20">
        <f>IF(A2932="","",IF(A2932+1&gt;Ввод!$B$4,"",A2932+1))</f>
        <v/>
      </c>
      <c r="B2933">
        <f>IF(A2933="","",IFERROR(INDEX(Ввод!$B$12:$B$71,MATCH(A2933,Ввод!$D$12:$D$71,1)),""))</f>
        <v/>
      </c>
      <c r="C2933">
        <f>IF(A2933="","",DATE(YEAR(A2933),12,31)-DATE(YEAR(A2933),1,1)+1)</f>
        <v/>
      </c>
      <c r="D2933">
        <f>IF(A2933="","",SUMIFS(Акты!$D$5:$D$16,Акты!$E$5:$E$16,"&lt;="&amp;A2933)-SUMIFS(Оплаты!$B$6:$B$505,Оплаты!$A$6:$A$505,"&lt;"&amp;A2933,Оплаты!$D$6:$D$505,"&lt;&gt;"))</f>
        <v/>
      </c>
      <c r="E2933">
        <f>IF(A2933="","",IF(SUMPRODUCT((Ввод!$F$12:$F$31&lt;&gt;"")*(Ввод!$F$12:$F$31&lt;=A2933)*(Ввод!$G$12:$G$31&gt;=A2933))&gt;0,1,0))</f>
        <v/>
      </c>
      <c r="G2933">
        <f>IF(A2933="","",IF(OR(B2933&lt;&gt;B2932,C2933&lt;&gt;C2932,E2933&lt;&gt;E2932),G2932+1,G2932))</f>
        <v/>
      </c>
    </row>
    <row r="2934">
      <c r="A2934" s="20">
        <f>IF(A2933="","",IF(A2933+1&gt;Ввод!$B$4,"",A2933+1))</f>
        <v/>
      </c>
      <c r="B2934">
        <f>IF(A2934="","",IFERROR(INDEX(Ввод!$B$12:$B$71,MATCH(A2934,Ввод!$D$12:$D$71,1)),""))</f>
        <v/>
      </c>
      <c r="C2934">
        <f>IF(A2934="","",DATE(YEAR(A2934),12,31)-DATE(YEAR(A2934),1,1)+1)</f>
        <v/>
      </c>
      <c r="D2934">
        <f>IF(A2934="","",SUMIFS(Акты!$D$5:$D$16,Акты!$E$5:$E$16,"&lt;="&amp;A2934)-SUMIFS(Оплаты!$B$6:$B$505,Оплаты!$A$6:$A$505,"&lt;"&amp;A2934,Оплаты!$D$6:$D$505,"&lt;&gt;"))</f>
        <v/>
      </c>
      <c r="E2934">
        <f>IF(A2934="","",IF(SUMPRODUCT((Ввод!$F$12:$F$31&lt;&gt;"")*(Ввод!$F$12:$F$31&lt;=A2934)*(Ввод!$G$12:$G$31&gt;=A2934))&gt;0,1,0))</f>
        <v/>
      </c>
      <c r="G2934">
        <f>IF(A2934="","",IF(OR(B2934&lt;&gt;B2933,C2934&lt;&gt;C2933,E2934&lt;&gt;E2933),G2933+1,G2933))</f>
        <v/>
      </c>
    </row>
    <row r="2935">
      <c r="A2935" s="20">
        <f>IF(A2934="","",IF(A2934+1&gt;Ввод!$B$4,"",A2934+1))</f>
        <v/>
      </c>
      <c r="B2935">
        <f>IF(A2935="","",IFERROR(INDEX(Ввод!$B$12:$B$71,MATCH(A2935,Ввод!$D$12:$D$71,1)),""))</f>
        <v/>
      </c>
      <c r="C2935">
        <f>IF(A2935="","",DATE(YEAR(A2935),12,31)-DATE(YEAR(A2935),1,1)+1)</f>
        <v/>
      </c>
      <c r="D2935">
        <f>IF(A2935="","",SUMIFS(Акты!$D$5:$D$16,Акты!$E$5:$E$16,"&lt;="&amp;A2935)-SUMIFS(Оплаты!$B$6:$B$505,Оплаты!$A$6:$A$505,"&lt;"&amp;A2935,Оплаты!$D$6:$D$505,"&lt;&gt;"))</f>
        <v/>
      </c>
      <c r="E2935">
        <f>IF(A2935="","",IF(SUMPRODUCT((Ввод!$F$12:$F$31&lt;&gt;"")*(Ввод!$F$12:$F$31&lt;=A2935)*(Ввод!$G$12:$G$31&gt;=A2935))&gt;0,1,0))</f>
        <v/>
      </c>
      <c r="G2935">
        <f>IF(A2935="","",IF(OR(B2935&lt;&gt;B2934,C2935&lt;&gt;C2934,E2935&lt;&gt;E2934),G2934+1,G2934))</f>
        <v/>
      </c>
    </row>
    <row r="2936">
      <c r="A2936" s="20">
        <f>IF(A2935="","",IF(A2935+1&gt;Ввод!$B$4,"",A2935+1))</f>
        <v/>
      </c>
      <c r="B2936">
        <f>IF(A2936="","",IFERROR(INDEX(Ввод!$B$12:$B$71,MATCH(A2936,Ввод!$D$12:$D$71,1)),""))</f>
        <v/>
      </c>
      <c r="C2936">
        <f>IF(A2936="","",DATE(YEAR(A2936),12,31)-DATE(YEAR(A2936),1,1)+1)</f>
        <v/>
      </c>
      <c r="D2936">
        <f>IF(A2936="","",SUMIFS(Акты!$D$5:$D$16,Акты!$E$5:$E$16,"&lt;="&amp;A2936)-SUMIFS(Оплаты!$B$6:$B$505,Оплаты!$A$6:$A$505,"&lt;"&amp;A2936,Оплаты!$D$6:$D$505,"&lt;&gt;"))</f>
        <v/>
      </c>
      <c r="E2936">
        <f>IF(A2936="","",IF(SUMPRODUCT((Ввод!$F$12:$F$31&lt;&gt;"")*(Ввод!$F$12:$F$31&lt;=A2936)*(Ввод!$G$12:$G$31&gt;=A2936))&gt;0,1,0))</f>
        <v/>
      </c>
      <c r="G2936">
        <f>IF(A2936="","",IF(OR(B2936&lt;&gt;B2935,C2936&lt;&gt;C2935,E2936&lt;&gt;E2935),G2935+1,G2935))</f>
        <v/>
      </c>
    </row>
    <row r="2937">
      <c r="A2937" s="20">
        <f>IF(A2936="","",IF(A2936+1&gt;Ввод!$B$4,"",A2936+1))</f>
        <v/>
      </c>
      <c r="B2937">
        <f>IF(A2937="","",IFERROR(INDEX(Ввод!$B$12:$B$71,MATCH(A2937,Ввод!$D$12:$D$71,1)),""))</f>
        <v/>
      </c>
      <c r="C2937">
        <f>IF(A2937="","",DATE(YEAR(A2937),12,31)-DATE(YEAR(A2937),1,1)+1)</f>
        <v/>
      </c>
      <c r="D2937">
        <f>IF(A2937="","",SUMIFS(Акты!$D$5:$D$16,Акты!$E$5:$E$16,"&lt;="&amp;A2937)-SUMIFS(Оплаты!$B$6:$B$505,Оплаты!$A$6:$A$505,"&lt;"&amp;A2937,Оплаты!$D$6:$D$505,"&lt;&gt;"))</f>
        <v/>
      </c>
      <c r="E2937">
        <f>IF(A2937="","",IF(SUMPRODUCT((Ввод!$F$12:$F$31&lt;&gt;"")*(Ввод!$F$12:$F$31&lt;=A2937)*(Ввод!$G$12:$G$31&gt;=A2937))&gt;0,1,0))</f>
        <v/>
      </c>
      <c r="G2937">
        <f>IF(A2937="","",IF(OR(B2937&lt;&gt;B2936,C2937&lt;&gt;C2936,E2937&lt;&gt;E2936),G2936+1,G2936))</f>
        <v/>
      </c>
    </row>
    <row r="2938">
      <c r="A2938" s="20">
        <f>IF(A2937="","",IF(A2937+1&gt;Ввод!$B$4,"",A2937+1))</f>
        <v/>
      </c>
      <c r="B2938">
        <f>IF(A2938="","",IFERROR(INDEX(Ввод!$B$12:$B$71,MATCH(A2938,Ввод!$D$12:$D$71,1)),""))</f>
        <v/>
      </c>
      <c r="C2938">
        <f>IF(A2938="","",DATE(YEAR(A2938),12,31)-DATE(YEAR(A2938),1,1)+1)</f>
        <v/>
      </c>
      <c r="D2938">
        <f>IF(A2938="","",SUMIFS(Акты!$D$5:$D$16,Акты!$E$5:$E$16,"&lt;="&amp;A2938)-SUMIFS(Оплаты!$B$6:$B$505,Оплаты!$A$6:$A$505,"&lt;"&amp;A2938,Оплаты!$D$6:$D$505,"&lt;&gt;"))</f>
        <v/>
      </c>
      <c r="E2938">
        <f>IF(A2938="","",IF(SUMPRODUCT((Ввод!$F$12:$F$31&lt;&gt;"")*(Ввод!$F$12:$F$31&lt;=A2938)*(Ввод!$G$12:$G$31&gt;=A2938))&gt;0,1,0))</f>
        <v/>
      </c>
      <c r="G2938">
        <f>IF(A2938="","",IF(OR(B2938&lt;&gt;B2937,C2938&lt;&gt;C2937,E2938&lt;&gt;E2937),G2937+1,G2937))</f>
        <v/>
      </c>
    </row>
    <row r="2939">
      <c r="A2939" s="20">
        <f>IF(A2938="","",IF(A2938+1&gt;Ввод!$B$4,"",A2938+1))</f>
        <v/>
      </c>
      <c r="B2939">
        <f>IF(A2939="","",IFERROR(INDEX(Ввод!$B$12:$B$71,MATCH(A2939,Ввод!$D$12:$D$71,1)),""))</f>
        <v/>
      </c>
      <c r="C2939">
        <f>IF(A2939="","",DATE(YEAR(A2939),12,31)-DATE(YEAR(A2939),1,1)+1)</f>
        <v/>
      </c>
      <c r="D2939">
        <f>IF(A2939="","",SUMIFS(Акты!$D$5:$D$16,Акты!$E$5:$E$16,"&lt;="&amp;A2939)-SUMIFS(Оплаты!$B$6:$B$505,Оплаты!$A$6:$A$505,"&lt;"&amp;A2939,Оплаты!$D$6:$D$505,"&lt;&gt;"))</f>
        <v/>
      </c>
      <c r="E2939">
        <f>IF(A2939="","",IF(SUMPRODUCT((Ввод!$F$12:$F$31&lt;&gt;"")*(Ввод!$F$12:$F$31&lt;=A2939)*(Ввод!$G$12:$G$31&gt;=A2939))&gt;0,1,0))</f>
        <v/>
      </c>
      <c r="G2939">
        <f>IF(A2939="","",IF(OR(B2939&lt;&gt;B2938,C2939&lt;&gt;C2938,E2939&lt;&gt;E2938),G2938+1,G2938))</f>
        <v/>
      </c>
    </row>
    <row r="2940">
      <c r="A2940" s="20">
        <f>IF(A2939="","",IF(A2939+1&gt;Ввод!$B$4,"",A2939+1))</f>
        <v/>
      </c>
      <c r="B2940">
        <f>IF(A2940="","",IFERROR(INDEX(Ввод!$B$12:$B$71,MATCH(A2940,Ввод!$D$12:$D$71,1)),""))</f>
        <v/>
      </c>
      <c r="C2940">
        <f>IF(A2940="","",DATE(YEAR(A2940),12,31)-DATE(YEAR(A2940),1,1)+1)</f>
        <v/>
      </c>
      <c r="D2940">
        <f>IF(A2940="","",SUMIFS(Акты!$D$5:$D$16,Акты!$E$5:$E$16,"&lt;="&amp;A2940)-SUMIFS(Оплаты!$B$6:$B$505,Оплаты!$A$6:$A$505,"&lt;"&amp;A2940,Оплаты!$D$6:$D$505,"&lt;&gt;"))</f>
        <v/>
      </c>
      <c r="E2940">
        <f>IF(A2940="","",IF(SUMPRODUCT((Ввод!$F$12:$F$31&lt;&gt;"")*(Ввод!$F$12:$F$31&lt;=A2940)*(Ввод!$G$12:$G$31&gt;=A2940))&gt;0,1,0))</f>
        <v/>
      </c>
      <c r="G2940">
        <f>IF(A2940="","",IF(OR(B2940&lt;&gt;B2939,C2940&lt;&gt;C2939,E2940&lt;&gt;E2939),G2939+1,G2939))</f>
        <v/>
      </c>
    </row>
    <row r="2941">
      <c r="A2941" s="20">
        <f>IF(A2940="","",IF(A2940+1&gt;Ввод!$B$4,"",A2940+1))</f>
        <v/>
      </c>
      <c r="B2941">
        <f>IF(A2941="","",IFERROR(INDEX(Ввод!$B$12:$B$71,MATCH(A2941,Ввод!$D$12:$D$71,1)),""))</f>
        <v/>
      </c>
      <c r="C2941">
        <f>IF(A2941="","",DATE(YEAR(A2941),12,31)-DATE(YEAR(A2941),1,1)+1)</f>
        <v/>
      </c>
      <c r="D2941">
        <f>IF(A2941="","",SUMIFS(Акты!$D$5:$D$16,Акты!$E$5:$E$16,"&lt;="&amp;A2941)-SUMIFS(Оплаты!$B$6:$B$505,Оплаты!$A$6:$A$505,"&lt;"&amp;A2941,Оплаты!$D$6:$D$505,"&lt;&gt;"))</f>
        <v/>
      </c>
      <c r="E2941">
        <f>IF(A2941="","",IF(SUMPRODUCT((Ввод!$F$12:$F$31&lt;&gt;"")*(Ввод!$F$12:$F$31&lt;=A2941)*(Ввод!$G$12:$G$31&gt;=A2941))&gt;0,1,0))</f>
        <v/>
      </c>
      <c r="G2941">
        <f>IF(A2941="","",IF(OR(B2941&lt;&gt;B2940,C2941&lt;&gt;C2940,E2941&lt;&gt;E2940),G2940+1,G2940))</f>
        <v/>
      </c>
    </row>
    <row r="2942">
      <c r="A2942" s="20">
        <f>IF(A2941="","",IF(A2941+1&gt;Ввод!$B$4,"",A2941+1))</f>
        <v/>
      </c>
      <c r="B2942">
        <f>IF(A2942="","",IFERROR(INDEX(Ввод!$B$12:$B$71,MATCH(A2942,Ввод!$D$12:$D$71,1)),""))</f>
        <v/>
      </c>
      <c r="C2942">
        <f>IF(A2942="","",DATE(YEAR(A2942),12,31)-DATE(YEAR(A2942),1,1)+1)</f>
        <v/>
      </c>
      <c r="D2942">
        <f>IF(A2942="","",SUMIFS(Акты!$D$5:$D$16,Акты!$E$5:$E$16,"&lt;="&amp;A2942)-SUMIFS(Оплаты!$B$6:$B$505,Оплаты!$A$6:$A$505,"&lt;"&amp;A2942,Оплаты!$D$6:$D$505,"&lt;&gt;"))</f>
        <v/>
      </c>
      <c r="E2942">
        <f>IF(A2942="","",IF(SUMPRODUCT((Ввод!$F$12:$F$31&lt;&gt;"")*(Ввод!$F$12:$F$31&lt;=A2942)*(Ввод!$G$12:$G$31&gt;=A2942))&gt;0,1,0))</f>
        <v/>
      </c>
      <c r="G2942">
        <f>IF(A2942="","",IF(OR(B2942&lt;&gt;B2941,C2942&lt;&gt;C2941,E2942&lt;&gt;E2941),G2941+1,G2941))</f>
        <v/>
      </c>
    </row>
    <row r="2943">
      <c r="A2943" s="20">
        <f>IF(A2942="","",IF(A2942+1&gt;Ввод!$B$4,"",A2942+1))</f>
        <v/>
      </c>
      <c r="B2943">
        <f>IF(A2943="","",IFERROR(INDEX(Ввод!$B$12:$B$71,MATCH(A2943,Ввод!$D$12:$D$71,1)),""))</f>
        <v/>
      </c>
      <c r="C2943">
        <f>IF(A2943="","",DATE(YEAR(A2943),12,31)-DATE(YEAR(A2943),1,1)+1)</f>
        <v/>
      </c>
      <c r="D2943">
        <f>IF(A2943="","",SUMIFS(Акты!$D$5:$D$16,Акты!$E$5:$E$16,"&lt;="&amp;A2943)-SUMIFS(Оплаты!$B$6:$B$505,Оплаты!$A$6:$A$505,"&lt;"&amp;A2943,Оплаты!$D$6:$D$505,"&lt;&gt;"))</f>
        <v/>
      </c>
      <c r="E2943">
        <f>IF(A2943="","",IF(SUMPRODUCT((Ввод!$F$12:$F$31&lt;&gt;"")*(Ввод!$F$12:$F$31&lt;=A2943)*(Ввод!$G$12:$G$31&gt;=A2943))&gt;0,1,0))</f>
        <v/>
      </c>
      <c r="G2943">
        <f>IF(A2943="","",IF(OR(B2943&lt;&gt;B2942,C2943&lt;&gt;C2942,E2943&lt;&gt;E2942),G2942+1,G2942))</f>
        <v/>
      </c>
    </row>
    <row r="2944">
      <c r="A2944" s="20">
        <f>IF(A2943="","",IF(A2943+1&gt;Ввод!$B$4,"",A2943+1))</f>
        <v/>
      </c>
      <c r="B2944">
        <f>IF(A2944="","",IFERROR(INDEX(Ввод!$B$12:$B$71,MATCH(A2944,Ввод!$D$12:$D$71,1)),""))</f>
        <v/>
      </c>
      <c r="C2944">
        <f>IF(A2944="","",DATE(YEAR(A2944),12,31)-DATE(YEAR(A2944),1,1)+1)</f>
        <v/>
      </c>
      <c r="D2944">
        <f>IF(A2944="","",SUMIFS(Акты!$D$5:$D$16,Акты!$E$5:$E$16,"&lt;="&amp;A2944)-SUMIFS(Оплаты!$B$6:$B$505,Оплаты!$A$6:$A$505,"&lt;"&amp;A2944,Оплаты!$D$6:$D$505,"&lt;&gt;"))</f>
        <v/>
      </c>
      <c r="E2944">
        <f>IF(A2944="","",IF(SUMPRODUCT((Ввод!$F$12:$F$31&lt;&gt;"")*(Ввод!$F$12:$F$31&lt;=A2944)*(Ввод!$G$12:$G$31&gt;=A2944))&gt;0,1,0))</f>
        <v/>
      </c>
      <c r="G2944">
        <f>IF(A2944="","",IF(OR(B2944&lt;&gt;B2943,C2944&lt;&gt;C2943,E2944&lt;&gt;E2943),G2943+1,G2943))</f>
        <v/>
      </c>
    </row>
    <row r="2945">
      <c r="A2945" s="20">
        <f>IF(A2944="","",IF(A2944+1&gt;Ввод!$B$4,"",A2944+1))</f>
        <v/>
      </c>
      <c r="B2945">
        <f>IF(A2945="","",IFERROR(INDEX(Ввод!$B$12:$B$71,MATCH(A2945,Ввод!$D$12:$D$71,1)),""))</f>
        <v/>
      </c>
      <c r="C2945">
        <f>IF(A2945="","",DATE(YEAR(A2945),12,31)-DATE(YEAR(A2945),1,1)+1)</f>
        <v/>
      </c>
      <c r="D2945">
        <f>IF(A2945="","",SUMIFS(Акты!$D$5:$D$16,Акты!$E$5:$E$16,"&lt;="&amp;A2945)-SUMIFS(Оплаты!$B$6:$B$505,Оплаты!$A$6:$A$505,"&lt;"&amp;A2945,Оплаты!$D$6:$D$505,"&lt;&gt;"))</f>
        <v/>
      </c>
      <c r="E2945">
        <f>IF(A2945="","",IF(SUMPRODUCT((Ввод!$F$12:$F$31&lt;&gt;"")*(Ввод!$F$12:$F$31&lt;=A2945)*(Ввод!$G$12:$G$31&gt;=A2945))&gt;0,1,0))</f>
        <v/>
      </c>
      <c r="G2945">
        <f>IF(A2945="","",IF(OR(B2945&lt;&gt;B2944,C2945&lt;&gt;C2944,E2945&lt;&gt;E2944),G2944+1,G2944))</f>
        <v/>
      </c>
    </row>
    <row r="2946">
      <c r="A2946" s="20">
        <f>IF(A2945="","",IF(A2945+1&gt;Ввод!$B$4,"",A2945+1))</f>
        <v/>
      </c>
      <c r="B2946">
        <f>IF(A2946="","",IFERROR(INDEX(Ввод!$B$12:$B$71,MATCH(A2946,Ввод!$D$12:$D$71,1)),""))</f>
        <v/>
      </c>
      <c r="C2946">
        <f>IF(A2946="","",DATE(YEAR(A2946),12,31)-DATE(YEAR(A2946),1,1)+1)</f>
        <v/>
      </c>
      <c r="D2946">
        <f>IF(A2946="","",SUMIFS(Акты!$D$5:$D$16,Акты!$E$5:$E$16,"&lt;="&amp;A2946)-SUMIFS(Оплаты!$B$6:$B$505,Оплаты!$A$6:$A$505,"&lt;"&amp;A2946,Оплаты!$D$6:$D$505,"&lt;&gt;"))</f>
        <v/>
      </c>
      <c r="E2946">
        <f>IF(A2946="","",IF(SUMPRODUCT((Ввод!$F$12:$F$31&lt;&gt;"")*(Ввод!$F$12:$F$31&lt;=A2946)*(Ввод!$G$12:$G$31&gt;=A2946))&gt;0,1,0))</f>
        <v/>
      </c>
      <c r="G2946">
        <f>IF(A2946="","",IF(OR(B2946&lt;&gt;B2945,C2946&lt;&gt;C2945,E2946&lt;&gt;E2945),G2945+1,G2945))</f>
        <v/>
      </c>
    </row>
    <row r="2947">
      <c r="A2947" s="20">
        <f>IF(A2946="","",IF(A2946+1&gt;Ввод!$B$4,"",A2946+1))</f>
        <v/>
      </c>
      <c r="B2947">
        <f>IF(A2947="","",IFERROR(INDEX(Ввод!$B$12:$B$71,MATCH(A2947,Ввод!$D$12:$D$71,1)),""))</f>
        <v/>
      </c>
      <c r="C2947">
        <f>IF(A2947="","",DATE(YEAR(A2947),12,31)-DATE(YEAR(A2947),1,1)+1)</f>
        <v/>
      </c>
      <c r="D2947">
        <f>IF(A2947="","",SUMIFS(Акты!$D$5:$D$16,Акты!$E$5:$E$16,"&lt;="&amp;A2947)-SUMIFS(Оплаты!$B$6:$B$505,Оплаты!$A$6:$A$505,"&lt;"&amp;A2947,Оплаты!$D$6:$D$505,"&lt;&gt;"))</f>
        <v/>
      </c>
      <c r="E2947">
        <f>IF(A2947="","",IF(SUMPRODUCT((Ввод!$F$12:$F$31&lt;&gt;"")*(Ввод!$F$12:$F$31&lt;=A2947)*(Ввод!$G$12:$G$31&gt;=A2947))&gt;0,1,0))</f>
        <v/>
      </c>
      <c r="G2947">
        <f>IF(A2947="","",IF(OR(B2947&lt;&gt;B2946,C2947&lt;&gt;C2946,E2947&lt;&gt;E2946),G2946+1,G2946))</f>
        <v/>
      </c>
    </row>
    <row r="2948">
      <c r="A2948" s="20">
        <f>IF(A2947="","",IF(A2947+1&gt;Ввод!$B$4,"",A2947+1))</f>
        <v/>
      </c>
      <c r="B2948">
        <f>IF(A2948="","",IFERROR(INDEX(Ввод!$B$12:$B$71,MATCH(A2948,Ввод!$D$12:$D$71,1)),""))</f>
        <v/>
      </c>
      <c r="C2948">
        <f>IF(A2948="","",DATE(YEAR(A2948),12,31)-DATE(YEAR(A2948),1,1)+1)</f>
        <v/>
      </c>
      <c r="D2948">
        <f>IF(A2948="","",SUMIFS(Акты!$D$5:$D$16,Акты!$E$5:$E$16,"&lt;="&amp;A2948)-SUMIFS(Оплаты!$B$6:$B$505,Оплаты!$A$6:$A$505,"&lt;"&amp;A2948,Оплаты!$D$6:$D$505,"&lt;&gt;"))</f>
        <v/>
      </c>
      <c r="E2948">
        <f>IF(A2948="","",IF(SUMPRODUCT((Ввод!$F$12:$F$31&lt;&gt;"")*(Ввод!$F$12:$F$31&lt;=A2948)*(Ввод!$G$12:$G$31&gt;=A2948))&gt;0,1,0))</f>
        <v/>
      </c>
      <c r="G2948">
        <f>IF(A2948="","",IF(OR(B2948&lt;&gt;B2947,C2948&lt;&gt;C2947,E2948&lt;&gt;E2947),G2947+1,G2947))</f>
        <v/>
      </c>
    </row>
    <row r="2949">
      <c r="A2949" s="20">
        <f>IF(A2948="","",IF(A2948+1&gt;Ввод!$B$4,"",A2948+1))</f>
        <v/>
      </c>
      <c r="B2949">
        <f>IF(A2949="","",IFERROR(INDEX(Ввод!$B$12:$B$71,MATCH(A2949,Ввод!$D$12:$D$71,1)),""))</f>
        <v/>
      </c>
      <c r="C2949">
        <f>IF(A2949="","",DATE(YEAR(A2949),12,31)-DATE(YEAR(A2949),1,1)+1)</f>
        <v/>
      </c>
      <c r="D2949">
        <f>IF(A2949="","",SUMIFS(Акты!$D$5:$D$16,Акты!$E$5:$E$16,"&lt;="&amp;A2949)-SUMIFS(Оплаты!$B$6:$B$505,Оплаты!$A$6:$A$505,"&lt;"&amp;A2949,Оплаты!$D$6:$D$505,"&lt;&gt;"))</f>
        <v/>
      </c>
      <c r="E2949">
        <f>IF(A2949="","",IF(SUMPRODUCT((Ввод!$F$12:$F$31&lt;&gt;"")*(Ввод!$F$12:$F$31&lt;=A2949)*(Ввод!$G$12:$G$31&gt;=A2949))&gt;0,1,0))</f>
        <v/>
      </c>
      <c r="G2949">
        <f>IF(A2949="","",IF(OR(B2949&lt;&gt;B2948,C2949&lt;&gt;C2948,E2949&lt;&gt;E2948),G2948+1,G2948))</f>
        <v/>
      </c>
    </row>
    <row r="2950">
      <c r="A2950" s="20">
        <f>IF(A2949="","",IF(A2949+1&gt;Ввод!$B$4,"",A2949+1))</f>
        <v/>
      </c>
      <c r="B2950">
        <f>IF(A2950="","",IFERROR(INDEX(Ввод!$B$12:$B$71,MATCH(A2950,Ввод!$D$12:$D$71,1)),""))</f>
        <v/>
      </c>
      <c r="C2950">
        <f>IF(A2950="","",DATE(YEAR(A2950),12,31)-DATE(YEAR(A2950),1,1)+1)</f>
        <v/>
      </c>
      <c r="D2950">
        <f>IF(A2950="","",SUMIFS(Акты!$D$5:$D$16,Акты!$E$5:$E$16,"&lt;="&amp;A2950)-SUMIFS(Оплаты!$B$6:$B$505,Оплаты!$A$6:$A$505,"&lt;"&amp;A2950,Оплаты!$D$6:$D$505,"&lt;&gt;"))</f>
        <v/>
      </c>
      <c r="E2950">
        <f>IF(A2950="","",IF(SUMPRODUCT((Ввод!$F$12:$F$31&lt;&gt;"")*(Ввод!$F$12:$F$31&lt;=A2950)*(Ввод!$G$12:$G$31&gt;=A2950))&gt;0,1,0))</f>
        <v/>
      </c>
      <c r="G2950">
        <f>IF(A2950="","",IF(OR(B2950&lt;&gt;B2949,C2950&lt;&gt;C2949,E2950&lt;&gt;E2949),G2949+1,G2949))</f>
        <v/>
      </c>
    </row>
    <row r="2951">
      <c r="A2951" s="20">
        <f>IF(A2950="","",IF(A2950+1&gt;Ввод!$B$4,"",A2950+1))</f>
        <v/>
      </c>
      <c r="B2951">
        <f>IF(A2951="","",IFERROR(INDEX(Ввод!$B$12:$B$71,MATCH(A2951,Ввод!$D$12:$D$71,1)),""))</f>
        <v/>
      </c>
      <c r="C2951">
        <f>IF(A2951="","",DATE(YEAR(A2951),12,31)-DATE(YEAR(A2951),1,1)+1)</f>
        <v/>
      </c>
      <c r="D2951">
        <f>IF(A2951="","",SUMIFS(Акты!$D$5:$D$16,Акты!$E$5:$E$16,"&lt;="&amp;A2951)-SUMIFS(Оплаты!$B$6:$B$505,Оплаты!$A$6:$A$505,"&lt;"&amp;A2951,Оплаты!$D$6:$D$505,"&lt;&gt;"))</f>
        <v/>
      </c>
      <c r="E2951">
        <f>IF(A2951="","",IF(SUMPRODUCT((Ввод!$F$12:$F$31&lt;&gt;"")*(Ввод!$F$12:$F$31&lt;=A2951)*(Ввод!$G$12:$G$31&gt;=A2951))&gt;0,1,0))</f>
        <v/>
      </c>
      <c r="G2951">
        <f>IF(A2951="","",IF(OR(B2951&lt;&gt;B2950,C2951&lt;&gt;C2950,E2951&lt;&gt;E2950),G2950+1,G2950))</f>
        <v/>
      </c>
    </row>
    <row r="2952">
      <c r="A2952" s="20">
        <f>IF(A2951="","",IF(A2951+1&gt;Ввод!$B$4,"",A2951+1))</f>
        <v/>
      </c>
      <c r="B2952">
        <f>IF(A2952="","",IFERROR(INDEX(Ввод!$B$12:$B$71,MATCH(A2952,Ввод!$D$12:$D$71,1)),""))</f>
        <v/>
      </c>
      <c r="C2952">
        <f>IF(A2952="","",DATE(YEAR(A2952),12,31)-DATE(YEAR(A2952),1,1)+1)</f>
        <v/>
      </c>
      <c r="D2952">
        <f>IF(A2952="","",SUMIFS(Акты!$D$5:$D$16,Акты!$E$5:$E$16,"&lt;="&amp;A2952)-SUMIFS(Оплаты!$B$6:$B$505,Оплаты!$A$6:$A$505,"&lt;"&amp;A2952,Оплаты!$D$6:$D$505,"&lt;&gt;"))</f>
        <v/>
      </c>
      <c r="E2952">
        <f>IF(A2952="","",IF(SUMPRODUCT((Ввод!$F$12:$F$31&lt;&gt;"")*(Ввод!$F$12:$F$31&lt;=A2952)*(Ввод!$G$12:$G$31&gt;=A2952))&gt;0,1,0))</f>
        <v/>
      </c>
      <c r="G2952">
        <f>IF(A2952="","",IF(OR(B2952&lt;&gt;B2951,C2952&lt;&gt;C2951,E2952&lt;&gt;E2951),G2951+1,G2951))</f>
        <v/>
      </c>
    </row>
    <row r="2953">
      <c r="A2953" s="20">
        <f>IF(A2952="","",IF(A2952+1&gt;Ввод!$B$4,"",A2952+1))</f>
        <v/>
      </c>
      <c r="B2953">
        <f>IF(A2953="","",IFERROR(INDEX(Ввод!$B$12:$B$71,MATCH(A2953,Ввод!$D$12:$D$71,1)),""))</f>
        <v/>
      </c>
      <c r="C2953">
        <f>IF(A2953="","",DATE(YEAR(A2953),12,31)-DATE(YEAR(A2953),1,1)+1)</f>
        <v/>
      </c>
      <c r="D2953">
        <f>IF(A2953="","",SUMIFS(Акты!$D$5:$D$16,Акты!$E$5:$E$16,"&lt;="&amp;A2953)-SUMIFS(Оплаты!$B$6:$B$505,Оплаты!$A$6:$A$505,"&lt;"&amp;A2953,Оплаты!$D$6:$D$505,"&lt;&gt;"))</f>
        <v/>
      </c>
      <c r="E2953">
        <f>IF(A2953="","",IF(SUMPRODUCT((Ввод!$F$12:$F$31&lt;&gt;"")*(Ввод!$F$12:$F$31&lt;=A2953)*(Ввод!$G$12:$G$31&gt;=A2953))&gt;0,1,0))</f>
        <v/>
      </c>
      <c r="G2953">
        <f>IF(A2953="","",IF(OR(B2953&lt;&gt;B2952,C2953&lt;&gt;C2952,E2953&lt;&gt;E2952),G2952+1,G2952))</f>
        <v/>
      </c>
    </row>
    <row r="2954">
      <c r="A2954" s="20">
        <f>IF(A2953="","",IF(A2953+1&gt;Ввод!$B$4,"",A2953+1))</f>
        <v/>
      </c>
      <c r="B2954">
        <f>IF(A2954="","",IFERROR(INDEX(Ввод!$B$12:$B$71,MATCH(A2954,Ввод!$D$12:$D$71,1)),""))</f>
        <v/>
      </c>
      <c r="C2954">
        <f>IF(A2954="","",DATE(YEAR(A2954),12,31)-DATE(YEAR(A2954),1,1)+1)</f>
        <v/>
      </c>
      <c r="D2954">
        <f>IF(A2954="","",SUMIFS(Акты!$D$5:$D$16,Акты!$E$5:$E$16,"&lt;="&amp;A2954)-SUMIFS(Оплаты!$B$6:$B$505,Оплаты!$A$6:$A$505,"&lt;"&amp;A2954,Оплаты!$D$6:$D$505,"&lt;&gt;"))</f>
        <v/>
      </c>
      <c r="E2954">
        <f>IF(A2954="","",IF(SUMPRODUCT((Ввод!$F$12:$F$31&lt;&gt;"")*(Ввод!$F$12:$F$31&lt;=A2954)*(Ввод!$G$12:$G$31&gt;=A2954))&gt;0,1,0))</f>
        <v/>
      </c>
      <c r="G2954">
        <f>IF(A2954="","",IF(OR(B2954&lt;&gt;B2953,C2954&lt;&gt;C2953,E2954&lt;&gt;E2953),G2953+1,G2953))</f>
        <v/>
      </c>
    </row>
    <row r="2955">
      <c r="A2955" s="20">
        <f>IF(A2954="","",IF(A2954+1&gt;Ввод!$B$4,"",A2954+1))</f>
        <v/>
      </c>
      <c r="B2955">
        <f>IF(A2955="","",IFERROR(INDEX(Ввод!$B$12:$B$71,MATCH(A2955,Ввод!$D$12:$D$71,1)),""))</f>
        <v/>
      </c>
      <c r="C2955">
        <f>IF(A2955="","",DATE(YEAR(A2955),12,31)-DATE(YEAR(A2955),1,1)+1)</f>
        <v/>
      </c>
      <c r="D2955">
        <f>IF(A2955="","",SUMIFS(Акты!$D$5:$D$16,Акты!$E$5:$E$16,"&lt;="&amp;A2955)-SUMIFS(Оплаты!$B$6:$B$505,Оплаты!$A$6:$A$505,"&lt;"&amp;A2955,Оплаты!$D$6:$D$505,"&lt;&gt;"))</f>
        <v/>
      </c>
      <c r="E2955">
        <f>IF(A2955="","",IF(SUMPRODUCT((Ввод!$F$12:$F$31&lt;&gt;"")*(Ввод!$F$12:$F$31&lt;=A2955)*(Ввод!$G$12:$G$31&gt;=A2955))&gt;0,1,0))</f>
        <v/>
      </c>
      <c r="G2955">
        <f>IF(A2955="","",IF(OR(B2955&lt;&gt;B2954,C2955&lt;&gt;C2954,E2955&lt;&gt;E2954),G2954+1,G2954))</f>
        <v/>
      </c>
    </row>
    <row r="2956">
      <c r="A2956" s="20">
        <f>IF(A2955="","",IF(A2955+1&gt;Ввод!$B$4,"",A2955+1))</f>
        <v/>
      </c>
      <c r="B2956">
        <f>IF(A2956="","",IFERROR(INDEX(Ввод!$B$12:$B$71,MATCH(A2956,Ввод!$D$12:$D$71,1)),""))</f>
        <v/>
      </c>
      <c r="C2956">
        <f>IF(A2956="","",DATE(YEAR(A2956),12,31)-DATE(YEAR(A2956),1,1)+1)</f>
        <v/>
      </c>
      <c r="D2956">
        <f>IF(A2956="","",SUMIFS(Акты!$D$5:$D$16,Акты!$E$5:$E$16,"&lt;="&amp;A2956)-SUMIFS(Оплаты!$B$6:$B$505,Оплаты!$A$6:$A$505,"&lt;"&amp;A2956,Оплаты!$D$6:$D$505,"&lt;&gt;"))</f>
        <v/>
      </c>
      <c r="E2956">
        <f>IF(A2956="","",IF(SUMPRODUCT((Ввод!$F$12:$F$31&lt;&gt;"")*(Ввод!$F$12:$F$31&lt;=A2956)*(Ввод!$G$12:$G$31&gt;=A2956))&gt;0,1,0))</f>
        <v/>
      </c>
      <c r="G2956">
        <f>IF(A2956="","",IF(OR(B2956&lt;&gt;B2955,C2956&lt;&gt;C2955,E2956&lt;&gt;E2955),G2955+1,G2955))</f>
        <v/>
      </c>
    </row>
    <row r="2957">
      <c r="A2957" s="20">
        <f>IF(A2956="","",IF(A2956+1&gt;Ввод!$B$4,"",A2956+1))</f>
        <v/>
      </c>
      <c r="B2957">
        <f>IF(A2957="","",IFERROR(INDEX(Ввод!$B$12:$B$71,MATCH(A2957,Ввод!$D$12:$D$71,1)),""))</f>
        <v/>
      </c>
      <c r="C2957">
        <f>IF(A2957="","",DATE(YEAR(A2957),12,31)-DATE(YEAR(A2957),1,1)+1)</f>
        <v/>
      </c>
      <c r="D2957">
        <f>IF(A2957="","",SUMIFS(Акты!$D$5:$D$16,Акты!$E$5:$E$16,"&lt;="&amp;A2957)-SUMIFS(Оплаты!$B$6:$B$505,Оплаты!$A$6:$A$505,"&lt;"&amp;A2957,Оплаты!$D$6:$D$505,"&lt;&gt;"))</f>
        <v/>
      </c>
      <c r="E2957">
        <f>IF(A2957="","",IF(SUMPRODUCT((Ввод!$F$12:$F$31&lt;&gt;"")*(Ввод!$F$12:$F$31&lt;=A2957)*(Ввод!$G$12:$G$31&gt;=A2957))&gt;0,1,0))</f>
        <v/>
      </c>
      <c r="G2957">
        <f>IF(A2957="","",IF(OR(B2957&lt;&gt;B2956,C2957&lt;&gt;C2956,E2957&lt;&gt;E2956),G2956+1,G2956))</f>
        <v/>
      </c>
    </row>
    <row r="2958">
      <c r="A2958" s="20">
        <f>IF(A2957="","",IF(A2957+1&gt;Ввод!$B$4,"",A2957+1))</f>
        <v/>
      </c>
      <c r="B2958">
        <f>IF(A2958="","",IFERROR(INDEX(Ввод!$B$12:$B$71,MATCH(A2958,Ввод!$D$12:$D$71,1)),""))</f>
        <v/>
      </c>
      <c r="C2958">
        <f>IF(A2958="","",DATE(YEAR(A2958),12,31)-DATE(YEAR(A2958),1,1)+1)</f>
        <v/>
      </c>
      <c r="D2958">
        <f>IF(A2958="","",SUMIFS(Акты!$D$5:$D$16,Акты!$E$5:$E$16,"&lt;="&amp;A2958)-SUMIFS(Оплаты!$B$6:$B$505,Оплаты!$A$6:$A$505,"&lt;"&amp;A2958,Оплаты!$D$6:$D$505,"&lt;&gt;"))</f>
        <v/>
      </c>
      <c r="E2958">
        <f>IF(A2958="","",IF(SUMPRODUCT((Ввод!$F$12:$F$31&lt;&gt;"")*(Ввод!$F$12:$F$31&lt;=A2958)*(Ввод!$G$12:$G$31&gt;=A2958))&gt;0,1,0))</f>
        <v/>
      </c>
      <c r="G2958">
        <f>IF(A2958="","",IF(OR(B2958&lt;&gt;B2957,C2958&lt;&gt;C2957,E2958&lt;&gt;E2957),G2957+1,G2957))</f>
        <v/>
      </c>
    </row>
    <row r="2959">
      <c r="A2959" s="20">
        <f>IF(A2958="","",IF(A2958+1&gt;Ввод!$B$4,"",A2958+1))</f>
        <v/>
      </c>
      <c r="B2959">
        <f>IF(A2959="","",IFERROR(INDEX(Ввод!$B$12:$B$71,MATCH(A2959,Ввод!$D$12:$D$71,1)),""))</f>
        <v/>
      </c>
      <c r="C2959">
        <f>IF(A2959="","",DATE(YEAR(A2959),12,31)-DATE(YEAR(A2959),1,1)+1)</f>
        <v/>
      </c>
      <c r="D2959">
        <f>IF(A2959="","",SUMIFS(Акты!$D$5:$D$16,Акты!$E$5:$E$16,"&lt;="&amp;A2959)-SUMIFS(Оплаты!$B$6:$B$505,Оплаты!$A$6:$A$505,"&lt;"&amp;A2959,Оплаты!$D$6:$D$505,"&lt;&gt;"))</f>
        <v/>
      </c>
      <c r="E2959">
        <f>IF(A2959="","",IF(SUMPRODUCT((Ввод!$F$12:$F$31&lt;&gt;"")*(Ввод!$F$12:$F$31&lt;=A2959)*(Ввод!$G$12:$G$31&gt;=A2959))&gt;0,1,0))</f>
        <v/>
      </c>
      <c r="G2959">
        <f>IF(A2959="","",IF(OR(B2959&lt;&gt;B2958,C2959&lt;&gt;C2958,E2959&lt;&gt;E2958),G2958+1,G2958))</f>
        <v/>
      </c>
    </row>
    <row r="2960">
      <c r="A2960" s="20">
        <f>IF(A2959="","",IF(A2959+1&gt;Ввод!$B$4,"",A2959+1))</f>
        <v/>
      </c>
      <c r="B2960">
        <f>IF(A2960="","",IFERROR(INDEX(Ввод!$B$12:$B$71,MATCH(A2960,Ввод!$D$12:$D$71,1)),""))</f>
        <v/>
      </c>
      <c r="C2960">
        <f>IF(A2960="","",DATE(YEAR(A2960),12,31)-DATE(YEAR(A2960),1,1)+1)</f>
        <v/>
      </c>
      <c r="D2960">
        <f>IF(A2960="","",SUMIFS(Акты!$D$5:$D$16,Акты!$E$5:$E$16,"&lt;="&amp;A2960)-SUMIFS(Оплаты!$B$6:$B$505,Оплаты!$A$6:$A$505,"&lt;"&amp;A2960,Оплаты!$D$6:$D$505,"&lt;&gt;"))</f>
        <v/>
      </c>
      <c r="E2960">
        <f>IF(A2960="","",IF(SUMPRODUCT((Ввод!$F$12:$F$31&lt;&gt;"")*(Ввод!$F$12:$F$31&lt;=A2960)*(Ввод!$G$12:$G$31&gt;=A2960))&gt;0,1,0))</f>
        <v/>
      </c>
      <c r="G2960">
        <f>IF(A2960="","",IF(OR(B2960&lt;&gt;B2959,C2960&lt;&gt;C2959,E2960&lt;&gt;E2959),G2959+1,G2959))</f>
        <v/>
      </c>
    </row>
    <row r="2961">
      <c r="A2961" s="20">
        <f>IF(A2960="","",IF(A2960+1&gt;Ввод!$B$4,"",A2960+1))</f>
        <v/>
      </c>
      <c r="B2961">
        <f>IF(A2961="","",IFERROR(INDEX(Ввод!$B$12:$B$71,MATCH(A2961,Ввод!$D$12:$D$71,1)),""))</f>
        <v/>
      </c>
      <c r="C2961">
        <f>IF(A2961="","",DATE(YEAR(A2961),12,31)-DATE(YEAR(A2961),1,1)+1)</f>
        <v/>
      </c>
      <c r="D2961">
        <f>IF(A2961="","",SUMIFS(Акты!$D$5:$D$16,Акты!$E$5:$E$16,"&lt;="&amp;A2961)-SUMIFS(Оплаты!$B$6:$B$505,Оплаты!$A$6:$A$505,"&lt;"&amp;A2961,Оплаты!$D$6:$D$505,"&lt;&gt;"))</f>
        <v/>
      </c>
      <c r="E2961">
        <f>IF(A2961="","",IF(SUMPRODUCT((Ввод!$F$12:$F$31&lt;&gt;"")*(Ввод!$F$12:$F$31&lt;=A2961)*(Ввод!$G$12:$G$31&gt;=A2961))&gt;0,1,0))</f>
        <v/>
      </c>
      <c r="G2961">
        <f>IF(A2961="","",IF(OR(B2961&lt;&gt;B2960,C2961&lt;&gt;C2960,E2961&lt;&gt;E2960),G2960+1,G2960))</f>
        <v/>
      </c>
    </row>
    <row r="2962">
      <c r="A2962" s="20">
        <f>IF(A2961="","",IF(A2961+1&gt;Ввод!$B$4,"",A2961+1))</f>
        <v/>
      </c>
      <c r="B2962">
        <f>IF(A2962="","",IFERROR(INDEX(Ввод!$B$12:$B$71,MATCH(A2962,Ввод!$D$12:$D$71,1)),""))</f>
        <v/>
      </c>
      <c r="C2962">
        <f>IF(A2962="","",DATE(YEAR(A2962),12,31)-DATE(YEAR(A2962),1,1)+1)</f>
        <v/>
      </c>
      <c r="D2962">
        <f>IF(A2962="","",SUMIFS(Акты!$D$5:$D$16,Акты!$E$5:$E$16,"&lt;="&amp;A2962)-SUMIFS(Оплаты!$B$6:$B$505,Оплаты!$A$6:$A$505,"&lt;"&amp;A2962,Оплаты!$D$6:$D$505,"&lt;&gt;"))</f>
        <v/>
      </c>
      <c r="E2962">
        <f>IF(A2962="","",IF(SUMPRODUCT((Ввод!$F$12:$F$31&lt;&gt;"")*(Ввод!$F$12:$F$31&lt;=A2962)*(Ввод!$G$12:$G$31&gt;=A2962))&gt;0,1,0))</f>
        <v/>
      </c>
      <c r="G2962">
        <f>IF(A2962="","",IF(OR(B2962&lt;&gt;B2961,C2962&lt;&gt;C2961,E2962&lt;&gt;E2961),G2961+1,G2961))</f>
        <v/>
      </c>
    </row>
    <row r="2963">
      <c r="A2963" s="20">
        <f>IF(A2962="","",IF(A2962+1&gt;Ввод!$B$4,"",A2962+1))</f>
        <v/>
      </c>
      <c r="B2963">
        <f>IF(A2963="","",IFERROR(INDEX(Ввод!$B$12:$B$71,MATCH(A2963,Ввод!$D$12:$D$71,1)),""))</f>
        <v/>
      </c>
      <c r="C2963">
        <f>IF(A2963="","",DATE(YEAR(A2963),12,31)-DATE(YEAR(A2963),1,1)+1)</f>
        <v/>
      </c>
      <c r="D2963">
        <f>IF(A2963="","",SUMIFS(Акты!$D$5:$D$16,Акты!$E$5:$E$16,"&lt;="&amp;A2963)-SUMIFS(Оплаты!$B$6:$B$505,Оплаты!$A$6:$A$505,"&lt;"&amp;A2963,Оплаты!$D$6:$D$505,"&lt;&gt;"))</f>
        <v/>
      </c>
      <c r="E2963">
        <f>IF(A2963="","",IF(SUMPRODUCT((Ввод!$F$12:$F$31&lt;&gt;"")*(Ввод!$F$12:$F$31&lt;=A2963)*(Ввод!$G$12:$G$31&gt;=A2963))&gt;0,1,0))</f>
        <v/>
      </c>
      <c r="G2963">
        <f>IF(A2963="","",IF(OR(B2963&lt;&gt;B2962,C2963&lt;&gt;C2962,E2963&lt;&gt;E2962),G2962+1,G2962))</f>
        <v/>
      </c>
    </row>
    <row r="2964">
      <c r="A2964" s="20">
        <f>IF(A2963="","",IF(A2963+1&gt;Ввод!$B$4,"",A2963+1))</f>
        <v/>
      </c>
      <c r="B2964">
        <f>IF(A2964="","",IFERROR(INDEX(Ввод!$B$12:$B$71,MATCH(A2964,Ввод!$D$12:$D$71,1)),""))</f>
        <v/>
      </c>
      <c r="C2964">
        <f>IF(A2964="","",DATE(YEAR(A2964),12,31)-DATE(YEAR(A2964),1,1)+1)</f>
        <v/>
      </c>
      <c r="D2964">
        <f>IF(A2964="","",SUMIFS(Акты!$D$5:$D$16,Акты!$E$5:$E$16,"&lt;="&amp;A2964)-SUMIFS(Оплаты!$B$6:$B$505,Оплаты!$A$6:$A$505,"&lt;"&amp;A2964,Оплаты!$D$6:$D$505,"&lt;&gt;"))</f>
        <v/>
      </c>
      <c r="E2964">
        <f>IF(A2964="","",IF(SUMPRODUCT((Ввод!$F$12:$F$31&lt;&gt;"")*(Ввод!$F$12:$F$31&lt;=A2964)*(Ввод!$G$12:$G$31&gt;=A2964))&gt;0,1,0))</f>
        <v/>
      </c>
      <c r="G2964">
        <f>IF(A2964="","",IF(OR(B2964&lt;&gt;B2963,C2964&lt;&gt;C2963,E2964&lt;&gt;E2963),G2963+1,G2963))</f>
        <v/>
      </c>
    </row>
    <row r="2965">
      <c r="A2965" s="20">
        <f>IF(A2964="","",IF(A2964+1&gt;Ввод!$B$4,"",A2964+1))</f>
        <v/>
      </c>
      <c r="B2965">
        <f>IF(A2965="","",IFERROR(INDEX(Ввод!$B$12:$B$71,MATCH(A2965,Ввод!$D$12:$D$71,1)),""))</f>
        <v/>
      </c>
      <c r="C2965">
        <f>IF(A2965="","",DATE(YEAR(A2965),12,31)-DATE(YEAR(A2965),1,1)+1)</f>
        <v/>
      </c>
      <c r="D2965">
        <f>IF(A2965="","",SUMIFS(Акты!$D$5:$D$16,Акты!$E$5:$E$16,"&lt;="&amp;A2965)-SUMIFS(Оплаты!$B$6:$B$505,Оплаты!$A$6:$A$505,"&lt;"&amp;A2965,Оплаты!$D$6:$D$505,"&lt;&gt;"))</f>
        <v/>
      </c>
      <c r="E2965">
        <f>IF(A2965="","",IF(SUMPRODUCT((Ввод!$F$12:$F$31&lt;&gt;"")*(Ввод!$F$12:$F$31&lt;=A2965)*(Ввод!$G$12:$G$31&gt;=A2965))&gt;0,1,0))</f>
        <v/>
      </c>
      <c r="G2965">
        <f>IF(A2965="","",IF(OR(B2965&lt;&gt;B2964,C2965&lt;&gt;C2964,E2965&lt;&gt;E2964),G2964+1,G2964))</f>
        <v/>
      </c>
    </row>
    <row r="2966">
      <c r="A2966" s="20">
        <f>IF(A2965="","",IF(A2965+1&gt;Ввод!$B$4,"",A2965+1))</f>
        <v/>
      </c>
      <c r="B2966">
        <f>IF(A2966="","",IFERROR(INDEX(Ввод!$B$12:$B$71,MATCH(A2966,Ввод!$D$12:$D$71,1)),""))</f>
        <v/>
      </c>
      <c r="C2966">
        <f>IF(A2966="","",DATE(YEAR(A2966),12,31)-DATE(YEAR(A2966),1,1)+1)</f>
        <v/>
      </c>
      <c r="D2966">
        <f>IF(A2966="","",SUMIFS(Акты!$D$5:$D$16,Акты!$E$5:$E$16,"&lt;="&amp;A2966)-SUMIFS(Оплаты!$B$6:$B$505,Оплаты!$A$6:$A$505,"&lt;"&amp;A2966,Оплаты!$D$6:$D$505,"&lt;&gt;"))</f>
        <v/>
      </c>
      <c r="E2966">
        <f>IF(A2966="","",IF(SUMPRODUCT((Ввод!$F$12:$F$31&lt;&gt;"")*(Ввод!$F$12:$F$31&lt;=A2966)*(Ввод!$G$12:$G$31&gt;=A2966))&gt;0,1,0))</f>
        <v/>
      </c>
      <c r="G2966">
        <f>IF(A2966="","",IF(OR(B2966&lt;&gt;B2965,C2966&lt;&gt;C2965,E2966&lt;&gt;E2965),G2965+1,G2965))</f>
        <v/>
      </c>
    </row>
    <row r="2967">
      <c r="A2967" s="20">
        <f>IF(A2966="","",IF(A2966+1&gt;Ввод!$B$4,"",A2966+1))</f>
        <v/>
      </c>
      <c r="B2967">
        <f>IF(A2967="","",IFERROR(INDEX(Ввод!$B$12:$B$71,MATCH(A2967,Ввод!$D$12:$D$71,1)),""))</f>
        <v/>
      </c>
      <c r="C2967">
        <f>IF(A2967="","",DATE(YEAR(A2967),12,31)-DATE(YEAR(A2967),1,1)+1)</f>
        <v/>
      </c>
      <c r="D2967">
        <f>IF(A2967="","",SUMIFS(Акты!$D$5:$D$16,Акты!$E$5:$E$16,"&lt;="&amp;A2967)-SUMIFS(Оплаты!$B$6:$B$505,Оплаты!$A$6:$A$505,"&lt;"&amp;A2967,Оплаты!$D$6:$D$505,"&lt;&gt;"))</f>
        <v/>
      </c>
      <c r="E2967">
        <f>IF(A2967="","",IF(SUMPRODUCT((Ввод!$F$12:$F$31&lt;&gt;"")*(Ввод!$F$12:$F$31&lt;=A2967)*(Ввод!$G$12:$G$31&gt;=A2967))&gt;0,1,0))</f>
        <v/>
      </c>
      <c r="G2967">
        <f>IF(A2967="","",IF(OR(B2967&lt;&gt;B2966,C2967&lt;&gt;C2966,E2967&lt;&gt;E2966),G2966+1,G2966))</f>
        <v/>
      </c>
    </row>
    <row r="2968">
      <c r="A2968" s="20">
        <f>IF(A2967="","",IF(A2967+1&gt;Ввод!$B$4,"",A2967+1))</f>
        <v/>
      </c>
      <c r="B2968">
        <f>IF(A2968="","",IFERROR(INDEX(Ввод!$B$12:$B$71,MATCH(A2968,Ввод!$D$12:$D$71,1)),""))</f>
        <v/>
      </c>
      <c r="C2968">
        <f>IF(A2968="","",DATE(YEAR(A2968),12,31)-DATE(YEAR(A2968),1,1)+1)</f>
        <v/>
      </c>
      <c r="D2968">
        <f>IF(A2968="","",SUMIFS(Акты!$D$5:$D$16,Акты!$E$5:$E$16,"&lt;="&amp;A2968)-SUMIFS(Оплаты!$B$6:$B$505,Оплаты!$A$6:$A$505,"&lt;"&amp;A2968,Оплаты!$D$6:$D$505,"&lt;&gt;"))</f>
        <v/>
      </c>
      <c r="E2968">
        <f>IF(A2968="","",IF(SUMPRODUCT((Ввод!$F$12:$F$31&lt;&gt;"")*(Ввод!$F$12:$F$31&lt;=A2968)*(Ввод!$G$12:$G$31&gt;=A2968))&gt;0,1,0))</f>
        <v/>
      </c>
      <c r="G2968">
        <f>IF(A2968="","",IF(OR(B2968&lt;&gt;B2967,C2968&lt;&gt;C2967,E2968&lt;&gt;E2967),G2967+1,G2967))</f>
        <v/>
      </c>
    </row>
    <row r="2969">
      <c r="A2969" s="20">
        <f>IF(A2968="","",IF(A2968+1&gt;Ввод!$B$4,"",A2968+1))</f>
        <v/>
      </c>
      <c r="B2969">
        <f>IF(A2969="","",IFERROR(INDEX(Ввод!$B$12:$B$71,MATCH(A2969,Ввод!$D$12:$D$71,1)),""))</f>
        <v/>
      </c>
      <c r="C2969">
        <f>IF(A2969="","",DATE(YEAR(A2969),12,31)-DATE(YEAR(A2969),1,1)+1)</f>
        <v/>
      </c>
      <c r="D2969">
        <f>IF(A2969="","",SUMIFS(Акты!$D$5:$D$16,Акты!$E$5:$E$16,"&lt;="&amp;A2969)-SUMIFS(Оплаты!$B$6:$B$505,Оплаты!$A$6:$A$505,"&lt;"&amp;A2969,Оплаты!$D$6:$D$505,"&lt;&gt;"))</f>
        <v/>
      </c>
      <c r="E2969">
        <f>IF(A2969="","",IF(SUMPRODUCT((Ввод!$F$12:$F$31&lt;&gt;"")*(Ввод!$F$12:$F$31&lt;=A2969)*(Ввод!$G$12:$G$31&gt;=A2969))&gt;0,1,0))</f>
        <v/>
      </c>
      <c r="G2969">
        <f>IF(A2969="","",IF(OR(B2969&lt;&gt;B2968,C2969&lt;&gt;C2968,E2969&lt;&gt;E2968),G2968+1,G2968))</f>
        <v/>
      </c>
    </row>
    <row r="2970">
      <c r="A2970" s="20">
        <f>IF(A2969="","",IF(A2969+1&gt;Ввод!$B$4,"",A2969+1))</f>
        <v/>
      </c>
      <c r="B2970">
        <f>IF(A2970="","",IFERROR(INDEX(Ввод!$B$12:$B$71,MATCH(A2970,Ввод!$D$12:$D$71,1)),""))</f>
        <v/>
      </c>
      <c r="C2970">
        <f>IF(A2970="","",DATE(YEAR(A2970),12,31)-DATE(YEAR(A2970),1,1)+1)</f>
        <v/>
      </c>
      <c r="D2970">
        <f>IF(A2970="","",SUMIFS(Акты!$D$5:$D$16,Акты!$E$5:$E$16,"&lt;="&amp;A2970)-SUMIFS(Оплаты!$B$6:$B$505,Оплаты!$A$6:$A$505,"&lt;"&amp;A2970,Оплаты!$D$6:$D$505,"&lt;&gt;"))</f>
        <v/>
      </c>
      <c r="E2970">
        <f>IF(A2970="","",IF(SUMPRODUCT((Ввод!$F$12:$F$31&lt;&gt;"")*(Ввод!$F$12:$F$31&lt;=A2970)*(Ввод!$G$12:$G$31&gt;=A2970))&gt;0,1,0))</f>
        <v/>
      </c>
      <c r="G2970">
        <f>IF(A2970="","",IF(OR(B2970&lt;&gt;B2969,C2970&lt;&gt;C2969,E2970&lt;&gt;E2969),G2969+1,G2969))</f>
        <v/>
      </c>
    </row>
    <row r="2971">
      <c r="A2971" s="20">
        <f>IF(A2970="","",IF(A2970+1&gt;Ввод!$B$4,"",A2970+1))</f>
        <v/>
      </c>
      <c r="B2971">
        <f>IF(A2971="","",IFERROR(INDEX(Ввод!$B$12:$B$71,MATCH(A2971,Ввод!$D$12:$D$71,1)),""))</f>
        <v/>
      </c>
      <c r="C2971">
        <f>IF(A2971="","",DATE(YEAR(A2971),12,31)-DATE(YEAR(A2971),1,1)+1)</f>
        <v/>
      </c>
      <c r="D2971">
        <f>IF(A2971="","",SUMIFS(Акты!$D$5:$D$16,Акты!$E$5:$E$16,"&lt;="&amp;A2971)-SUMIFS(Оплаты!$B$6:$B$505,Оплаты!$A$6:$A$505,"&lt;"&amp;A2971,Оплаты!$D$6:$D$505,"&lt;&gt;"))</f>
        <v/>
      </c>
      <c r="E2971">
        <f>IF(A2971="","",IF(SUMPRODUCT((Ввод!$F$12:$F$31&lt;&gt;"")*(Ввод!$F$12:$F$31&lt;=A2971)*(Ввод!$G$12:$G$31&gt;=A2971))&gt;0,1,0))</f>
        <v/>
      </c>
      <c r="G2971">
        <f>IF(A2971="","",IF(OR(B2971&lt;&gt;B2970,C2971&lt;&gt;C2970,E2971&lt;&gt;E2970),G2970+1,G2970))</f>
        <v/>
      </c>
    </row>
    <row r="2972">
      <c r="A2972" s="20">
        <f>IF(A2971="","",IF(A2971+1&gt;Ввод!$B$4,"",A2971+1))</f>
        <v/>
      </c>
      <c r="B2972">
        <f>IF(A2972="","",IFERROR(INDEX(Ввод!$B$12:$B$71,MATCH(A2972,Ввод!$D$12:$D$71,1)),""))</f>
        <v/>
      </c>
      <c r="C2972">
        <f>IF(A2972="","",DATE(YEAR(A2972),12,31)-DATE(YEAR(A2972),1,1)+1)</f>
        <v/>
      </c>
      <c r="D2972">
        <f>IF(A2972="","",SUMIFS(Акты!$D$5:$D$16,Акты!$E$5:$E$16,"&lt;="&amp;A2972)-SUMIFS(Оплаты!$B$6:$B$505,Оплаты!$A$6:$A$505,"&lt;"&amp;A2972,Оплаты!$D$6:$D$505,"&lt;&gt;"))</f>
        <v/>
      </c>
      <c r="E2972">
        <f>IF(A2972="","",IF(SUMPRODUCT((Ввод!$F$12:$F$31&lt;&gt;"")*(Ввод!$F$12:$F$31&lt;=A2972)*(Ввод!$G$12:$G$31&gt;=A2972))&gt;0,1,0))</f>
        <v/>
      </c>
      <c r="G2972">
        <f>IF(A2972="","",IF(OR(B2972&lt;&gt;B2971,C2972&lt;&gt;C2971,E2972&lt;&gt;E2971),G2971+1,G2971))</f>
        <v/>
      </c>
    </row>
    <row r="2973">
      <c r="A2973" s="20">
        <f>IF(A2972="","",IF(A2972+1&gt;Ввод!$B$4,"",A2972+1))</f>
        <v/>
      </c>
      <c r="B2973">
        <f>IF(A2973="","",IFERROR(INDEX(Ввод!$B$12:$B$71,MATCH(A2973,Ввод!$D$12:$D$71,1)),""))</f>
        <v/>
      </c>
      <c r="C2973">
        <f>IF(A2973="","",DATE(YEAR(A2973),12,31)-DATE(YEAR(A2973),1,1)+1)</f>
        <v/>
      </c>
      <c r="D2973">
        <f>IF(A2973="","",SUMIFS(Акты!$D$5:$D$16,Акты!$E$5:$E$16,"&lt;="&amp;A2973)-SUMIFS(Оплаты!$B$6:$B$505,Оплаты!$A$6:$A$505,"&lt;"&amp;A2973,Оплаты!$D$6:$D$505,"&lt;&gt;"))</f>
        <v/>
      </c>
      <c r="E2973">
        <f>IF(A2973="","",IF(SUMPRODUCT((Ввод!$F$12:$F$31&lt;&gt;"")*(Ввод!$F$12:$F$31&lt;=A2973)*(Ввод!$G$12:$G$31&gt;=A2973))&gt;0,1,0))</f>
        <v/>
      </c>
      <c r="G2973">
        <f>IF(A2973="","",IF(OR(B2973&lt;&gt;B2972,C2973&lt;&gt;C2972,E2973&lt;&gt;E2972),G2972+1,G2972))</f>
        <v/>
      </c>
    </row>
    <row r="2974">
      <c r="A2974" s="20">
        <f>IF(A2973="","",IF(A2973+1&gt;Ввод!$B$4,"",A2973+1))</f>
        <v/>
      </c>
      <c r="B2974">
        <f>IF(A2974="","",IFERROR(INDEX(Ввод!$B$12:$B$71,MATCH(A2974,Ввод!$D$12:$D$71,1)),""))</f>
        <v/>
      </c>
      <c r="C2974">
        <f>IF(A2974="","",DATE(YEAR(A2974),12,31)-DATE(YEAR(A2974),1,1)+1)</f>
        <v/>
      </c>
      <c r="D2974">
        <f>IF(A2974="","",SUMIFS(Акты!$D$5:$D$16,Акты!$E$5:$E$16,"&lt;="&amp;A2974)-SUMIFS(Оплаты!$B$6:$B$505,Оплаты!$A$6:$A$505,"&lt;"&amp;A2974,Оплаты!$D$6:$D$505,"&lt;&gt;"))</f>
        <v/>
      </c>
      <c r="E2974">
        <f>IF(A2974="","",IF(SUMPRODUCT((Ввод!$F$12:$F$31&lt;&gt;"")*(Ввод!$F$12:$F$31&lt;=A2974)*(Ввод!$G$12:$G$31&gt;=A2974))&gt;0,1,0))</f>
        <v/>
      </c>
      <c r="G2974">
        <f>IF(A2974="","",IF(OR(B2974&lt;&gt;B2973,C2974&lt;&gt;C2973,E2974&lt;&gt;E2973),G2973+1,G2973))</f>
        <v/>
      </c>
    </row>
    <row r="2975">
      <c r="A2975" s="20">
        <f>IF(A2974="","",IF(A2974+1&gt;Ввод!$B$4,"",A2974+1))</f>
        <v/>
      </c>
      <c r="B2975">
        <f>IF(A2975="","",IFERROR(INDEX(Ввод!$B$12:$B$71,MATCH(A2975,Ввод!$D$12:$D$71,1)),""))</f>
        <v/>
      </c>
      <c r="C2975">
        <f>IF(A2975="","",DATE(YEAR(A2975),12,31)-DATE(YEAR(A2975),1,1)+1)</f>
        <v/>
      </c>
      <c r="D2975">
        <f>IF(A2975="","",SUMIFS(Акты!$D$5:$D$16,Акты!$E$5:$E$16,"&lt;="&amp;A2975)-SUMIFS(Оплаты!$B$6:$B$505,Оплаты!$A$6:$A$505,"&lt;"&amp;A2975,Оплаты!$D$6:$D$505,"&lt;&gt;"))</f>
        <v/>
      </c>
      <c r="E2975">
        <f>IF(A2975="","",IF(SUMPRODUCT((Ввод!$F$12:$F$31&lt;&gt;"")*(Ввод!$F$12:$F$31&lt;=A2975)*(Ввод!$G$12:$G$31&gt;=A2975))&gt;0,1,0))</f>
        <v/>
      </c>
      <c r="G2975">
        <f>IF(A2975="","",IF(OR(B2975&lt;&gt;B2974,C2975&lt;&gt;C2974,E2975&lt;&gt;E2974),G2974+1,G2974))</f>
        <v/>
      </c>
    </row>
    <row r="2976">
      <c r="A2976" s="20">
        <f>IF(A2975="","",IF(A2975+1&gt;Ввод!$B$4,"",A2975+1))</f>
        <v/>
      </c>
      <c r="B2976">
        <f>IF(A2976="","",IFERROR(INDEX(Ввод!$B$12:$B$71,MATCH(A2976,Ввод!$D$12:$D$71,1)),""))</f>
        <v/>
      </c>
      <c r="C2976">
        <f>IF(A2976="","",DATE(YEAR(A2976),12,31)-DATE(YEAR(A2976),1,1)+1)</f>
        <v/>
      </c>
      <c r="D2976">
        <f>IF(A2976="","",SUMIFS(Акты!$D$5:$D$16,Акты!$E$5:$E$16,"&lt;="&amp;A2976)-SUMIFS(Оплаты!$B$6:$B$505,Оплаты!$A$6:$A$505,"&lt;"&amp;A2976,Оплаты!$D$6:$D$505,"&lt;&gt;"))</f>
        <v/>
      </c>
      <c r="E2976">
        <f>IF(A2976="","",IF(SUMPRODUCT((Ввод!$F$12:$F$31&lt;&gt;"")*(Ввод!$F$12:$F$31&lt;=A2976)*(Ввод!$G$12:$G$31&gt;=A2976))&gt;0,1,0))</f>
        <v/>
      </c>
      <c r="G2976">
        <f>IF(A2976="","",IF(OR(B2976&lt;&gt;B2975,C2976&lt;&gt;C2975,E2976&lt;&gt;E2975),G2975+1,G2975))</f>
        <v/>
      </c>
    </row>
    <row r="2977">
      <c r="A2977" s="20">
        <f>IF(A2976="","",IF(A2976+1&gt;Ввод!$B$4,"",A2976+1))</f>
        <v/>
      </c>
      <c r="B2977">
        <f>IF(A2977="","",IFERROR(INDEX(Ввод!$B$12:$B$71,MATCH(A2977,Ввод!$D$12:$D$71,1)),""))</f>
        <v/>
      </c>
      <c r="C2977">
        <f>IF(A2977="","",DATE(YEAR(A2977),12,31)-DATE(YEAR(A2977),1,1)+1)</f>
        <v/>
      </c>
      <c r="D2977">
        <f>IF(A2977="","",SUMIFS(Акты!$D$5:$D$16,Акты!$E$5:$E$16,"&lt;="&amp;A2977)-SUMIFS(Оплаты!$B$6:$B$505,Оплаты!$A$6:$A$505,"&lt;"&amp;A2977,Оплаты!$D$6:$D$505,"&lt;&gt;"))</f>
        <v/>
      </c>
      <c r="E2977">
        <f>IF(A2977="","",IF(SUMPRODUCT((Ввод!$F$12:$F$31&lt;&gt;"")*(Ввод!$F$12:$F$31&lt;=A2977)*(Ввод!$G$12:$G$31&gt;=A2977))&gt;0,1,0))</f>
        <v/>
      </c>
      <c r="G2977">
        <f>IF(A2977="","",IF(OR(B2977&lt;&gt;B2976,C2977&lt;&gt;C2976,E2977&lt;&gt;E2976),G2976+1,G2976))</f>
        <v/>
      </c>
    </row>
    <row r="2978">
      <c r="A2978" s="20">
        <f>IF(A2977="","",IF(A2977+1&gt;Ввод!$B$4,"",A2977+1))</f>
        <v/>
      </c>
      <c r="B2978">
        <f>IF(A2978="","",IFERROR(INDEX(Ввод!$B$12:$B$71,MATCH(A2978,Ввод!$D$12:$D$71,1)),""))</f>
        <v/>
      </c>
      <c r="C2978">
        <f>IF(A2978="","",DATE(YEAR(A2978),12,31)-DATE(YEAR(A2978),1,1)+1)</f>
        <v/>
      </c>
      <c r="D2978">
        <f>IF(A2978="","",SUMIFS(Акты!$D$5:$D$16,Акты!$E$5:$E$16,"&lt;="&amp;A2978)-SUMIFS(Оплаты!$B$6:$B$505,Оплаты!$A$6:$A$505,"&lt;"&amp;A2978,Оплаты!$D$6:$D$505,"&lt;&gt;"))</f>
        <v/>
      </c>
      <c r="E2978">
        <f>IF(A2978="","",IF(SUMPRODUCT((Ввод!$F$12:$F$31&lt;&gt;"")*(Ввод!$F$12:$F$31&lt;=A2978)*(Ввод!$G$12:$G$31&gt;=A2978))&gt;0,1,0))</f>
        <v/>
      </c>
      <c r="G2978">
        <f>IF(A2978="","",IF(OR(B2978&lt;&gt;B2977,C2978&lt;&gt;C2977,E2978&lt;&gt;E2977),G2977+1,G2977))</f>
        <v/>
      </c>
    </row>
    <row r="2979">
      <c r="A2979" s="20">
        <f>IF(A2978="","",IF(A2978+1&gt;Ввод!$B$4,"",A2978+1))</f>
        <v/>
      </c>
      <c r="B2979">
        <f>IF(A2979="","",IFERROR(INDEX(Ввод!$B$12:$B$71,MATCH(A2979,Ввод!$D$12:$D$71,1)),""))</f>
        <v/>
      </c>
      <c r="C2979">
        <f>IF(A2979="","",DATE(YEAR(A2979),12,31)-DATE(YEAR(A2979),1,1)+1)</f>
        <v/>
      </c>
      <c r="D2979">
        <f>IF(A2979="","",SUMIFS(Акты!$D$5:$D$16,Акты!$E$5:$E$16,"&lt;="&amp;A2979)-SUMIFS(Оплаты!$B$6:$B$505,Оплаты!$A$6:$A$505,"&lt;"&amp;A2979,Оплаты!$D$6:$D$505,"&lt;&gt;"))</f>
        <v/>
      </c>
      <c r="E2979">
        <f>IF(A2979="","",IF(SUMPRODUCT((Ввод!$F$12:$F$31&lt;&gt;"")*(Ввод!$F$12:$F$31&lt;=A2979)*(Ввод!$G$12:$G$31&gt;=A2979))&gt;0,1,0))</f>
        <v/>
      </c>
      <c r="G2979">
        <f>IF(A2979="","",IF(OR(B2979&lt;&gt;B2978,C2979&lt;&gt;C2978,E2979&lt;&gt;E2978),G2978+1,G2978))</f>
        <v/>
      </c>
    </row>
    <row r="2980">
      <c r="A2980" s="20">
        <f>IF(A2979="","",IF(A2979+1&gt;Ввод!$B$4,"",A2979+1))</f>
        <v/>
      </c>
      <c r="B2980">
        <f>IF(A2980="","",IFERROR(INDEX(Ввод!$B$12:$B$71,MATCH(A2980,Ввод!$D$12:$D$71,1)),""))</f>
        <v/>
      </c>
      <c r="C2980">
        <f>IF(A2980="","",DATE(YEAR(A2980),12,31)-DATE(YEAR(A2980),1,1)+1)</f>
        <v/>
      </c>
      <c r="D2980">
        <f>IF(A2980="","",SUMIFS(Акты!$D$5:$D$16,Акты!$E$5:$E$16,"&lt;="&amp;A2980)-SUMIFS(Оплаты!$B$6:$B$505,Оплаты!$A$6:$A$505,"&lt;"&amp;A2980,Оплаты!$D$6:$D$505,"&lt;&gt;"))</f>
        <v/>
      </c>
      <c r="E2980">
        <f>IF(A2980="","",IF(SUMPRODUCT((Ввод!$F$12:$F$31&lt;&gt;"")*(Ввод!$F$12:$F$31&lt;=A2980)*(Ввод!$G$12:$G$31&gt;=A2980))&gt;0,1,0))</f>
        <v/>
      </c>
      <c r="G2980">
        <f>IF(A2980="","",IF(OR(B2980&lt;&gt;B2979,C2980&lt;&gt;C2979,E2980&lt;&gt;E2979),G2979+1,G2979))</f>
        <v/>
      </c>
    </row>
    <row r="2981">
      <c r="A2981" s="20">
        <f>IF(A2980="","",IF(A2980+1&gt;Ввод!$B$4,"",A2980+1))</f>
        <v/>
      </c>
      <c r="B2981">
        <f>IF(A2981="","",IFERROR(INDEX(Ввод!$B$12:$B$71,MATCH(A2981,Ввод!$D$12:$D$71,1)),""))</f>
        <v/>
      </c>
      <c r="C2981">
        <f>IF(A2981="","",DATE(YEAR(A2981),12,31)-DATE(YEAR(A2981),1,1)+1)</f>
        <v/>
      </c>
      <c r="D2981">
        <f>IF(A2981="","",SUMIFS(Акты!$D$5:$D$16,Акты!$E$5:$E$16,"&lt;="&amp;A2981)-SUMIFS(Оплаты!$B$6:$B$505,Оплаты!$A$6:$A$505,"&lt;"&amp;A2981,Оплаты!$D$6:$D$505,"&lt;&gt;"))</f>
        <v/>
      </c>
      <c r="E2981">
        <f>IF(A2981="","",IF(SUMPRODUCT((Ввод!$F$12:$F$31&lt;&gt;"")*(Ввод!$F$12:$F$31&lt;=A2981)*(Ввод!$G$12:$G$31&gt;=A2981))&gt;0,1,0))</f>
        <v/>
      </c>
      <c r="G2981">
        <f>IF(A2981="","",IF(OR(B2981&lt;&gt;B2980,C2981&lt;&gt;C2980,E2981&lt;&gt;E2980),G2980+1,G2980))</f>
        <v/>
      </c>
    </row>
    <row r="2982">
      <c r="A2982" s="20">
        <f>IF(A2981="","",IF(A2981+1&gt;Ввод!$B$4,"",A2981+1))</f>
        <v/>
      </c>
      <c r="B2982">
        <f>IF(A2982="","",IFERROR(INDEX(Ввод!$B$12:$B$71,MATCH(A2982,Ввод!$D$12:$D$71,1)),""))</f>
        <v/>
      </c>
      <c r="C2982">
        <f>IF(A2982="","",DATE(YEAR(A2982),12,31)-DATE(YEAR(A2982),1,1)+1)</f>
        <v/>
      </c>
      <c r="D2982">
        <f>IF(A2982="","",SUMIFS(Акты!$D$5:$D$16,Акты!$E$5:$E$16,"&lt;="&amp;A2982)-SUMIFS(Оплаты!$B$6:$B$505,Оплаты!$A$6:$A$505,"&lt;"&amp;A2982,Оплаты!$D$6:$D$505,"&lt;&gt;"))</f>
        <v/>
      </c>
      <c r="E2982">
        <f>IF(A2982="","",IF(SUMPRODUCT((Ввод!$F$12:$F$31&lt;&gt;"")*(Ввод!$F$12:$F$31&lt;=A2982)*(Ввод!$G$12:$G$31&gt;=A2982))&gt;0,1,0))</f>
        <v/>
      </c>
      <c r="G2982">
        <f>IF(A2982="","",IF(OR(B2982&lt;&gt;B2981,C2982&lt;&gt;C2981,E2982&lt;&gt;E2981),G2981+1,G2981))</f>
        <v/>
      </c>
    </row>
    <row r="2983">
      <c r="A2983" s="20">
        <f>IF(A2982="","",IF(A2982+1&gt;Ввод!$B$4,"",A2982+1))</f>
        <v/>
      </c>
      <c r="B2983">
        <f>IF(A2983="","",IFERROR(INDEX(Ввод!$B$12:$B$71,MATCH(A2983,Ввод!$D$12:$D$71,1)),""))</f>
        <v/>
      </c>
      <c r="C2983">
        <f>IF(A2983="","",DATE(YEAR(A2983),12,31)-DATE(YEAR(A2983),1,1)+1)</f>
        <v/>
      </c>
      <c r="D2983">
        <f>IF(A2983="","",SUMIFS(Акты!$D$5:$D$16,Акты!$E$5:$E$16,"&lt;="&amp;A2983)-SUMIFS(Оплаты!$B$6:$B$505,Оплаты!$A$6:$A$505,"&lt;"&amp;A2983,Оплаты!$D$6:$D$505,"&lt;&gt;"))</f>
        <v/>
      </c>
      <c r="E2983">
        <f>IF(A2983="","",IF(SUMPRODUCT((Ввод!$F$12:$F$31&lt;&gt;"")*(Ввод!$F$12:$F$31&lt;=A2983)*(Ввод!$G$12:$G$31&gt;=A2983))&gt;0,1,0))</f>
        <v/>
      </c>
      <c r="G2983">
        <f>IF(A2983="","",IF(OR(B2983&lt;&gt;B2982,C2983&lt;&gt;C2982,E2983&lt;&gt;E2982),G2982+1,G2982))</f>
        <v/>
      </c>
    </row>
    <row r="2984">
      <c r="A2984" s="20">
        <f>IF(A2983="","",IF(A2983+1&gt;Ввод!$B$4,"",A2983+1))</f>
        <v/>
      </c>
      <c r="B2984">
        <f>IF(A2984="","",IFERROR(INDEX(Ввод!$B$12:$B$71,MATCH(A2984,Ввод!$D$12:$D$71,1)),""))</f>
        <v/>
      </c>
      <c r="C2984">
        <f>IF(A2984="","",DATE(YEAR(A2984),12,31)-DATE(YEAR(A2984),1,1)+1)</f>
        <v/>
      </c>
      <c r="D2984">
        <f>IF(A2984="","",SUMIFS(Акты!$D$5:$D$16,Акты!$E$5:$E$16,"&lt;="&amp;A2984)-SUMIFS(Оплаты!$B$6:$B$505,Оплаты!$A$6:$A$505,"&lt;"&amp;A2984,Оплаты!$D$6:$D$505,"&lt;&gt;"))</f>
        <v/>
      </c>
      <c r="E2984">
        <f>IF(A2984="","",IF(SUMPRODUCT((Ввод!$F$12:$F$31&lt;&gt;"")*(Ввод!$F$12:$F$31&lt;=A2984)*(Ввод!$G$12:$G$31&gt;=A2984))&gt;0,1,0))</f>
        <v/>
      </c>
      <c r="G2984">
        <f>IF(A2984="","",IF(OR(B2984&lt;&gt;B2983,C2984&lt;&gt;C2983,E2984&lt;&gt;E2983),G2983+1,G2983))</f>
        <v/>
      </c>
    </row>
    <row r="2985">
      <c r="A2985" s="20">
        <f>IF(A2984="","",IF(A2984+1&gt;Ввод!$B$4,"",A2984+1))</f>
        <v/>
      </c>
      <c r="B2985">
        <f>IF(A2985="","",IFERROR(INDEX(Ввод!$B$12:$B$71,MATCH(A2985,Ввод!$D$12:$D$71,1)),""))</f>
        <v/>
      </c>
      <c r="C2985">
        <f>IF(A2985="","",DATE(YEAR(A2985),12,31)-DATE(YEAR(A2985),1,1)+1)</f>
        <v/>
      </c>
      <c r="D2985">
        <f>IF(A2985="","",SUMIFS(Акты!$D$5:$D$16,Акты!$E$5:$E$16,"&lt;="&amp;A2985)-SUMIFS(Оплаты!$B$6:$B$505,Оплаты!$A$6:$A$505,"&lt;"&amp;A2985,Оплаты!$D$6:$D$505,"&lt;&gt;"))</f>
        <v/>
      </c>
      <c r="E2985">
        <f>IF(A2985="","",IF(SUMPRODUCT((Ввод!$F$12:$F$31&lt;&gt;"")*(Ввод!$F$12:$F$31&lt;=A2985)*(Ввод!$G$12:$G$31&gt;=A2985))&gt;0,1,0))</f>
        <v/>
      </c>
      <c r="G2985">
        <f>IF(A2985="","",IF(OR(B2985&lt;&gt;B2984,C2985&lt;&gt;C2984,E2985&lt;&gt;E2984),G2984+1,G2984))</f>
        <v/>
      </c>
    </row>
    <row r="2986">
      <c r="A2986" s="20">
        <f>IF(A2985="","",IF(A2985+1&gt;Ввод!$B$4,"",A2985+1))</f>
        <v/>
      </c>
      <c r="B2986">
        <f>IF(A2986="","",IFERROR(INDEX(Ввод!$B$12:$B$71,MATCH(A2986,Ввод!$D$12:$D$71,1)),""))</f>
        <v/>
      </c>
      <c r="C2986">
        <f>IF(A2986="","",DATE(YEAR(A2986),12,31)-DATE(YEAR(A2986),1,1)+1)</f>
        <v/>
      </c>
      <c r="D2986">
        <f>IF(A2986="","",SUMIFS(Акты!$D$5:$D$16,Акты!$E$5:$E$16,"&lt;="&amp;A2986)-SUMIFS(Оплаты!$B$6:$B$505,Оплаты!$A$6:$A$505,"&lt;"&amp;A2986,Оплаты!$D$6:$D$505,"&lt;&gt;"))</f>
        <v/>
      </c>
      <c r="E2986">
        <f>IF(A2986="","",IF(SUMPRODUCT((Ввод!$F$12:$F$31&lt;&gt;"")*(Ввод!$F$12:$F$31&lt;=A2986)*(Ввод!$G$12:$G$31&gt;=A2986))&gt;0,1,0))</f>
        <v/>
      </c>
      <c r="G2986">
        <f>IF(A2986="","",IF(OR(B2986&lt;&gt;B2985,C2986&lt;&gt;C2985,E2986&lt;&gt;E2985),G2985+1,G2985))</f>
        <v/>
      </c>
    </row>
    <row r="2987">
      <c r="A2987" s="20">
        <f>IF(A2986="","",IF(A2986+1&gt;Ввод!$B$4,"",A2986+1))</f>
        <v/>
      </c>
      <c r="B2987">
        <f>IF(A2987="","",IFERROR(INDEX(Ввод!$B$12:$B$71,MATCH(A2987,Ввод!$D$12:$D$71,1)),""))</f>
        <v/>
      </c>
      <c r="C2987">
        <f>IF(A2987="","",DATE(YEAR(A2987),12,31)-DATE(YEAR(A2987),1,1)+1)</f>
        <v/>
      </c>
      <c r="D2987">
        <f>IF(A2987="","",SUMIFS(Акты!$D$5:$D$16,Акты!$E$5:$E$16,"&lt;="&amp;A2987)-SUMIFS(Оплаты!$B$6:$B$505,Оплаты!$A$6:$A$505,"&lt;"&amp;A2987,Оплаты!$D$6:$D$505,"&lt;&gt;"))</f>
        <v/>
      </c>
      <c r="E2987">
        <f>IF(A2987="","",IF(SUMPRODUCT((Ввод!$F$12:$F$31&lt;&gt;"")*(Ввод!$F$12:$F$31&lt;=A2987)*(Ввод!$G$12:$G$31&gt;=A2987))&gt;0,1,0))</f>
        <v/>
      </c>
      <c r="G2987">
        <f>IF(A2987="","",IF(OR(B2987&lt;&gt;B2986,C2987&lt;&gt;C2986,E2987&lt;&gt;E2986),G2986+1,G2986))</f>
        <v/>
      </c>
    </row>
    <row r="2988">
      <c r="A2988" s="20">
        <f>IF(A2987="","",IF(A2987+1&gt;Ввод!$B$4,"",A2987+1))</f>
        <v/>
      </c>
      <c r="B2988">
        <f>IF(A2988="","",IFERROR(INDEX(Ввод!$B$12:$B$71,MATCH(A2988,Ввод!$D$12:$D$71,1)),""))</f>
        <v/>
      </c>
      <c r="C2988">
        <f>IF(A2988="","",DATE(YEAR(A2988),12,31)-DATE(YEAR(A2988),1,1)+1)</f>
        <v/>
      </c>
      <c r="D2988">
        <f>IF(A2988="","",SUMIFS(Акты!$D$5:$D$16,Акты!$E$5:$E$16,"&lt;="&amp;A2988)-SUMIFS(Оплаты!$B$6:$B$505,Оплаты!$A$6:$A$505,"&lt;"&amp;A2988,Оплаты!$D$6:$D$505,"&lt;&gt;"))</f>
        <v/>
      </c>
      <c r="E2988">
        <f>IF(A2988="","",IF(SUMPRODUCT((Ввод!$F$12:$F$31&lt;&gt;"")*(Ввод!$F$12:$F$31&lt;=A2988)*(Ввод!$G$12:$G$31&gt;=A2988))&gt;0,1,0))</f>
        <v/>
      </c>
      <c r="G2988">
        <f>IF(A2988="","",IF(OR(B2988&lt;&gt;B2987,C2988&lt;&gt;C2987,E2988&lt;&gt;E2987),G2987+1,G2987))</f>
        <v/>
      </c>
    </row>
    <row r="2989">
      <c r="A2989" s="20">
        <f>IF(A2988="","",IF(A2988+1&gt;Ввод!$B$4,"",A2988+1))</f>
        <v/>
      </c>
      <c r="B2989">
        <f>IF(A2989="","",IFERROR(INDEX(Ввод!$B$12:$B$71,MATCH(A2989,Ввод!$D$12:$D$71,1)),""))</f>
        <v/>
      </c>
      <c r="C2989">
        <f>IF(A2989="","",DATE(YEAR(A2989),12,31)-DATE(YEAR(A2989),1,1)+1)</f>
        <v/>
      </c>
      <c r="D2989">
        <f>IF(A2989="","",SUMIFS(Акты!$D$5:$D$16,Акты!$E$5:$E$16,"&lt;="&amp;A2989)-SUMIFS(Оплаты!$B$6:$B$505,Оплаты!$A$6:$A$505,"&lt;"&amp;A2989,Оплаты!$D$6:$D$505,"&lt;&gt;"))</f>
        <v/>
      </c>
      <c r="E2989">
        <f>IF(A2989="","",IF(SUMPRODUCT((Ввод!$F$12:$F$31&lt;&gt;"")*(Ввод!$F$12:$F$31&lt;=A2989)*(Ввод!$G$12:$G$31&gt;=A2989))&gt;0,1,0))</f>
        <v/>
      </c>
      <c r="G2989">
        <f>IF(A2989="","",IF(OR(B2989&lt;&gt;B2988,C2989&lt;&gt;C2988,E2989&lt;&gt;E2988),G2988+1,G2988))</f>
        <v/>
      </c>
    </row>
    <row r="2990">
      <c r="A2990" s="20">
        <f>IF(A2989="","",IF(A2989+1&gt;Ввод!$B$4,"",A2989+1))</f>
        <v/>
      </c>
      <c r="B2990">
        <f>IF(A2990="","",IFERROR(INDEX(Ввод!$B$12:$B$71,MATCH(A2990,Ввод!$D$12:$D$71,1)),""))</f>
        <v/>
      </c>
      <c r="C2990">
        <f>IF(A2990="","",DATE(YEAR(A2990),12,31)-DATE(YEAR(A2990),1,1)+1)</f>
        <v/>
      </c>
      <c r="D2990">
        <f>IF(A2990="","",SUMIFS(Акты!$D$5:$D$16,Акты!$E$5:$E$16,"&lt;="&amp;A2990)-SUMIFS(Оплаты!$B$6:$B$505,Оплаты!$A$6:$A$505,"&lt;"&amp;A2990,Оплаты!$D$6:$D$505,"&lt;&gt;"))</f>
        <v/>
      </c>
      <c r="E2990">
        <f>IF(A2990="","",IF(SUMPRODUCT((Ввод!$F$12:$F$31&lt;&gt;"")*(Ввод!$F$12:$F$31&lt;=A2990)*(Ввод!$G$12:$G$31&gt;=A2990))&gt;0,1,0))</f>
        <v/>
      </c>
      <c r="G2990">
        <f>IF(A2990="","",IF(OR(B2990&lt;&gt;B2989,C2990&lt;&gt;C2989,E2990&lt;&gt;E2989),G2989+1,G2989))</f>
        <v/>
      </c>
    </row>
    <row r="2991">
      <c r="A2991" s="20">
        <f>IF(A2990="","",IF(A2990+1&gt;Ввод!$B$4,"",A2990+1))</f>
        <v/>
      </c>
      <c r="B2991">
        <f>IF(A2991="","",IFERROR(INDEX(Ввод!$B$12:$B$71,MATCH(A2991,Ввод!$D$12:$D$71,1)),""))</f>
        <v/>
      </c>
      <c r="C2991">
        <f>IF(A2991="","",DATE(YEAR(A2991),12,31)-DATE(YEAR(A2991),1,1)+1)</f>
        <v/>
      </c>
      <c r="D2991">
        <f>IF(A2991="","",SUMIFS(Акты!$D$5:$D$16,Акты!$E$5:$E$16,"&lt;="&amp;A2991)-SUMIFS(Оплаты!$B$6:$B$505,Оплаты!$A$6:$A$505,"&lt;"&amp;A2991,Оплаты!$D$6:$D$505,"&lt;&gt;"))</f>
        <v/>
      </c>
      <c r="E2991">
        <f>IF(A2991="","",IF(SUMPRODUCT((Ввод!$F$12:$F$31&lt;&gt;"")*(Ввод!$F$12:$F$31&lt;=A2991)*(Ввод!$G$12:$G$31&gt;=A2991))&gt;0,1,0))</f>
        <v/>
      </c>
      <c r="G2991">
        <f>IF(A2991="","",IF(OR(B2991&lt;&gt;B2990,C2991&lt;&gt;C2990,E2991&lt;&gt;E2990),G2990+1,G2990))</f>
        <v/>
      </c>
    </row>
    <row r="2992">
      <c r="A2992" s="20">
        <f>IF(A2991="","",IF(A2991+1&gt;Ввод!$B$4,"",A2991+1))</f>
        <v/>
      </c>
      <c r="B2992">
        <f>IF(A2992="","",IFERROR(INDEX(Ввод!$B$12:$B$71,MATCH(A2992,Ввод!$D$12:$D$71,1)),""))</f>
        <v/>
      </c>
      <c r="C2992">
        <f>IF(A2992="","",DATE(YEAR(A2992),12,31)-DATE(YEAR(A2992),1,1)+1)</f>
        <v/>
      </c>
      <c r="D2992">
        <f>IF(A2992="","",SUMIFS(Акты!$D$5:$D$16,Акты!$E$5:$E$16,"&lt;="&amp;A2992)-SUMIFS(Оплаты!$B$6:$B$505,Оплаты!$A$6:$A$505,"&lt;"&amp;A2992,Оплаты!$D$6:$D$505,"&lt;&gt;"))</f>
        <v/>
      </c>
      <c r="E2992">
        <f>IF(A2992="","",IF(SUMPRODUCT((Ввод!$F$12:$F$31&lt;&gt;"")*(Ввод!$F$12:$F$31&lt;=A2992)*(Ввод!$G$12:$G$31&gt;=A2992))&gt;0,1,0))</f>
        <v/>
      </c>
      <c r="G2992">
        <f>IF(A2992="","",IF(OR(B2992&lt;&gt;B2991,C2992&lt;&gt;C2991,E2992&lt;&gt;E2991),G2991+1,G2991))</f>
        <v/>
      </c>
    </row>
    <row r="2993">
      <c r="A2993" s="20">
        <f>IF(A2992="","",IF(A2992+1&gt;Ввод!$B$4,"",A2992+1))</f>
        <v/>
      </c>
      <c r="B2993">
        <f>IF(A2993="","",IFERROR(INDEX(Ввод!$B$12:$B$71,MATCH(A2993,Ввод!$D$12:$D$71,1)),""))</f>
        <v/>
      </c>
      <c r="C2993">
        <f>IF(A2993="","",DATE(YEAR(A2993),12,31)-DATE(YEAR(A2993),1,1)+1)</f>
        <v/>
      </c>
      <c r="D2993">
        <f>IF(A2993="","",SUMIFS(Акты!$D$5:$D$16,Акты!$E$5:$E$16,"&lt;="&amp;A2993)-SUMIFS(Оплаты!$B$6:$B$505,Оплаты!$A$6:$A$505,"&lt;"&amp;A2993,Оплаты!$D$6:$D$505,"&lt;&gt;"))</f>
        <v/>
      </c>
      <c r="E2993">
        <f>IF(A2993="","",IF(SUMPRODUCT((Ввод!$F$12:$F$31&lt;&gt;"")*(Ввод!$F$12:$F$31&lt;=A2993)*(Ввод!$G$12:$G$31&gt;=A2993))&gt;0,1,0))</f>
        <v/>
      </c>
      <c r="G2993">
        <f>IF(A2993="","",IF(OR(B2993&lt;&gt;B2992,C2993&lt;&gt;C2992,E2993&lt;&gt;E2992),G2992+1,G2992))</f>
        <v/>
      </c>
    </row>
    <row r="2994">
      <c r="A2994" s="20">
        <f>IF(A2993="","",IF(A2993+1&gt;Ввод!$B$4,"",A2993+1))</f>
        <v/>
      </c>
      <c r="B2994">
        <f>IF(A2994="","",IFERROR(INDEX(Ввод!$B$12:$B$71,MATCH(A2994,Ввод!$D$12:$D$71,1)),""))</f>
        <v/>
      </c>
      <c r="C2994">
        <f>IF(A2994="","",DATE(YEAR(A2994),12,31)-DATE(YEAR(A2994),1,1)+1)</f>
        <v/>
      </c>
      <c r="D2994">
        <f>IF(A2994="","",SUMIFS(Акты!$D$5:$D$16,Акты!$E$5:$E$16,"&lt;="&amp;A2994)-SUMIFS(Оплаты!$B$6:$B$505,Оплаты!$A$6:$A$505,"&lt;"&amp;A2994,Оплаты!$D$6:$D$505,"&lt;&gt;"))</f>
        <v/>
      </c>
      <c r="E2994">
        <f>IF(A2994="","",IF(SUMPRODUCT((Ввод!$F$12:$F$31&lt;&gt;"")*(Ввод!$F$12:$F$31&lt;=A2994)*(Ввод!$G$12:$G$31&gt;=A2994))&gt;0,1,0))</f>
        <v/>
      </c>
      <c r="G2994">
        <f>IF(A2994="","",IF(OR(B2994&lt;&gt;B2993,C2994&lt;&gt;C2993,E2994&lt;&gt;E2993),G2993+1,G2993))</f>
        <v/>
      </c>
    </row>
    <row r="2995">
      <c r="A2995" s="20">
        <f>IF(A2994="","",IF(A2994+1&gt;Ввод!$B$4,"",A2994+1))</f>
        <v/>
      </c>
      <c r="B2995">
        <f>IF(A2995="","",IFERROR(INDEX(Ввод!$B$12:$B$71,MATCH(A2995,Ввод!$D$12:$D$71,1)),""))</f>
        <v/>
      </c>
      <c r="C2995">
        <f>IF(A2995="","",DATE(YEAR(A2995),12,31)-DATE(YEAR(A2995),1,1)+1)</f>
        <v/>
      </c>
      <c r="D2995">
        <f>IF(A2995="","",SUMIFS(Акты!$D$5:$D$16,Акты!$E$5:$E$16,"&lt;="&amp;A2995)-SUMIFS(Оплаты!$B$6:$B$505,Оплаты!$A$6:$A$505,"&lt;"&amp;A2995,Оплаты!$D$6:$D$505,"&lt;&gt;"))</f>
        <v/>
      </c>
      <c r="E2995">
        <f>IF(A2995="","",IF(SUMPRODUCT((Ввод!$F$12:$F$31&lt;&gt;"")*(Ввод!$F$12:$F$31&lt;=A2995)*(Ввод!$G$12:$G$31&gt;=A2995))&gt;0,1,0))</f>
        <v/>
      </c>
      <c r="G2995">
        <f>IF(A2995="","",IF(OR(B2995&lt;&gt;B2994,C2995&lt;&gt;C2994,E2995&lt;&gt;E2994),G2994+1,G2994))</f>
        <v/>
      </c>
    </row>
    <row r="2996">
      <c r="A2996" s="20">
        <f>IF(A2995="","",IF(A2995+1&gt;Ввод!$B$4,"",A2995+1))</f>
        <v/>
      </c>
      <c r="B2996">
        <f>IF(A2996="","",IFERROR(INDEX(Ввод!$B$12:$B$71,MATCH(A2996,Ввод!$D$12:$D$71,1)),""))</f>
        <v/>
      </c>
      <c r="C2996">
        <f>IF(A2996="","",DATE(YEAR(A2996),12,31)-DATE(YEAR(A2996),1,1)+1)</f>
        <v/>
      </c>
      <c r="D2996">
        <f>IF(A2996="","",SUMIFS(Акты!$D$5:$D$16,Акты!$E$5:$E$16,"&lt;="&amp;A2996)-SUMIFS(Оплаты!$B$6:$B$505,Оплаты!$A$6:$A$505,"&lt;"&amp;A2996,Оплаты!$D$6:$D$505,"&lt;&gt;"))</f>
        <v/>
      </c>
      <c r="E2996">
        <f>IF(A2996="","",IF(SUMPRODUCT((Ввод!$F$12:$F$31&lt;&gt;"")*(Ввод!$F$12:$F$31&lt;=A2996)*(Ввод!$G$12:$G$31&gt;=A2996))&gt;0,1,0))</f>
        <v/>
      </c>
      <c r="G2996">
        <f>IF(A2996="","",IF(OR(B2996&lt;&gt;B2995,C2996&lt;&gt;C2995,E2996&lt;&gt;E2995),G2995+1,G2995))</f>
        <v/>
      </c>
    </row>
    <row r="2997">
      <c r="A2997" s="20">
        <f>IF(A2996="","",IF(A2996+1&gt;Ввод!$B$4,"",A2996+1))</f>
        <v/>
      </c>
      <c r="B2997">
        <f>IF(A2997="","",IFERROR(INDEX(Ввод!$B$12:$B$71,MATCH(A2997,Ввод!$D$12:$D$71,1)),""))</f>
        <v/>
      </c>
      <c r="C2997">
        <f>IF(A2997="","",DATE(YEAR(A2997),12,31)-DATE(YEAR(A2997),1,1)+1)</f>
        <v/>
      </c>
      <c r="D2997">
        <f>IF(A2997="","",SUMIFS(Акты!$D$5:$D$16,Акты!$E$5:$E$16,"&lt;="&amp;A2997)-SUMIFS(Оплаты!$B$6:$B$505,Оплаты!$A$6:$A$505,"&lt;"&amp;A2997,Оплаты!$D$6:$D$505,"&lt;&gt;"))</f>
        <v/>
      </c>
      <c r="E2997">
        <f>IF(A2997="","",IF(SUMPRODUCT((Ввод!$F$12:$F$31&lt;&gt;"")*(Ввод!$F$12:$F$31&lt;=A2997)*(Ввод!$G$12:$G$31&gt;=A2997))&gt;0,1,0))</f>
        <v/>
      </c>
      <c r="G2997">
        <f>IF(A2997="","",IF(OR(B2997&lt;&gt;B2996,C2997&lt;&gt;C2996,E2997&lt;&gt;E2996),G2996+1,G2996))</f>
        <v/>
      </c>
    </row>
    <row r="2998">
      <c r="A2998" s="20">
        <f>IF(A2997="","",IF(A2997+1&gt;Ввод!$B$4,"",A2997+1))</f>
        <v/>
      </c>
      <c r="B2998">
        <f>IF(A2998="","",IFERROR(INDEX(Ввод!$B$12:$B$71,MATCH(A2998,Ввод!$D$12:$D$71,1)),""))</f>
        <v/>
      </c>
      <c r="C2998">
        <f>IF(A2998="","",DATE(YEAR(A2998),12,31)-DATE(YEAR(A2998),1,1)+1)</f>
        <v/>
      </c>
      <c r="D2998">
        <f>IF(A2998="","",SUMIFS(Акты!$D$5:$D$16,Акты!$E$5:$E$16,"&lt;="&amp;A2998)-SUMIFS(Оплаты!$B$6:$B$505,Оплаты!$A$6:$A$505,"&lt;"&amp;A2998,Оплаты!$D$6:$D$505,"&lt;&gt;"))</f>
        <v/>
      </c>
      <c r="E2998">
        <f>IF(A2998="","",IF(SUMPRODUCT((Ввод!$F$12:$F$31&lt;&gt;"")*(Ввод!$F$12:$F$31&lt;=A2998)*(Ввод!$G$12:$G$31&gt;=A2998))&gt;0,1,0))</f>
        <v/>
      </c>
      <c r="G2998">
        <f>IF(A2998="","",IF(OR(B2998&lt;&gt;B2997,C2998&lt;&gt;C2997,E2998&lt;&gt;E2997),G2997+1,G2997))</f>
        <v/>
      </c>
    </row>
    <row r="2999">
      <c r="A2999" s="20">
        <f>IF(A2998="","",IF(A2998+1&gt;Ввод!$B$4,"",A2998+1))</f>
        <v/>
      </c>
      <c r="B2999">
        <f>IF(A2999="","",IFERROR(INDEX(Ввод!$B$12:$B$71,MATCH(A2999,Ввод!$D$12:$D$71,1)),""))</f>
        <v/>
      </c>
      <c r="C2999">
        <f>IF(A2999="","",DATE(YEAR(A2999),12,31)-DATE(YEAR(A2999),1,1)+1)</f>
        <v/>
      </c>
      <c r="D2999">
        <f>IF(A2999="","",SUMIFS(Акты!$D$5:$D$16,Акты!$E$5:$E$16,"&lt;="&amp;A2999)-SUMIFS(Оплаты!$B$6:$B$505,Оплаты!$A$6:$A$505,"&lt;"&amp;A2999,Оплаты!$D$6:$D$505,"&lt;&gt;"))</f>
        <v/>
      </c>
      <c r="E2999">
        <f>IF(A2999="","",IF(SUMPRODUCT((Ввод!$F$12:$F$31&lt;&gt;"")*(Ввод!$F$12:$F$31&lt;=A2999)*(Ввод!$G$12:$G$31&gt;=A2999))&gt;0,1,0))</f>
        <v/>
      </c>
      <c r="G2999">
        <f>IF(A2999="","",IF(OR(B2999&lt;&gt;B2998,C2999&lt;&gt;C2998,E2999&lt;&gt;E2998),G2998+1,G2998))</f>
        <v/>
      </c>
    </row>
    <row r="3000">
      <c r="A3000" s="20">
        <f>IF(A2999="","",IF(A2999+1&gt;Ввод!$B$4,"",A2999+1))</f>
        <v/>
      </c>
      <c r="B3000">
        <f>IF(A3000="","",IFERROR(INDEX(Ввод!$B$12:$B$71,MATCH(A3000,Ввод!$D$12:$D$71,1)),""))</f>
        <v/>
      </c>
      <c r="C3000">
        <f>IF(A3000="","",DATE(YEAR(A3000),12,31)-DATE(YEAR(A3000),1,1)+1)</f>
        <v/>
      </c>
      <c r="D3000">
        <f>IF(A3000="","",SUMIFS(Акты!$D$5:$D$16,Акты!$E$5:$E$16,"&lt;="&amp;A3000)-SUMIFS(Оплаты!$B$6:$B$505,Оплаты!$A$6:$A$505,"&lt;"&amp;A3000,Оплаты!$D$6:$D$505,"&lt;&gt;"))</f>
        <v/>
      </c>
      <c r="E3000">
        <f>IF(A3000="","",IF(SUMPRODUCT((Ввод!$F$12:$F$31&lt;&gt;"")*(Ввод!$F$12:$F$31&lt;=A3000)*(Ввод!$G$12:$G$31&gt;=A3000))&gt;0,1,0))</f>
        <v/>
      </c>
      <c r="G3000">
        <f>IF(A3000="","",IF(OR(B3000&lt;&gt;B2999,C3000&lt;&gt;C2999,E3000&lt;&gt;E2999),G2999+1,G2999))</f>
        <v/>
      </c>
    </row>
    <row r="3001">
      <c r="A3001" s="20">
        <f>IF(A3000="","",IF(A3000+1&gt;Ввод!$B$4,"",A3000+1))</f>
        <v/>
      </c>
      <c r="B3001">
        <f>IF(A3001="","",IFERROR(INDEX(Ввод!$B$12:$B$71,MATCH(A3001,Ввод!$D$12:$D$71,1)),""))</f>
        <v/>
      </c>
      <c r="C3001">
        <f>IF(A3001="","",DATE(YEAR(A3001),12,31)-DATE(YEAR(A3001),1,1)+1)</f>
        <v/>
      </c>
      <c r="D3001">
        <f>IF(A3001="","",SUMIFS(Акты!$D$5:$D$16,Акты!$E$5:$E$16,"&lt;="&amp;A3001)-SUMIFS(Оплаты!$B$6:$B$505,Оплаты!$A$6:$A$505,"&lt;"&amp;A3001,Оплаты!$D$6:$D$505,"&lt;&gt;"))</f>
        <v/>
      </c>
      <c r="E3001">
        <f>IF(A3001="","",IF(SUMPRODUCT((Ввод!$F$12:$F$31&lt;&gt;"")*(Ввод!$F$12:$F$31&lt;=A3001)*(Ввод!$G$12:$G$31&gt;=A3001))&gt;0,1,0))</f>
        <v/>
      </c>
      <c r="G3001">
        <f>IF(A3001="","",IF(OR(B3001&lt;&gt;B3000,C3001&lt;&gt;C3000,E3001&lt;&gt;E3000),G3000+1,G3000))</f>
        <v/>
      </c>
    </row>
    <row r="3002">
      <c r="A3002" s="20">
        <f>IF(A3001="","",IF(A3001+1&gt;Ввод!$B$4,"",A3001+1))</f>
        <v/>
      </c>
      <c r="B3002">
        <f>IF(A3002="","",IFERROR(INDEX(Ввод!$B$12:$B$71,MATCH(A3002,Ввод!$D$12:$D$71,1)),""))</f>
        <v/>
      </c>
      <c r="C3002">
        <f>IF(A3002="","",DATE(YEAR(A3002),12,31)-DATE(YEAR(A3002),1,1)+1)</f>
        <v/>
      </c>
      <c r="D3002">
        <f>IF(A3002="","",SUMIFS(Акты!$D$5:$D$16,Акты!$E$5:$E$16,"&lt;="&amp;A3002)-SUMIFS(Оплаты!$B$6:$B$505,Оплаты!$A$6:$A$505,"&lt;"&amp;A3002,Оплаты!$D$6:$D$505,"&lt;&gt;"))</f>
        <v/>
      </c>
      <c r="E3002">
        <f>IF(A3002="","",IF(SUMPRODUCT((Ввод!$F$12:$F$31&lt;&gt;"")*(Ввод!$F$12:$F$31&lt;=A3002)*(Ввод!$G$12:$G$31&gt;=A3002))&gt;0,1,0))</f>
        <v/>
      </c>
      <c r="G3002">
        <f>IF(A3002="","",IF(OR(B3002&lt;&gt;B3001,C3002&lt;&gt;C3001,E3002&lt;&gt;E3001),G3001+1,G3001))</f>
        <v/>
      </c>
    </row>
    <row r="3003">
      <c r="A3003" s="20">
        <f>IF(A3002="","",IF(A3002+1&gt;Ввод!$B$4,"",A3002+1))</f>
        <v/>
      </c>
      <c r="B3003">
        <f>IF(A3003="","",IFERROR(INDEX(Ввод!$B$12:$B$71,MATCH(A3003,Ввод!$D$12:$D$71,1)),""))</f>
        <v/>
      </c>
      <c r="C3003">
        <f>IF(A3003="","",DATE(YEAR(A3003),12,31)-DATE(YEAR(A3003),1,1)+1)</f>
        <v/>
      </c>
      <c r="D3003">
        <f>IF(A3003="","",SUMIFS(Акты!$D$5:$D$16,Акты!$E$5:$E$16,"&lt;="&amp;A3003)-SUMIFS(Оплаты!$B$6:$B$505,Оплаты!$A$6:$A$505,"&lt;"&amp;A3003,Оплаты!$D$6:$D$505,"&lt;&gt;"))</f>
        <v/>
      </c>
      <c r="E3003">
        <f>IF(A3003="","",IF(SUMPRODUCT((Ввод!$F$12:$F$31&lt;&gt;"")*(Ввод!$F$12:$F$31&lt;=A3003)*(Ввод!$G$12:$G$31&gt;=A3003))&gt;0,1,0))</f>
        <v/>
      </c>
      <c r="G3003">
        <f>IF(A3003="","",IF(OR(B3003&lt;&gt;B3002,C3003&lt;&gt;C3002,E3003&lt;&gt;E3002),G3002+1,G3002))</f>
        <v/>
      </c>
    </row>
    <row r="3004">
      <c r="A3004" s="20">
        <f>IF(A3003="","",IF(A3003+1&gt;Ввод!$B$4,"",A3003+1))</f>
        <v/>
      </c>
      <c r="B3004">
        <f>IF(A3004="","",IFERROR(INDEX(Ввод!$B$12:$B$71,MATCH(A3004,Ввод!$D$12:$D$71,1)),""))</f>
        <v/>
      </c>
      <c r="C3004">
        <f>IF(A3004="","",DATE(YEAR(A3004),12,31)-DATE(YEAR(A3004),1,1)+1)</f>
        <v/>
      </c>
      <c r="D3004">
        <f>IF(A3004="","",SUMIFS(Акты!$D$5:$D$16,Акты!$E$5:$E$16,"&lt;="&amp;A3004)-SUMIFS(Оплаты!$B$6:$B$505,Оплаты!$A$6:$A$505,"&lt;"&amp;A3004,Оплаты!$D$6:$D$505,"&lt;&gt;"))</f>
        <v/>
      </c>
      <c r="E3004">
        <f>IF(A3004="","",IF(SUMPRODUCT((Ввод!$F$12:$F$31&lt;&gt;"")*(Ввод!$F$12:$F$31&lt;=A3004)*(Ввод!$G$12:$G$31&gt;=A3004))&gt;0,1,0))</f>
        <v/>
      </c>
      <c r="G3004">
        <f>IF(A3004="","",IF(OR(B3004&lt;&gt;B3003,C3004&lt;&gt;C3003,E3004&lt;&gt;E3003),G3003+1,G3003))</f>
        <v/>
      </c>
    </row>
    <row r="3005">
      <c r="A3005" s="20">
        <f>IF(A3004="","",IF(A3004+1&gt;Ввод!$B$4,"",A3004+1))</f>
        <v/>
      </c>
      <c r="B3005">
        <f>IF(A3005="","",IFERROR(INDEX(Ввод!$B$12:$B$71,MATCH(A3005,Ввод!$D$12:$D$71,1)),""))</f>
        <v/>
      </c>
      <c r="C3005">
        <f>IF(A3005="","",DATE(YEAR(A3005),12,31)-DATE(YEAR(A3005),1,1)+1)</f>
        <v/>
      </c>
      <c r="D3005">
        <f>IF(A3005="","",SUMIFS(Акты!$D$5:$D$16,Акты!$E$5:$E$16,"&lt;="&amp;A3005)-SUMIFS(Оплаты!$B$6:$B$505,Оплаты!$A$6:$A$505,"&lt;"&amp;A3005,Оплаты!$D$6:$D$505,"&lt;&gt;"))</f>
        <v/>
      </c>
      <c r="E3005">
        <f>IF(A3005="","",IF(SUMPRODUCT((Ввод!$F$12:$F$31&lt;&gt;"")*(Ввод!$F$12:$F$31&lt;=A3005)*(Ввод!$G$12:$G$31&gt;=A3005))&gt;0,1,0))</f>
        <v/>
      </c>
      <c r="G3005">
        <f>IF(A3005="","",IF(OR(B3005&lt;&gt;B3004,C3005&lt;&gt;C3004,E3005&lt;&gt;E3004),G3004+1,G3004))</f>
        <v/>
      </c>
    </row>
    <row r="3006">
      <c r="A3006" s="20">
        <f>IF(A3005="","",IF(A3005+1&gt;Ввод!$B$4,"",A3005+1))</f>
        <v/>
      </c>
      <c r="B3006">
        <f>IF(A3006="","",IFERROR(INDEX(Ввод!$B$12:$B$71,MATCH(A3006,Ввод!$D$12:$D$71,1)),""))</f>
        <v/>
      </c>
      <c r="C3006">
        <f>IF(A3006="","",DATE(YEAR(A3006),12,31)-DATE(YEAR(A3006),1,1)+1)</f>
        <v/>
      </c>
      <c r="D3006">
        <f>IF(A3006="","",SUMIFS(Акты!$D$5:$D$16,Акты!$E$5:$E$16,"&lt;="&amp;A3006)-SUMIFS(Оплаты!$B$6:$B$505,Оплаты!$A$6:$A$505,"&lt;"&amp;A3006,Оплаты!$D$6:$D$505,"&lt;&gt;"))</f>
        <v/>
      </c>
      <c r="E3006">
        <f>IF(A3006="","",IF(SUMPRODUCT((Ввод!$F$12:$F$31&lt;&gt;"")*(Ввод!$F$12:$F$31&lt;=A3006)*(Ввод!$G$12:$G$31&gt;=A3006))&gt;0,1,0))</f>
        <v/>
      </c>
      <c r="G3006">
        <f>IF(A3006="","",IF(OR(B3006&lt;&gt;B3005,C3006&lt;&gt;C3005,E3006&lt;&gt;E3005),G3005+1,G3005))</f>
        <v/>
      </c>
    </row>
    <row r="3007">
      <c r="A3007" s="20">
        <f>IF(A3006="","",IF(A3006+1&gt;Ввод!$B$4,"",A3006+1))</f>
        <v/>
      </c>
      <c r="B3007">
        <f>IF(A3007="","",IFERROR(INDEX(Ввод!$B$12:$B$71,MATCH(A3007,Ввод!$D$12:$D$71,1)),""))</f>
        <v/>
      </c>
      <c r="C3007">
        <f>IF(A3007="","",DATE(YEAR(A3007),12,31)-DATE(YEAR(A3007),1,1)+1)</f>
        <v/>
      </c>
      <c r="D3007">
        <f>IF(A3007="","",SUMIFS(Акты!$D$5:$D$16,Акты!$E$5:$E$16,"&lt;="&amp;A3007)-SUMIFS(Оплаты!$B$6:$B$505,Оплаты!$A$6:$A$505,"&lt;"&amp;A3007,Оплаты!$D$6:$D$505,"&lt;&gt;"))</f>
        <v/>
      </c>
      <c r="E3007">
        <f>IF(A3007="","",IF(SUMPRODUCT((Ввод!$F$12:$F$31&lt;&gt;"")*(Ввод!$F$12:$F$31&lt;=A3007)*(Ввод!$G$12:$G$31&gt;=A3007))&gt;0,1,0))</f>
        <v/>
      </c>
      <c r="G3007">
        <f>IF(A3007="","",IF(OR(B3007&lt;&gt;B3006,C3007&lt;&gt;C3006,E3007&lt;&gt;E3006),G3006+1,G3006))</f>
        <v/>
      </c>
    </row>
    <row r="3008">
      <c r="A3008" s="20">
        <f>IF(A3007="","",IF(A3007+1&gt;Ввод!$B$4,"",A3007+1))</f>
        <v/>
      </c>
      <c r="B3008">
        <f>IF(A3008="","",IFERROR(INDEX(Ввод!$B$12:$B$71,MATCH(A3008,Ввод!$D$12:$D$71,1)),""))</f>
        <v/>
      </c>
      <c r="C3008">
        <f>IF(A3008="","",DATE(YEAR(A3008),12,31)-DATE(YEAR(A3008),1,1)+1)</f>
        <v/>
      </c>
      <c r="D3008">
        <f>IF(A3008="","",SUMIFS(Акты!$D$5:$D$16,Акты!$E$5:$E$16,"&lt;="&amp;A3008)-SUMIFS(Оплаты!$B$6:$B$505,Оплаты!$A$6:$A$505,"&lt;"&amp;A3008,Оплаты!$D$6:$D$505,"&lt;&gt;"))</f>
        <v/>
      </c>
      <c r="E3008">
        <f>IF(A3008="","",IF(SUMPRODUCT((Ввод!$F$12:$F$31&lt;&gt;"")*(Ввод!$F$12:$F$31&lt;=A3008)*(Ввод!$G$12:$G$31&gt;=A3008))&gt;0,1,0))</f>
        <v/>
      </c>
      <c r="G3008">
        <f>IF(A3008="","",IF(OR(B3008&lt;&gt;B3007,C3008&lt;&gt;C3007,E3008&lt;&gt;E3007),G3007+1,G3007))</f>
        <v/>
      </c>
    </row>
    <row r="3009">
      <c r="A3009" s="20">
        <f>IF(A3008="","",IF(A3008+1&gt;Ввод!$B$4,"",A3008+1))</f>
        <v/>
      </c>
      <c r="B3009">
        <f>IF(A3009="","",IFERROR(INDEX(Ввод!$B$12:$B$71,MATCH(A3009,Ввод!$D$12:$D$71,1)),""))</f>
        <v/>
      </c>
      <c r="C3009">
        <f>IF(A3009="","",DATE(YEAR(A3009),12,31)-DATE(YEAR(A3009),1,1)+1)</f>
        <v/>
      </c>
      <c r="D3009">
        <f>IF(A3009="","",SUMIFS(Акты!$D$5:$D$16,Акты!$E$5:$E$16,"&lt;="&amp;A3009)-SUMIFS(Оплаты!$B$6:$B$505,Оплаты!$A$6:$A$505,"&lt;"&amp;A3009,Оплаты!$D$6:$D$505,"&lt;&gt;"))</f>
        <v/>
      </c>
      <c r="E3009">
        <f>IF(A3009="","",IF(SUMPRODUCT((Ввод!$F$12:$F$31&lt;&gt;"")*(Ввод!$F$12:$F$31&lt;=A3009)*(Ввод!$G$12:$G$31&gt;=A3009))&gt;0,1,0))</f>
        <v/>
      </c>
      <c r="G3009">
        <f>IF(A3009="","",IF(OR(B3009&lt;&gt;B3008,C3009&lt;&gt;C3008,E3009&lt;&gt;E3008),G3008+1,G3008))</f>
        <v/>
      </c>
    </row>
    <row r="3010">
      <c r="A3010" s="20">
        <f>IF(A3009="","",IF(A3009+1&gt;Ввод!$B$4,"",A3009+1))</f>
        <v/>
      </c>
      <c r="B3010">
        <f>IF(A3010="","",IFERROR(INDEX(Ввод!$B$12:$B$71,MATCH(A3010,Ввод!$D$12:$D$71,1)),""))</f>
        <v/>
      </c>
      <c r="C3010">
        <f>IF(A3010="","",DATE(YEAR(A3010),12,31)-DATE(YEAR(A3010),1,1)+1)</f>
        <v/>
      </c>
      <c r="D3010">
        <f>IF(A3010="","",SUMIFS(Акты!$D$5:$D$16,Акты!$E$5:$E$16,"&lt;="&amp;A3010)-SUMIFS(Оплаты!$B$6:$B$505,Оплаты!$A$6:$A$505,"&lt;"&amp;A3010,Оплаты!$D$6:$D$505,"&lt;&gt;"))</f>
        <v/>
      </c>
      <c r="E3010">
        <f>IF(A3010="","",IF(SUMPRODUCT((Ввод!$F$12:$F$31&lt;&gt;"")*(Ввод!$F$12:$F$31&lt;=A3010)*(Ввод!$G$12:$G$31&gt;=A3010))&gt;0,1,0))</f>
        <v/>
      </c>
      <c r="G3010">
        <f>IF(A3010="","",IF(OR(B3010&lt;&gt;B3009,C3010&lt;&gt;C3009,E3010&lt;&gt;E3009),G3009+1,G3009))</f>
        <v/>
      </c>
    </row>
    <row r="3011">
      <c r="A3011" s="20">
        <f>IF(A3010="","",IF(A3010+1&gt;Ввод!$B$4,"",A3010+1))</f>
        <v/>
      </c>
      <c r="B3011">
        <f>IF(A3011="","",IFERROR(INDEX(Ввод!$B$12:$B$71,MATCH(A3011,Ввод!$D$12:$D$71,1)),""))</f>
        <v/>
      </c>
      <c r="C3011">
        <f>IF(A3011="","",DATE(YEAR(A3011),12,31)-DATE(YEAR(A3011),1,1)+1)</f>
        <v/>
      </c>
      <c r="D3011">
        <f>IF(A3011="","",SUMIFS(Акты!$D$5:$D$16,Акты!$E$5:$E$16,"&lt;="&amp;A3011)-SUMIFS(Оплаты!$B$6:$B$505,Оплаты!$A$6:$A$505,"&lt;"&amp;A3011,Оплаты!$D$6:$D$505,"&lt;&gt;"))</f>
        <v/>
      </c>
      <c r="E3011">
        <f>IF(A3011="","",IF(SUMPRODUCT((Ввод!$F$12:$F$31&lt;&gt;"")*(Ввод!$F$12:$F$31&lt;=A3011)*(Ввод!$G$12:$G$31&gt;=A3011))&gt;0,1,0))</f>
        <v/>
      </c>
      <c r="G3011">
        <f>IF(A3011="","",IF(OR(B3011&lt;&gt;B3010,C3011&lt;&gt;C3010,E3011&lt;&gt;E3010),G3010+1,G3010))</f>
        <v/>
      </c>
    </row>
    <row r="3012">
      <c r="A3012" s="20">
        <f>IF(A3011="","",IF(A3011+1&gt;Ввод!$B$4,"",A3011+1))</f>
        <v/>
      </c>
      <c r="B3012">
        <f>IF(A3012="","",IFERROR(INDEX(Ввод!$B$12:$B$71,MATCH(A3012,Ввод!$D$12:$D$71,1)),""))</f>
        <v/>
      </c>
      <c r="C3012">
        <f>IF(A3012="","",DATE(YEAR(A3012),12,31)-DATE(YEAR(A3012),1,1)+1)</f>
        <v/>
      </c>
      <c r="D3012">
        <f>IF(A3012="","",SUMIFS(Акты!$D$5:$D$16,Акты!$E$5:$E$16,"&lt;="&amp;A3012)-SUMIFS(Оплаты!$B$6:$B$505,Оплаты!$A$6:$A$505,"&lt;"&amp;A3012,Оплаты!$D$6:$D$505,"&lt;&gt;"))</f>
        <v/>
      </c>
      <c r="E3012">
        <f>IF(A3012="","",IF(SUMPRODUCT((Ввод!$F$12:$F$31&lt;&gt;"")*(Ввод!$F$12:$F$31&lt;=A3012)*(Ввод!$G$12:$G$31&gt;=A3012))&gt;0,1,0))</f>
        <v/>
      </c>
      <c r="G3012">
        <f>IF(A3012="","",IF(OR(B3012&lt;&gt;B3011,C3012&lt;&gt;C3011,E3012&lt;&gt;E3011),G3011+1,G3011))</f>
        <v/>
      </c>
    </row>
    <row r="3013">
      <c r="A3013" s="20">
        <f>IF(A3012="","",IF(A3012+1&gt;Ввод!$B$4,"",A3012+1))</f>
        <v/>
      </c>
      <c r="B3013">
        <f>IF(A3013="","",IFERROR(INDEX(Ввод!$B$12:$B$71,MATCH(A3013,Ввод!$D$12:$D$71,1)),""))</f>
        <v/>
      </c>
      <c r="C3013">
        <f>IF(A3013="","",DATE(YEAR(A3013),12,31)-DATE(YEAR(A3013),1,1)+1)</f>
        <v/>
      </c>
      <c r="D3013">
        <f>IF(A3013="","",SUMIFS(Акты!$D$5:$D$16,Акты!$E$5:$E$16,"&lt;="&amp;A3013)-SUMIFS(Оплаты!$B$6:$B$505,Оплаты!$A$6:$A$505,"&lt;"&amp;A3013,Оплаты!$D$6:$D$505,"&lt;&gt;"))</f>
        <v/>
      </c>
      <c r="E3013">
        <f>IF(A3013="","",IF(SUMPRODUCT((Ввод!$F$12:$F$31&lt;&gt;"")*(Ввод!$F$12:$F$31&lt;=A3013)*(Ввод!$G$12:$G$31&gt;=A3013))&gt;0,1,0))</f>
        <v/>
      </c>
      <c r="G3013">
        <f>IF(A3013="","",IF(OR(B3013&lt;&gt;B3012,C3013&lt;&gt;C3012,E3013&lt;&gt;E3012),G3012+1,G3012))</f>
        <v/>
      </c>
    </row>
    <row r="3014">
      <c r="A3014" s="20">
        <f>IF(A3013="","",IF(A3013+1&gt;Ввод!$B$4,"",A3013+1))</f>
        <v/>
      </c>
      <c r="B3014">
        <f>IF(A3014="","",IFERROR(INDEX(Ввод!$B$12:$B$71,MATCH(A3014,Ввод!$D$12:$D$71,1)),""))</f>
        <v/>
      </c>
      <c r="C3014">
        <f>IF(A3014="","",DATE(YEAR(A3014),12,31)-DATE(YEAR(A3014),1,1)+1)</f>
        <v/>
      </c>
      <c r="D3014">
        <f>IF(A3014="","",SUMIFS(Акты!$D$5:$D$16,Акты!$E$5:$E$16,"&lt;="&amp;A3014)-SUMIFS(Оплаты!$B$6:$B$505,Оплаты!$A$6:$A$505,"&lt;"&amp;A3014,Оплаты!$D$6:$D$505,"&lt;&gt;"))</f>
        <v/>
      </c>
      <c r="E3014">
        <f>IF(A3014="","",IF(SUMPRODUCT((Ввод!$F$12:$F$31&lt;&gt;"")*(Ввод!$F$12:$F$31&lt;=A3014)*(Ввод!$G$12:$G$31&gt;=A3014))&gt;0,1,0))</f>
        <v/>
      </c>
      <c r="G3014">
        <f>IF(A3014="","",IF(OR(B3014&lt;&gt;B3013,C3014&lt;&gt;C3013,E3014&lt;&gt;E3013),G3013+1,G3013))</f>
        <v/>
      </c>
    </row>
    <row r="3015">
      <c r="A3015" s="20">
        <f>IF(A3014="","",IF(A3014+1&gt;Ввод!$B$4,"",A3014+1))</f>
        <v/>
      </c>
      <c r="B3015">
        <f>IF(A3015="","",IFERROR(INDEX(Ввод!$B$12:$B$71,MATCH(A3015,Ввод!$D$12:$D$71,1)),""))</f>
        <v/>
      </c>
      <c r="C3015">
        <f>IF(A3015="","",DATE(YEAR(A3015),12,31)-DATE(YEAR(A3015),1,1)+1)</f>
        <v/>
      </c>
      <c r="D3015">
        <f>IF(A3015="","",SUMIFS(Акты!$D$5:$D$16,Акты!$E$5:$E$16,"&lt;="&amp;A3015)-SUMIFS(Оплаты!$B$6:$B$505,Оплаты!$A$6:$A$505,"&lt;"&amp;A3015,Оплаты!$D$6:$D$505,"&lt;&gt;"))</f>
        <v/>
      </c>
      <c r="E3015">
        <f>IF(A3015="","",IF(SUMPRODUCT((Ввод!$F$12:$F$31&lt;&gt;"")*(Ввод!$F$12:$F$31&lt;=A3015)*(Ввод!$G$12:$G$31&gt;=A3015))&gt;0,1,0))</f>
        <v/>
      </c>
      <c r="G3015">
        <f>IF(A3015="","",IF(OR(B3015&lt;&gt;B3014,C3015&lt;&gt;C3014,E3015&lt;&gt;E3014),G3014+1,G3014))</f>
        <v/>
      </c>
    </row>
    <row r="3016">
      <c r="A3016" s="20">
        <f>IF(A3015="","",IF(A3015+1&gt;Ввод!$B$4,"",A3015+1))</f>
        <v/>
      </c>
      <c r="B3016">
        <f>IF(A3016="","",IFERROR(INDEX(Ввод!$B$12:$B$71,MATCH(A3016,Ввод!$D$12:$D$71,1)),""))</f>
        <v/>
      </c>
      <c r="C3016">
        <f>IF(A3016="","",DATE(YEAR(A3016),12,31)-DATE(YEAR(A3016),1,1)+1)</f>
        <v/>
      </c>
      <c r="D3016">
        <f>IF(A3016="","",SUMIFS(Акты!$D$5:$D$16,Акты!$E$5:$E$16,"&lt;="&amp;A3016)-SUMIFS(Оплаты!$B$6:$B$505,Оплаты!$A$6:$A$505,"&lt;"&amp;A3016,Оплаты!$D$6:$D$505,"&lt;&gt;"))</f>
        <v/>
      </c>
      <c r="E3016">
        <f>IF(A3016="","",IF(SUMPRODUCT((Ввод!$F$12:$F$31&lt;&gt;"")*(Ввод!$F$12:$F$31&lt;=A3016)*(Ввод!$G$12:$G$31&gt;=A3016))&gt;0,1,0))</f>
        <v/>
      </c>
      <c r="G3016">
        <f>IF(A3016="","",IF(OR(B3016&lt;&gt;B3015,C3016&lt;&gt;C3015,E3016&lt;&gt;E3015),G3015+1,G3015))</f>
        <v/>
      </c>
    </row>
    <row r="3017">
      <c r="A3017" s="20">
        <f>IF(A3016="","",IF(A3016+1&gt;Ввод!$B$4,"",A3016+1))</f>
        <v/>
      </c>
      <c r="B3017">
        <f>IF(A3017="","",IFERROR(INDEX(Ввод!$B$12:$B$71,MATCH(A3017,Ввод!$D$12:$D$71,1)),""))</f>
        <v/>
      </c>
      <c r="C3017">
        <f>IF(A3017="","",DATE(YEAR(A3017),12,31)-DATE(YEAR(A3017),1,1)+1)</f>
        <v/>
      </c>
      <c r="D3017">
        <f>IF(A3017="","",SUMIFS(Акты!$D$5:$D$16,Акты!$E$5:$E$16,"&lt;="&amp;A3017)-SUMIFS(Оплаты!$B$6:$B$505,Оплаты!$A$6:$A$505,"&lt;"&amp;A3017,Оплаты!$D$6:$D$505,"&lt;&gt;"))</f>
        <v/>
      </c>
      <c r="E3017">
        <f>IF(A3017="","",IF(SUMPRODUCT((Ввод!$F$12:$F$31&lt;&gt;"")*(Ввод!$F$12:$F$31&lt;=A3017)*(Ввод!$G$12:$G$31&gt;=A3017))&gt;0,1,0))</f>
        <v/>
      </c>
      <c r="G3017">
        <f>IF(A3017="","",IF(OR(B3017&lt;&gt;B3016,C3017&lt;&gt;C3016,E3017&lt;&gt;E3016),G3016+1,G3016))</f>
        <v/>
      </c>
    </row>
    <row r="3018">
      <c r="A3018" s="20">
        <f>IF(A3017="","",IF(A3017+1&gt;Ввод!$B$4,"",A3017+1))</f>
        <v/>
      </c>
      <c r="B3018">
        <f>IF(A3018="","",IFERROR(INDEX(Ввод!$B$12:$B$71,MATCH(A3018,Ввод!$D$12:$D$71,1)),""))</f>
        <v/>
      </c>
      <c r="C3018">
        <f>IF(A3018="","",DATE(YEAR(A3018),12,31)-DATE(YEAR(A3018),1,1)+1)</f>
        <v/>
      </c>
      <c r="D3018">
        <f>IF(A3018="","",SUMIFS(Акты!$D$5:$D$16,Акты!$E$5:$E$16,"&lt;="&amp;A3018)-SUMIFS(Оплаты!$B$6:$B$505,Оплаты!$A$6:$A$505,"&lt;"&amp;A3018,Оплаты!$D$6:$D$505,"&lt;&gt;"))</f>
        <v/>
      </c>
      <c r="E3018">
        <f>IF(A3018="","",IF(SUMPRODUCT((Ввод!$F$12:$F$31&lt;&gt;"")*(Ввод!$F$12:$F$31&lt;=A3018)*(Ввод!$G$12:$G$31&gt;=A3018))&gt;0,1,0))</f>
        <v/>
      </c>
      <c r="G3018">
        <f>IF(A3018="","",IF(OR(B3018&lt;&gt;B3017,C3018&lt;&gt;C3017,E3018&lt;&gt;E3017),G3017+1,G3017))</f>
        <v/>
      </c>
    </row>
    <row r="3019">
      <c r="A3019" s="20">
        <f>IF(A3018="","",IF(A3018+1&gt;Ввод!$B$4,"",A3018+1))</f>
        <v/>
      </c>
      <c r="B3019">
        <f>IF(A3019="","",IFERROR(INDEX(Ввод!$B$12:$B$71,MATCH(A3019,Ввод!$D$12:$D$71,1)),""))</f>
        <v/>
      </c>
      <c r="C3019">
        <f>IF(A3019="","",DATE(YEAR(A3019),12,31)-DATE(YEAR(A3019),1,1)+1)</f>
        <v/>
      </c>
      <c r="D3019">
        <f>IF(A3019="","",SUMIFS(Акты!$D$5:$D$16,Акты!$E$5:$E$16,"&lt;="&amp;A3019)-SUMIFS(Оплаты!$B$6:$B$505,Оплаты!$A$6:$A$505,"&lt;"&amp;A3019,Оплаты!$D$6:$D$505,"&lt;&gt;"))</f>
        <v/>
      </c>
      <c r="E3019">
        <f>IF(A3019="","",IF(SUMPRODUCT((Ввод!$F$12:$F$31&lt;&gt;"")*(Ввод!$F$12:$F$31&lt;=A3019)*(Ввод!$G$12:$G$31&gt;=A3019))&gt;0,1,0))</f>
        <v/>
      </c>
      <c r="G3019">
        <f>IF(A3019="","",IF(OR(B3019&lt;&gt;B3018,C3019&lt;&gt;C3018,E3019&lt;&gt;E3018),G3018+1,G3018))</f>
        <v/>
      </c>
    </row>
    <row r="3020">
      <c r="A3020" s="20">
        <f>IF(A3019="","",IF(A3019+1&gt;Ввод!$B$4,"",A3019+1))</f>
        <v/>
      </c>
      <c r="B3020">
        <f>IF(A3020="","",IFERROR(INDEX(Ввод!$B$12:$B$71,MATCH(A3020,Ввод!$D$12:$D$71,1)),""))</f>
        <v/>
      </c>
      <c r="C3020">
        <f>IF(A3020="","",DATE(YEAR(A3020),12,31)-DATE(YEAR(A3020),1,1)+1)</f>
        <v/>
      </c>
      <c r="D3020">
        <f>IF(A3020="","",SUMIFS(Акты!$D$5:$D$16,Акты!$E$5:$E$16,"&lt;="&amp;A3020)-SUMIFS(Оплаты!$B$6:$B$505,Оплаты!$A$6:$A$505,"&lt;"&amp;A3020,Оплаты!$D$6:$D$505,"&lt;&gt;"))</f>
        <v/>
      </c>
      <c r="E3020">
        <f>IF(A3020="","",IF(SUMPRODUCT((Ввод!$F$12:$F$31&lt;&gt;"")*(Ввод!$F$12:$F$31&lt;=A3020)*(Ввод!$G$12:$G$31&gt;=A3020))&gt;0,1,0))</f>
        <v/>
      </c>
      <c r="G3020">
        <f>IF(A3020="","",IF(OR(B3020&lt;&gt;B3019,C3020&lt;&gt;C3019,E3020&lt;&gt;E3019),G3019+1,G3019))</f>
        <v/>
      </c>
    </row>
    <row r="3021">
      <c r="A3021" s="20">
        <f>IF(A3020="","",IF(A3020+1&gt;Ввод!$B$4,"",A3020+1))</f>
        <v/>
      </c>
      <c r="B3021">
        <f>IF(A3021="","",IFERROR(INDEX(Ввод!$B$12:$B$71,MATCH(A3021,Ввод!$D$12:$D$71,1)),""))</f>
        <v/>
      </c>
      <c r="C3021">
        <f>IF(A3021="","",DATE(YEAR(A3021),12,31)-DATE(YEAR(A3021),1,1)+1)</f>
        <v/>
      </c>
      <c r="D3021">
        <f>IF(A3021="","",SUMIFS(Акты!$D$5:$D$16,Акты!$E$5:$E$16,"&lt;="&amp;A3021)-SUMIFS(Оплаты!$B$6:$B$505,Оплаты!$A$6:$A$505,"&lt;"&amp;A3021,Оплаты!$D$6:$D$505,"&lt;&gt;"))</f>
        <v/>
      </c>
      <c r="E3021">
        <f>IF(A3021="","",IF(SUMPRODUCT((Ввод!$F$12:$F$31&lt;&gt;"")*(Ввод!$F$12:$F$31&lt;=A3021)*(Ввод!$G$12:$G$31&gt;=A3021))&gt;0,1,0))</f>
        <v/>
      </c>
      <c r="G3021">
        <f>IF(A3021="","",IF(OR(B3021&lt;&gt;B3020,C3021&lt;&gt;C3020,E3021&lt;&gt;E3020),G3020+1,G3020))</f>
        <v/>
      </c>
    </row>
    <row r="3022">
      <c r="A3022" s="20">
        <f>IF(A3021="","",IF(A3021+1&gt;Ввод!$B$4,"",A3021+1))</f>
        <v/>
      </c>
      <c r="B3022">
        <f>IF(A3022="","",IFERROR(INDEX(Ввод!$B$12:$B$71,MATCH(A3022,Ввод!$D$12:$D$71,1)),""))</f>
        <v/>
      </c>
      <c r="C3022">
        <f>IF(A3022="","",DATE(YEAR(A3022),12,31)-DATE(YEAR(A3022),1,1)+1)</f>
        <v/>
      </c>
      <c r="D3022">
        <f>IF(A3022="","",SUMIFS(Акты!$D$5:$D$16,Акты!$E$5:$E$16,"&lt;="&amp;A3022)-SUMIFS(Оплаты!$B$6:$B$505,Оплаты!$A$6:$A$505,"&lt;"&amp;A3022,Оплаты!$D$6:$D$505,"&lt;&gt;"))</f>
        <v/>
      </c>
      <c r="E3022">
        <f>IF(A3022="","",IF(SUMPRODUCT((Ввод!$F$12:$F$31&lt;&gt;"")*(Ввод!$F$12:$F$31&lt;=A3022)*(Ввод!$G$12:$G$31&gt;=A3022))&gt;0,1,0))</f>
        <v/>
      </c>
      <c r="G3022">
        <f>IF(A3022="","",IF(OR(B3022&lt;&gt;B3021,C3022&lt;&gt;C3021,E3022&lt;&gt;E3021),G3021+1,G3021))</f>
        <v/>
      </c>
    </row>
    <row r="3023">
      <c r="A3023" s="20">
        <f>IF(A3022="","",IF(A3022+1&gt;Ввод!$B$4,"",A3022+1))</f>
        <v/>
      </c>
      <c r="B3023">
        <f>IF(A3023="","",IFERROR(INDEX(Ввод!$B$12:$B$71,MATCH(A3023,Ввод!$D$12:$D$71,1)),""))</f>
        <v/>
      </c>
      <c r="C3023">
        <f>IF(A3023="","",DATE(YEAR(A3023),12,31)-DATE(YEAR(A3023),1,1)+1)</f>
        <v/>
      </c>
      <c r="D3023">
        <f>IF(A3023="","",SUMIFS(Акты!$D$5:$D$16,Акты!$E$5:$E$16,"&lt;="&amp;A3023)-SUMIFS(Оплаты!$B$6:$B$505,Оплаты!$A$6:$A$505,"&lt;"&amp;A3023,Оплаты!$D$6:$D$505,"&lt;&gt;"))</f>
        <v/>
      </c>
      <c r="E3023">
        <f>IF(A3023="","",IF(SUMPRODUCT((Ввод!$F$12:$F$31&lt;&gt;"")*(Ввод!$F$12:$F$31&lt;=A3023)*(Ввод!$G$12:$G$31&gt;=A3023))&gt;0,1,0))</f>
        <v/>
      </c>
      <c r="G3023">
        <f>IF(A3023="","",IF(OR(B3023&lt;&gt;B3022,C3023&lt;&gt;C3022,E3023&lt;&gt;E3022),G3022+1,G3022))</f>
        <v/>
      </c>
    </row>
    <row r="3024">
      <c r="A3024" s="20">
        <f>IF(A3023="","",IF(A3023+1&gt;Ввод!$B$4,"",A3023+1))</f>
        <v/>
      </c>
      <c r="B3024">
        <f>IF(A3024="","",IFERROR(INDEX(Ввод!$B$12:$B$71,MATCH(A3024,Ввод!$D$12:$D$71,1)),""))</f>
        <v/>
      </c>
      <c r="C3024">
        <f>IF(A3024="","",DATE(YEAR(A3024),12,31)-DATE(YEAR(A3024),1,1)+1)</f>
        <v/>
      </c>
      <c r="D3024">
        <f>IF(A3024="","",SUMIFS(Акты!$D$5:$D$16,Акты!$E$5:$E$16,"&lt;="&amp;A3024)-SUMIFS(Оплаты!$B$6:$B$505,Оплаты!$A$6:$A$505,"&lt;"&amp;A3024,Оплаты!$D$6:$D$505,"&lt;&gt;"))</f>
        <v/>
      </c>
      <c r="E3024">
        <f>IF(A3024="","",IF(SUMPRODUCT((Ввод!$F$12:$F$31&lt;&gt;"")*(Ввод!$F$12:$F$31&lt;=A3024)*(Ввод!$G$12:$G$31&gt;=A3024))&gt;0,1,0))</f>
        <v/>
      </c>
      <c r="G3024">
        <f>IF(A3024="","",IF(OR(B3024&lt;&gt;B3023,C3024&lt;&gt;C3023,E3024&lt;&gt;E3023),G3023+1,G3023))</f>
        <v/>
      </c>
    </row>
    <row r="3025">
      <c r="A3025" s="20">
        <f>IF(A3024="","",IF(A3024+1&gt;Ввод!$B$4,"",A3024+1))</f>
        <v/>
      </c>
      <c r="B3025">
        <f>IF(A3025="","",IFERROR(INDEX(Ввод!$B$12:$B$71,MATCH(A3025,Ввод!$D$12:$D$71,1)),""))</f>
        <v/>
      </c>
      <c r="C3025">
        <f>IF(A3025="","",DATE(YEAR(A3025),12,31)-DATE(YEAR(A3025),1,1)+1)</f>
        <v/>
      </c>
      <c r="D3025">
        <f>IF(A3025="","",SUMIFS(Акты!$D$5:$D$16,Акты!$E$5:$E$16,"&lt;="&amp;A3025)-SUMIFS(Оплаты!$B$6:$B$505,Оплаты!$A$6:$A$505,"&lt;"&amp;A3025,Оплаты!$D$6:$D$505,"&lt;&gt;"))</f>
        <v/>
      </c>
      <c r="E3025">
        <f>IF(A3025="","",IF(SUMPRODUCT((Ввод!$F$12:$F$31&lt;&gt;"")*(Ввод!$F$12:$F$31&lt;=A3025)*(Ввод!$G$12:$G$31&gt;=A3025))&gt;0,1,0))</f>
        <v/>
      </c>
      <c r="G3025">
        <f>IF(A3025="","",IF(OR(B3025&lt;&gt;B3024,C3025&lt;&gt;C3024,E3025&lt;&gt;E3024),G3024+1,G3024))</f>
        <v/>
      </c>
    </row>
    <row r="3026">
      <c r="A3026" s="20">
        <f>IF(A3025="","",IF(A3025+1&gt;Ввод!$B$4,"",A3025+1))</f>
        <v/>
      </c>
      <c r="B3026">
        <f>IF(A3026="","",IFERROR(INDEX(Ввод!$B$12:$B$71,MATCH(A3026,Ввод!$D$12:$D$71,1)),""))</f>
        <v/>
      </c>
      <c r="C3026">
        <f>IF(A3026="","",DATE(YEAR(A3026),12,31)-DATE(YEAR(A3026),1,1)+1)</f>
        <v/>
      </c>
      <c r="D3026">
        <f>IF(A3026="","",SUMIFS(Акты!$D$5:$D$16,Акты!$E$5:$E$16,"&lt;="&amp;A3026)-SUMIFS(Оплаты!$B$6:$B$505,Оплаты!$A$6:$A$505,"&lt;"&amp;A3026,Оплаты!$D$6:$D$505,"&lt;&gt;"))</f>
        <v/>
      </c>
      <c r="E3026">
        <f>IF(A3026="","",IF(SUMPRODUCT((Ввод!$F$12:$F$31&lt;&gt;"")*(Ввод!$F$12:$F$31&lt;=A3026)*(Ввод!$G$12:$G$31&gt;=A3026))&gt;0,1,0))</f>
        <v/>
      </c>
      <c r="G3026">
        <f>IF(A3026="","",IF(OR(B3026&lt;&gt;B3025,C3026&lt;&gt;C3025,E3026&lt;&gt;E3025),G3025+1,G3025))</f>
        <v/>
      </c>
    </row>
    <row r="3027">
      <c r="A3027" s="20">
        <f>IF(A3026="","",IF(A3026+1&gt;Ввод!$B$4,"",A3026+1))</f>
        <v/>
      </c>
      <c r="B3027">
        <f>IF(A3027="","",IFERROR(INDEX(Ввод!$B$12:$B$71,MATCH(A3027,Ввод!$D$12:$D$71,1)),""))</f>
        <v/>
      </c>
      <c r="C3027">
        <f>IF(A3027="","",DATE(YEAR(A3027),12,31)-DATE(YEAR(A3027),1,1)+1)</f>
        <v/>
      </c>
      <c r="D3027">
        <f>IF(A3027="","",SUMIFS(Акты!$D$5:$D$16,Акты!$E$5:$E$16,"&lt;="&amp;A3027)-SUMIFS(Оплаты!$B$6:$B$505,Оплаты!$A$6:$A$505,"&lt;"&amp;A3027,Оплаты!$D$6:$D$505,"&lt;&gt;"))</f>
        <v/>
      </c>
      <c r="E3027">
        <f>IF(A3027="","",IF(SUMPRODUCT((Ввод!$F$12:$F$31&lt;&gt;"")*(Ввод!$F$12:$F$31&lt;=A3027)*(Ввод!$G$12:$G$31&gt;=A3027))&gt;0,1,0))</f>
        <v/>
      </c>
      <c r="G3027">
        <f>IF(A3027="","",IF(OR(B3027&lt;&gt;B3026,C3027&lt;&gt;C3026,E3027&lt;&gt;E3026),G3026+1,G3026))</f>
        <v/>
      </c>
    </row>
    <row r="3028">
      <c r="A3028" s="20">
        <f>IF(A3027="","",IF(A3027+1&gt;Ввод!$B$4,"",A3027+1))</f>
        <v/>
      </c>
      <c r="B3028">
        <f>IF(A3028="","",IFERROR(INDEX(Ввод!$B$12:$B$71,MATCH(A3028,Ввод!$D$12:$D$71,1)),""))</f>
        <v/>
      </c>
      <c r="C3028">
        <f>IF(A3028="","",DATE(YEAR(A3028),12,31)-DATE(YEAR(A3028),1,1)+1)</f>
        <v/>
      </c>
      <c r="D3028">
        <f>IF(A3028="","",SUMIFS(Акты!$D$5:$D$16,Акты!$E$5:$E$16,"&lt;="&amp;A3028)-SUMIFS(Оплаты!$B$6:$B$505,Оплаты!$A$6:$A$505,"&lt;"&amp;A3028,Оплаты!$D$6:$D$505,"&lt;&gt;"))</f>
        <v/>
      </c>
      <c r="E3028">
        <f>IF(A3028="","",IF(SUMPRODUCT((Ввод!$F$12:$F$31&lt;&gt;"")*(Ввод!$F$12:$F$31&lt;=A3028)*(Ввод!$G$12:$G$31&gt;=A3028))&gt;0,1,0))</f>
        <v/>
      </c>
      <c r="G3028">
        <f>IF(A3028="","",IF(OR(B3028&lt;&gt;B3027,C3028&lt;&gt;C3027,E3028&lt;&gt;E3027),G3027+1,G3027))</f>
        <v/>
      </c>
    </row>
    <row r="3029">
      <c r="A3029" s="20">
        <f>IF(A3028="","",IF(A3028+1&gt;Ввод!$B$4,"",A3028+1))</f>
        <v/>
      </c>
      <c r="B3029">
        <f>IF(A3029="","",IFERROR(INDEX(Ввод!$B$12:$B$71,MATCH(A3029,Ввод!$D$12:$D$71,1)),""))</f>
        <v/>
      </c>
      <c r="C3029">
        <f>IF(A3029="","",DATE(YEAR(A3029),12,31)-DATE(YEAR(A3029),1,1)+1)</f>
        <v/>
      </c>
      <c r="D3029">
        <f>IF(A3029="","",SUMIFS(Акты!$D$5:$D$16,Акты!$E$5:$E$16,"&lt;="&amp;A3029)-SUMIFS(Оплаты!$B$6:$B$505,Оплаты!$A$6:$A$505,"&lt;"&amp;A3029,Оплаты!$D$6:$D$505,"&lt;&gt;"))</f>
        <v/>
      </c>
      <c r="E3029">
        <f>IF(A3029="","",IF(SUMPRODUCT((Ввод!$F$12:$F$31&lt;&gt;"")*(Ввод!$F$12:$F$31&lt;=A3029)*(Ввод!$G$12:$G$31&gt;=A3029))&gt;0,1,0))</f>
        <v/>
      </c>
      <c r="G3029">
        <f>IF(A3029="","",IF(OR(B3029&lt;&gt;B3028,C3029&lt;&gt;C3028,E3029&lt;&gt;E3028),G3028+1,G3028))</f>
        <v/>
      </c>
    </row>
    <row r="3030">
      <c r="A3030" s="20">
        <f>IF(A3029="","",IF(A3029+1&gt;Ввод!$B$4,"",A3029+1))</f>
        <v/>
      </c>
      <c r="B3030">
        <f>IF(A3030="","",IFERROR(INDEX(Ввод!$B$12:$B$71,MATCH(A3030,Ввод!$D$12:$D$71,1)),""))</f>
        <v/>
      </c>
      <c r="C3030">
        <f>IF(A3030="","",DATE(YEAR(A3030),12,31)-DATE(YEAR(A3030),1,1)+1)</f>
        <v/>
      </c>
      <c r="D3030">
        <f>IF(A3030="","",SUMIFS(Акты!$D$5:$D$16,Акты!$E$5:$E$16,"&lt;="&amp;A3030)-SUMIFS(Оплаты!$B$6:$B$505,Оплаты!$A$6:$A$505,"&lt;"&amp;A3030,Оплаты!$D$6:$D$505,"&lt;&gt;"))</f>
        <v/>
      </c>
      <c r="E3030">
        <f>IF(A3030="","",IF(SUMPRODUCT((Ввод!$F$12:$F$31&lt;&gt;"")*(Ввод!$F$12:$F$31&lt;=A3030)*(Ввод!$G$12:$G$31&gt;=A3030))&gt;0,1,0))</f>
        <v/>
      </c>
      <c r="G3030">
        <f>IF(A3030="","",IF(OR(B3030&lt;&gt;B3029,C3030&lt;&gt;C3029,E3030&lt;&gt;E3029),G3029+1,G3029))</f>
        <v/>
      </c>
    </row>
    <row r="3031">
      <c r="A3031" s="20">
        <f>IF(A3030="","",IF(A3030+1&gt;Ввод!$B$4,"",A3030+1))</f>
        <v/>
      </c>
      <c r="B3031">
        <f>IF(A3031="","",IFERROR(INDEX(Ввод!$B$12:$B$71,MATCH(A3031,Ввод!$D$12:$D$71,1)),""))</f>
        <v/>
      </c>
      <c r="C3031">
        <f>IF(A3031="","",DATE(YEAR(A3031),12,31)-DATE(YEAR(A3031),1,1)+1)</f>
        <v/>
      </c>
      <c r="D3031">
        <f>IF(A3031="","",SUMIFS(Акты!$D$5:$D$16,Акты!$E$5:$E$16,"&lt;="&amp;A3031)-SUMIFS(Оплаты!$B$6:$B$505,Оплаты!$A$6:$A$505,"&lt;"&amp;A3031,Оплаты!$D$6:$D$505,"&lt;&gt;"))</f>
        <v/>
      </c>
      <c r="E3031">
        <f>IF(A3031="","",IF(SUMPRODUCT((Ввод!$F$12:$F$31&lt;&gt;"")*(Ввод!$F$12:$F$31&lt;=A3031)*(Ввод!$G$12:$G$31&gt;=A3031))&gt;0,1,0))</f>
        <v/>
      </c>
      <c r="G3031">
        <f>IF(A3031="","",IF(OR(B3031&lt;&gt;B3030,C3031&lt;&gt;C3030,E3031&lt;&gt;E3030),G3030+1,G3030))</f>
        <v/>
      </c>
    </row>
    <row r="3032">
      <c r="A3032" s="20">
        <f>IF(A3031="","",IF(A3031+1&gt;Ввод!$B$4,"",A3031+1))</f>
        <v/>
      </c>
      <c r="B3032">
        <f>IF(A3032="","",IFERROR(INDEX(Ввод!$B$12:$B$71,MATCH(A3032,Ввод!$D$12:$D$71,1)),""))</f>
        <v/>
      </c>
      <c r="C3032">
        <f>IF(A3032="","",DATE(YEAR(A3032),12,31)-DATE(YEAR(A3032),1,1)+1)</f>
        <v/>
      </c>
      <c r="D3032">
        <f>IF(A3032="","",SUMIFS(Акты!$D$5:$D$16,Акты!$E$5:$E$16,"&lt;="&amp;A3032)-SUMIFS(Оплаты!$B$6:$B$505,Оплаты!$A$6:$A$505,"&lt;"&amp;A3032,Оплаты!$D$6:$D$505,"&lt;&gt;"))</f>
        <v/>
      </c>
      <c r="E3032">
        <f>IF(A3032="","",IF(SUMPRODUCT((Ввод!$F$12:$F$31&lt;&gt;"")*(Ввод!$F$12:$F$31&lt;=A3032)*(Ввод!$G$12:$G$31&gt;=A3032))&gt;0,1,0))</f>
        <v/>
      </c>
      <c r="G3032">
        <f>IF(A3032="","",IF(OR(B3032&lt;&gt;B3031,C3032&lt;&gt;C3031,E3032&lt;&gt;E3031),G3031+1,G3031))</f>
        <v/>
      </c>
    </row>
    <row r="3033">
      <c r="A3033" s="20">
        <f>IF(A3032="","",IF(A3032+1&gt;Ввод!$B$4,"",A3032+1))</f>
        <v/>
      </c>
      <c r="B3033">
        <f>IF(A3033="","",IFERROR(INDEX(Ввод!$B$12:$B$71,MATCH(A3033,Ввод!$D$12:$D$71,1)),""))</f>
        <v/>
      </c>
      <c r="C3033">
        <f>IF(A3033="","",DATE(YEAR(A3033),12,31)-DATE(YEAR(A3033),1,1)+1)</f>
        <v/>
      </c>
      <c r="D3033">
        <f>IF(A3033="","",SUMIFS(Акты!$D$5:$D$16,Акты!$E$5:$E$16,"&lt;="&amp;A3033)-SUMIFS(Оплаты!$B$6:$B$505,Оплаты!$A$6:$A$505,"&lt;"&amp;A3033,Оплаты!$D$6:$D$505,"&lt;&gt;"))</f>
        <v/>
      </c>
      <c r="E3033">
        <f>IF(A3033="","",IF(SUMPRODUCT((Ввод!$F$12:$F$31&lt;&gt;"")*(Ввод!$F$12:$F$31&lt;=A3033)*(Ввод!$G$12:$G$31&gt;=A3033))&gt;0,1,0))</f>
        <v/>
      </c>
      <c r="G3033">
        <f>IF(A3033="","",IF(OR(B3033&lt;&gt;B3032,C3033&lt;&gt;C3032,E3033&lt;&gt;E3032),G3032+1,G3032))</f>
        <v/>
      </c>
    </row>
    <row r="3034">
      <c r="A3034" s="20">
        <f>IF(A3033="","",IF(A3033+1&gt;Ввод!$B$4,"",A3033+1))</f>
        <v/>
      </c>
      <c r="B3034">
        <f>IF(A3034="","",IFERROR(INDEX(Ввод!$B$12:$B$71,MATCH(A3034,Ввод!$D$12:$D$71,1)),""))</f>
        <v/>
      </c>
      <c r="C3034">
        <f>IF(A3034="","",DATE(YEAR(A3034),12,31)-DATE(YEAR(A3034),1,1)+1)</f>
        <v/>
      </c>
      <c r="D3034">
        <f>IF(A3034="","",SUMIFS(Акты!$D$5:$D$16,Акты!$E$5:$E$16,"&lt;="&amp;A3034)-SUMIFS(Оплаты!$B$6:$B$505,Оплаты!$A$6:$A$505,"&lt;"&amp;A3034,Оплаты!$D$6:$D$505,"&lt;&gt;"))</f>
        <v/>
      </c>
      <c r="E3034">
        <f>IF(A3034="","",IF(SUMPRODUCT((Ввод!$F$12:$F$31&lt;&gt;"")*(Ввод!$F$12:$F$31&lt;=A3034)*(Ввод!$G$12:$G$31&gt;=A3034))&gt;0,1,0))</f>
        <v/>
      </c>
      <c r="G3034">
        <f>IF(A3034="","",IF(OR(B3034&lt;&gt;B3033,C3034&lt;&gt;C3033,E3034&lt;&gt;E3033),G3033+1,G3033))</f>
        <v/>
      </c>
    </row>
    <row r="3035">
      <c r="A3035" s="20">
        <f>IF(A3034="","",IF(A3034+1&gt;Ввод!$B$4,"",A3034+1))</f>
        <v/>
      </c>
      <c r="B3035">
        <f>IF(A3035="","",IFERROR(INDEX(Ввод!$B$12:$B$71,MATCH(A3035,Ввод!$D$12:$D$71,1)),""))</f>
        <v/>
      </c>
      <c r="C3035">
        <f>IF(A3035="","",DATE(YEAR(A3035),12,31)-DATE(YEAR(A3035),1,1)+1)</f>
        <v/>
      </c>
      <c r="D3035">
        <f>IF(A3035="","",SUMIFS(Акты!$D$5:$D$16,Акты!$E$5:$E$16,"&lt;="&amp;A3035)-SUMIFS(Оплаты!$B$6:$B$505,Оплаты!$A$6:$A$505,"&lt;"&amp;A3035,Оплаты!$D$6:$D$505,"&lt;&gt;"))</f>
        <v/>
      </c>
      <c r="E3035">
        <f>IF(A3035="","",IF(SUMPRODUCT((Ввод!$F$12:$F$31&lt;&gt;"")*(Ввод!$F$12:$F$31&lt;=A3035)*(Ввод!$G$12:$G$31&gt;=A3035))&gt;0,1,0))</f>
        <v/>
      </c>
      <c r="G3035">
        <f>IF(A3035="","",IF(OR(B3035&lt;&gt;B3034,C3035&lt;&gt;C3034,E3035&lt;&gt;E3034),G3034+1,G3034))</f>
        <v/>
      </c>
    </row>
    <row r="3036">
      <c r="A3036" s="20">
        <f>IF(A3035="","",IF(A3035+1&gt;Ввод!$B$4,"",A3035+1))</f>
        <v/>
      </c>
      <c r="B3036">
        <f>IF(A3036="","",IFERROR(INDEX(Ввод!$B$12:$B$71,MATCH(A3036,Ввод!$D$12:$D$71,1)),""))</f>
        <v/>
      </c>
      <c r="C3036">
        <f>IF(A3036="","",DATE(YEAR(A3036),12,31)-DATE(YEAR(A3036),1,1)+1)</f>
        <v/>
      </c>
      <c r="D3036">
        <f>IF(A3036="","",SUMIFS(Акты!$D$5:$D$16,Акты!$E$5:$E$16,"&lt;="&amp;A3036)-SUMIFS(Оплаты!$B$6:$B$505,Оплаты!$A$6:$A$505,"&lt;"&amp;A3036,Оплаты!$D$6:$D$505,"&lt;&gt;"))</f>
        <v/>
      </c>
      <c r="E3036">
        <f>IF(A3036="","",IF(SUMPRODUCT((Ввод!$F$12:$F$31&lt;&gt;"")*(Ввод!$F$12:$F$31&lt;=A3036)*(Ввод!$G$12:$G$31&gt;=A3036))&gt;0,1,0))</f>
        <v/>
      </c>
      <c r="G3036">
        <f>IF(A3036="","",IF(OR(B3036&lt;&gt;B3035,C3036&lt;&gt;C3035,E3036&lt;&gt;E3035),G3035+1,G3035))</f>
        <v/>
      </c>
    </row>
    <row r="3037">
      <c r="A3037" s="20">
        <f>IF(A3036="","",IF(A3036+1&gt;Ввод!$B$4,"",A3036+1))</f>
        <v/>
      </c>
      <c r="B3037">
        <f>IF(A3037="","",IFERROR(INDEX(Ввод!$B$12:$B$71,MATCH(A3037,Ввод!$D$12:$D$71,1)),""))</f>
        <v/>
      </c>
      <c r="C3037">
        <f>IF(A3037="","",DATE(YEAR(A3037),12,31)-DATE(YEAR(A3037),1,1)+1)</f>
        <v/>
      </c>
      <c r="D3037">
        <f>IF(A3037="","",SUMIFS(Акты!$D$5:$D$16,Акты!$E$5:$E$16,"&lt;="&amp;A3037)-SUMIFS(Оплаты!$B$6:$B$505,Оплаты!$A$6:$A$505,"&lt;"&amp;A3037,Оплаты!$D$6:$D$505,"&lt;&gt;"))</f>
        <v/>
      </c>
      <c r="E3037">
        <f>IF(A3037="","",IF(SUMPRODUCT((Ввод!$F$12:$F$31&lt;&gt;"")*(Ввод!$F$12:$F$31&lt;=A3037)*(Ввод!$G$12:$G$31&gt;=A3037))&gt;0,1,0))</f>
        <v/>
      </c>
      <c r="G3037">
        <f>IF(A3037="","",IF(OR(B3037&lt;&gt;B3036,C3037&lt;&gt;C3036,E3037&lt;&gt;E3036),G3036+1,G3036))</f>
        <v/>
      </c>
    </row>
    <row r="3038">
      <c r="A3038" s="20">
        <f>IF(A3037="","",IF(A3037+1&gt;Ввод!$B$4,"",A3037+1))</f>
        <v/>
      </c>
      <c r="B3038">
        <f>IF(A3038="","",IFERROR(INDEX(Ввод!$B$12:$B$71,MATCH(A3038,Ввод!$D$12:$D$71,1)),""))</f>
        <v/>
      </c>
      <c r="C3038">
        <f>IF(A3038="","",DATE(YEAR(A3038),12,31)-DATE(YEAR(A3038),1,1)+1)</f>
        <v/>
      </c>
      <c r="D3038">
        <f>IF(A3038="","",SUMIFS(Акты!$D$5:$D$16,Акты!$E$5:$E$16,"&lt;="&amp;A3038)-SUMIFS(Оплаты!$B$6:$B$505,Оплаты!$A$6:$A$505,"&lt;"&amp;A3038,Оплаты!$D$6:$D$505,"&lt;&gt;"))</f>
        <v/>
      </c>
      <c r="E3038">
        <f>IF(A3038="","",IF(SUMPRODUCT((Ввод!$F$12:$F$31&lt;&gt;"")*(Ввод!$F$12:$F$31&lt;=A3038)*(Ввод!$G$12:$G$31&gt;=A3038))&gt;0,1,0))</f>
        <v/>
      </c>
      <c r="G3038">
        <f>IF(A3038="","",IF(OR(B3038&lt;&gt;B3037,C3038&lt;&gt;C3037,E3038&lt;&gt;E3037),G3037+1,G3037))</f>
        <v/>
      </c>
    </row>
    <row r="3039">
      <c r="A3039" s="20">
        <f>IF(A3038="","",IF(A3038+1&gt;Ввод!$B$4,"",A3038+1))</f>
        <v/>
      </c>
      <c r="B3039">
        <f>IF(A3039="","",IFERROR(INDEX(Ввод!$B$12:$B$71,MATCH(A3039,Ввод!$D$12:$D$71,1)),""))</f>
        <v/>
      </c>
      <c r="C3039">
        <f>IF(A3039="","",DATE(YEAR(A3039),12,31)-DATE(YEAR(A3039),1,1)+1)</f>
        <v/>
      </c>
      <c r="D3039">
        <f>IF(A3039="","",SUMIFS(Акты!$D$5:$D$16,Акты!$E$5:$E$16,"&lt;="&amp;A3039)-SUMIFS(Оплаты!$B$6:$B$505,Оплаты!$A$6:$A$505,"&lt;"&amp;A3039,Оплаты!$D$6:$D$505,"&lt;&gt;"))</f>
        <v/>
      </c>
      <c r="E3039">
        <f>IF(A3039="","",IF(SUMPRODUCT((Ввод!$F$12:$F$31&lt;&gt;"")*(Ввод!$F$12:$F$31&lt;=A3039)*(Ввод!$G$12:$G$31&gt;=A3039))&gt;0,1,0))</f>
        <v/>
      </c>
      <c r="G3039">
        <f>IF(A3039="","",IF(OR(B3039&lt;&gt;B3038,C3039&lt;&gt;C3038,E3039&lt;&gt;E3038),G3038+1,G3038))</f>
        <v/>
      </c>
    </row>
    <row r="3040">
      <c r="A3040" s="20">
        <f>IF(A3039="","",IF(A3039+1&gt;Ввод!$B$4,"",A3039+1))</f>
        <v/>
      </c>
      <c r="B3040">
        <f>IF(A3040="","",IFERROR(INDEX(Ввод!$B$12:$B$71,MATCH(A3040,Ввод!$D$12:$D$71,1)),""))</f>
        <v/>
      </c>
      <c r="C3040">
        <f>IF(A3040="","",DATE(YEAR(A3040),12,31)-DATE(YEAR(A3040),1,1)+1)</f>
        <v/>
      </c>
      <c r="D3040">
        <f>IF(A3040="","",SUMIFS(Акты!$D$5:$D$16,Акты!$E$5:$E$16,"&lt;="&amp;A3040)-SUMIFS(Оплаты!$B$6:$B$505,Оплаты!$A$6:$A$505,"&lt;"&amp;A3040,Оплаты!$D$6:$D$505,"&lt;&gt;"))</f>
        <v/>
      </c>
      <c r="E3040">
        <f>IF(A3040="","",IF(SUMPRODUCT((Ввод!$F$12:$F$31&lt;&gt;"")*(Ввод!$F$12:$F$31&lt;=A3040)*(Ввод!$G$12:$G$31&gt;=A3040))&gt;0,1,0))</f>
        <v/>
      </c>
      <c r="G3040">
        <f>IF(A3040="","",IF(OR(B3040&lt;&gt;B3039,C3040&lt;&gt;C3039,E3040&lt;&gt;E3039),G3039+1,G3039))</f>
        <v/>
      </c>
    </row>
    <row r="3041">
      <c r="A3041" s="20">
        <f>IF(A3040="","",IF(A3040+1&gt;Ввод!$B$4,"",A3040+1))</f>
        <v/>
      </c>
      <c r="B3041">
        <f>IF(A3041="","",IFERROR(INDEX(Ввод!$B$12:$B$71,MATCH(A3041,Ввод!$D$12:$D$71,1)),""))</f>
        <v/>
      </c>
      <c r="C3041">
        <f>IF(A3041="","",DATE(YEAR(A3041),12,31)-DATE(YEAR(A3041),1,1)+1)</f>
        <v/>
      </c>
      <c r="D3041">
        <f>IF(A3041="","",SUMIFS(Акты!$D$5:$D$16,Акты!$E$5:$E$16,"&lt;="&amp;A3041)-SUMIFS(Оплаты!$B$6:$B$505,Оплаты!$A$6:$A$505,"&lt;"&amp;A3041,Оплаты!$D$6:$D$505,"&lt;&gt;"))</f>
        <v/>
      </c>
      <c r="E3041">
        <f>IF(A3041="","",IF(SUMPRODUCT((Ввод!$F$12:$F$31&lt;&gt;"")*(Ввод!$F$12:$F$31&lt;=A3041)*(Ввод!$G$12:$G$31&gt;=A3041))&gt;0,1,0))</f>
        <v/>
      </c>
      <c r="G3041">
        <f>IF(A3041="","",IF(OR(B3041&lt;&gt;B3040,C3041&lt;&gt;C3040,E3041&lt;&gt;E3040),G3040+1,G3040))</f>
        <v/>
      </c>
    </row>
    <row r="3042">
      <c r="A3042" s="20">
        <f>IF(A3041="","",IF(A3041+1&gt;Ввод!$B$4,"",A3041+1))</f>
        <v/>
      </c>
      <c r="B3042">
        <f>IF(A3042="","",IFERROR(INDEX(Ввод!$B$12:$B$71,MATCH(A3042,Ввод!$D$12:$D$71,1)),""))</f>
        <v/>
      </c>
      <c r="C3042">
        <f>IF(A3042="","",DATE(YEAR(A3042),12,31)-DATE(YEAR(A3042),1,1)+1)</f>
        <v/>
      </c>
      <c r="D3042">
        <f>IF(A3042="","",SUMIFS(Акты!$D$5:$D$16,Акты!$E$5:$E$16,"&lt;="&amp;A3042)-SUMIFS(Оплаты!$B$6:$B$505,Оплаты!$A$6:$A$505,"&lt;"&amp;A3042,Оплаты!$D$6:$D$505,"&lt;&gt;"))</f>
        <v/>
      </c>
      <c r="E3042">
        <f>IF(A3042="","",IF(SUMPRODUCT((Ввод!$F$12:$F$31&lt;&gt;"")*(Ввод!$F$12:$F$31&lt;=A3042)*(Ввод!$G$12:$G$31&gt;=A3042))&gt;0,1,0))</f>
        <v/>
      </c>
      <c r="G3042">
        <f>IF(A3042="","",IF(OR(B3042&lt;&gt;B3041,C3042&lt;&gt;C3041,E3042&lt;&gt;E3041),G3041+1,G3041))</f>
        <v/>
      </c>
    </row>
    <row r="3043">
      <c r="A3043" s="20">
        <f>IF(A3042="","",IF(A3042+1&gt;Ввод!$B$4,"",A3042+1))</f>
        <v/>
      </c>
      <c r="B3043">
        <f>IF(A3043="","",IFERROR(INDEX(Ввод!$B$12:$B$71,MATCH(A3043,Ввод!$D$12:$D$71,1)),""))</f>
        <v/>
      </c>
      <c r="C3043">
        <f>IF(A3043="","",DATE(YEAR(A3043),12,31)-DATE(YEAR(A3043),1,1)+1)</f>
        <v/>
      </c>
      <c r="D3043">
        <f>IF(A3043="","",SUMIFS(Акты!$D$5:$D$16,Акты!$E$5:$E$16,"&lt;="&amp;A3043)-SUMIFS(Оплаты!$B$6:$B$505,Оплаты!$A$6:$A$505,"&lt;"&amp;A3043,Оплаты!$D$6:$D$505,"&lt;&gt;"))</f>
        <v/>
      </c>
      <c r="E3043">
        <f>IF(A3043="","",IF(SUMPRODUCT((Ввод!$F$12:$F$31&lt;&gt;"")*(Ввод!$F$12:$F$31&lt;=A3043)*(Ввод!$G$12:$G$31&gt;=A3043))&gt;0,1,0))</f>
        <v/>
      </c>
      <c r="G3043">
        <f>IF(A3043="","",IF(OR(B3043&lt;&gt;B3042,C3043&lt;&gt;C3042,E3043&lt;&gt;E3042),G3042+1,G3042))</f>
        <v/>
      </c>
    </row>
    <row r="3044">
      <c r="A3044" s="20">
        <f>IF(A3043="","",IF(A3043+1&gt;Ввод!$B$4,"",A3043+1))</f>
        <v/>
      </c>
      <c r="B3044">
        <f>IF(A3044="","",IFERROR(INDEX(Ввод!$B$12:$B$71,MATCH(A3044,Ввод!$D$12:$D$71,1)),""))</f>
        <v/>
      </c>
      <c r="C3044">
        <f>IF(A3044="","",DATE(YEAR(A3044),12,31)-DATE(YEAR(A3044),1,1)+1)</f>
        <v/>
      </c>
      <c r="D3044">
        <f>IF(A3044="","",SUMIFS(Акты!$D$5:$D$16,Акты!$E$5:$E$16,"&lt;="&amp;A3044)-SUMIFS(Оплаты!$B$6:$B$505,Оплаты!$A$6:$A$505,"&lt;"&amp;A3044,Оплаты!$D$6:$D$505,"&lt;&gt;"))</f>
        <v/>
      </c>
      <c r="E3044">
        <f>IF(A3044="","",IF(SUMPRODUCT((Ввод!$F$12:$F$31&lt;&gt;"")*(Ввод!$F$12:$F$31&lt;=A3044)*(Ввод!$G$12:$G$31&gt;=A3044))&gt;0,1,0))</f>
        <v/>
      </c>
      <c r="G3044">
        <f>IF(A3044="","",IF(OR(B3044&lt;&gt;B3043,C3044&lt;&gt;C3043,E3044&lt;&gt;E3043),G3043+1,G3043))</f>
        <v/>
      </c>
    </row>
    <row r="3045">
      <c r="A3045" s="20">
        <f>IF(A3044="","",IF(A3044+1&gt;Ввод!$B$4,"",A3044+1))</f>
        <v/>
      </c>
      <c r="B3045">
        <f>IF(A3045="","",IFERROR(INDEX(Ввод!$B$12:$B$71,MATCH(A3045,Ввод!$D$12:$D$71,1)),""))</f>
        <v/>
      </c>
      <c r="C3045">
        <f>IF(A3045="","",DATE(YEAR(A3045),12,31)-DATE(YEAR(A3045),1,1)+1)</f>
        <v/>
      </c>
      <c r="D3045">
        <f>IF(A3045="","",SUMIFS(Акты!$D$5:$D$16,Акты!$E$5:$E$16,"&lt;="&amp;A3045)-SUMIFS(Оплаты!$B$6:$B$505,Оплаты!$A$6:$A$505,"&lt;"&amp;A3045,Оплаты!$D$6:$D$505,"&lt;&gt;"))</f>
        <v/>
      </c>
      <c r="E3045">
        <f>IF(A3045="","",IF(SUMPRODUCT((Ввод!$F$12:$F$31&lt;&gt;"")*(Ввод!$F$12:$F$31&lt;=A3045)*(Ввод!$G$12:$G$31&gt;=A3045))&gt;0,1,0))</f>
        <v/>
      </c>
      <c r="G3045">
        <f>IF(A3045="","",IF(OR(B3045&lt;&gt;B3044,C3045&lt;&gt;C3044,E3045&lt;&gt;E3044),G3044+1,G3044))</f>
        <v/>
      </c>
    </row>
    <row r="3046">
      <c r="A3046" s="20">
        <f>IF(A3045="","",IF(A3045+1&gt;Ввод!$B$4,"",A3045+1))</f>
        <v/>
      </c>
      <c r="B3046">
        <f>IF(A3046="","",IFERROR(INDEX(Ввод!$B$12:$B$71,MATCH(A3046,Ввод!$D$12:$D$71,1)),""))</f>
        <v/>
      </c>
      <c r="C3046">
        <f>IF(A3046="","",DATE(YEAR(A3046),12,31)-DATE(YEAR(A3046),1,1)+1)</f>
        <v/>
      </c>
      <c r="D3046">
        <f>IF(A3046="","",SUMIFS(Акты!$D$5:$D$16,Акты!$E$5:$E$16,"&lt;="&amp;A3046)-SUMIFS(Оплаты!$B$6:$B$505,Оплаты!$A$6:$A$505,"&lt;"&amp;A3046,Оплаты!$D$6:$D$505,"&lt;&gt;"))</f>
        <v/>
      </c>
      <c r="E3046">
        <f>IF(A3046="","",IF(SUMPRODUCT((Ввод!$F$12:$F$31&lt;&gt;"")*(Ввод!$F$12:$F$31&lt;=A3046)*(Ввод!$G$12:$G$31&gt;=A3046))&gt;0,1,0))</f>
        <v/>
      </c>
      <c r="G3046">
        <f>IF(A3046="","",IF(OR(B3046&lt;&gt;B3045,C3046&lt;&gt;C3045,E3046&lt;&gt;E3045),G3045+1,G3045))</f>
        <v/>
      </c>
    </row>
    <row r="3047">
      <c r="A3047" s="20">
        <f>IF(A3046="","",IF(A3046+1&gt;Ввод!$B$4,"",A3046+1))</f>
        <v/>
      </c>
      <c r="B3047">
        <f>IF(A3047="","",IFERROR(INDEX(Ввод!$B$12:$B$71,MATCH(A3047,Ввод!$D$12:$D$71,1)),""))</f>
        <v/>
      </c>
      <c r="C3047">
        <f>IF(A3047="","",DATE(YEAR(A3047),12,31)-DATE(YEAR(A3047),1,1)+1)</f>
        <v/>
      </c>
      <c r="D3047">
        <f>IF(A3047="","",SUMIFS(Акты!$D$5:$D$16,Акты!$E$5:$E$16,"&lt;="&amp;A3047)-SUMIFS(Оплаты!$B$6:$B$505,Оплаты!$A$6:$A$505,"&lt;"&amp;A3047,Оплаты!$D$6:$D$505,"&lt;&gt;"))</f>
        <v/>
      </c>
      <c r="E3047">
        <f>IF(A3047="","",IF(SUMPRODUCT((Ввод!$F$12:$F$31&lt;&gt;"")*(Ввод!$F$12:$F$31&lt;=A3047)*(Ввод!$G$12:$G$31&gt;=A3047))&gt;0,1,0))</f>
        <v/>
      </c>
      <c r="G3047">
        <f>IF(A3047="","",IF(OR(B3047&lt;&gt;B3046,C3047&lt;&gt;C3046,E3047&lt;&gt;E3046),G3046+1,G3046))</f>
        <v/>
      </c>
    </row>
    <row r="3048">
      <c r="A3048" s="20">
        <f>IF(A3047="","",IF(A3047+1&gt;Ввод!$B$4,"",A3047+1))</f>
        <v/>
      </c>
      <c r="B3048">
        <f>IF(A3048="","",IFERROR(INDEX(Ввод!$B$12:$B$71,MATCH(A3048,Ввод!$D$12:$D$71,1)),""))</f>
        <v/>
      </c>
      <c r="C3048">
        <f>IF(A3048="","",DATE(YEAR(A3048),12,31)-DATE(YEAR(A3048),1,1)+1)</f>
        <v/>
      </c>
      <c r="D3048">
        <f>IF(A3048="","",SUMIFS(Акты!$D$5:$D$16,Акты!$E$5:$E$16,"&lt;="&amp;A3048)-SUMIFS(Оплаты!$B$6:$B$505,Оплаты!$A$6:$A$505,"&lt;"&amp;A3048,Оплаты!$D$6:$D$505,"&lt;&gt;"))</f>
        <v/>
      </c>
      <c r="E3048">
        <f>IF(A3048="","",IF(SUMPRODUCT((Ввод!$F$12:$F$31&lt;&gt;"")*(Ввод!$F$12:$F$31&lt;=A3048)*(Ввод!$G$12:$G$31&gt;=A3048))&gt;0,1,0))</f>
        <v/>
      </c>
      <c r="G3048">
        <f>IF(A3048="","",IF(OR(B3048&lt;&gt;B3047,C3048&lt;&gt;C3047,E3048&lt;&gt;E3047),G3047+1,G3047))</f>
        <v/>
      </c>
    </row>
    <row r="3049">
      <c r="A3049" s="20">
        <f>IF(A3048="","",IF(A3048+1&gt;Ввод!$B$4,"",A3048+1))</f>
        <v/>
      </c>
      <c r="B3049">
        <f>IF(A3049="","",IFERROR(INDEX(Ввод!$B$12:$B$71,MATCH(A3049,Ввод!$D$12:$D$71,1)),""))</f>
        <v/>
      </c>
      <c r="C3049">
        <f>IF(A3049="","",DATE(YEAR(A3049),12,31)-DATE(YEAR(A3049),1,1)+1)</f>
        <v/>
      </c>
      <c r="D3049">
        <f>IF(A3049="","",SUMIFS(Акты!$D$5:$D$16,Акты!$E$5:$E$16,"&lt;="&amp;A3049)-SUMIFS(Оплаты!$B$6:$B$505,Оплаты!$A$6:$A$505,"&lt;"&amp;A3049,Оплаты!$D$6:$D$505,"&lt;&gt;"))</f>
        <v/>
      </c>
      <c r="E3049">
        <f>IF(A3049="","",IF(SUMPRODUCT((Ввод!$F$12:$F$31&lt;&gt;"")*(Ввод!$F$12:$F$31&lt;=A3049)*(Ввод!$G$12:$G$31&gt;=A3049))&gt;0,1,0))</f>
        <v/>
      </c>
      <c r="G3049">
        <f>IF(A3049="","",IF(OR(B3049&lt;&gt;B3048,C3049&lt;&gt;C3048,E3049&lt;&gt;E3048),G3048+1,G3048))</f>
        <v/>
      </c>
    </row>
    <row r="3050">
      <c r="A3050" s="20">
        <f>IF(A3049="","",IF(A3049+1&gt;Ввод!$B$4,"",A3049+1))</f>
        <v/>
      </c>
      <c r="B3050">
        <f>IF(A3050="","",IFERROR(INDEX(Ввод!$B$12:$B$71,MATCH(A3050,Ввод!$D$12:$D$71,1)),""))</f>
        <v/>
      </c>
      <c r="C3050">
        <f>IF(A3050="","",DATE(YEAR(A3050),12,31)-DATE(YEAR(A3050),1,1)+1)</f>
        <v/>
      </c>
      <c r="D3050">
        <f>IF(A3050="","",SUMIFS(Акты!$D$5:$D$16,Акты!$E$5:$E$16,"&lt;="&amp;A3050)-SUMIFS(Оплаты!$B$6:$B$505,Оплаты!$A$6:$A$505,"&lt;"&amp;A3050,Оплаты!$D$6:$D$505,"&lt;&gt;"))</f>
        <v/>
      </c>
      <c r="E3050">
        <f>IF(A3050="","",IF(SUMPRODUCT((Ввод!$F$12:$F$31&lt;&gt;"")*(Ввод!$F$12:$F$31&lt;=A3050)*(Ввод!$G$12:$G$31&gt;=A3050))&gt;0,1,0))</f>
        <v/>
      </c>
      <c r="G3050">
        <f>IF(A3050="","",IF(OR(B3050&lt;&gt;B3049,C3050&lt;&gt;C3049,E3050&lt;&gt;E3049),G3049+1,G3049))</f>
        <v/>
      </c>
    </row>
    <row r="3051">
      <c r="A3051" s="20">
        <f>IF(A3050="","",IF(A3050+1&gt;Ввод!$B$4,"",A3050+1))</f>
        <v/>
      </c>
      <c r="B3051">
        <f>IF(A3051="","",IFERROR(INDEX(Ввод!$B$12:$B$71,MATCH(A3051,Ввод!$D$12:$D$71,1)),""))</f>
        <v/>
      </c>
      <c r="C3051">
        <f>IF(A3051="","",DATE(YEAR(A3051),12,31)-DATE(YEAR(A3051),1,1)+1)</f>
        <v/>
      </c>
      <c r="D3051">
        <f>IF(A3051="","",SUMIFS(Акты!$D$5:$D$16,Акты!$E$5:$E$16,"&lt;="&amp;A3051)-SUMIFS(Оплаты!$B$6:$B$505,Оплаты!$A$6:$A$505,"&lt;"&amp;A3051,Оплаты!$D$6:$D$505,"&lt;&gt;"))</f>
        <v/>
      </c>
      <c r="E3051">
        <f>IF(A3051="","",IF(SUMPRODUCT((Ввод!$F$12:$F$31&lt;&gt;"")*(Ввод!$F$12:$F$31&lt;=A3051)*(Ввод!$G$12:$G$31&gt;=A3051))&gt;0,1,0))</f>
        <v/>
      </c>
      <c r="G3051">
        <f>IF(A3051="","",IF(OR(B3051&lt;&gt;B3050,C3051&lt;&gt;C3050,E3051&lt;&gt;E3050),G3050+1,G3050))</f>
        <v/>
      </c>
    </row>
    <row r="3052">
      <c r="A3052" s="20">
        <f>IF(A3051="","",IF(A3051+1&gt;Ввод!$B$4,"",A3051+1))</f>
        <v/>
      </c>
      <c r="B3052">
        <f>IF(A3052="","",IFERROR(INDEX(Ввод!$B$12:$B$71,MATCH(A3052,Ввод!$D$12:$D$71,1)),""))</f>
        <v/>
      </c>
      <c r="C3052">
        <f>IF(A3052="","",DATE(YEAR(A3052),12,31)-DATE(YEAR(A3052),1,1)+1)</f>
        <v/>
      </c>
      <c r="D3052">
        <f>IF(A3052="","",SUMIFS(Акты!$D$5:$D$16,Акты!$E$5:$E$16,"&lt;="&amp;A3052)-SUMIFS(Оплаты!$B$6:$B$505,Оплаты!$A$6:$A$505,"&lt;"&amp;A3052,Оплаты!$D$6:$D$505,"&lt;&gt;"))</f>
        <v/>
      </c>
      <c r="E3052">
        <f>IF(A3052="","",IF(SUMPRODUCT((Ввод!$F$12:$F$31&lt;&gt;"")*(Ввод!$F$12:$F$31&lt;=A3052)*(Ввод!$G$12:$G$31&gt;=A3052))&gt;0,1,0))</f>
        <v/>
      </c>
      <c r="G3052">
        <f>IF(A3052="","",IF(OR(B3052&lt;&gt;B3051,C3052&lt;&gt;C3051,E3052&lt;&gt;E3051),G3051+1,G3051))</f>
        <v/>
      </c>
    </row>
    <row r="3053">
      <c r="A3053" s="20">
        <f>IF(A3052="","",IF(A3052+1&gt;Ввод!$B$4,"",A3052+1))</f>
        <v/>
      </c>
      <c r="B3053">
        <f>IF(A3053="","",IFERROR(INDEX(Ввод!$B$12:$B$71,MATCH(A3053,Ввод!$D$12:$D$71,1)),""))</f>
        <v/>
      </c>
      <c r="C3053">
        <f>IF(A3053="","",DATE(YEAR(A3053),12,31)-DATE(YEAR(A3053),1,1)+1)</f>
        <v/>
      </c>
      <c r="D3053">
        <f>IF(A3053="","",SUMIFS(Акты!$D$5:$D$16,Акты!$E$5:$E$16,"&lt;="&amp;A3053)-SUMIFS(Оплаты!$B$6:$B$505,Оплаты!$A$6:$A$505,"&lt;"&amp;A3053,Оплаты!$D$6:$D$505,"&lt;&gt;"))</f>
        <v/>
      </c>
      <c r="E3053">
        <f>IF(A3053="","",IF(SUMPRODUCT((Ввод!$F$12:$F$31&lt;&gt;"")*(Ввод!$F$12:$F$31&lt;=A3053)*(Ввод!$G$12:$G$31&gt;=A3053))&gt;0,1,0))</f>
        <v/>
      </c>
      <c r="G3053">
        <f>IF(A3053="","",IF(OR(B3053&lt;&gt;B3052,C3053&lt;&gt;C3052,E3053&lt;&gt;E3052),G3052+1,G3052))</f>
        <v/>
      </c>
    </row>
    <row r="3054">
      <c r="A3054" s="20">
        <f>IF(A3053="","",IF(A3053+1&gt;Ввод!$B$4,"",A3053+1))</f>
        <v/>
      </c>
      <c r="B3054">
        <f>IF(A3054="","",IFERROR(INDEX(Ввод!$B$12:$B$71,MATCH(A3054,Ввод!$D$12:$D$71,1)),""))</f>
        <v/>
      </c>
      <c r="C3054">
        <f>IF(A3054="","",DATE(YEAR(A3054),12,31)-DATE(YEAR(A3054),1,1)+1)</f>
        <v/>
      </c>
      <c r="D3054">
        <f>IF(A3054="","",SUMIFS(Акты!$D$5:$D$16,Акты!$E$5:$E$16,"&lt;="&amp;A3054)-SUMIFS(Оплаты!$B$6:$B$505,Оплаты!$A$6:$A$505,"&lt;"&amp;A3054,Оплаты!$D$6:$D$505,"&lt;&gt;"))</f>
        <v/>
      </c>
      <c r="E3054">
        <f>IF(A3054="","",IF(SUMPRODUCT((Ввод!$F$12:$F$31&lt;&gt;"")*(Ввод!$F$12:$F$31&lt;=A3054)*(Ввод!$G$12:$G$31&gt;=A3054))&gt;0,1,0))</f>
        <v/>
      </c>
      <c r="G3054">
        <f>IF(A3054="","",IF(OR(B3054&lt;&gt;B3053,C3054&lt;&gt;C3053,E3054&lt;&gt;E3053),G3053+1,G3053))</f>
        <v/>
      </c>
    </row>
    <row r="3055">
      <c r="A3055" s="20">
        <f>IF(A3054="","",IF(A3054+1&gt;Ввод!$B$4,"",A3054+1))</f>
        <v/>
      </c>
      <c r="B3055">
        <f>IF(A3055="","",IFERROR(INDEX(Ввод!$B$12:$B$71,MATCH(A3055,Ввод!$D$12:$D$71,1)),""))</f>
        <v/>
      </c>
      <c r="C3055">
        <f>IF(A3055="","",DATE(YEAR(A3055),12,31)-DATE(YEAR(A3055),1,1)+1)</f>
        <v/>
      </c>
      <c r="D3055">
        <f>IF(A3055="","",SUMIFS(Акты!$D$5:$D$16,Акты!$E$5:$E$16,"&lt;="&amp;A3055)-SUMIFS(Оплаты!$B$6:$B$505,Оплаты!$A$6:$A$505,"&lt;"&amp;A3055,Оплаты!$D$6:$D$505,"&lt;&gt;"))</f>
        <v/>
      </c>
      <c r="E3055">
        <f>IF(A3055="","",IF(SUMPRODUCT((Ввод!$F$12:$F$31&lt;&gt;"")*(Ввод!$F$12:$F$31&lt;=A3055)*(Ввод!$G$12:$G$31&gt;=A3055))&gt;0,1,0))</f>
        <v/>
      </c>
      <c r="G3055">
        <f>IF(A3055="","",IF(OR(B3055&lt;&gt;B3054,C3055&lt;&gt;C3054,E3055&lt;&gt;E3054),G3054+1,G3054))</f>
        <v/>
      </c>
    </row>
    <row r="3056">
      <c r="A3056" s="20">
        <f>IF(A3055="","",IF(A3055+1&gt;Ввод!$B$4,"",A3055+1))</f>
        <v/>
      </c>
      <c r="B3056">
        <f>IF(A3056="","",IFERROR(INDEX(Ввод!$B$12:$B$71,MATCH(A3056,Ввод!$D$12:$D$71,1)),""))</f>
        <v/>
      </c>
      <c r="C3056">
        <f>IF(A3056="","",DATE(YEAR(A3056),12,31)-DATE(YEAR(A3056),1,1)+1)</f>
        <v/>
      </c>
      <c r="D3056">
        <f>IF(A3056="","",SUMIFS(Акты!$D$5:$D$16,Акты!$E$5:$E$16,"&lt;="&amp;A3056)-SUMIFS(Оплаты!$B$6:$B$505,Оплаты!$A$6:$A$505,"&lt;"&amp;A3056,Оплаты!$D$6:$D$505,"&lt;&gt;"))</f>
        <v/>
      </c>
      <c r="E3056">
        <f>IF(A3056="","",IF(SUMPRODUCT((Ввод!$F$12:$F$31&lt;&gt;"")*(Ввод!$F$12:$F$31&lt;=A3056)*(Ввод!$G$12:$G$31&gt;=A3056))&gt;0,1,0))</f>
        <v/>
      </c>
      <c r="G3056">
        <f>IF(A3056="","",IF(OR(B3056&lt;&gt;B3055,C3056&lt;&gt;C3055,E3056&lt;&gt;E3055),G3055+1,G3055))</f>
        <v/>
      </c>
    </row>
    <row r="3057">
      <c r="A3057" s="20">
        <f>IF(A3056="","",IF(A3056+1&gt;Ввод!$B$4,"",A3056+1))</f>
        <v/>
      </c>
      <c r="B3057">
        <f>IF(A3057="","",IFERROR(INDEX(Ввод!$B$12:$B$71,MATCH(A3057,Ввод!$D$12:$D$71,1)),""))</f>
        <v/>
      </c>
      <c r="C3057">
        <f>IF(A3057="","",DATE(YEAR(A3057),12,31)-DATE(YEAR(A3057),1,1)+1)</f>
        <v/>
      </c>
      <c r="D3057">
        <f>IF(A3057="","",SUMIFS(Акты!$D$5:$D$16,Акты!$E$5:$E$16,"&lt;="&amp;A3057)-SUMIFS(Оплаты!$B$6:$B$505,Оплаты!$A$6:$A$505,"&lt;"&amp;A3057,Оплаты!$D$6:$D$505,"&lt;&gt;"))</f>
        <v/>
      </c>
      <c r="E3057">
        <f>IF(A3057="","",IF(SUMPRODUCT((Ввод!$F$12:$F$31&lt;&gt;"")*(Ввод!$F$12:$F$31&lt;=A3057)*(Ввод!$G$12:$G$31&gt;=A3057))&gt;0,1,0))</f>
        <v/>
      </c>
      <c r="G3057">
        <f>IF(A3057="","",IF(OR(B3057&lt;&gt;B3056,C3057&lt;&gt;C3056,E3057&lt;&gt;E3056),G3056+1,G3056))</f>
        <v/>
      </c>
    </row>
    <row r="3058">
      <c r="A3058" s="20">
        <f>IF(A3057="","",IF(A3057+1&gt;Ввод!$B$4,"",A3057+1))</f>
        <v/>
      </c>
      <c r="B3058">
        <f>IF(A3058="","",IFERROR(INDEX(Ввод!$B$12:$B$71,MATCH(A3058,Ввод!$D$12:$D$71,1)),""))</f>
        <v/>
      </c>
      <c r="C3058">
        <f>IF(A3058="","",DATE(YEAR(A3058),12,31)-DATE(YEAR(A3058),1,1)+1)</f>
        <v/>
      </c>
      <c r="D3058">
        <f>IF(A3058="","",SUMIFS(Акты!$D$5:$D$16,Акты!$E$5:$E$16,"&lt;="&amp;A3058)-SUMIFS(Оплаты!$B$6:$B$505,Оплаты!$A$6:$A$505,"&lt;"&amp;A3058,Оплаты!$D$6:$D$505,"&lt;&gt;"))</f>
        <v/>
      </c>
      <c r="E3058">
        <f>IF(A3058="","",IF(SUMPRODUCT((Ввод!$F$12:$F$31&lt;&gt;"")*(Ввод!$F$12:$F$31&lt;=A3058)*(Ввод!$G$12:$G$31&gt;=A3058))&gt;0,1,0))</f>
        <v/>
      </c>
      <c r="G3058">
        <f>IF(A3058="","",IF(OR(B3058&lt;&gt;B3057,C3058&lt;&gt;C3057,E3058&lt;&gt;E3057),G3057+1,G3057))</f>
        <v/>
      </c>
    </row>
    <row r="3059">
      <c r="A3059" s="20">
        <f>IF(A3058="","",IF(A3058+1&gt;Ввод!$B$4,"",A3058+1))</f>
        <v/>
      </c>
      <c r="B3059">
        <f>IF(A3059="","",IFERROR(INDEX(Ввод!$B$12:$B$71,MATCH(A3059,Ввод!$D$12:$D$71,1)),""))</f>
        <v/>
      </c>
      <c r="C3059">
        <f>IF(A3059="","",DATE(YEAR(A3059),12,31)-DATE(YEAR(A3059),1,1)+1)</f>
        <v/>
      </c>
      <c r="D3059">
        <f>IF(A3059="","",SUMIFS(Акты!$D$5:$D$16,Акты!$E$5:$E$16,"&lt;="&amp;A3059)-SUMIFS(Оплаты!$B$6:$B$505,Оплаты!$A$6:$A$505,"&lt;"&amp;A3059,Оплаты!$D$6:$D$505,"&lt;&gt;"))</f>
        <v/>
      </c>
      <c r="E3059">
        <f>IF(A3059="","",IF(SUMPRODUCT((Ввод!$F$12:$F$31&lt;&gt;"")*(Ввод!$F$12:$F$31&lt;=A3059)*(Ввод!$G$12:$G$31&gt;=A3059))&gt;0,1,0))</f>
        <v/>
      </c>
      <c r="G3059">
        <f>IF(A3059="","",IF(OR(B3059&lt;&gt;B3058,C3059&lt;&gt;C3058,E3059&lt;&gt;E3058),G3058+1,G3058))</f>
        <v/>
      </c>
    </row>
    <row r="3060">
      <c r="A3060" s="20">
        <f>IF(A3059="","",IF(A3059+1&gt;Ввод!$B$4,"",A3059+1))</f>
        <v/>
      </c>
      <c r="B3060">
        <f>IF(A3060="","",IFERROR(INDEX(Ввод!$B$12:$B$71,MATCH(A3060,Ввод!$D$12:$D$71,1)),""))</f>
        <v/>
      </c>
      <c r="C3060">
        <f>IF(A3060="","",DATE(YEAR(A3060),12,31)-DATE(YEAR(A3060),1,1)+1)</f>
        <v/>
      </c>
      <c r="D3060">
        <f>IF(A3060="","",SUMIFS(Акты!$D$5:$D$16,Акты!$E$5:$E$16,"&lt;="&amp;A3060)-SUMIFS(Оплаты!$B$6:$B$505,Оплаты!$A$6:$A$505,"&lt;"&amp;A3060,Оплаты!$D$6:$D$505,"&lt;&gt;"))</f>
        <v/>
      </c>
      <c r="E3060">
        <f>IF(A3060="","",IF(SUMPRODUCT((Ввод!$F$12:$F$31&lt;&gt;"")*(Ввод!$F$12:$F$31&lt;=A3060)*(Ввод!$G$12:$G$31&gt;=A3060))&gt;0,1,0))</f>
        <v/>
      </c>
      <c r="G3060">
        <f>IF(A3060="","",IF(OR(B3060&lt;&gt;B3059,C3060&lt;&gt;C3059,E3060&lt;&gt;E3059),G3059+1,G3059))</f>
        <v/>
      </c>
    </row>
    <row r="3061">
      <c r="A3061" s="20">
        <f>IF(A3060="","",IF(A3060+1&gt;Ввод!$B$4,"",A3060+1))</f>
        <v/>
      </c>
      <c r="B3061">
        <f>IF(A3061="","",IFERROR(INDEX(Ввод!$B$12:$B$71,MATCH(A3061,Ввод!$D$12:$D$71,1)),""))</f>
        <v/>
      </c>
      <c r="C3061">
        <f>IF(A3061="","",DATE(YEAR(A3061),12,31)-DATE(YEAR(A3061),1,1)+1)</f>
        <v/>
      </c>
      <c r="D3061">
        <f>IF(A3061="","",SUMIFS(Акты!$D$5:$D$16,Акты!$E$5:$E$16,"&lt;="&amp;A3061)-SUMIFS(Оплаты!$B$6:$B$505,Оплаты!$A$6:$A$505,"&lt;"&amp;A3061,Оплаты!$D$6:$D$505,"&lt;&gt;"))</f>
        <v/>
      </c>
      <c r="E3061">
        <f>IF(A3061="","",IF(SUMPRODUCT((Ввод!$F$12:$F$31&lt;&gt;"")*(Ввод!$F$12:$F$31&lt;=A3061)*(Ввод!$G$12:$G$31&gt;=A3061))&gt;0,1,0))</f>
        <v/>
      </c>
      <c r="G3061">
        <f>IF(A3061="","",IF(OR(B3061&lt;&gt;B3060,C3061&lt;&gt;C3060,E3061&lt;&gt;E3060),G3060+1,G3060))</f>
        <v/>
      </c>
    </row>
    <row r="3062">
      <c r="A3062" s="20">
        <f>IF(A3061="","",IF(A3061+1&gt;Ввод!$B$4,"",A3061+1))</f>
        <v/>
      </c>
      <c r="B3062">
        <f>IF(A3062="","",IFERROR(INDEX(Ввод!$B$12:$B$71,MATCH(A3062,Ввод!$D$12:$D$71,1)),""))</f>
        <v/>
      </c>
      <c r="C3062">
        <f>IF(A3062="","",DATE(YEAR(A3062),12,31)-DATE(YEAR(A3062),1,1)+1)</f>
        <v/>
      </c>
      <c r="D3062">
        <f>IF(A3062="","",SUMIFS(Акты!$D$5:$D$16,Акты!$E$5:$E$16,"&lt;="&amp;A3062)-SUMIFS(Оплаты!$B$6:$B$505,Оплаты!$A$6:$A$505,"&lt;"&amp;A3062,Оплаты!$D$6:$D$505,"&lt;&gt;"))</f>
        <v/>
      </c>
      <c r="E3062">
        <f>IF(A3062="","",IF(SUMPRODUCT((Ввод!$F$12:$F$31&lt;&gt;"")*(Ввод!$F$12:$F$31&lt;=A3062)*(Ввод!$G$12:$G$31&gt;=A3062))&gt;0,1,0))</f>
        <v/>
      </c>
      <c r="G3062">
        <f>IF(A3062="","",IF(OR(B3062&lt;&gt;B3061,C3062&lt;&gt;C3061,E3062&lt;&gt;E3061),G3061+1,G3061))</f>
        <v/>
      </c>
    </row>
    <row r="3063">
      <c r="A3063" s="20">
        <f>IF(A3062="","",IF(A3062+1&gt;Ввод!$B$4,"",A3062+1))</f>
        <v/>
      </c>
      <c r="B3063">
        <f>IF(A3063="","",IFERROR(INDEX(Ввод!$B$12:$B$71,MATCH(A3063,Ввод!$D$12:$D$71,1)),""))</f>
        <v/>
      </c>
      <c r="C3063">
        <f>IF(A3063="","",DATE(YEAR(A3063),12,31)-DATE(YEAR(A3063),1,1)+1)</f>
        <v/>
      </c>
      <c r="D3063">
        <f>IF(A3063="","",SUMIFS(Акты!$D$5:$D$16,Акты!$E$5:$E$16,"&lt;="&amp;A3063)-SUMIFS(Оплаты!$B$6:$B$505,Оплаты!$A$6:$A$505,"&lt;"&amp;A3063,Оплаты!$D$6:$D$505,"&lt;&gt;"))</f>
        <v/>
      </c>
      <c r="E3063">
        <f>IF(A3063="","",IF(SUMPRODUCT((Ввод!$F$12:$F$31&lt;&gt;"")*(Ввод!$F$12:$F$31&lt;=A3063)*(Ввод!$G$12:$G$31&gt;=A3063))&gt;0,1,0))</f>
        <v/>
      </c>
      <c r="G3063">
        <f>IF(A3063="","",IF(OR(B3063&lt;&gt;B3062,C3063&lt;&gt;C3062,E3063&lt;&gt;E3062),G3062+1,G3062))</f>
        <v/>
      </c>
    </row>
    <row r="3064">
      <c r="A3064" s="20">
        <f>IF(A3063="","",IF(A3063+1&gt;Ввод!$B$4,"",A3063+1))</f>
        <v/>
      </c>
      <c r="B3064">
        <f>IF(A3064="","",IFERROR(INDEX(Ввод!$B$12:$B$71,MATCH(A3064,Ввод!$D$12:$D$71,1)),""))</f>
        <v/>
      </c>
      <c r="C3064">
        <f>IF(A3064="","",DATE(YEAR(A3064),12,31)-DATE(YEAR(A3064),1,1)+1)</f>
        <v/>
      </c>
      <c r="D3064">
        <f>IF(A3064="","",SUMIFS(Акты!$D$5:$D$16,Акты!$E$5:$E$16,"&lt;="&amp;A3064)-SUMIFS(Оплаты!$B$6:$B$505,Оплаты!$A$6:$A$505,"&lt;"&amp;A3064,Оплаты!$D$6:$D$505,"&lt;&gt;"))</f>
        <v/>
      </c>
      <c r="E3064">
        <f>IF(A3064="","",IF(SUMPRODUCT((Ввод!$F$12:$F$31&lt;&gt;"")*(Ввод!$F$12:$F$31&lt;=A3064)*(Ввод!$G$12:$G$31&gt;=A3064))&gt;0,1,0))</f>
        <v/>
      </c>
      <c r="G3064">
        <f>IF(A3064="","",IF(OR(B3064&lt;&gt;B3063,C3064&lt;&gt;C3063,E3064&lt;&gt;E3063),G3063+1,G3063))</f>
        <v/>
      </c>
    </row>
    <row r="3065">
      <c r="A3065" s="20">
        <f>IF(A3064="","",IF(A3064+1&gt;Ввод!$B$4,"",A3064+1))</f>
        <v/>
      </c>
      <c r="B3065">
        <f>IF(A3065="","",IFERROR(INDEX(Ввод!$B$12:$B$71,MATCH(A3065,Ввод!$D$12:$D$71,1)),""))</f>
        <v/>
      </c>
      <c r="C3065">
        <f>IF(A3065="","",DATE(YEAR(A3065),12,31)-DATE(YEAR(A3065),1,1)+1)</f>
        <v/>
      </c>
      <c r="D3065">
        <f>IF(A3065="","",SUMIFS(Акты!$D$5:$D$16,Акты!$E$5:$E$16,"&lt;="&amp;A3065)-SUMIFS(Оплаты!$B$6:$B$505,Оплаты!$A$6:$A$505,"&lt;"&amp;A3065,Оплаты!$D$6:$D$505,"&lt;&gt;"))</f>
        <v/>
      </c>
      <c r="E3065">
        <f>IF(A3065="","",IF(SUMPRODUCT((Ввод!$F$12:$F$31&lt;&gt;"")*(Ввод!$F$12:$F$31&lt;=A3065)*(Ввод!$G$12:$G$31&gt;=A3065))&gt;0,1,0))</f>
        <v/>
      </c>
      <c r="G3065">
        <f>IF(A3065="","",IF(OR(B3065&lt;&gt;B3064,C3065&lt;&gt;C3064,E3065&lt;&gt;E3064),G3064+1,G3064))</f>
        <v/>
      </c>
    </row>
    <row r="3066">
      <c r="A3066" s="20">
        <f>IF(A3065="","",IF(A3065+1&gt;Ввод!$B$4,"",A3065+1))</f>
        <v/>
      </c>
      <c r="B3066">
        <f>IF(A3066="","",IFERROR(INDEX(Ввод!$B$12:$B$71,MATCH(A3066,Ввод!$D$12:$D$71,1)),""))</f>
        <v/>
      </c>
      <c r="C3066">
        <f>IF(A3066="","",DATE(YEAR(A3066),12,31)-DATE(YEAR(A3066),1,1)+1)</f>
        <v/>
      </c>
      <c r="D3066">
        <f>IF(A3066="","",SUMIFS(Акты!$D$5:$D$16,Акты!$E$5:$E$16,"&lt;="&amp;A3066)-SUMIFS(Оплаты!$B$6:$B$505,Оплаты!$A$6:$A$505,"&lt;"&amp;A3066,Оплаты!$D$6:$D$505,"&lt;&gt;"))</f>
        <v/>
      </c>
      <c r="E3066">
        <f>IF(A3066="","",IF(SUMPRODUCT((Ввод!$F$12:$F$31&lt;&gt;"")*(Ввод!$F$12:$F$31&lt;=A3066)*(Ввод!$G$12:$G$31&gt;=A3066))&gt;0,1,0))</f>
        <v/>
      </c>
      <c r="G3066">
        <f>IF(A3066="","",IF(OR(B3066&lt;&gt;B3065,C3066&lt;&gt;C3065,E3066&lt;&gt;E3065),G3065+1,G3065))</f>
        <v/>
      </c>
    </row>
    <row r="3067">
      <c r="A3067" s="20">
        <f>IF(A3066="","",IF(A3066+1&gt;Ввод!$B$4,"",A3066+1))</f>
        <v/>
      </c>
      <c r="B3067">
        <f>IF(A3067="","",IFERROR(INDEX(Ввод!$B$12:$B$71,MATCH(A3067,Ввод!$D$12:$D$71,1)),""))</f>
        <v/>
      </c>
      <c r="C3067">
        <f>IF(A3067="","",DATE(YEAR(A3067),12,31)-DATE(YEAR(A3067),1,1)+1)</f>
        <v/>
      </c>
      <c r="D3067">
        <f>IF(A3067="","",SUMIFS(Акты!$D$5:$D$16,Акты!$E$5:$E$16,"&lt;="&amp;A3067)-SUMIFS(Оплаты!$B$6:$B$505,Оплаты!$A$6:$A$505,"&lt;"&amp;A3067,Оплаты!$D$6:$D$505,"&lt;&gt;"))</f>
        <v/>
      </c>
      <c r="E3067">
        <f>IF(A3067="","",IF(SUMPRODUCT((Ввод!$F$12:$F$31&lt;&gt;"")*(Ввод!$F$12:$F$31&lt;=A3067)*(Ввод!$G$12:$G$31&gt;=A3067))&gt;0,1,0))</f>
        <v/>
      </c>
      <c r="G3067">
        <f>IF(A3067="","",IF(OR(B3067&lt;&gt;B3066,C3067&lt;&gt;C3066,E3067&lt;&gt;E3066),G3066+1,G3066))</f>
        <v/>
      </c>
    </row>
    <row r="3068">
      <c r="A3068" s="20">
        <f>IF(A3067="","",IF(A3067+1&gt;Ввод!$B$4,"",A3067+1))</f>
        <v/>
      </c>
      <c r="B3068">
        <f>IF(A3068="","",IFERROR(INDEX(Ввод!$B$12:$B$71,MATCH(A3068,Ввод!$D$12:$D$71,1)),""))</f>
        <v/>
      </c>
      <c r="C3068">
        <f>IF(A3068="","",DATE(YEAR(A3068),12,31)-DATE(YEAR(A3068),1,1)+1)</f>
        <v/>
      </c>
      <c r="D3068">
        <f>IF(A3068="","",SUMIFS(Акты!$D$5:$D$16,Акты!$E$5:$E$16,"&lt;="&amp;A3068)-SUMIFS(Оплаты!$B$6:$B$505,Оплаты!$A$6:$A$505,"&lt;"&amp;A3068,Оплаты!$D$6:$D$505,"&lt;&gt;"))</f>
        <v/>
      </c>
      <c r="E3068">
        <f>IF(A3068="","",IF(SUMPRODUCT((Ввод!$F$12:$F$31&lt;&gt;"")*(Ввод!$F$12:$F$31&lt;=A3068)*(Ввод!$G$12:$G$31&gt;=A3068))&gt;0,1,0))</f>
        <v/>
      </c>
      <c r="G3068">
        <f>IF(A3068="","",IF(OR(B3068&lt;&gt;B3067,C3068&lt;&gt;C3067,E3068&lt;&gt;E3067),G3067+1,G3067))</f>
        <v/>
      </c>
    </row>
    <row r="3069">
      <c r="A3069" s="20">
        <f>IF(A3068="","",IF(A3068+1&gt;Ввод!$B$4,"",A3068+1))</f>
        <v/>
      </c>
      <c r="B3069">
        <f>IF(A3069="","",IFERROR(INDEX(Ввод!$B$12:$B$71,MATCH(A3069,Ввод!$D$12:$D$71,1)),""))</f>
        <v/>
      </c>
      <c r="C3069">
        <f>IF(A3069="","",DATE(YEAR(A3069),12,31)-DATE(YEAR(A3069),1,1)+1)</f>
        <v/>
      </c>
      <c r="D3069">
        <f>IF(A3069="","",SUMIFS(Акты!$D$5:$D$16,Акты!$E$5:$E$16,"&lt;="&amp;A3069)-SUMIFS(Оплаты!$B$6:$B$505,Оплаты!$A$6:$A$505,"&lt;"&amp;A3069,Оплаты!$D$6:$D$505,"&lt;&gt;"))</f>
        <v/>
      </c>
      <c r="E3069">
        <f>IF(A3069="","",IF(SUMPRODUCT((Ввод!$F$12:$F$31&lt;&gt;"")*(Ввод!$F$12:$F$31&lt;=A3069)*(Ввод!$G$12:$G$31&gt;=A3069))&gt;0,1,0))</f>
        <v/>
      </c>
      <c r="G3069">
        <f>IF(A3069="","",IF(OR(B3069&lt;&gt;B3068,C3069&lt;&gt;C3068,E3069&lt;&gt;E3068),G3068+1,G3068))</f>
        <v/>
      </c>
    </row>
    <row r="3070">
      <c r="A3070" s="20">
        <f>IF(A3069="","",IF(A3069+1&gt;Ввод!$B$4,"",A3069+1))</f>
        <v/>
      </c>
      <c r="B3070">
        <f>IF(A3070="","",IFERROR(INDEX(Ввод!$B$12:$B$71,MATCH(A3070,Ввод!$D$12:$D$71,1)),""))</f>
        <v/>
      </c>
      <c r="C3070">
        <f>IF(A3070="","",DATE(YEAR(A3070),12,31)-DATE(YEAR(A3070),1,1)+1)</f>
        <v/>
      </c>
      <c r="D3070">
        <f>IF(A3070="","",SUMIFS(Акты!$D$5:$D$16,Акты!$E$5:$E$16,"&lt;="&amp;A3070)-SUMIFS(Оплаты!$B$6:$B$505,Оплаты!$A$6:$A$505,"&lt;"&amp;A3070,Оплаты!$D$6:$D$505,"&lt;&gt;"))</f>
        <v/>
      </c>
      <c r="E3070">
        <f>IF(A3070="","",IF(SUMPRODUCT((Ввод!$F$12:$F$31&lt;&gt;"")*(Ввод!$F$12:$F$31&lt;=A3070)*(Ввод!$G$12:$G$31&gt;=A3070))&gt;0,1,0))</f>
        <v/>
      </c>
      <c r="G3070">
        <f>IF(A3070="","",IF(OR(B3070&lt;&gt;B3069,C3070&lt;&gt;C3069,E3070&lt;&gt;E3069),G3069+1,G3069))</f>
        <v/>
      </c>
    </row>
    <row r="3071">
      <c r="A3071" s="20">
        <f>IF(A3070="","",IF(A3070+1&gt;Ввод!$B$4,"",A3070+1))</f>
        <v/>
      </c>
      <c r="B3071">
        <f>IF(A3071="","",IFERROR(INDEX(Ввод!$B$12:$B$71,MATCH(A3071,Ввод!$D$12:$D$71,1)),""))</f>
        <v/>
      </c>
      <c r="C3071">
        <f>IF(A3071="","",DATE(YEAR(A3071),12,31)-DATE(YEAR(A3071),1,1)+1)</f>
        <v/>
      </c>
      <c r="D3071">
        <f>IF(A3071="","",SUMIFS(Акты!$D$5:$D$16,Акты!$E$5:$E$16,"&lt;="&amp;A3071)-SUMIFS(Оплаты!$B$6:$B$505,Оплаты!$A$6:$A$505,"&lt;"&amp;A3071,Оплаты!$D$6:$D$505,"&lt;&gt;"))</f>
        <v/>
      </c>
      <c r="E3071">
        <f>IF(A3071="","",IF(SUMPRODUCT((Ввод!$F$12:$F$31&lt;&gt;"")*(Ввод!$F$12:$F$31&lt;=A3071)*(Ввод!$G$12:$G$31&gt;=A3071))&gt;0,1,0))</f>
        <v/>
      </c>
      <c r="G3071">
        <f>IF(A3071="","",IF(OR(B3071&lt;&gt;B3070,C3071&lt;&gt;C3070,E3071&lt;&gt;E3070),G3070+1,G3070))</f>
        <v/>
      </c>
    </row>
    <row r="3072">
      <c r="A3072" s="20">
        <f>IF(A3071="","",IF(A3071+1&gt;Ввод!$B$4,"",A3071+1))</f>
        <v/>
      </c>
      <c r="B3072">
        <f>IF(A3072="","",IFERROR(INDEX(Ввод!$B$12:$B$71,MATCH(A3072,Ввод!$D$12:$D$71,1)),""))</f>
        <v/>
      </c>
      <c r="C3072">
        <f>IF(A3072="","",DATE(YEAR(A3072),12,31)-DATE(YEAR(A3072),1,1)+1)</f>
        <v/>
      </c>
      <c r="D3072">
        <f>IF(A3072="","",SUMIFS(Акты!$D$5:$D$16,Акты!$E$5:$E$16,"&lt;="&amp;A3072)-SUMIFS(Оплаты!$B$6:$B$505,Оплаты!$A$6:$A$505,"&lt;"&amp;A3072,Оплаты!$D$6:$D$505,"&lt;&gt;"))</f>
        <v/>
      </c>
      <c r="E3072">
        <f>IF(A3072="","",IF(SUMPRODUCT((Ввод!$F$12:$F$31&lt;&gt;"")*(Ввод!$F$12:$F$31&lt;=A3072)*(Ввод!$G$12:$G$31&gt;=A3072))&gt;0,1,0))</f>
        <v/>
      </c>
      <c r="G3072">
        <f>IF(A3072="","",IF(OR(B3072&lt;&gt;B3071,C3072&lt;&gt;C3071,E3072&lt;&gt;E3071),G3071+1,G3071))</f>
        <v/>
      </c>
    </row>
    <row r="3073">
      <c r="A3073" s="20">
        <f>IF(A3072="","",IF(A3072+1&gt;Ввод!$B$4,"",A3072+1))</f>
        <v/>
      </c>
      <c r="B3073">
        <f>IF(A3073="","",IFERROR(INDEX(Ввод!$B$12:$B$71,MATCH(A3073,Ввод!$D$12:$D$71,1)),""))</f>
        <v/>
      </c>
      <c r="C3073">
        <f>IF(A3073="","",DATE(YEAR(A3073),12,31)-DATE(YEAR(A3073),1,1)+1)</f>
        <v/>
      </c>
      <c r="D3073">
        <f>IF(A3073="","",SUMIFS(Акты!$D$5:$D$16,Акты!$E$5:$E$16,"&lt;="&amp;A3073)-SUMIFS(Оплаты!$B$6:$B$505,Оплаты!$A$6:$A$505,"&lt;"&amp;A3073,Оплаты!$D$6:$D$505,"&lt;&gt;"))</f>
        <v/>
      </c>
      <c r="E3073">
        <f>IF(A3073="","",IF(SUMPRODUCT((Ввод!$F$12:$F$31&lt;&gt;"")*(Ввод!$F$12:$F$31&lt;=A3073)*(Ввод!$G$12:$G$31&gt;=A3073))&gt;0,1,0))</f>
        <v/>
      </c>
      <c r="G3073">
        <f>IF(A3073="","",IF(OR(B3073&lt;&gt;B3072,C3073&lt;&gt;C3072,E3073&lt;&gt;E3072),G3072+1,G3072))</f>
        <v/>
      </c>
    </row>
    <row r="3074">
      <c r="A3074" s="20">
        <f>IF(A3073="","",IF(A3073+1&gt;Ввод!$B$4,"",A3073+1))</f>
        <v/>
      </c>
      <c r="B3074">
        <f>IF(A3074="","",IFERROR(INDEX(Ввод!$B$12:$B$71,MATCH(A3074,Ввод!$D$12:$D$71,1)),""))</f>
        <v/>
      </c>
      <c r="C3074">
        <f>IF(A3074="","",DATE(YEAR(A3074),12,31)-DATE(YEAR(A3074),1,1)+1)</f>
        <v/>
      </c>
      <c r="D3074">
        <f>IF(A3074="","",SUMIFS(Акты!$D$5:$D$16,Акты!$E$5:$E$16,"&lt;="&amp;A3074)-SUMIFS(Оплаты!$B$6:$B$505,Оплаты!$A$6:$A$505,"&lt;"&amp;A3074,Оплаты!$D$6:$D$505,"&lt;&gt;"))</f>
        <v/>
      </c>
      <c r="E3074">
        <f>IF(A3074="","",IF(SUMPRODUCT((Ввод!$F$12:$F$31&lt;&gt;"")*(Ввод!$F$12:$F$31&lt;=A3074)*(Ввод!$G$12:$G$31&gt;=A3074))&gt;0,1,0))</f>
        <v/>
      </c>
      <c r="G3074">
        <f>IF(A3074="","",IF(OR(B3074&lt;&gt;B3073,C3074&lt;&gt;C3073,E3074&lt;&gt;E3073),G3073+1,G3073))</f>
        <v/>
      </c>
    </row>
    <row r="3075">
      <c r="A3075" s="20">
        <f>IF(A3074="","",IF(A3074+1&gt;Ввод!$B$4,"",A3074+1))</f>
        <v/>
      </c>
      <c r="B3075">
        <f>IF(A3075="","",IFERROR(INDEX(Ввод!$B$12:$B$71,MATCH(A3075,Ввод!$D$12:$D$71,1)),""))</f>
        <v/>
      </c>
      <c r="C3075">
        <f>IF(A3075="","",DATE(YEAR(A3075),12,31)-DATE(YEAR(A3075),1,1)+1)</f>
        <v/>
      </c>
      <c r="D3075">
        <f>IF(A3075="","",SUMIFS(Акты!$D$5:$D$16,Акты!$E$5:$E$16,"&lt;="&amp;A3075)-SUMIFS(Оплаты!$B$6:$B$505,Оплаты!$A$6:$A$505,"&lt;"&amp;A3075,Оплаты!$D$6:$D$505,"&lt;&gt;"))</f>
        <v/>
      </c>
      <c r="E3075">
        <f>IF(A3075="","",IF(SUMPRODUCT((Ввод!$F$12:$F$31&lt;&gt;"")*(Ввод!$F$12:$F$31&lt;=A3075)*(Ввод!$G$12:$G$31&gt;=A3075))&gt;0,1,0))</f>
        <v/>
      </c>
      <c r="G3075">
        <f>IF(A3075="","",IF(OR(B3075&lt;&gt;B3074,C3075&lt;&gt;C3074,E3075&lt;&gt;E3074),G3074+1,G3074))</f>
        <v/>
      </c>
    </row>
    <row r="3076">
      <c r="A3076" s="20">
        <f>IF(A3075="","",IF(A3075+1&gt;Ввод!$B$4,"",A3075+1))</f>
        <v/>
      </c>
      <c r="B3076">
        <f>IF(A3076="","",IFERROR(INDEX(Ввод!$B$12:$B$71,MATCH(A3076,Ввод!$D$12:$D$71,1)),""))</f>
        <v/>
      </c>
      <c r="C3076">
        <f>IF(A3076="","",DATE(YEAR(A3076),12,31)-DATE(YEAR(A3076),1,1)+1)</f>
        <v/>
      </c>
      <c r="D3076">
        <f>IF(A3076="","",SUMIFS(Акты!$D$5:$D$16,Акты!$E$5:$E$16,"&lt;="&amp;A3076)-SUMIFS(Оплаты!$B$6:$B$505,Оплаты!$A$6:$A$505,"&lt;"&amp;A3076,Оплаты!$D$6:$D$505,"&lt;&gt;"))</f>
        <v/>
      </c>
      <c r="E3076">
        <f>IF(A3076="","",IF(SUMPRODUCT((Ввод!$F$12:$F$31&lt;&gt;"")*(Ввод!$F$12:$F$31&lt;=A3076)*(Ввод!$G$12:$G$31&gt;=A3076))&gt;0,1,0))</f>
        <v/>
      </c>
      <c r="G3076">
        <f>IF(A3076="","",IF(OR(B3076&lt;&gt;B3075,C3076&lt;&gt;C3075,E3076&lt;&gt;E3075),G3075+1,G3075))</f>
        <v/>
      </c>
    </row>
    <row r="3077">
      <c r="A3077" s="20">
        <f>IF(A3076="","",IF(A3076+1&gt;Ввод!$B$4,"",A3076+1))</f>
        <v/>
      </c>
      <c r="B3077">
        <f>IF(A3077="","",IFERROR(INDEX(Ввод!$B$12:$B$71,MATCH(A3077,Ввод!$D$12:$D$71,1)),""))</f>
        <v/>
      </c>
      <c r="C3077">
        <f>IF(A3077="","",DATE(YEAR(A3077),12,31)-DATE(YEAR(A3077),1,1)+1)</f>
        <v/>
      </c>
      <c r="D3077">
        <f>IF(A3077="","",SUMIFS(Акты!$D$5:$D$16,Акты!$E$5:$E$16,"&lt;="&amp;A3077)-SUMIFS(Оплаты!$B$6:$B$505,Оплаты!$A$6:$A$505,"&lt;"&amp;A3077,Оплаты!$D$6:$D$505,"&lt;&gt;"))</f>
        <v/>
      </c>
      <c r="E3077">
        <f>IF(A3077="","",IF(SUMPRODUCT((Ввод!$F$12:$F$31&lt;&gt;"")*(Ввод!$F$12:$F$31&lt;=A3077)*(Ввод!$G$12:$G$31&gt;=A3077))&gt;0,1,0))</f>
        <v/>
      </c>
      <c r="G3077">
        <f>IF(A3077="","",IF(OR(B3077&lt;&gt;B3076,C3077&lt;&gt;C3076,E3077&lt;&gt;E3076),G3076+1,G3076))</f>
        <v/>
      </c>
    </row>
    <row r="3078">
      <c r="A3078" s="20">
        <f>IF(A3077="","",IF(A3077+1&gt;Ввод!$B$4,"",A3077+1))</f>
        <v/>
      </c>
      <c r="B3078">
        <f>IF(A3078="","",IFERROR(INDEX(Ввод!$B$12:$B$71,MATCH(A3078,Ввод!$D$12:$D$71,1)),""))</f>
        <v/>
      </c>
      <c r="C3078">
        <f>IF(A3078="","",DATE(YEAR(A3078),12,31)-DATE(YEAR(A3078),1,1)+1)</f>
        <v/>
      </c>
      <c r="D3078">
        <f>IF(A3078="","",SUMIFS(Акты!$D$5:$D$16,Акты!$E$5:$E$16,"&lt;="&amp;A3078)-SUMIFS(Оплаты!$B$6:$B$505,Оплаты!$A$6:$A$505,"&lt;"&amp;A3078,Оплаты!$D$6:$D$505,"&lt;&gt;"))</f>
        <v/>
      </c>
      <c r="E3078">
        <f>IF(A3078="","",IF(SUMPRODUCT((Ввод!$F$12:$F$31&lt;&gt;"")*(Ввод!$F$12:$F$31&lt;=A3078)*(Ввод!$G$12:$G$31&gt;=A3078))&gt;0,1,0))</f>
        <v/>
      </c>
      <c r="G3078">
        <f>IF(A3078="","",IF(OR(B3078&lt;&gt;B3077,C3078&lt;&gt;C3077,E3078&lt;&gt;E3077),G3077+1,G3077))</f>
        <v/>
      </c>
    </row>
    <row r="3079">
      <c r="A3079" s="20">
        <f>IF(A3078="","",IF(A3078+1&gt;Ввод!$B$4,"",A3078+1))</f>
        <v/>
      </c>
      <c r="B3079">
        <f>IF(A3079="","",IFERROR(INDEX(Ввод!$B$12:$B$71,MATCH(A3079,Ввод!$D$12:$D$71,1)),""))</f>
        <v/>
      </c>
      <c r="C3079">
        <f>IF(A3079="","",DATE(YEAR(A3079),12,31)-DATE(YEAR(A3079),1,1)+1)</f>
        <v/>
      </c>
      <c r="D3079">
        <f>IF(A3079="","",SUMIFS(Акты!$D$5:$D$16,Акты!$E$5:$E$16,"&lt;="&amp;A3079)-SUMIFS(Оплаты!$B$6:$B$505,Оплаты!$A$6:$A$505,"&lt;"&amp;A3079,Оплаты!$D$6:$D$505,"&lt;&gt;"))</f>
        <v/>
      </c>
      <c r="E3079">
        <f>IF(A3079="","",IF(SUMPRODUCT((Ввод!$F$12:$F$31&lt;&gt;"")*(Ввод!$F$12:$F$31&lt;=A3079)*(Ввод!$G$12:$G$31&gt;=A3079))&gt;0,1,0))</f>
        <v/>
      </c>
      <c r="G3079">
        <f>IF(A3079="","",IF(OR(B3079&lt;&gt;B3078,C3079&lt;&gt;C3078,E3079&lt;&gt;E3078),G3078+1,G3078))</f>
        <v/>
      </c>
    </row>
    <row r="3080">
      <c r="A3080" s="20">
        <f>IF(A3079="","",IF(A3079+1&gt;Ввод!$B$4,"",A3079+1))</f>
        <v/>
      </c>
      <c r="B3080">
        <f>IF(A3080="","",IFERROR(INDEX(Ввод!$B$12:$B$71,MATCH(A3080,Ввод!$D$12:$D$71,1)),""))</f>
        <v/>
      </c>
      <c r="C3080">
        <f>IF(A3080="","",DATE(YEAR(A3080),12,31)-DATE(YEAR(A3080),1,1)+1)</f>
        <v/>
      </c>
      <c r="D3080">
        <f>IF(A3080="","",SUMIFS(Акты!$D$5:$D$16,Акты!$E$5:$E$16,"&lt;="&amp;A3080)-SUMIFS(Оплаты!$B$6:$B$505,Оплаты!$A$6:$A$505,"&lt;"&amp;A3080,Оплаты!$D$6:$D$505,"&lt;&gt;"))</f>
        <v/>
      </c>
      <c r="E3080">
        <f>IF(A3080="","",IF(SUMPRODUCT((Ввод!$F$12:$F$31&lt;&gt;"")*(Ввод!$F$12:$F$31&lt;=A3080)*(Ввод!$G$12:$G$31&gt;=A3080))&gt;0,1,0))</f>
        <v/>
      </c>
      <c r="G3080">
        <f>IF(A3080="","",IF(OR(B3080&lt;&gt;B3079,C3080&lt;&gt;C3079,E3080&lt;&gt;E3079),G3079+1,G3079))</f>
        <v/>
      </c>
    </row>
    <row r="3081">
      <c r="A3081" s="20">
        <f>IF(A3080="","",IF(A3080+1&gt;Ввод!$B$4,"",A3080+1))</f>
        <v/>
      </c>
      <c r="B3081">
        <f>IF(A3081="","",IFERROR(INDEX(Ввод!$B$12:$B$71,MATCH(A3081,Ввод!$D$12:$D$71,1)),""))</f>
        <v/>
      </c>
      <c r="C3081">
        <f>IF(A3081="","",DATE(YEAR(A3081),12,31)-DATE(YEAR(A3081),1,1)+1)</f>
        <v/>
      </c>
      <c r="D3081">
        <f>IF(A3081="","",SUMIFS(Акты!$D$5:$D$16,Акты!$E$5:$E$16,"&lt;="&amp;A3081)-SUMIFS(Оплаты!$B$6:$B$505,Оплаты!$A$6:$A$505,"&lt;"&amp;A3081,Оплаты!$D$6:$D$505,"&lt;&gt;"))</f>
        <v/>
      </c>
      <c r="E3081">
        <f>IF(A3081="","",IF(SUMPRODUCT((Ввод!$F$12:$F$31&lt;&gt;"")*(Ввод!$F$12:$F$31&lt;=A3081)*(Ввод!$G$12:$G$31&gt;=A3081))&gt;0,1,0))</f>
        <v/>
      </c>
      <c r="G3081">
        <f>IF(A3081="","",IF(OR(B3081&lt;&gt;B3080,C3081&lt;&gt;C3080,E3081&lt;&gt;E3080),G3080+1,G3080))</f>
        <v/>
      </c>
    </row>
    <row r="3082">
      <c r="A3082" s="20">
        <f>IF(A3081="","",IF(A3081+1&gt;Ввод!$B$4,"",A3081+1))</f>
        <v/>
      </c>
      <c r="B3082">
        <f>IF(A3082="","",IFERROR(INDEX(Ввод!$B$12:$B$71,MATCH(A3082,Ввод!$D$12:$D$71,1)),""))</f>
        <v/>
      </c>
      <c r="C3082">
        <f>IF(A3082="","",DATE(YEAR(A3082),12,31)-DATE(YEAR(A3082),1,1)+1)</f>
        <v/>
      </c>
      <c r="D3082">
        <f>IF(A3082="","",SUMIFS(Акты!$D$5:$D$16,Акты!$E$5:$E$16,"&lt;="&amp;A3082)-SUMIFS(Оплаты!$B$6:$B$505,Оплаты!$A$6:$A$505,"&lt;"&amp;A3082,Оплаты!$D$6:$D$505,"&lt;&gt;"))</f>
        <v/>
      </c>
      <c r="E3082">
        <f>IF(A3082="","",IF(SUMPRODUCT((Ввод!$F$12:$F$31&lt;&gt;"")*(Ввод!$F$12:$F$31&lt;=A3082)*(Ввод!$G$12:$G$31&gt;=A3082))&gt;0,1,0))</f>
        <v/>
      </c>
      <c r="G3082">
        <f>IF(A3082="","",IF(OR(B3082&lt;&gt;B3081,C3082&lt;&gt;C3081,E3082&lt;&gt;E3081),G3081+1,G3081))</f>
        <v/>
      </c>
    </row>
    <row r="3083">
      <c r="A3083" s="20">
        <f>IF(A3082="","",IF(A3082+1&gt;Ввод!$B$4,"",A3082+1))</f>
        <v/>
      </c>
      <c r="B3083">
        <f>IF(A3083="","",IFERROR(INDEX(Ввод!$B$12:$B$71,MATCH(A3083,Ввод!$D$12:$D$71,1)),""))</f>
        <v/>
      </c>
      <c r="C3083">
        <f>IF(A3083="","",DATE(YEAR(A3083),12,31)-DATE(YEAR(A3083),1,1)+1)</f>
        <v/>
      </c>
      <c r="D3083">
        <f>IF(A3083="","",SUMIFS(Акты!$D$5:$D$16,Акты!$E$5:$E$16,"&lt;="&amp;A3083)-SUMIFS(Оплаты!$B$6:$B$505,Оплаты!$A$6:$A$505,"&lt;"&amp;A3083,Оплаты!$D$6:$D$505,"&lt;&gt;"))</f>
        <v/>
      </c>
      <c r="E3083">
        <f>IF(A3083="","",IF(SUMPRODUCT((Ввод!$F$12:$F$31&lt;&gt;"")*(Ввод!$F$12:$F$31&lt;=A3083)*(Ввод!$G$12:$G$31&gt;=A3083))&gt;0,1,0))</f>
        <v/>
      </c>
      <c r="G3083">
        <f>IF(A3083="","",IF(OR(B3083&lt;&gt;B3082,C3083&lt;&gt;C3082,E3083&lt;&gt;E3082),G3082+1,G3082))</f>
        <v/>
      </c>
    </row>
    <row r="3084">
      <c r="A3084" s="20">
        <f>IF(A3083="","",IF(A3083+1&gt;Ввод!$B$4,"",A3083+1))</f>
        <v/>
      </c>
      <c r="B3084">
        <f>IF(A3084="","",IFERROR(INDEX(Ввод!$B$12:$B$71,MATCH(A3084,Ввод!$D$12:$D$71,1)),""))</f>
        <v/>
      </c>
      <c r="C3084">
        <f>IF(A3084="","",DATE(YEAR(A3084),12,31)-DATE(YEAR(A3084),1,1)+1)</f>
        <v/>
      </c>
      <c r="D3084">
        <f>IF(A3084="","",SUMIFS(Акты!$D$5:$D$16,Акты!$E$5:$E$16,"&lt;="&amp;A3084)-SUMIFS(Оплаты!$B$6:$B$505,Оплаты!$A$6:$A$505,"&lt;"&amp;A3084,Оплаты!$D$6:$D$505,"&lt;&gt;"))</f>
        <v/>
      </c>
      <c r="E3084">
        <f>IF(A3084="","",IF(SUMPRODUCT((Ввод!$F$12:$F$31&lt;&gt;"")*(Ввод!$F$12:$F$31&lt;=A3084)*(Ввод!$G$12:$G$31&gt;=A3084))&gt;0,1,0))</f>
        <v/>
      </c>
      <c r="G3084">
        <f>IF(A3084="","",IF(OR(B3084&lt;&gt;B3083,C3084&lt;&gt;C3083,E3084&lt;&gt;E3083),G3083+1,G3083))</f>
        <v/>
      </c>
    </row>
    <row r="3085">
      <c r="A3085" s="20">
        <f>IF(A3084="","",IF(A3084+1&gt;Ввод!$B$4,"",A3084+1))</f>
        <v/>
      </c>
      <c r="B3085">
        <f>IF(A3085="","",IFERROR(INDEX(Ввод!$B$12:$B$71,MATCH(A3085,Ввод!$D$12:$D$71,1)),""))</f>
        <v/>
      </c>
      <c r="C3085">
        <f>IF(A3085="","",DATE(YEAR(A3085),12,31)-DATE(YEAR(A3085),1,1)+1)</f>
        <v/>
      </c>
      <c r="D3085">
        <f>IF(A3085="","",SUMIFS(Акты!$D$5:$D$16,Акты!$E$5:$E$16,"&lt;="&amp;A3085)-SUMIFS(Оплаты!$B$6:$B$505,Оплаты!$A$6:$A$505,"&lt;"&amp;A3085,Оплаты!$D$6:$D$505,"&lt;&gt;"))</f>
        <v/>
      </c>
      <c r="E3085">
        <f>IF(A3085="","",IF(SUMPRODUCT((Ввод!$F$12:$F$31&lt;&gt;"")*(Ввод!$F$12:$F$31&lt;=A3085)*(Ввод!$G$12:$G$31&gt;=A3085))&gt;0,1,0))</f>
        <v/>
      </c>
      <c r="G3085">
        <f>IF(A3085="","",IF(OR(B3085&lt;&gt;B3084,C3085&lt;&gt;C3084,E3085&lt;&gt;E3084),G3084+1,G3084))</f>
        <v/>
      </c>
    </row>
    <row r="3086">
      <c r="A3086" s="20">
        <f>IF(A3085="","",IF(A3085+1&gt;Ввод!$B$4,"",A3085+1))</f>
        <v/>
      </c>
      <c r="B3086">
        <f>IF(A3086="","",IFERROR(INDEX(Ввод!$B$12:$B$71,MATCH(A3086,Ввод!$D$12:$D$71,1)),""))</f>
        <v/>
      </c>
      <c r="C3086">
        <f>IF(A3086="","",DATE(YEAR(A3086),12,31)-DATE(YEAR(A3086),1,1)+1)</f>
        <v/>
      </c>
      <c r="D3086">
        <f>IF(A3086="","",SUMIFS(Акты!$D$5:$D$16,Акты!$E$5:$E$16,"&lt;="&amp;A3086)-SUMIFS(Оплаты!$B$6:$B$505,Оплаты!$A$6:$A$505,"&lt;"&amp;A3086,Оплаты!$D$6:$D$505,"&lt;&gt;"))</f>
        <v/>
      </c>
      <c r="E3086">
        <f>IF(A3086="","",IF(SUMPRODUCT((Ввод!$F$12:$F$31&lt;&gt;"")*(Ввод!$F$12:$F$31&lt;=A3086)*(Ввод!$G$12:$G$31&gt;=A3086))&gt;0,1,0))</f>
        <v/>
      </c>
      <c r="G3086">
        <f>IF(A3086="","",IF(OR(B3086&lt;&gt;B3085,C3086&lt;&gt;C3085,E3086&lt;&gt;E3085),G3085+1,G3085))</f>
        <v/>
      </c>
    </row>
    <row r="3087">
      <c r="A3087" s="20">
        <f>IF(A3086="","",IF(A3086+1&gt;Ввод!$B$4,"",A3086+1))</f>
        <v/>
      </c>
      <c r="B3087">
        <f>IF(A3087="","",IFERROR(INDEX(Ввод!$B$12:$B$71,MATCH(A3087,Ввод!$D$12:$D$71,1)),""))</f>
        <v/>
      </c>
      <c r="C3087">
        <f>IF(A3087="","",DATE(YEAR(A3087),12,31)-DATE(YEAR(A3087),1,1)+1)</f>
        <v/>
      </c>
      <c r="D3087">
        <f>IF(A3087="","",SUMIFS(Акты!$D$5:$D$16,Акты!$E$5:$E$16,"&lt;="&amp;A3087)-SUMIFS(Оплаты!$B$6:$B$505,Оплаты!$A$6:$A$505,"&lt;"&amp;A3087,Оплаты!$D$6:$D$505,"&lt;&gt;"))</f>
        <v/>
      </c>
      <c r="E3087">
        <f>IF(A3087="","",IF(SUMPRODUCT((Ввод!$F$12:$F$31&lt;&gt;"")*(Ввод!$F$12:$F$31&lt;=A3087)*(Ввод!$G$12:$G$31&gt;=A3087))&gt;0,1,0))</f>
        <v/>
      </c>
      <c r="G3087">
        <f>IF(A3087="","",IF(OR(B3087&lt;&gt;B3086,C3087&lt;&gt;C3086,E3087&lt;&gt;E3086),G3086+1,G3086))</f>
        <v/>
      </c>
    </row>
    <row r="3088">
      <c r="A3088" s="20">
        <f>IF(A3087="","",IF(A3087+1&gt;Ввод!$B$4,"",A3087+1))</f>
        <v/>
      </c>
      <c r="B3088">
        <f>IF(A3088="","",IFERROR(INDEX(Ввод!$B$12:$B$71,MATCH(A3088,Ввод!$D$12:$D$71,1)),""))</f>
        <v/>
      </c>
      <c r="C3088">
        <f>IF(A3088="","",DATE(YEAR(A3088),12,31)-DATE(YEAR(A3088),1,1)+1)</f>
        <v/>
      </c>
      <c r="D3088">
        <f>IF(A3088="","",SUMIFS(Акты!$D$5:$D$16,Акты!$E$5:$E$16,"&lt;="&amp;A3088)-SUMIFS(Оплаты!$B$6:$B$505,Оплаты!$A$6:$A$505,"&lt;"&amp;A3088,Оплаты!$D$6:$D$505,"&lt;&gt;"))</f>
        <v/>
      </c>
      <c r="E3088">
        <f>IF(A3088="","",IF(SUMPRODUCT((Ввод!$F$12:$F$31&lt;&gt;"")*(Ввод!$F$12:$F$31&lt;=A3088)*(Ввод!$G$12:$G$31&gt;=A3088))&gt;0,1,0))</f>
        <v/>
      </c>
      <c r="G3088">
        <f>IF(A3088="","",IF(OR(B3088&lt;&gt;B3087,C3088&lt;&gt;C3087,E3088&lt;&gt;E3087),G3087+1,G3087))</f>
        <v/>
      </c>
    </row>
    <row r="3089">
      <c r="A3089" s="20">
        <f>IF(A3088="","",IF(A3088+1&gt;Ввод!$B$4,"",A3088+1))</f>
        <v/>
      </c>
      <c r="B3089">
        <f>IF(A3089="","",IFERROR(INDEX(Ввод!$B$12:$B$71,MATCH(A3089,Ввод!$D$12:$D$71,1)),""))</f>
        <v/>
      </c>
      <c r="C3089">
        <f>IF(A3089="","",DATE(YEAR(A3089),12,31)-DATE(YEAR(A3089),1,1)+1)</f>
        <v/>
      </c>
      <c r="D3089">
        <f>IF(A3089="","",SUMIFS(Акты!$D$5:$D$16,Акты!$E$5:$E$16,"&lt;="&amp;A3089)-SUMIFS(Оплаты!$B$6:$B$505,Оплаты!$A$6:$A$505,"&lt;"&amp;A3089,Оплаты!$D$6:$D$505,"&lt;&gt;"))</f>
        <v/>
      </c>
      <c r="E3089">
        <f>IF(A3089="","",IF(SUMPRODUCT((Ввод!$F$12:$F$31&lt;&gt;"")*(Ввод!$F$12:$F$31&lt;=A3089)*(Ввод!$G$12:$G$31&gt;=A3089))&gt;0,1,0))</f>
        <v/>
      </c>
      <c r="G3089">
        <f>IF(A3089="","",IF(OR(B3089&lt;&gt;B3088,C3089&lt;&gt;C3088,E3089&lt;&gt;E3088),G3088+1,G3088))</f>
        <v/>
      </c>
    </row>
    <row r="3090">
      <c r="A3090" s="20">
        <f>IF(A3089="","",IF(A3089+1&gt;Ввод!$B$4,"",A3089+1))</f>
        <v/>
      </c>
      <c r="B3090">
        <f>IF(A3090="","",IFERROR(INDEX(Ввод!$B$12:$B$71,MATCH(A3090,Ввод!$D$12:$D$71,1)),""))</f>
        <v/>
      </c>
      <c r="C3090">
        <f>IF(A3090="","",DATE(YEAR(A3090),12,31)-DATE(YEAR(A3090),1,1)+1)</f>
        <v/>
      </c>
      <c r="D3090">
        <f>IF(A3090="","",SUMIFS(Акты!$D$5:$D$16,Акты!$E$5:$E$16,"&lt;="&amp;A3090)-SUMIFS(Оплаты!$B$6:$B$505,Оплаты!$A$6:$A$505,"&lt;"&amp;A3090,Оплаты!$D$6:$D$505,"&lt;&gt;"))</f>
        <v/>
      </c>
      <c r="E3090">
        <f>IF(A3090="","",IF(SUMPRODUCT((Ввод!$F$12:$F$31&lt;&gt;"")*(Ввод!$F$12:$F$31&lt;=A3090)*(Ввод!$G$12:$G$31&gt;=A3090))&gt;0,1,0))</f>
        <v/>
      </c>
      <c r="G3090">
        <f>IF(A3090="","",IF(OR(B3090&lt;&gt;B3089,C3090&lt;&gt;C3089,E3090&lt;&gt;E3089),G3089+1,G3089))</f>
        <v/>
      </c>
    </row>
    <row r="3091">
      <c r="A3091" s="20">
        <f>IF(A3090="","",IF(A3090+1&gt;Ввод!$B$4,"",A3090+1))</f>
        <v/>
      </c>
      <c r="B3091">
        <f>IF(A3091="","",IFERROR(INDEX(Ввод!$B$12:$B$71,MATCH(A3091,Ввод!$D$12:$D$71,1)),""))</f>
        <v/>
      </c>
      <c r="C3091">
        <f>IF(A3091="","",DATE(YEAR(A3091),12,31)-DATE(YEAR(A3091),1,1)+1)</f>
        <v/>
      </c>
      <c r="D3091">
        <f>IF(A3091="","",SUMIFS(Акты!$D$5:$D$16,Акты!$E$5:$E$16,"&lt;="&amp;A3091)-SUMIFS(Оплаты!$B$6:$B$505,Оплаты!$A$6:$A$505,"&lt;"&amp;A3091,Оплаты!$D$6:$D$505,"&lt;&gt;"))</f>
        <v/>
      </c>
      <c r="E3091">
        <f>IF(A3091="","",IF(SUMPRODUCT((Ввод!$F$12:$F$31&lt;&gt;"")*(Ввод!$F$12:$F$31&lt;=A3091)*(Ввод!$G$12:$G$31&gt;=A3091))&gt;0,1,0))</f>
        <v/>
      </c>
      <c r="G3091">
        <f>IF(A3091="","",IF(OR(B3091&lt;&gt;B3090,C3091&lt;&gt;C3090,E3091&lt;&gt;E3090),G3090+1,G3090))</f>
        <v/>
      </c>
    </row>
    <row r="3092">
      <c r="A3092" s="20">
        <f>IF(A3091="","",IF(A3091+1&gt;Ввод!$B$4,"",A3091+1))</f>
        <v/>
      </c>
      <c r="B3092">
        <f>IF(A3092="","",IFERROR(INDEX(Ввод!$B$12:$B$71,MATCH(A3092,Ввод!$D$12:$D$71,1)),""))</f>
        <v/>
      </c>
      <c r="C3092">
        <f>IF(A3092="","",DATE(YEAR(A3092),12,31)-DATE(YEAR(A3092),1,1)+1)</f>
        <v/>
      </c>
      <c r="D3092">
        <f>IF(A3092="","",SUMIFS(Акты!$D$5:$D$16,Акты!$E$5:$E$16,"&lt;="&amp;A3092)-SUMIFS(Оплаты!$B$6:$B$505,Оплаты!$A$6:$A$505,"&lt;"&amp;A3092,Оплаты!$D$6:$D$505,"&lt;&gt;"))</f>
        <v/>
      </c>
      <c r="E3092">
        <f>IF(A3092="","",IF(SUMPRODUCT((Ввод!$F$12:$F$31&lt;&gt;"")*(Ввод!$F$12:$F$31&lt;=A3092)*(Ввод!$G$12:$G$31&gt;=A3092))&gt;0,1,0))</f>
        <v/>
      </c>
      <c r="G3092">
        <f>IF(A3092="","",IF(OR(B3092&lt;&gt;B3091,C3092&lt;&gt;C3091,E3092&lt;&gt;E3091),G3091+1,G3091))</f>
        <v/>
      </c>
    </row>
    <row r="3093">
      <c r="A3093" s="20">
        <f>IF(A3092="","",IF(A3092+1&gt;Ввод!$B$4,"",A3092+1))</f>
        <v/>
      </c>
      <c r="B3093">
        <f>IF(A3093="","",IFERROR(INDEX(Ввод!$B$12:$B$71,MATCH(A3093,Ввод!$D$12:$D$71,1)),""))</f>
        <v/>
      </c>
      <c r="C3093">
        <f>IF(A3093="","",DATE(YEAR(A3093),12,31)-DATE(YEAR(A3093),1,1)+1)</f>
        <v/>
      </c>
      <c r="D3093">
        <f>IF(A3093="","",SUMIFS(Акты!$D$5:$D$16,Акты!$E$5:$E$16,"&lt;="&amp;A3093)-SUMIFS(Оплаты!$B$6:$B$505,Оплаты!$A$6:$A$505,"&lt;"&amp;A3093,Оплаты!$D$6:$D$505,"&lt;&gt;"))</f>
        <v/>
      </c>
      <c r="E3093">
        <f>IF(A3093="","",IF(SUMPRODUCT((Ввод!$F$12:$F$31&lt;&gt;"")*(Ввод!$F$12:$F$31&lt;=A3093)*(Ввод!$G$12:$G$31&gt;=A3093))&gt;0,1,0))</f>
        <v/>
      </c>
      <c r="G3093">
        <f>IF(A3093="","",IF(OR(B3093&lt;&gt;B3092,C3093&lt;&gt;C3092,E3093&lt;&gt;E3092),G3092+1,G3092))</f>
        <v/>
      </c>
    </row>
    <row r="3094">
      <c r="A3094" s="20">
        <f>IF(A3093="","",IF(A3093+1&gt;Ввод!$B$4,"",A3093+1))</f>
        <v/>
      </c>
      <c r="B3094">
        <f>IF(A3094="","",IFERROR(INDEX(Ввод!$B$12:$B$71,MATCH(A3094,Ввод!$D$12:$D$71,1)),""))</f>
        <v/>
      </c>
      <c r="C3094">
        <f>IF(A3094="","",DATE(YEAR(A3094),12,31)-DATE(YEAR(A3094),1,1)+1)</f>
        <v/>
      </c>
      <c r="D3094">
        <f>IF(A3094="","",SUMIFS(Акты!$D$5:$D$16,Акты!$E$5:$E$16,"&lt;="&amp;A3094)-SUMIFS(Оплаты!$B$6:$B$505,Оплаты!$A$6:$A$505,"&lt;"&amp;A3094,Оплаты!$D$6:$D$505,"&lt;&gt;"))</f>
        <v/>
      </c>
      <c r="E3094">
        <f>IF(A3094="","",IF(SUMPRODUCT((Ввод!$F$12:$F$31&lt;&gt;"")*(Ввод!$F$12:$F$31&lt;=A3094)*(Ввод!$G$12:$G$31&gt;=A3094))&gt;0,1,0))</f>
        <v/>
      </c>
      <c r="G3094">
        <f>IF(A3094="","",IF(OR(B3094&lt;&gt;B3093,C3094&lt;&gt;C3093,E3094&lt;&gt;E3093),G3093+1,G3093))</f>
        <v/>
      </c>
    </row>
    <row r="3095">
      <c r="A3095" s="20">
        <f>IF(A3094="","",IF(A3094+1&gt;Ввод!$B$4,"",A3094+1))</f>
        <v/>
      </c>
      <c r="B3095">
        <f>IF(A3095="","",IFERROR(INDEX(Ввод!$B$12:$B$71,MATCH(A3095,Ввод!$D$12:$D$71,1)),""))</f>
        <v/>
      </c>
      <c r="C3095">
        <f>IF(A3095="","",DATE(YEAR(A3095),12,31)-DATE(YEAR(A3095),1,1)+1)</f>
        <v/>
      </c>
      <c r="D3095">
        <f>IF(A3095="","",SUMIFS(Акты!$D$5:$D$16,Акты!$E$5:$E$16,"&lt;="&amp;A3095)-SUMIFS(Оплаты!$B$6:$B$505,Оплаты!$A$6:$A$505,"&lt;"&amp;A3095,Оплаты!$D$6:$D$505,"&lt;&gt;"))</f>
        <v/>
      </c>
      <c r="E3095">
        <f>IF(A3095="","",IF(SUMPRODUCT((Ввод!$F$12:$F$31&lt;&gt;"")*(Ввод!$F$12:$F$31&lt;=A3095)*(Ввод!$G$12:$G$31&gt;=A3095))&gt;0,1,0))</f>
        <v/>
      </c>
      <c r="G3095">
        <f>IF(A3095="","",IF(OR(B3095&lt;&gt;B3094,C3095&lt;&gt;C3094,E3095&lt;&gt;E3094),G3094+1,G3094))</f>
        <v/>
      </c>
    </row>
    <row r="3096">
      <c r="A3096" s="20">
        <f>IF(A3095="","",IF(A3095+1&gt;Ввод!$B$4,"",A3095+1))</f>
        <v/>
      </c>
      <c r="B3096">
        <f>IF(A3096="","",IFERROR(INDEX(Ввод!$B$12:$B$71,MATCH(A3096,Ввод!$D$12:$D$71,1)),""))</f>
        <v/>
      </c>
      <c r="C3096">
        <f>IF(A3096="","",DATE(YEAR(A3096),12,31)-DATE(YEAR(A3096),1,1)+1)</f>
        <v/>
      </c>
      <c r="D3096">
        <f>IF(A3096="","",SUMIFS(Акты!$D$5:$D$16,Акты!$E$5:$E$16,"&lt;="&amp;A3096)-SUMIFS(Оплаты!$B$6:$B$505,Оплаты!$A$6:$A$505,"&lt;"&amp;A3096,Оплаты!$D$6:$D$505,"&lt;&gt;"))</f>
        <v/>
      </c>
      <c r="E3096">
        <f>IF(A3096="","",IF(SUMPRODUCT((Ввод!$F$12:$F$31&lt;&gt;"")*(Ввод!$F$12:$F$31&lt;=A3096)*(Ввод!$G$12:$G$31&gt;=A3096))&gt;0,1,0))</f>
        <v/>
      </c>
      <c r="G3096">
        <f>IF(A3096="","",IF(OR(B3096&lt;&gt;B3095,C3096&lt;&gt;C3095,E3096&lt;&gt;E3095),G3095+1,G3095))</f>
        <v/>
      </c>
    </row>
    <row r="3097">
      <c r="A3097" s="20">
        <f>IF(A3096="","",IF(A3096+1&gt;Ввод!$B$4,"",A3096+1))</f>
        <v/>
      </c>
      <c r="B3097">
        <f>IF(A3097="","",IFERROR(INDEX(Ввод!$B$12:$B$71,MATCH(A3097,Ввод!$D$12:$D$71,1)),""))</f>
        <v/>
      </c>
      <c r="C3097">
        <f>IF(A3097="","",DATE(YEAR(A3097),12,31)-DATE(YEAR(A3097),1,1)+1)</f>
        <v/>
      </c>
      <c r="D3097">
        <f>IF(A3097="","",SUMIFS(Акты!$D$5:$D$16,Акты!$E$5:$E$16,"&lt;="&amp;A3097)-SUMIFS(Оплаты!$B$6:$B$505,Оплаты!$A$6:$A$505,"&lt;"&amp;A3097,Оплаты!$D$6:$D$505,"&lt;&gt;"))</f>
        <v/>
      </c>
      <c r="E3097">
        <f>IF(A3097="","",IF(SUMPRODUCT((Ввод!$F$12:$F$31&lt;&gt;"")*(Ввод!$F$12:$F$31&lt;=A3097)*(Ввод!$G$12:$G$31&gt;=A3097))&gt;0,1,0))</f>
        <v/>
      </c>
      <c r="G3097">
        <f>IF(A3097="","",IF(OR(B3097&lt;&gt;B3096,C3097&lt;&gt;C3096,E3097&lt;&gt;E3096),G3096+1,G3096))</f>
        <v/>
      </c>
    </row>
    <row r="3098">
      <c r="A3098" s="20">
        <f>IF(A3097="","",IF(A3097+1&gt;Ввод!$B$4,"",A3097+1))</f>
        <v/>
      </c>
      <c r="B3098">
        <f>IF(A3098="","",IFERROR(INDEX(Ввод!$B$12:$B$71,MATCH(A3098,Ввод!$D$12:$D$71,1)),""))</f>
        <v/>
      </c>
      <c r="C3098">
        <f>IF(A3098="","",DATE(YEAR(A3098),12,31)-DATE(YEAR(A3098),1,1)+1)</f>
        <v/>
      </c>
      <c r="D3098">
        <f>IF(A3098="","",SUMIFS(Акты!$D$5:$D$16,Акты!$E$5:$E$16,"&lt;="&amp;A3098)-SUMIFS(Оплаты!$B$6:$B$505,Оплаты!$A$6:$A$505,"&lt;"&amp;A3098,Оплаты!$D$6:$D$505,"&lt;&gt;"))</f>
        <v/>
      </c>
      <c r="E3098">
        <f>IF(A3098="","",IF(SUMPRODUCT((Ввод!$F$12:$F$31&lt;&gt;"")*(Ввод!$F$12:$F$31&lt;=A3098)*(Ввод!$G$12:$G$31&gt;=A3098))&gt;0,1,0))</f>
        <v/>
      </c>
      <c r="G3098">
        <f>IF(A3098="","",IF(OR(B3098&lt;&gt;B3097,C3098&lt;&gt;C3097,E3098&lt;&gt;E3097),G3097+1,G3097))</f>
        <v/>
      </c>
    </row>
    <row r="3099">
      <c r="A3099" s="20">
        <f>IF(A3098="","",IF(A3098+1&gt;Ввод!$B$4,"",A3098+1))</f>
        <v/>
      </c>
      <c r="B3099">
        <f>IF(A3099="","",IFERROR(INDEX(Ввод!$B$12:$B$71,MATCH(A3099,Ввод!$D$12:$D$71,1)),""))</f>
        <v/>
      </c>
      <c r="C3099">
        <f>IF(A3099="","",DATE(YEAR(A3099),12,31)-DATE(YEAR(A3099),1,1)+1)</f>
        <v/>
      </c>
      <c r="D3099">
        <f>IF(A3099="","",SUMIFS(Акты!$D$5:$D$16,Акты!$E$5:$E$16,"&lt;="&amp;A3099)-SUMIFS(Оплаты!$B$6:$B$505,Оплаты!$A$6:$A$505,"&lt;"&amp;A3099,Оплаты!$D$6:$D$505,"&lt;&gt;"))</f>
        <v/>
      </c>
      <c r="E3099">
        <f>IF(A3099="","",IF(SUMPRODUCT((Ввод!$F$12:$F$31&lt;&gt;"")*(Ввод!$F$12:$F$31&lt;=A3099)*(Ввод!$G$12:$G$31&gt;=A3099))&gt;0,1,0))</f>
        <v/>
      </c>
      <c r="G3099">
        <f>IF(A3099="","",IF(OR(B3099&lt;&gt;B3098,C3099&lt;&gt;C3098,E3099&lt;&gt;E3098),G3098+1,G3098))</f>
        <v/>
      </c>
    </row>
    <row r="3100">
      <c r="A3100" s="20">
        <f>IF(A3099="","",IF(A3099+1&gt;Ввод!$B$4,"",A3099+1))</f>
        <v/>
      </c>
      <c r="B3100">
        <f>IF(A3100="","",IFERROR(INDEX(Ввод!$B$12:$B$71,MATCH(A3100,Ввод!$D$12:$D$71,1)),""))</f>
        <v/>
      </c>
      <c r="C3100">
        <f>IF(A3100="","",DATE(YEAR(A3100),12,31)-DATE(YEAR(A3100),1,1)+1)</f>
        <v/>
      </c>
      <c r="D3100">
        <f>IF(A3100="","",SUMIFS(Акты!$D$5:$D$16,Акты!$E$5:$E$16,"&lt;="&amp;A3100)-SUMIFS(Оплаты!$B$6:$B$505,Оплаты!$A$6:$A$505,"&lt;"&amp;A3100,Оплаты!$D$6:$D$505,"&lt;&gt;"))</f>
        <v/>
      </c>
      <c r="E3100">
        <f>IF(A3100="","",IF(SUMPRODUCT((Ввод!$F$12:$F$31&lt;&gt;"")*(Ввод!$F$12:$F$31&lt;=A3100)*(Ввод!$G$12:$G$31&gt;=A3100))&gt;0,1,0))</f>
        <v/>
      </c>
      <c r="G3100">
        <f>IF(A3100="","",IF(OR(B3100&lt;&gt;B3099,C3100&lt;&gt;C3099,E3100&lt;&gt;E3099),G3099+1,G3099))</f>
        <v/>
      </c>
    </row>
    <row r="3101">
      <c r="A3101" s="20">
        <f>IF(A3100="","",IF(A3100+1&gt;Ввод!$B$4,"",A3100+1))</f>
        <v/>
      </c>
      <c r="B3101">
        <f>IF(A3101="","",IFERROR(INDEX(Ввод!$B$12:$B$71,MATCH(A3101,Ввод!$D$12:$D$71,1)),""))</f>
        <v/>
      </c>
      <c r="C3101">
        <f>IF(A3101="","",DATE(YEAR(A3101),12,31)-DATE(YEAR(A3101),1,1)+1)</f>
        <v/>
      </c>
      <c r="D3101">
        <f>IF(A3101="","",SUMIFS(Акты!$D$5:$D$16,Акты!$E$5:$E$16,"&lt;="&amp;A3101)-SUMIFS(Оплаты!$B$6:$B$505,Оплаты!$A$6:$A$505,"&lt;"&amp;A3101,Оплаты!$D$6:$D$505,"&lt;&gt;"))</f>
        <v/>
      </c>
      <c r="E3101">
        <f>IF(A3101="","",IF(SUMPRODUCT((Ввод!$F$12:$F$31&lt;&gt;"")*(Ввод!$F$12:$F$31&lt;=A3101)*(Ввод!$G$12:$G$31&gt;=A3101))&gt;0,1,0))</f>
        <v/>
      </c>
      <c r="G3101">
        <f>IF(A3101="","",IF(OR(B3101&lt;&gt;B3100,C3101&lt;&gt;C3100,E3101&lt;&gt;E3100),G3100+1,G3100))</f>
        <v/>
      </c>
    </row>
    <row r="3102">
      <c r="A3102" s="20">
        <f>IF(A3101="","",IF(A3101+1&gt;Ввод!$B$4,"",A3101+1))</f>
        <v/>
      </c>
      <c r="B3102">
        <f>IF(A3102="","",IFERROR(INDEX(Ввод!$B$12:$B$71,MATCH(A3102,Ввод!$D$12:$D$71,1)),""))</f>
        <v/>
      </c>
      <c r="C3102">
        <f>IF(A3102="","",DATE(YEAR(A3102),12,31)-DATE(YEAR(A3102),1,1)+1)</f>
        <v/>
      </c>
      <c r="D3102">
        <f>IF(A3102="","",SUMIFS(Акты!$D$5:$D$16,Акты!$E$5:$E$16,"&lt;="&amp;A3102)-SUMIFS(Оплаты!$B$6:$B$505,Оплаты!$A$6:$A$505,"&lt;"&amp;A3102,Оплаты!$D$6:$D$505,"&lt;&gt;"))</f>
        <v/>
      </c>
      <c r="E3102">
        <f>IF(A3102="","",IF(SUMPRODUCT((Ввод!$F$12:$F$31&lt;&gt;"")*(Ввод!$F$12:$F$31&lt;=A3102)*(Ввод!$G$12:$G$31&gt;=A3102))&gt;0,1,0))</f>
        <v/>
      </c>
      <c r="G3102">
        <f>IF(A3102="","",IF(OR(B3102&lt;&gt;B3101,C3102&lt;&gt;C3101,E3102&lt;&gt;E3101),G3101+1,G3101))</f>
        <v/>
      </c>
    </row>
    <row r="3103">
      <c r="A3103" s="20">
        <f>IF(A3102="","",IF(A3102+1&gt;Ввод!$B$4,"",A3102+1))</f>
        <v/>
      </c>
      <c r="B3103">
        <f>IF(A3103="","",IFERROR(INDEX(Ввод!$B$12:$B$71,MATCH(A3103,Ввод!$D$12:$D$71,1)),""))</f>
        <v/>
      </c>
      <c r="C3103">
        <f>IF(A3103="","",DATE(YEAR(A3103),12,31)-DATE(YEAR(A3103),1,1)+1)</f>
        <v/>
      </c>
      <c r="D3103">
        <f>IF(A3103="","",SUMIFS(Акты!$D$5:$D$16,Акты!$E$5:$E$16,"&lt;="&amp;A3103)-SUMIFS(Оплаты!$B$6:$B$505,Оплаты!$A$6:$A$505,"&lt;"&amp;A3103,Оплаты!$D$6:$D$505,"&lt;&gt;"))</f>
        <v/>
      </c>
      <c r="E3103">
        <f>IF(A3103="","",IF(SUMPRODUCT((Ввод!$F$12:$F$31&lt;&gt;"")*(Ввод!$F$12:$F$31&lt;=A3103)*(Ввод!$G$12:$G$31&gt;=A3103))&gt;0,1,0))</f>
        <v/>
      </c>
      <c r="G3103">
        <f>IF(A3103="","",IF(OR(B3103&lt;&gt;B3102,C3103&lt;&gt;C3102,E3103&lt;&gt;E3102),G3102+1,G3102))</f>
        <v/>
      </c>
    </row>
    <row r="3104">
      <c r="A3104" s="20">
        <f>IF(A3103="","",IF(A3103+1&gt;Ввод!$B$4,"",A3103+1))</f>
        <v/>
      </c>
      <c r="B3104">
        <f>IF(A3104="","",IFERROR(INDEX(Ввод!$B$12:$B$71,MATCH(A3104,Ввод!$D$12:$D$71,1)),""))</f>
        <v/>
      </c>
      <c r="C3104">
        <f>IF(A3104="","",DATE(YEAR(A3104),12,31)-DATE(YEAR(A3104),1,1)+1)</f>
        <v/>
      </c>
      <c r="D3104">
        <f>IF(A3104="","",SUMIFS(Акты!$D$5:$D$16,Акты!$E$5:$E$16,"&lt;="&amp;A3104)-SUMIFS(Оплаты!$B$6:$B$505,Оплаты!$A$6:$A$505,"&lt;"&amp;A3104,Оплаты!$D$6:$D$505,"&lt;&gt;"))</f>
        <v/>
      </c>
      <c r="E3104">
        <f>IF(A3104="","",IF(SUMPRODUCT((Ввод!$F$12:$F$31&lt;&gt;"")*(Ввод!$F$12:$F$31&lt;=A3104)*(Ввод!$G$12:$G$31&gt;=A3104))&gt;0,1,0))</f>
        <v/>
      </c>
      <c r="G3104">
        <f>IF(A3104="","",IF(OR(B3104&lt;&gt;B3103,C3104&lt;&gt;C3103,E3104&lt;&gt;E3103),G3103+1,G3103))</f>
        <v/>
      </c>
    </row>
    <row r="3105">
      <c r="A3105" s="20">
        <f>IF(A3104="","",IF(A3104+1&gt;Ввод!$B$4,"",A3104+1))</f>
        <v/>
      </c>
      <c r="B3105">
        <f>IF(A3105="","",IFERROR(INDEX(Ввод!$B$12:$B$71,MATCH(A3105,Ввод!$D$12:$D$71,1)),""))</f>
        <v/>
      </c>
      <c r="C3105">
        <f>IF(A3105="","",DATE(YEAR(A3105),12,31)-DATE(YEAR(A3105),1,1)+1)</f>
        <v/>
      </c>
      <c r="D3105">
        <f>IF(A3105="","",SUMIFS(Акты!$D$5:$D$16,Акты!$E$5:$E$16,"&lt;="&amp;A3105)-SUMIFS(Оплаты!$B$6:$B$505,Оплаты!$A$6:$A$505,"&lt;"&amp;A3105,Оплаты!$D$6:$D$505,"&lt;&gt;"))</f>
        <v/>
      </c>
      <c r="E3105">
        <f>IF(A3105="","",IF(SUMPRODUCT((Ввод!$F$12:$F$31&lt;&gt;"")*(Ввод!$F$12:$F$31&lt;=A3105)*(Ввод!$G$12:$G$31&gt;=A3105))&gt;0,1,0))</f>
        <v/>
      </c>
      <c r="G3105">
        <f>IF(A3105="","",IF(OR(B3105&lt;&gt;B3104,C3105&lt;&gt;C3104,E3105&lt;&gt;E3104),G3104+1,G3104))</f>
        <v/>
      </c>
    </row>
    <row r="3106">
      <c r="A3106" s="20">
        <f>IF(A3105="","",IF(A3105+1&gt;Ввод!$B$4,"",A3105+1))</f>
        <v/>
      </c>
      <c r="B3106">
        <f>IF(A3106="","",IFERROR(INDEX(Ввод!$B$12:$B$71,MATCH(A3106,Ввод!$D$12:$D$71,1)),""))</f>
        <v/>
      </c>
      <c r="C3106">
        <f>IF(A3106="","",DATE(YEAR(A3106),12,31)-DATE(YEAR(A3106),1,1)+1)</f>
        <v/>
      </c>
      <c r="D3106">
        <f>IF(A3106="","",SUMIFS(Акты!$D$5:$D$16,Акты!$E$5:$E$16,"&lt;="&amp;A3106)-SUMIFS(Оплаты!$B$6:$B$505,Оплаты!$A$6:$A$505,"&lt;"&amp;A3106,Оплаты!$D$6:$D$505,"&lt;&gt;"))</f>
        <v/>
      </c>
      <c r="E3106">
        <f>IF(A3106="","",IF(SUMPRODUCT((Ввод!$F$12:$F$31&lt;&gt;"")*(Ввод!$F$12:$F$31&lt;=A3106)*(Ввод!$G$12:$G$31&gt;=A3106))&gt;0,1,0))</f>
        <v/>
      </c>
      <c r="G3106">
        <f>IF(A3106="","",IF(OR(B3106&lt;&gt;B3105,C3106&lt;&gt;C3105,E3106&lt;&gt;E3105),G3105+1,G3105))</f>
        <v/>
      </c>
    </row>
    <row r="3107">
      <c r="A3107" s="20">
        <f>IF(A3106="","",IF(A3106+1&gt;Ввод!$B$4,"",A3106+1))</f>
        <v/>
      </c>
      <c r="B3107">
        <f>IF(A3107="","",IFERROR(INDEX(Ввод!$B$12:$B$71,MATCH(A3107,Ввод!$D$12:$D$71,1)),""))</f>
        <v/>
      </c>
      <c r="C3107">
        <f>IF(A3107="","",DATE(YEAR(A3107),12,31)-DATE(YEAR(A3107),1,1)+1)</f>
        <v/>
      </c>
      <c r="D3107">
        <f>IF(A3107="","",SUMIFS(Акты!$D$5:$D$16,Акты!$E$5:$E$16,"&lt;="&amp;A3107)-SUMIFS(Оплаты!$B$6:$B$505,Оплаты!$A$6:$A$505,"&lt;"&amp;A3107,Оплаты!$D$6:$D$505,"&lt;&gt;"))</f>
        <v/>
      </c>
      <c r="E3107">
        <f>IF(A3107="","",IF(SUMPRODUCT((Ввод!$F$12:$F$31&lt;&gt;"")*(Ввод!$F$12:$F$31&lt;=A3107)*(Ввод!$G$12:$G$31&gt;=A3107))&gt;0,1,0))</f>
        <v/>
      </c>
      <c r="G3107">
        <f>IF(A3107="","",IF(OR(B3107&lt;&gt;B3106,C3107&lt;&gt;C3106,E3107&lt;&gt;E3106),G3106+1,G3106))</f>
        <v/>
      </c>
    </row>
    <row r="3108">
      <c r="A3108" s="20">
        <f>IF(A3107="","",IF(A3107+1&gt;Ввод!$B$4,"",A3107+1))</f>
        <v/>
      </c>
      <c r="B3108">
        <f>IF(A3108="","",IFERROR(INDEX(Ввод!$B$12:$B$71,MATCH(A3108,Ввод!$D$12:$D$71,1)),""))</f>
        <v/>
      </c>
      <c r="C3108">
        <f>IF(A3108="","",DATE(YEAR(A3108),12,31)-DATE(YEAR(A3108),1,1)+1)</f>
        <v/>
      </c>
      <c r="D3108">
        <f>IF(A3108="","",SUMIFS(Акты!$D$5:$D$16,Акты!$E$5:$E$16,"&lt;="&amp;A3108)-SUMIFS(Оплаты!$B$6:$B$505,Оплаты!$A$6:$A$505,"&lt;"&amp;A3108,Оплаты!$D$6:$D$505,"&lt;&gt;"))</f>
        <v/>
      </c>
      <c r="E3108">
        <f>IF(A3108="","",IF(SUMPRODUCT((Ввод!$F$12:$F$31&lt;&gt;"")*(Ввод!$F$12:$F$31&lt;=A3108)*(Ввод!$G$12:$G$31&gt;=A3108))&gt;0,1,0))</f>
        <v/>
      </c>
      <c r="G3108">
        <f>IF(A3108="","",IF(OR(B3108&lt;&gt;B3107,C3108&lt;&gt;C3107,E3108&lt;&gt;E3107),G3107+1,G3107))</f>
        <v/>
      </c>
    </row>
    <row r="3109">
      <c r="A3109" s="20">
        <f>IF(A3108="","",IF(A3108+1&gt;Ввод!$B$4,"",A3108+1))</f>
        <v/>
      </c>
      <c r="B3109">
        <f>IF(A3109="","",IFERROR(INDEX(Ввод!$B$12:$B$71,MATCH(A3109,Ввод!$D$12:$D$71,1)),""))</f>
        <v/>
      </c>
      <c r="C3109">
        <f>IF(A3109="","",DATE(YEAR(A3109),12,31)-DATE(YEAR(A3109),1,1)+1)</f>
        <v/>
      </c>
      <c r="D3109">
        <f>IF(A3109="","",SUMIFS(Акты!$D$5:$D$16,Акты!$E$5:$E$16,"&lt;="&amp;A3109)-SUMIFS(Оплаты!$B$6:$B$505,Оплаты!$A$6:$A$505,"&lt;"&amp;A3109,Оплаты!$D$6:$D$505,"&lt;&gt;"))</f>
        <v/>
      </c>
      <c r="E3109">
        <f>IF(A3109="","",IF(SUMPRODUCT((Ввод!$F$12:$F$31&lt;&gt;"")*(Ввод!$F$12:$F$31&lt;=A3109)*(Ввод!$G$12:$G$31&gt;=A3109))&gt;0,1,0))</f>
        <v/>
      </c>
      <c r="G3109">
        <f>IF(A3109="","",IF(OR(B3109&lt;&gt;B3108,C3109&lt;&gt;C3108,E3109&lt;&gt;E3108),G3108+1,G3108))</f>
        <v/>
      </c>
    </row>
    <row r="3110">
      <c r="A3110" s="20">
        <f>IF(A3109="","",IF(A3109+1&gt;Ввод!$B$4,"",A3109+1))</f>
        <v/>
      </c>
      <c r="B3110">
        <f>IF(A3110="","",IFERROR(INDEX(Ввод!$B$12:$B$71,MATCH(A3110,Ввод!$D$12:$D$71,1)),""))</f>
        <v/>
      </c>
      <c r="C3110">
        <f>IF(A3110="","",DATE(YEAR(A3110),12,31)-DATE(YEAR(A3110),1,1)+1)</f>
        <v/>
      </c>
      <c r="D3110">
        <f>IF(A3110="","",SUMIFS(Акты!$D$5:$D$16,Акты!$E$5:$E$16,"&lt;="&amp;A3110)-SUMIFS(Оплаты!$B$6:$B$505,Оплаты!$A$6:$A$505,"&lt;"&amp;A3110,Оплаты!$D$6:$D$505,"&lt;&gt;"))</f>
        <v/>
      </c>
      <c r="E3110">
        <f>IF(A3110="","",IF(SUMPRODUCT((Ввод!$F$12:$F$31&lt;&gt;"")*(Ввод!$F$12:$F$31&lt;=A3110)*(Ввод!$G$12:$G$31&gt;=A3110))&gt;0,1,0))</f>
        <v/>
      </c>
      <c r="G3110">
        <f>IF(A3110="","",IF(OR(B3110&lt;&gt;B3109,C3110&lt;&gt;C3109,E3110&lt;&gt;E3109),G3109+1,G3109))</f>
        <v/>
      </c>
    </row>
    <row r="3111">
      <c r="A3111" s="20">
        <f>IF(A3110="","",IF(A3110+1&gt;Ввод!$B$4,"",A3110+1))</f>
        <v/>
      </c>
      <c r="B3111">
        <f>IF(A3111="","",IFERROR(INDEX(Ввод!$B$12:$B$71,MATCH(A3111,Ввод!$D$12:$D$71,1)),""))</f>
        <v/>
      </c>
      <c r="C3111">
        <f>IF(A3111="","",DATE(YEAR(A3111),12,31)-DATE(YEAR(A3111),1,1)+1)</f>
        <v/>
      </c>
      <c r="D3111">
        <f>IF(A3111="","",SUMIFS(Акты!$D$5:$D$16,Акты!$E$5:$E$16,"&lt;="&amp;A3111)-SUMIFS(Оплаты!$B$6:$B$505,Оплаты!$A$6:$A$505,"&lt;"&amp;A3111,Оплаты!$D$6:$D$505,"&lt;&gt;"))</f>
        <v/>
      </c>
      <c r="E3111">
        <f>IF(A3111="","",IF(SUMPRODUCT((Ввод!$F$12:$F$31&lt;&gt;"")*(Ввод!$F$12:$F$31&lt;=A3111)*(Ввод!$G$12:$G$31&gt;=A3111))&gt;0,1,0))</f>
        <v/>
      </c>
      <c r="G3111">
        <f>IF(A3111="","",IF(OR(B3111&lt;&gt;B3110,C3111&lt;&gt;C3110,E3111&lt;&gt;E3110),G3110+1,G3110))</f>
        <v/>
      </c>
    </row>
    <row r="3112">
      <c r="A3112" s="20">
        <f>IF(A3111="","",IF(A3111+1&gt;Ввод!$B$4,"",A3111+1))</f>
        <v/>
      </c>
      <c r="B3112">
        <f>IF(A3112="","",IFERROR(INDEX(Ввод!$B$12:$B$71,MATCH(A3112,Ввод!$D$12:$D$71,1)),""))</f>
        <v/>
      </c>
      <c r="C3112">
        <f>IF(A3112="","",DATE(YEAR(A3112),12,31)-DATE(YEAR(A3112),1,1)+1)</f>
        <v/>
      </c>
      <c r="D3112">
        <f>IF(A3112="","",SUMIFS(Акты!$D$5:$D$16,Акты!$E$5:$E$16,"&lt;="&amp;A3112)-SUMIFS(Оплаты!$B$6:$B$505,Оплаты!$A$6:$A$505,"&lt;"&amp;A3112,Оплаты!$D$6:$D$505,"&lt;&gt;"))</f>
        <v/>
      </c>
      <c r="E3112">
        <f>IF(A3112="","",IF(SUMPRODUCT((Ввод!$F$12:$F$31&lt;&gt;"")*(Ввод!$F$12:$F$31&lt;=A3112)*(Ввод!$G$12:$G$31&gt;=A3112))&gt;0,1,0))</f>
        <v/>
      </c>
      <c r="G3112">
        <f>IF(A3112="","",IF(OR(B3112&lt;&gt;B3111,C3112&lt;&gt;C3111,E3112&lt;&gt;E3111),G3111+1,G3111))</f>
        <v/>
      </c>
    </row>
    <row r="3113">
      <c r="A3113" s="20">
        <f>IF(A3112="","",IF(A3112+1&gt;Ввод!$B$4,"",A3112+1))</f>
        <v/>
      </c>
      <c r="B3113">
        <f>IF(A3113="","",IFERROR(INDEX(Ввод!$B$12:$B$71,MATCH(A3113,Ввод!$D$12:$D$71,1)),""))</f>
        <v/>
      </c>
      <c r="C3113">
        <f>IF(A3113="","",DATE(YEAR(A3113),12,31)-DATE(YEAR(A3113),1,1)+1)</f>
        <v/>
      </c>
      <c r="D3113">
        <f>IF(A3113="","",SUMIFS(Акты!$D$5:$D$16,Акты!$E$5:$E$16,"&lt;="&amp;A3113)-SUMIFS(Оплаты!$B$6:$B$505,Оплаты!$A$6:$A$505,"&lt;"&amp;A3113,Оплаты!$D$6:$D$505,"&lt;&gt;"))</f>
        <v/>
      </c>
      <c r="E3113">
        <f>IF(A3113="","",IF(SUMPRODUCT((Ввод!$F$12:$F$31&lt;&gt;"")*(Ввод!$F$12:$F$31&lt;=A3113)*(Ввод!$G$12:$G$31&gt;=A3113))&gt;0,1,0))</f>
        <v/>
      </c>
      <c r="G3113">
        <f>IF(A3113="","",IF(OR(B3113&lt;&gt;B3112,C3113&lt;&gt;C3112,E3113&lt;&gt;E3112),G3112+1,G3112))</f>
        <v/>
      </c>
    </row>
    <row r="3114">
      <c r="A3114" s="20">
        <f>IF(A3113="","",IF(A3113+1&gt;Ввод!$B$4,"",A3113+1))</f>
        <v/>
      </c>
      <c r="B3114">
        <f>IF(A3114="","",IFERROR(INDEX(Ввод!$B$12:$B$71,MATCH(A3114,Ввод!$D$12:$D$71,1)),""))</f>
        <v/>
      </c>
      <c r="C3114">
        <f>IF(A3114="","",DATE(YEAR(A3114),12,31)-DATE(YEAR(A3114),1,1)+1)</f>
        <v/>
      </c>
      <c r="D3114">
        <f>IF(A3114="","",SUMIFS(Акты!$D$5:$D$16,Акты!$E$5:$E$16,"&lt;="&amp;A3114)-SUMIFS(Оплаты!$B$6:$B$505,Оплаты!$A$6:$A$505,"&lt;"&amp;A3114,Оплаты!$D$6:$D$505,"&lt;&gt;"))</f>
        <v/>
      </c>
      <c r="E3114">
        <f>IF(A3114="","",IF(SUMPRODUCT((Ввод!$F$12:$F$31&lt;&gt;"")*(Ввод!$F$12:$F$31&lt;=A3114)*(Ввод!$G$12:$G$31&gt;=A3114))&gt;0,1,0))</f>
        <v/>
      </c>
      <c r="G3114">
        <f>IF(A3114="","",IF(OR(B3114&lt;&gt;B3113,C3114&lt;&gt;C3113,E3114&lt;&gt;E3113),G3113+1,G3113))</f>
        <v/>
      </c>
    </row>
    <row r="3115">
      <c r="A3115" s="20">
        <f>IF(A3114="","",IF(A3114+1&gt;Ввод!$B$4,"",A3114+1))</f>
        <v/>
      </c>
      <c r="B3115">
        <f>IF(A3115="","",IFERROR(INDEX(Ввод!$B$12:$B$71,MATCH(A3115,Ввод!$D$12:$D$71,1)),""))</f>
        <v/>
      </c>
      <c r="C3115">
        <f>IF(A3115="","",DATE(YEAR(A3115),12,31)-DATE(YEAR(A3115),1,1)+1)</f>
        <v/>
      </c>
      <c r="D3115">
        <f>IF(A3115="","",SUMIFS(Акты!$D$5:$D$16,Акты!$E$5:$E$16,"&lt;="&amp;A3115)-SUMIFS(Оплаты!$B$6:$B$505,Оплаты!$A$6:$A$505,"&lt;"&amp;A3115,Оплаты!$D$6:$D$505,"&lt;&gt;"))</f>
        <v/>
      </c>
      <c r="E3115">
        <f>IF(A3115="","",IF(SUMPRODUCT((Ввод!$F$12:$F$31&lt;&gt;"")*(Ввод!$F$12:$F$31&lt;=A3115)*(Ввод!$G$12:$G$31&gt;=A3115))&gt;0,1,0))</f>
        <v/>
      </c>
      <c r="G3115">
        <f>IF(A3115="","",IF(OR(B3115&lt;&gt;B3114,C3115&lt;&gt;C3114,E3115&lt;&gt;E3114),G3114+1,G3114))</f>
        <v/>
      </c>
    </row>
    <row r="3116">
      <c r="A3116" s="20">
        <f>IF(A3115="","",IF(A3115+1&gt;Ввод!$B$4,"",A3115+1))</f>
        <v/>
      </c>
      <c r="B3116">
        <f>IF(A3116="","",IFERROR(INDEX(Ввод!$B$12:$B$71,MATCH(A3116,Ввод!$D$12:$D$71,1)),""))</f>
        <v/>
      </c>
      <c r="C3116">
        <f>IF(A3116="","",DATE(YEAR(A3116),12,31)-DATE(YEAR(A3116),1,1)+1)</f>
        <v/>
      </c>
      <c r="D3116">
        <f>IF(A3116="","",SUMIFS(Акты!$D$5:$D$16,Акты!$E$5:$E$16,"&lt;="&amp;A3116)-SUMIFS(Оплаты!$B$6:$B$505,Оплаты!$A$6:$A$505,"&lt;"&amp;A3116,Оплаты!$D$6:$D$505,"&lt;&gt;"))</f>
        <v/>
      </c>
      <c r="E3116">
        <f>IF(A3116="","",IF(SUMPRODUCT((Ввод!$F$12:$F$31&lt;&gt;"")*(Ввод!$F$12:$F$31&lt;=A3116)*(Ввод!$G$12:$G$31&gt;=A3116))&gt;0,1,0))</f>
        <v/>
      </c>
      <c r="G3116">
        <f>IF(A3116="","",IF(OR(B3116&lt;&gt;B3115,C3116&lt;&gt;C3115,E3116&lt;&gt;E3115),G3115+1,G3115))</f>
        <v/>
      </c>
    </row>
    <row r="3117">
      <c r="A3117" s="20">
        <f>IF(A3116="","",IF(A3116+1&gt;Ввод!$B$4,"",A3116+1))</f>
        <v/>
      </c>
      <c r="B3117">
        <f>IF(A3117="","",IFERROR(INDEX(Ввод!$B$12:$B$71,MATCH(A3117,Ввод!$D$12:$D$71,1)),""))</f>
        <v/>
      </c>
      <c r="C3117">
        <f>IF(A3117="","",DATE(YEAR(A3117),12,31)-DATE(YEAR(A3117),1,1)+1)</f>
        <v/>
      </c>
      <c r="D3117">
        <f>IF(A3117="","",SUMIFS(Акты!$D$5:$D$16,Акты!$E$5:$E$16,"&lt;="&amp;A3117)-SUMIFS(Оплаты!$B$6:$B$505,Оплаты!$A$6:$A$505,"&lt;"&amp;A3117,Оплаты!$D$6:$D$505,"&lt;&gt;"))</f>
        <v/>
      </c>
      <c r="E3117">
        <f>IF(A3117="","",IF(SUMPRODUCT((Ввод!$F$12:$F$31&lt;&gt;"")*(Ввод!$F$12:$F$31&lt;=A3117)*(Ввод!$G$12:$G$31&gt;=A3117))&gt;0,1,0))</f>
        <v/>
      </c>
      <c r="G3117">
        <f>IF(A3117="","",IF(OR(B3117&lt;&gt;B3116,C3117&lt;&gt;C3116,E3117&lt;&gt;E3116),G3116+1,G3116))</f>
        <v/>
      </c>
    </row>
    <row r="3118">
      <c r="A3118" s="20">
        <f>IF(A3117="","",IF(A3117+1&gt;Ввод!$B$4,"",A3117+1))</f>
        <v/>
      </c>
      <c r="B3118">
        <f>IF(A3118="","",IFERROR(INDEX(Ввод!$B$12:$B$71,MATCH(A3118,Ввод!$D$12:$D$71,1)),""))</f>
        <v/>
      </c>
      <c r="C3118">
        <f>IF(A3118="","",DATE(YEAR(A3118),12,31)-DATE(YEAR(A3118),1,1)+1)</f>
        <v/>
      </c>
      <c r="D3118">
        <f>IF(A3118="","",SUMIFS(Акты!$D$5:$D$16,Акты!$E$5:$E$16,"&lt;="&amp;A3118)-SUMIFS(Оплаты!$B$6:$B$505,Оплаты!$A$6:$A$505,"&lt;"&amp;A3118,Оплаты!$D$6:$D$505,"&lt;&gt;"))</f>
        <v/>
      </c>
      <c r="E3118">
        <f>IF(A3118="","",IF(SUMPRODUCT((Ввод!$F$12:$F$31&lt;&gt;"")*(Ввод!$F$12:$F$31&lt;=A3118)*(Ввод!$G$12:$G$31&gt;=A3118))&gt;0,1,0))</f>
        <v/>
      </c>
      <c r="G3118">
        <f>IF(A3118="","",IF(OR(B3118&lt;&gt;B3117,C3118&lt;&gt;C3117,E3118&lt;&gt;E3117),G3117+1,G3117))</f>
        <v/>
      </c>
    </row>
    <row r="3119">
      <c r="A3119" s="20">
        <f>IF(A3118="","",IF(A3118+1&gt;Ввод!$B$4,"",A3118+1))</f>
        <v/>
      </c>
      <c r="B3119">
        <f>IF(A3119="","",IFERROR(INDEX(Ввод!$B$12:$B$71,MATCH(A3119,Ввод!$D$12:$D$71,1)),""))</f>
        <v/>
      </c>
      <c r="C3119">
        <f>IF(A3119="","",DATE(YEAR(A3119),12,31)-DATE(YEAR(A3119),1,1)+1)</f>
        <v/>
      </c>
      <c r="D3119">
        <f>IF(A3119="","",SUMIFS(Акты!$D$5:$D$16,Акты!$E$5:$E$16,"&lt;="&amp;A3119)-SUMIFS(Оплаты!$B$6:$B$505,Оплаты!$A$6:$A$505,"&lt;"&amp;A3119,Оплаты!$D$6:$D$505,"&lt;&gt;"))</f>
        <v/>
      </c>
      <c r="E3119">
        <f>IF(A3119="","",IF(SUMPRODUCT((Ввод!$F$12:$F$31&lt;&gt;"")*(Ввод!$F$12:$F$31&lt;=A3119)*(Ввод!$G$12:$G$31&gt;=A3119))&gt;0,1,0))</f>
        <v/>
      </c>
      <c r="G3119">
        <f>IF(A3119="","",IF(OR(B3119&lt;&gt;B3118,C3119&lt;&gt;C3118,E3119&lt;&gt;E3118),G3118+1,G3118))</f>
        <v/>
      </c>
    </row>
    <row r="3120">
      <c r="A3120" s="20">
        <f>IF(A3119="","",IF(A3119+1&gt;Ввод!$B$4,"",A3119+1))</f>
        <v/>
      </c>
      <c r="B3120">
        <f>IF(A3120="","",IFERROR(INDEX(Ввод!$B$12:$B$71,MATCH(A3120,Ввод!$D$12:$D$71,1)),""))</f>
        <v/>
      </c>
      <c r="C3120">
        <f>IF(A3120="","",DATE(YEAR(A3120),12,31)-DATE(YEAR(A3120),1,1)+1)</f>
        <v/>
      </c>
      <c r="D3120">
        <f>IF(A3120="","",SUMIFS(Акты!$D$5:$D$16,Акты!$E$5:$E$16,"&lt;="&amp;A3120)-SUMIFS(Оплаты!$B$6:$B$505,Оплаты!$A$6:$A$505,"&lt;"&amp;A3120,Оплаты!$D$6:$D$505,"&lt;&gt;"))</f>
        <v/>
      </c>
      <c r="E3120">
        <f>IF(A3120="","",IF(SUMPRODUCT((Ввод!$F$12:$F$31&lt;&gt;"")*(Ввод!$F$12:$F$31&lt;=A3120)*(Ввод!$G$12:$G$31&gt;=A3120))&gt;0,1,0))</f>
        <v/>
      </c>
      <c r="G3120">
        <f>IF(A3120="","",IF(OR(B3120&lt;&gt;B3119,C3120&lt;&gt;C3119,E3120&lt;&gt;E3119),G3119+1,G3119))</f>
        <v/>
      </c>
    </row>
    <row r="3121">
      <c r="A3121" s="20">
        <f>IF(A3120="","",IF(A3120+1&gt;Ввод!$B$4,"",A3120+1))</f>
        <v/>
      </c>
      <c r="B3121">
        <f>IF(A3121="","",IFERROR(INDEX(Ввод!$B$12:$B$71,MATCH(A3121,Ввод!$D$12:$D$71,1)),""))</f>
        <v/>
      </c>
      <c r="C3121">
        <f>IF(A3121="","",DATE(YEAR(A3121),12,31)-DATE(YEAR(A3121),1,1)+1)</f>
        <v/>
      </c>
      <c r="D3121">
        <f>IF(A3121="","",SUMIFS(Акты!$D$5:$D$16,Акты!$E$5:$E$16,"&lt;="&amp;A3121)-SUMIFS(Оплаты!$B$6:$B$505,Оплаты!$A$6:$A$505,"&lt;"&amp;A3121,Оплаты!$D$6:$D$505,"&lt;&gt;"))</f>
        <v/>
      </c>
      <c r="E3121">
        <f>IF(A3121="","",IF(SUMPRODUCT((Ввод!$F$12:$F$31&lt;&gt;"")*(Ввод!$F$12:$F$31&lt;=A3121)*(Ввод!$G$12:$G$31&gt;=A3121))&gt;0,1,0))</f>
        <v/>
      </c>
      <c r="G3121">
        <f>IF(A3121="","",IF(OR(B3121&lt;&gt;B3120,C3121&lt;&gt;C3120,E3121&lt;&gt;E3120),G3120+1,G3120))</f>
        <v/>
      </c>
    </row>
    <row r="3122">
      <c r="A3122" s="20">
        <f>IF(A3121="","",IF(A3121+1&gt;Ввод!$B$4,"",A3121+1))</f>
        <v/>
      </c>
      <c r="B3122">
        <f>IF(A3122="","",IFERROR(INDEX(Ввод!$B$12:$B$71,MATCH(A3122,Ввод!$D$12:$D$71,1)),""))</f>
        <v/>
      </c>
      <c r="C3122">
        <f>IF(A3122="","",DATE(YEAR(A3122),12,31)-DATE(YEAR(A3122),1,1)+1)</f>
        <v/>
      </c>
      <c r="D3122">
        <f>IF(A3122="","",SUMIFS(Акты!$D$5:$D$16,Акты!$E$5:$E$16,"&lt;="&amp;A3122)-SUMIFS(Оплаты!$B$6:$B$505,Оплаты!$A$6:$A$505,"&lt;"&amp;A3122,Оплаты!$D$6:$D$505,"&lt;&gt;"))</f>
        <v/>
      </c>
      <c r="E3122">
        <f>IF(A3122="","",IF(SUMPRODUCT((Ввод!$F$12:$F$31&lt;&gt;"")*(Ввод!$F$12:$F$31&lt;=A3122)*(Ввод!$G$12:$G$31&gt;=A3122))&gt;0,1,0))</f>
        <v/>
      </c>
      <c r="G3122">
        <f>IF(A3122="","",IF(OR(B3122&lt;&gt;B3121,C3122&lt;&gt;C3121,E3122&lt;&gt;E3121),G3121+1,G3121))</f>
        <v/>
      </c>
    </row>
    <row r="3123">
      <c r="A3123" s="20">
        <f>IF(A3122="","",IF(A3122+1&gt;Ввод!$B$4,"",A3122+1))</f>
        <v/>
      </c>
      <c r="B3123">
        <f>IF(A3123="","",IFERROR(INDEX(Ввод!$B$12:$B$71,MATCH(A3123,Ввод!$D$12:$D$71,1)),""))</f>
        <v/>
      </c>
      <c r="C3123">
        <f>IF(A3123="","",DATE(YEAR(A3123),12,31)-DATE(YEAR(A3123),1,1)+1)</f>
        <v/>
      </c>
      <c r="D3123">
        <f>IF(A3123="","",SUMIFS(Акты!$D$5:$D$16,Акты!$E$5:$E$16,"&lt;="&amp;A3123)-SUMIFS(Оплаты!$B$6:$B$505,Оплаты!$A$6:$A$505,"&lt;"&amp;A3123,Оплаты!$D$6:$D$505,"&lt;&gt;"))</f>
        <v/>
      </c>
      <c r="E3123">
        <f>IF(A3123="","",IF(SUMPRODUCT((Ввод!$F$12:$F$31&lt;&gt;"")*(Ввод!$F$12:$F$31&lt;=A3123)*(Ввод!$G$12:$G$31&gt;=A3123))&gt;0,1,0))</f>
        <v/>
      </c>
      <c r="G3123">
        <f>IF(A3123="","",IF(OR(B3123&lt;&gt;B3122,C3123&lt;&gt;C3122,E3123&lt;&gt;E3122),G3122+1,G3122))</f>
        <v/>
      </c>
    </row>
    <row r="3124">
      <c r="A3124" s="20">
        <f>IF(A3123="","",IF(A3123+1&gt;Ввод!$B$4,"",A3123+1))</f>
        <v/>
      </c>
      <c r="B3124">
        <f>IF(A3124="","",IFERROR(INDEX(Ввод!$B$12:$B$71,MATCH(A3124,Ввод!$D$12:$D$71,1)),""))</f>
        <v/>
      </c>
      <c r="C3124">
        <f>IF(A3124="","",DATE(YEAR(A3124),12,31)-DATE(YEAR(A3124),1,1)+1)</f>
        <v/>
      </c>
      <c r="D3124">
        <f>IF(A3124="","",SUMIFS(Акты!$D$5:$D$16,Акты!$E$5:$E$16,"&lt;="&amp;A3124)-SUMIFS(Оплаты!$B$6:$B$505,Оплаты!$A$6:$A$505,"&lt;"&amp;A3124,Оплаты!$D$6:$D$505,"&lt;&gt;"))</f>
        <v/>
      </c>
      <c r="E3124">
        <f>IF(A3124="","",IF(SUMPRODUCT((Ввод!$F$12:$F$31&lt;&gt;"")*(Ввод!$F$12:$F$31&lt;=A3124)*(Ввод!$G$12:$G$31&gt;=A3124))&gt;0,1,0))</f>
        <v/>
      </c>
      <c r="G3124">
        <f>IF(A3124="","",IF(OR(B3124&lt;&gt;B3123,C3124&lt;&gt;C3123,E3124&lt;&gt;E3123),G3123+1,G3123))</f>
        <v/>
      </c>
    </row>
    <row r="3125">
      <c r="A3125" s="20">
        <f>IF(A3124="","",IF(A3124+1&gt;Ввод!$B$4,"",A3124+1))</f>
        <v/>
      </c>
      <c r="B3125">
        <f>IF(A3125="","",IFERROR(INDEX(Ввод!$B$12:$B$71,MATCH(A3125,Ввод!$D$12:$D$71,1)),""))</f>
        <v/>
      </c>
      <c r="C3125">
        <f>IF(A3125="","",DATE(YEAR(A3125),12,31)-DATE(YEAR(A3125),1,1)+1)</f>
        <v/>
      </c>
      <c r="D3125">
        <f>IF(A3125="","",SUMIFS(Акты!$D$5:$D$16,Акты!$E$5:$E$16,"&lt;="&amp;A3125)-SUMIFS(Оплаты!$B$6:$B$505,Оплаты!$A$6:$A$505,"&lt;"&amp;A3125,Оплаты!$D$6:$D$505,"&lt;&gt;"))</f>
        <v/>
      </c>
      <c r="E3125">
        <f>IF(A3125="","",IF(SUMPRODUCT((Ввод!$F$12:$F$31&lt;&gt;"")*(Ввод!$F$12:$F$31&lt;=A3125)*(Ввод!$G$12:$G$31&gt;=A3125))&gt;0,1,0))</f>
        <v/>
      </c>
      <c r="G3125">
        <f>IF(A3125="","",IF(OR(B3125&lt;&gt;B3124,C3125&lt;&gt;C3124,E3125&lt;&gt;E3124),G3124+1,G3124))</f>
        <v/>
      </c>
    </row>
    <row r="3126">
      <c r="A3126" s="20">
        <f>IF(A3125="","",IF(A3125+1&gt;Ввод!$B$4,"",A3125+1))</f>
        <v/>
      </c>
      <c r="B3126">
        <f>IF(A3126="","",IFERROR(INDEX(Ввод!$B$12:$B$71,MATCH(A3126,Ввод!$D$12:$D$71,1)),""))</f>
        <v/>
      </c>
      <c r="C3126">
        <f>IF(A3126="","",DATE(YEAR(A3126),12,31)-DATE(YEAR(A3126),1,1)+1)</f>
        <v/>
      </c>
      <c r="D3126">
        <f>IF(A3126="","",SUMIFS(Акты!$D$5:$D$16,Акты!$E$5:$E$16,"&lt;="&amp;A3126)-SUMIFS(Оплаты!$B$6:$B$505,Оплаты!$A$6:$A$505,"&lt;"&amp;A3126,Оплаты!$D$6:$D$505,"&lt;&gt;"))</f>
        <v/>
      </c>
      <c r="E3126">
        <f>IF(A3126="","",IF(SUMPRODUCT((Ввод!$F$12:$F$31&lt;&gt;"")*(Ввод!$F$12:$F$31&lt;=A3126)*(Ввод!$G$12:$G$31&gt;=A3126))&gt;0,1,0))</f>
        <v/>
      </c>
      <c r="G3126">
        <f>IF(A3126="","",IF(OR(B3126&lt;&gt;B3125,C3126&lt;&gt;C3125,E3126&lt;&gt;E3125),G3125+1,G3125))</f>
        <v/>
      </c>
    </row>
    <row r="3127">
      <c r="A3127" s="20">
        <f>IF(A3126="","",IF(A3126+1&gt;Ввод!$B$4,"",A3126+1))</f>
        <v/>
      </c>
      <c r="B3127">
        <f>IF(A3127="","",IFERROR(INDEX(Ввод!$B$12:$B$71,MATCH(A3127,Ввод!$D$12:$D$71,1)),""))</f>
        <v/>
      </c>
      <c r="C3127">
        <f>IF(A3127="","",DATE(YEAR(A3127),12,31)-DATE(YEAR(A3127),1,1)+1)</f>
        <v/>
      </c>
      <c r="D3127">
        <f>IF(A3127="","",SUMIFS(Акты!$D$5:$D$16,Акты!$E$5:$E$16,"&lt;="&amp;A3127)-SUMIFS(Оплаты!$B$6:$B$505,Оплаты!$A$6:$A$505,"&lt;"&amp;A3127,Оплаты!$D$6:$D$505,"&lt;&gt;"))</f>
        <v/>
      </c>
      <c r="E3127">
        <f>IF(A3127="","",IF(SUMPRODUCT((Ввод!$F$12:$F$31&lt;&gt;"")*(Ввод!$F$12:$F$31&lt;=A3127)*(Ввод!$G$12:$G$31&gt;=A3127))&gt;0,1,0))</f>
        <v/>
      </c>
      <c r="G3127">
        <f>IF(A3127="","",IF(OR(B3127&lt;&gt;B3126,C3127&lt;&gt;C3126,E3127&lt;&gt;E3126),G3126+1,G3126))</f>
        <v/>
      </c>
    </row>
    <row r="3128">
      <c r="A3128" s="20">
        <f>IF(A3127="","",IF(A3127+1&gt;Ввод!$B$4,"",A3127+1))</f>
        <v/>
      </c>
      <c r="B3128">
        <f>IF(A3128="","",IFERROR(INDEX(Ввод!$B$12:$B$71,MATCH(A3128,Ввод!$D$12:$D$71,1)),""))</f>
        <v/>
      </c>
      <c r="C3128">
        <f>IF(A3128="","",DATE(YEAR(A3128),12,31)-DATE(YEAR(A3128),1,1)+1)</f>
        <v/>
      </c>
      <c r="D3128">
        <f>IF(A3128="","",SUMIFS(Акты!$D$5:$D$16,Акты!$E$5:$E$16,"&lt;="&amp;A3128)-SUMIFS(Оплаты!$B$6:$B$505,Оплаты!$A$6:$A$505,"&lt;"&amp;A3128,Оплаты!$D$6:$D$505,"&lt;&gt;"))</f>
        <v/>
      </c>
      <c r="E3128">
        <f>IF(A3128="","",IF(SUMPRODUCT((Ввод!$F$12:$F$31&lt;&gt;"")*(Ввод!$F$12:$F$31&lt;=A3128)*(Ввод!$G$12:$G$31&gt;=A3128))&gt;0,1,0))</f>
        <v/>
      </c>
      <c r="G3128">
        <f>IF(A3128="","",IF(OR(B3128&lt;&gt;B3127,C3128&lt;&gt;C3127,E3128&lt;&gt;E3127),G3127+1,G3127))</f>
        <v/>
      </c>
    </row>
    <row r="3129">
      <c r="A3129" s="20">
        <f>IF(A3128="","",IF(A3128+1&gt;Ввод!$B$4,"",A3128+1))</f>
        <v/>
      </c>
      <c r="B3129">
        <f>IF(A3129="","",IFERROR(INDEX(Ввод!$B$12:$B$71,MATCH(A3129,Ввод!$D$12:$D$71,1)),""))</f>
        <v/>
      </c>
      <c r="C3129">
        <f>IF(A3129="","",DATE(YEAR(A3129),12,31)-DATE(YEAR(A3129),1,1)+1)</f>
        <v/>
      </c>
      <c r="D3129">
        <f>IF(A3129="","",SUMIFS(Акты!$D$5:$D$16,Акты!$E$5:$E$16,"&lt;="&amp;A3129)-SUMIFS(Оплаты!$B$6:$B$505,Оплаты!$A$6:$A$505,"&lt;"&amp;A3129,Оплаты!$D$6:$D$505,"&lt;&gt;"))</f>
        <v/>
      </c>
      <c r="E3129">
        <f>IF(A3129="","",IF(SUMPRODUCT((Ввод!$F$12:$F$31&lt;&gt;"")*(Ввод!$F$12:$F$31&lt;=A3129)*(Ввод!$G$12:$G$31&gt;=A3129))&gt;0,1,0))</f>
        <v/>
      </c>
      <c r="G3129">
        <f>IF(A3129="","",IF(OR(B3129&lt;&gt;B3128,C3129&lt;&gt;C3128,E3129&lt;&gt;E3128),G3128+1,G3128))</f>
        <v/>
      </c>
    </row>
    <row r="3130">
      <c r="A3130" s="20">
        <f>IF(A3129="","",IF(A3129+1&gt;Ввод!$B$4,"",A3129+1))</f>
        <v/>
      </c>
      <c r="B3130">
        <f>IF(A3130="","",IFERROR(INDEX(Ввод!$B$12:$B$71,MATCH(A3130,Ввод!$D$12:$D$71,1)),""))</f>
        <v/>
      </c>
      <c r="C3130">
        <f>IF(A3130="","",DATE(YEAR(A3130),12,31)-DATE(YEAR(A3130),1,1)+1)</f>
        <v/>
      </c>
      <c r="D3130">
        <f>IF(A3130="","",SUMIFS(Акты!$D$5:$D$16,Акты!$E$5:$E$16,"&lt;="&amp;A3130)-SUMIFS(Оплаты!$B$6:$B$505,Оплаты!$A$6:$A$505,"&lt;"&amp;A3130,Оплаты!$D$6:$D$505,"&lt;&gt;"))</f>
        <v/>
      </c>
      <c r="E3130">
        <f>IF(A3130="","",IF(SUMPRODUCT((Ввод!$F$12:$F$31&lt;&gt;"")*(Ввод!$F$12:$F$31&lt;=A3130)*(Ввод!$G$12:$G$31&gt;=A3130))&gt;0,1,0))</f>
        <v/>
      </c>
      <c r="G3130">
        <f>IF(A3130="","",IF(OR(B3130&lt;&gt;B3129,C3130&lt;&gt;C3129,E3130&lt;&gt;E3129),G3129+1,G3129))</f>
        <v/>
      </c>
    </row>
    <row r="3131">
      <c r="A3131" s="20">
        <f>IF(A3130="","",IF(A3130+1&gt;Ввод!$B$4,"",A3130+1))</f>
        <v/>
      </c>
      <c r="B3131">
        <f>IF(A3131="","",IFERROR(INDEX(Ввод!$B$12:$B$71,MATCH(A3131,Ввод!$D$12:$D$71,1)),""))</f>
        <v/>
      </c>
      <c r="C3131">
        <f>IF(A3131="","",DATE(YEAR(A3131),12,31)-DATE(YEAR(A3131),1,1)+1)</f>
        <v/>
      </c>
      <c r="D3131">
        <f>IF(A3131="","",SUMIFS(Акты!$D$5:$D$16,Акты!$E$5:$E$16,"&lt;="&amp;A3131)-SUMIFS(Оплаты!$B$6:$B$505,Оплаты!$A$6:$A$505,"&lt;"&amp;A3131,Оплаты!$D$6:$D$505,"&lt;&gt;"))</f>
        <v/>
      </c>
      <c r="E3131">
        <f>IF(A3131="","",IF(SUMPRODUCT((Ввод!$F$12:$F$31&lt;&gt;"")*(Ввод!$F$12:$F$31&lt;=A3131)*(Ввод!$G$12:$G$31&gt;=A3131))&gt;0,1,0))</f>
        <v/>
      </c>
      <c r="G3131">
        <f>IF(A3131="","",IF(OR(B3131&lt;&gt;B3130,C3131&lt;&gt;C3130,E3131&lt;&gt;E3130),G3130+1,G3130))</f>
        <v/>
      </c>
    </row>
    <row r="3132">
      <c r="A3132" s="20">
        <f>IF(A3131="","",IF(A3131+1&gt;Ввод!$B$4,"",A3131+1))</f>
        <v/>
      </c>
      <c r="B3132">
        <f>IF(A3132="","",IFERROR(INDEX(Ввод!$B$12:$B$71,MATCH(A3132,Ввод!$D$12:$D$71,1)),""))</f>
        <v/>
      </c>
      <c r="C3132">
        <f>IF(A3132="","",DATE(YEAR(A3132),12,31)-DATE(YEAR(A3132),1,1)+1)</f>
        <v/>
      </c>
      <c r="D3132">
        <f>IF(A3132="","",SUMIFS(Акты!$D$5:$D$16,Акты!$E$5:$E$16,"&lt;="&amp;A3132)-SUMIFS(Оплаты!$B$6:$B$505,Оплаты!$A$6:$A$505,"&lt;"&amp;A3132,Оплаты!$D$6:$D$505,"&lt;&gt;"))</f>
        <v/>
      </c>
      <c r="E3132">
        <f>IF(A3132="","",IF(SUMPRODUCT((Ввод!$F$12:$F$31&lt;&gt;"")*(Ввод!$F$12:$F$31&lt;=A3132)*(Ввод!$G$12:$G$31&gt;=A3132))&gt;0,1,0))</f>
        <v/>
      </c>
      <c r="G3132">
        <f>IF(A3132="","",IF(OR(B3132&lt;&gt;B3131,C3132&lt;&gt;C3131,E3132&lt;&gt;E3131),G3131+1,G3131))</f>
        <v/>
      </c>
    </row>
    <row r="3133">
      <c r="A3133" s="20">
        <f>IF(A3132="","",IF(A3132+1&gt;Ввод!$B$4,"",A3132+1))</f>
        <v/>
      </c>
      <c r="B3133">
        <f>IF(A3133="","",IFERROR(INDEX(Ввод!$B$12:$B$71,MATCH(A3133,Ввод!$D$12:$D$71,1)),""))</f>
        <v/>
      </c>
      <c r="C3133">
        <f>IF(A3133="","",DATE(YEAR(A3133),12,31)-DATE(YEAR(A3133),1,1)+1)</f>
        <v/>
      </c>
      <c r="D3133">
        <f>IF(A3133="","",SUMIFS(Акты!$D$5:$D$16,Акты!$E$5:$E$16,"&lt;="&amp;A3133)-SUMIFS(Оплаты!$B$6:$B$505,Оплаты!$A$6:$A$505,"&lt;"&amp;A3133,Оплаты!$D$6:$D$505,"&lt;&gt;"))</f>
        <v/>
      </c>
      <c r="E3133">
        <f>IF(A3133="","",IF(SUMPRODUCT((Ввод!$F$12:$F$31&lt;&gt;"")*(Ввод!$F$12:$F$31&lt;=A3133)*(Ввод!$G$12:$G$31&gt;=A3133))&gt;0,1,0))</f>
        <v/>
      </c>
      <c r="G3133">
        <f>IF(A3133="","",IF(OR(B3133&lt;&gt;B3132,C3133&lt;&gt;C3132,E3133&lt;&gt;E3132),G3132+1,G3132))</f>
        <v/>
      </c>
    </row>
    <row r="3134">
      <c r="A3134" s="20">
        <f>IF(A3133="","",IF(A3133+1&gt;Ввод!$B$4,"",A3133+1))</f>
        <v/>
      </c>
      <c r="B3134">
        <f>IF(A3134="","",IFERROR(INDEX(Ввод!$B$12:$B$71,MATCH(A3134,Ввод!$D$12:$D$71,1)),""))</f>
        <v/>
      </c>
      <c r="C3134">
        <f>IF(A3134="","",DATE(YEAR(A3134),12,31)-DATE(YEAR(A3134),1,1)+1)</f>
        <v/>
      </c>
      <c r="D3134">
        <f>IF(A3134="","",SUMIFS(Акты!$D$5:$D$16,Акты!$E$5:$E$16,"&lt;="&amp;A3134)-SUMIFS(Оплаты!$B$6:$B$505,Оплаты!$A$6:$A$505,"&lt;"&amp;A3134,Оплаты!$D$6:$D$505,"&lt;&gt;"))</f>
        <v/>
      </c>
      <c r="E3134">
        <f>IF(A3134="","",IF(SUMPRODUCT((Ввод!$F$12:$F$31&lt;&gt;"")*(Ввод!$F$12:$F$31&lt;=A3134)*(Ввод!$G$12:$G$31&gt;=A3134))&gt;0,1,0))</f>
        <v/>
      </c>
      <c r="G3134">
        <f>IF(A3134="","",IF(OR(B3134&lt;&gt;B3133,C3134&lt;&gt;C3133,E3134&lt;&gt;E3133),G3133+1,G3133))</f>
        <v/>
      </c>
    </row>
    <row r="3135">
      <c r="A3135" s="20">
        <f>IF(A3134="","",IF(A3134+1&gt;Ввод!$B$4,"",A3134+1))</f>
        <v/>
      </c>
      <c r="B3135">
        <f>IF(A3135="","",IFERROR(INDEX(Ввод!$B$12:$B$71,MATCH(A3135,Ввод!$D$12:$D$71,1)),""))</f>
        <v/>
      </c>
      <c r="C3135">
        <f>IF(A3135="","",DATE(YEAR(A3135),12,31)-DATE(YEAR(A3135),1,1)+1)</f>
        <v/>
      </c>
      <c r="D3135">
        <f>IF(A3135="","",SUMIFS(Акты!$D$5:$D$16,Акты!$E$5:$E$16,"&lt;="&amp;A3135)-SUMIFS(Оплаты!$B$6:$B$505,Оплаты!$A$6:$A$505,"&lt;"&amp;A3135,Оплаты!$D$6:$D$505,"&lt;&gt;"))</f>
        <v/>
      </c>
      <c r="E3135">
        <f>IF(A3135="","",IF(SUMPRODUCT((Ввод!$F$12:$F$31&lt;&gt;"")*(Ввод!$F$12:$F$31&lt;=A3135)*(Ввод!$G$12:$G$31&gt;=A3135))&gt;0,1,0))</f>
        <v/>
      </c>
      <c r="G3135">
        <f>IF(A3135="","",IF(OR(B3135&lt;&gt;B3134,C3135&lt;&gt;C3134,E3135&lt;&gt;E3134),G3134+1,G3134))</f>
        <v/>
      </c>
    </row>
    <row r="3136">
      <c r="A3136" s="20">
        <f>IF(A3135="","",IF(A3135+1&gt;Ввод!$B$4,"",A3135+1))</f>
        <v/>
      </c>
      <c r="B3136">
        <f>IF(A3136="","",IFERROR(INDEX(Ввод!$B$12:$B$71,MATCH(A3136,Ввод!$D$12:$D$71,1)),""))</f>
        <v/>
      </c>
      <c r="C3136">
        <f>IF(A3136="","",DATE(YEAR(A3136),12,31)-DATE(YEAR(A3136),1,1)+1)</f>
        <v/>
      </c>
      <c r="D3136">
        <f>IF(A3136="","",SUMIFS(Акты!$D$5:$D$16,Акты!$E$5:$E$16,"&lt;="&amp;A3136)-SUMIFS(Оплаты!$B$6:$B$505,Оплаты!$A$6:$A$505,"&lt;"&amp;A3136,Оплаты!$D$6:$D$505,"&lt;&gt;"))</f>
        <v/>
      </c>
      <c r="E3136">
        <f>IF(A3136="","",IF(SUMPRODUCT((Ввод!$F$12:$F$31&lt;&gt;"")*(Ввод!$F$12:$F$31&lt;=A3136)*(Ввод!$G$12:$G$31&gt;=A3136))&gt;0,1,0))</f>
        <v/>
      </c>
      <c r="G3136">
        <f>IF(A3136="","",IF(OR(B3136&lt;&gt;B3135,C3136&lt;&gt;C3135,E3136&lt;&gt;E3135),G3135+1,G3135))</f>
        <v/>
      </c>
    </row>
    <row r="3137">
      <c r="A3137" s="20">
        <f>IF(A3136="","",IF(A3136+1&gt;Ввод!$B$4,"",A3136+1))</f>
        <v/>
      </c>
      <c r="B3137">
        <f>IF(A3137="","",IFERROR(INDEX(Ввод!$B$12:$B$71,MATCH(A3137,Ввод!$D$12:$D$71,1)),""))</f>
        <v/>
      </c>
      <c r="C3137">
        <f>IF(A3137="","",DATE(YEAR(A3137),12,31)-DATE(YEAR(A3137),1,1)+1)</f>
        <v/>
      </c>
      <c r="D3137">
        <f>IF(A3137="","",SUMIFS(Акты!$D$5:$D$16,Акты!$E$5:$E$16,"&lt;="&amp;A3137)-SUMIFS(Оплаты!$B$6:$B$505,Оплаты!$A$6:$A$505,"&lt;"&amp;A3137,Оплаты!$D$6:$D$505,"&lt;&gt;"))</f>
        <v/>
      </c>
      <c r="E3137">
        <f>IF(A3137="","",IF(SUMPRODUCT((Ввод!$F$12:$F$31&lt;&gt;"")*(Ввод!$F$12:$F$31&lt;=A3137)*(Ввод!$G$12:$G$31&gt;=A3137))&gt;0,1,0))</f>
        <v/>
      </c>
      <c r="G3137">
        <f>IF(A3137="","",IF(OR(B3137&lt;&gt;B3136,C3137&lt;&gt;C3136,E3137&lt;&gt;E3136),G3136+1,G3136))</f>
        <v/>
      </c>
    </row>
    <row r="3138">
      <c r="A3138" s="20">
        <f>IF(A3137="","",IF(A3137+1&gt;Ввод!$B$4,"",A3137+1))</f>
        <v/>
      </c>
      <c r="B3138">
        <f>IF(A3138="","",IFERROR(INDEX(Ввод!$B$12:$B$71,MATCH(A3138,Ввод!$D$12:$D$71,1)),""))</f>
        <v/>
      </c>
      <c r="C3138">
        <f>IF(A3138="","",DATE(YEAR(A3138),12,31)-DATE(YEAR(A3138),1,1)+1)</f>
        <v/>
      </c>
      <c r="D3138">
        <f>IF(A3138="","",SUMIFS(Акты!$D$5:$D$16,Акты!$E$5:$E$16,"&lt;="&amp;A3138)-SUMIFS(Оплаты!$B$6:$B$505,Оплаты!$A$6:$A$505,"&lt;"&amp;A3138,Оплаты!$D$6:$D$505,"&lt;&gt;"))</f>
        <v/>
      </c>
      <c r="E3138">
        <f>IF(A3138="","",IF(SUMPRODUCT((Ввод!$F$12:$F$31&lt;&gt;"")*(Ввод!$F$12:$F$31&lt;=A3138)*(Ввод!$G$12:$G$31&gt;=A3138))&gt;0,1,0))</f>
        <v/>
      </c>
      <c r="G3138">
        <f>IF(A3138="","",IF(OR(B3138&lt;&gt;B3137,C3138&lt;&gt;C3137,E3138&lt;&gt;E3137),G3137+1,G3137))</f>
        <v/>
      </c>
    </row>
    <row r="3139">
      <c r="A3139" s="20">
        <f>IF(A3138="","",IF(A3138+1&gt;Ввод!$B$4,"",A3138+1))</f>
        <v/>
      </c>
      <c r="B3139">
        <f>IF(A3139="","",IFERROR(INDEX(Ввод!$B$12:$B$71,MATCH(A3139,Ввод!$D$12:$D$71,1)),""))</f>
        <v/>
      </c>
      <c r="C3139">
        <f>IF(A3139="","",DATE(YEAR(A3139),12,31)-DATE(YEAR(A3139),1,1)+1)</f>
        <v/>
      </c>
      <c r="D3139">
        <f>IF(A3139="","",SUMIFS(Акты!$D$5:$D$16,Акты!$E$5:$E$16,"&lt;="&amp;A3139)-SUMIFS(Оплаты!$B$6:$B$505,Оплаты!$A$6:$A$505,"&lt;"&amp;A3139,Оплаты!$D$6:$D$505,"&lt;&gt;"))</f>
        <v/>
      </c>
      <c r="E3139">
        <f>IF(A3139="","",IF(SUMPRODUCT((Ввод!$F$12:$F$31&lt;&gt;"")*(Ввод!$F$12:$F$31&lt;=A3139)*(Ввод!$G$12:$G$31&gt;=A3139))&gt;0,1,0))</f>
        <v/>
      </c>
      <c r="G3139">
        <f>IF(A3139="","",IF(OR(B3139&lt;&gt;B3138,C3139&lt;&gt;C3138,E3139&lt;&gt;E3138),G3138+1,G3138))</f>
        <v/>
      </c>
    </row>
    <row r="3140">
      <c r="A3140" s="20">
        <f>IF(A3139="","",IF(A3139+1&gt;Ввод!$B$4,"",A3139+1))</f>
        <v/>
      </c>
      <c r="B3140">
        <f>IF(A3140="","",IFERROR(INDEX(Ввод!$B$12:$B$71,MATCH(A3140,Ввод!$D$12:$D$71,1)),""))</f>
        <v/>
      </c>
      <c r="C3140">
        <f>IF(A3140="","",DATE(YEAR(A3140),12,31)-DATE(YEAR(A3140),1,1)+1)</f>
        <v/>
      </c>
      <c r="D3140">
        <f>IF(A3140="","",SUMIFS(Акты!$D$5:$D$16,Акты!$E$5:$E$16,"&lt;="&amp;A3140)-SUMIFS(Оплаты!$B$6:$B$505,Оплаты!$A$6:$A$505,"&lt;"&amp;A3140,Оплаты!$D$6:$D$505,"&lt;&gt;"))</f>
        <v/>
      </c>
      <c r="E3140">
        <f>IF(A3140="","",IF(SUMPRODUCT((Ввод!$F$12:$F$31&lt;&gt;"")*(Ввод!$F$12:$F$31&lt;=A3140)*(Ввод!$G$12:$G$31&gt;=A3140))&gt;0,1,0))</f>
        <v/>
      </c>
      <c r="G3140">
        <f>IF(A3140="","",IF(OR(B3140&lt;&gt;B3139,C3140&lt;&gt;C3139,E3140&lt;&gt;E3139),G3139+1,G3139))</f>
        <v/>
      </c>
    </row>
    <row r="3141">
      <c r="A3141" s="20">
        <f>IF(A3140="","",IF(A3140+1&gt;Ввод!$B$4,"",A3140+1))</f>
        <v/>
      </c>
      <c r="B3141">
        <f>IF(A3141="","",IFERROR(INDEX(Ввод!$B$12:$B$71,MATCH(A3141,Ввод!$D$12:$D$71,1)),""))</f>
        <v/>
      </c>
      <c r="C3141">
        <f>IF(A3141="","",DATE(YEAR(A3141),12,31)-DATE(YEAR(A3141),1,1)+1)</f>
        <v/>
      </c>
      <c r="D3141">
        <f>IF(A3141="","",SUMIFS(Акты!$D$5:$D$16,Акты!$E$5:$E$16,"&lt;="&amp;A3141)-SUMIFS(Оплаты!$B$6:$B$505,Оплаты!$A$6:$A$505,"&lt;"&amp;A3141,Оплаты!$D$6:$D$505,"&lt;&gt;"))</f>
        <v/>
      </c>
      <c r="E3141">
        <f>IF(A3141="","",IF(SUMPRODUCT((Ввод!$F$12:$F$31&lt;&gt;"")*(Ввод!$F$12:$F$31&lt;=A3141)*(Ввод!$G$12:$G$31&gt;=A3141))&gt;0,1,0))</f>
        <v/>
      </c>
      <c r="G3141">
        <f>IF(A3141="","",IF(OR(B3141&lt;&gt;B3140,C3141&lt;&gt;C3140,E3141&lt;&gt;E3140),G3140+1,G3140))</f>
        <v/>
      </c>
    </row>
    <row r="3142">
      <c r="A3142" s="20">
        <f>IF(A3141="","",IF(A3141+1&gt;Ввод!$B$4,"",A3141+1))</f>
        <v/>
      </c>
      <c r="B3142">
        <f>IF(A3142="","",IFERROR(INDEX(Ввод!$B$12:$B$71,MATCH(A3142,Ввод!$D$12:$D$71,1)),""))</f>
        <v/>
      </c>
      <c r="C3142">
        <f>IF(A3142="","",DATE(YEAR(A3142),12,31)-DATE(YEAR(A3142),1,1)+1)</f>
        <v/>
      </c>
      <c r="D3142">
        <f>IF(A3142="","",SUMIFS(Акты!$D$5:$D$16,Акты!$E$5:$E$16,"&lt;="&amp;A3142)-SUMIFS(Оплаты!$B$6:$B$505,Оплаты!$A$6:$A$505,"&lt;"&amp;A3142,Оплаты!$D$6:$D$505,"&lt;&gt;"))</f>
        <v/>
      </c>
      <c r="E3142">
        <f>IF(A3142="","",IF(SUMPRODUCT((Ввод!$F$12:$F$31&lt;&gt;"")*(Ввод!$F$12:$F$31&lt;=A3142)*(Ввод!$G$12:$G$31&gt;=A3142))&gt;0,1,0))</f>
        <v/>
      </c>
      <c r="G3142">
        <f>IF(A3142="","",IF(OR(B3142&lt;&gt;B3141,C3142&lt;&gt;C3141,E3142&lt;&gt;E3141),G3141+1,G3141))</f>
        <v/>
      </c>
    </row>
    <row r="3143">
      <c r="A3143" s="20">
        <f>IF(A3142="","",IF(A3142+1&gt;Ввод!$B$4,"",A3142+1))</f>
        <v/>
      </c>
      <c r="B3143">
        <f>IF(A3143="","",IFERROR(INDEX(Ввод!$B$12:$B$71,MATCH(A3143,Ввод!$D$12:$D$71,1)),""))</f>
        <v/>
      </c>
      <c r="C3143">
        <f>IF(A3143="","",DATE(YEAR(A3143),12,31)-DATE(YEAR(A3143),1,1)+1)</f>
        <v/>
      </c>
      <c r="D3143">
        <f>IF(A3143="","",SUMIFS(Акты!$D$5:$D$16,Акты!$E$5:$E$16,"&lt;="&amp;A3143)-SUMIFS(Оплаты!$B$6:$B$505,Оплаты!$A$6:$A$505,"&lt;"&amp;A3143,Оплаты!$D$6:$D$505,"&lt;&gt;"))</f>
        <v/>
      </c>
      <c r="E3143">
        <f>IF(A3143="","",IF(SUMPRODUCT((Ввод!$F$12:$F$31&lt;&gt;"")*(Ввод!$F$12:$F$31&lt;=A3143)*(Ввод!$G$12:$G$31&gt;=A3143))&gt;0,1,0))</f>
        <v/>
      </c>
      <c r="G3143">
        <f>IF(A3143="","",IF(OR(B3143&lt;&gt;B3142,C3143&lt;&gt;C3142,E3143&lt;&gt;E3142),G3142+1,G3142))</f>
        <v/>
      </c>
    </row>
    <row r="3144">
      <c r="A3144" s="20">
        <f>IF(A3143="","",IF(A3143+1&gt;Ввод!$B$4,"",A3143+1))</f>
        <v/>
      </c>
      <c r="B3144">
        <f>IF(A3144="","",IFERROR(INDEX(Ввод!$B$12:$B$71,MATCH(A3144,Ввод!$D$12:$D$71,1)),""))</f>
        <v/>
      </c>
      <c r="C3144">
        <f>IF(A3144="","",DATE(YEAR(A3144),12,31)-DATE(YEAR(A3144),1,1)+1)</f>
        <v/>
      </c>
      <c r="D3144">
        <f>IF(A3144="","",SUMIFS(Акты!$D$5:$D$16,Акты!$E$5:$E$16,"&lt;="&amp;A3144)-SUMIFS(Оплаты!$B$6:$B$505,Оплаты!$A$6:$A$505,"&lt;"&amp;A3144,Оплаты!$D$6:$D$505,"&lt;&gt;"))</f>
        <v/>
      </c>
      <c r="E3144">
        <f>IF(A3144="","",IF(SUMPRODUCT((Ввод!$F$12:$F$31&lt;&gt;"")*(Ввод!$F$12:$F$31&lt;=A3144)*(Ввод!$G$12:$G$31&gt;=A3144))&gt;0,1,0))</f>
        <v/>
      </c>
      <c r="G3144">
        <f>IF(A3144="","",IF(OR(B3144&lt;&gt;B3143,C3144&lt;&gt;C3143,E3144&lt;&gt;E3143),G3143+1,G3143))</f>
        <v/>
      </c>
    </row>
    <row r="3145">
      <c r="A3145" s="20">
        <f>IF(A3144="","",IF(A3144+1&gt;Ввод!$B$4,"",A3144+1))</f>
        <v/>
      </c>
      <c r="B3145">
        <f>IF(A3145="","",IFERROR(INDEX(Ввод!$B$12:$B$71,MATCH(A3145,Ввод!$D$12:$D$71,1)),""))</f>
        <v/>
      </c>
      <c r="C3145">
        <f>IF(A3145="","",DATE(YEAR(A3145),12,31)-DATE(YEAR(A3145),1,1)+1)</f>
        <v/>
      </c>
      <c r="D3145">
        <f>IF(A3145="","",SUMIFS(Акты!$D$5:$D$16,Акты!$E$5:$E$16,"&lt;="&amp;A3145)-SUMIFS(Оплаты!$B$6:$B$505,Оплаты!$A$6:$A$505,"&lt;"&amp;A3145,Оплаты!$D$6:$D$505,"&lt;&gt;"))</f>
        <v/>
      </c>
      <c r="E3145">
        <f>IF(A3145="","",IF(SUMPRODUCT((Ввод!$F$12:$F$31&lt;&gt;"")*(Ввод!$F$12:$F$31&lt;=A3145)*(Ввод!$G$12:$G$31&gt;=A3145))&gt;0,1,0))</f>
        <v/>
      </c>
      <c r="G3145">
        <f>IF(A3145="","",IF(OR(B3145&lt;&gt;B3144,C3145&lt;&gt;C3144,E3145&lt;&gt;E3144),G3144+1,G3144))</f>
        <v/>
      </c>
    </row>
    <row r="3146">
      <c r="A3146" s="20">
        <f>IF(A3145="","",IF(A3145+1&gt;Ввод!$B$4,"",A3145+1))</f>
        <v/>
      </c>
      <c r="B3146">
        <f>IF(A3146="","",IFERROR(INDEX(Ввод!$B$12:$B$71,MATCH(A3146,Ввод!$D$12:$D$71,1)),""))</f>
        <v/>
      </c>
      <c r="C3146">
        <f>IF(A3146="","",DATE(YEAR(A3146),12,31)-DATE(YEAR(A3146),1,1)+1)</f>
        <v/>
      </c>
      <c r="D3146">
        <f>IF(A3146="","",SUMIFS(Акты!$D$5:$D$16,Акты!$E$5:$E$16,"&lt;="&amp;A3146)-SUMIFS(Оплаты!$B$6:$B$505,Оплаты!$A$6:$A$505,"&lt;"&amp;A3146,Оплаты!$D$6:$D$505,"&lt;&gt;"))</f>
        <v/>
      </c>
      <c r="E3146">
        <f>IF(A3146="","",IF(SUMPRODUCT((Ввод!$F$12:$F$31&lt;&gt;"")*(Ввод!$F$12:$F$31&lt;=A3146)*(Ввод!$G$12:$G$31&gt;=A3146))&gt;0,1,0))</f>
        <v/>
      </c>
      <c r="G3146">
        <f>IF(A3146="","",IF(OR(B3146&lt;&gt;B3145,C3146&lt;&gt;C3145,E3146&lt;&gt;E3145),G3145+1,G3145))</f>
        <v/>
      </c>
    </row>
    <row r="3147">
      <c r="A3147" s="20">
        <f>IF(A3146="","",IF(A3146+1&gt;Ввод!$B$4,"",A3146+1))</f>
        <v/>
      </c>
      <c r="B3147">
        <f>IF(A3147="","",IFERROR(INDEX(Ввод!$B$12:$B$71,MATCH(A3147,Ввод!$D$12:$D$71,1)),""))</f>
        <v/>
      </c>
      <c r="C3147">
        <f>IF(A3147="","",DATE(YEAR(A3147),12,31)-DATE(YEAR(A3147),1,1)+1)</f>
        <v/>
      </c>
      <c r="D3147">
        <f>IF(A3147="","",SUMIFS(Акты!$D$5:$D$16,Акты!$E$5:$E$16,"&lt;="&amp;A3147)-SUMIFS(Оплаты!$B$6:$B$505,Оплаты!$A$6:$A$505,"&lt;"&amp;A3147,Оплаты!$D$6:$D$505,"&lt;&gt;"))</f>
        <v/>
      </c>
      <c r="E3147">
        <f>IF(A3147="","",IF(SUMPRODUCT((Ввод!$F$12:$F$31&lt;&gt;"")*(Ввод!$F$12:$F$31&lt;=A3147)*(Ввод!$G$12:$G$31&gt;=A3147))&gt;0,1,0))</f>
        <v/>
      </c>
      <c r="G3147">
        <f>IF(A3147="","",IF(OR(B3147&lt;&gt;B3146,C3147&lt;&gt;C3146,E3147&lt;&gt;E3146),G3146+1,G3146))</f>
        <v/>
      </c>
    </row>
    <row r="3148">
      <c r="A3148" s="20">
        <f>IF(A3147="","",IF(A3147+1&gt;Ввод!$B$4,"",A3147+1))</f>
        <v/>
      </c>
      <c r="B3148">
        <f>IF(A3148="","",IFERROR(INDEX(Ввод!$B$12:$B$71,MATCH(A3148,Ввод!$D$12:$D$71,1)),""))</f>
        <v/>
      </c>
      <c r="C3148">
        <f>IF(A3148="","",DATE(YEAR(A3148),12,31)-DATE(YEAR(A3148),1,1)+1)</f>
        <v/>
      </c>
      <c r="D3148">
        <f>IF(A3148="","",SUMIFS(Акты!$D$5:$D$16,Акты!$E$5:$E$16,"&lt;="&amp;A3148)-SUMIFS(Оплаты!$B$6:$B$505,Оплаты!$A$6:$A$505,"&lt;"&amp;A3148,Оплаты!$D$6:$D$505,"&lt;&gt;"))</f>
        <v/>
      </c>
      <c r="E3148">
        <f>IF(A3148="","",IF(SUMPRODUCT((Ввод!$F$12:$F$31&lt;&gt;"")*(Ввод!$F$12:$F$31&lt;=A3148)*(Ввод!$G$12:$G$31&gt;=A3148))&gt;0,1,0))</f>
        <v/>
      </c>
      <c r="G3148">
        <f>IF(A3148="","",IF(OR(B3148&lt;&gt;B3147,C3148&lt;&gt;C3147,E3148&lt;&gt;E3147),G3147+1,G3147))</f>
        <v/>
      </c>
    </row>
    <row r="3149">
      <c r="A3149" s="20">
        <f>IF(A3148="","",IF(A3148+1&gt;Ввод!$B$4,"",A3148+1))</f>
        <v/>
      </c>
      <c r="B3149">
        <f>IF(A3149="","",IFERROR(INDEX(Ввод!$B$12:$B$71,MATCH(A3149,Ввод!$D$12:$D$71,1)),""))</f>
        <v/>
      </c>
      <c r="C3149">
        <f>IF(A3149="","",DATE(YEAR(A3149),12,31)-DATE(YEAR(A3149),1,1)+1)</f>
        <v/>
      </c>
      <c r="D3149">
        <f>IF(A3149="","",SUMIFS(Акты!$D$5:$D$16,Акты!$E$5:$E$16,"&lt;="&amp;A3149)-SUMIFS(Оплаты!$B$6:$B$505,Оплаты!$A$6:$A$505,"&lt;"&amp;A3149,Оплаты!$D$6:$D$505,"&lt;&gt;"))</f>
        <v/>
      </c>
      <c r="E3149">
        <f>IF(A3149="","",IF(SUMPRODUCT((Ввод!$F$12:$F$31&lt;&gt;"")*(Ввод!$F$12:$F$31&lt;=A3149)*(Ввод!$G$12:$G$31&gt;=A3149))&gt;0,1,0))</f>
        <v/>
      </c>
      <c r="G3149">
        <f>IF(A3149="","",IF(OR(B3149&lt;&gt;B3148,C3149&lt;&gt;C3148,E3149&lt;&gt;E3148),G3148+1,G3148))</f>
        <v/>
      </c>
    </row>
    <row r="3150">
      <c r="A3150" s="20">
        <f>IF(A3149="","",IF(A3149+1&gt;Ввод!$B$4,"",A3149+1))</f>
        <v/>
      </c>
      <c r="B3150">
        <f>IF(A3150="","",IFERROR(INDEX(Ввод!$B$12:$B$71,MATCH(A3150,Ввод!$D$12:$D$71,1)),""))</f>
        <v/>
      </c>
      <c r="C3150">
        <f>IF(A3150="","",DATE(YEAR(A3150),12,31)-DATE(YEAR(A3150),1,1)+1)</f>
        <v/>
      </c>
      <c r="D3150">
        <f>IF(A3150="","",SUMIFS(Акты!$D$5:$D$16,Акты!$E$5:$E$16,"&lt;="&amp;A3150)-SUMIFS(Оплаты!$B$6:$B$505,Оплаты!$A$6:$A$505,"&lt;"&amp;A3150,Оплаты!$D$6:$D$505,"&lt;&gt;"))</f>
        <v/>
      </c>
      <c r="E3150">
        <f>IF(A3150="","",IF(SUMPRODUCT((Ввод!$F$12:$F$31&lt;&gt;"")*(Ввод!$F$12:$F$31&lt;=A3150)*(Ввод!$G$12:$G$31&gt;=A3150))&gt;0,1,0))</f>
        <v/>
      </c>
      <c r="G3150">
        <f>IF(A3150="","",IF(OR(B3150&lt;&gt;B3149,C3150&lt;&gt;C3149,E3150&lt;&gt;E3149),G3149+1,G3149))</f>
        <v/>
      </c>
    </row>
    <row r="3151">
      <c r="A3151" s="20">
        <f>IF(A3150="","",IF(A3150+1&gt;Ввод!$B$4,"",A3150+1))</f>
        <v/>
      </c>
      <c r="B3151">
        <f>IF(A3151="","",IFERROR(INDEX(Ввод!$B$12:$B$71,MATCH(A3151,Ввод!$D$12:$D$71,1)),""))</f>
        <v/>
      </c>
      <c r="C3151">
        <f>IF(A3151="","",DATE(YEAR(A3151),12,31)-DATE(YEAR(A3151),1,1)+1)</f>
        <v/>
      </c>
      <c r="D3151">
        <f>IF(A3151="","",SUMIFS(Акты!$D$5:$D$16,Акты!$E$5:$E$16,"&lt;="&amp;A3151)-SUMIFS(Оплаты!$B$6:$B$505,Оплаты!$A$6:$A$505,"&lt;"&amp;A3151,Оплаты!$D$6:$D$505,"&lt;&gt;"))</f>
        <v/>
      </c>
      <c r="E3151">
        <f>IF(A3151="","",IF(SUMPRODUCT((Ввод!$F$12:$F$31&lt;&gt;"")*(Ввод!$F$12:$F$31&lt;=A3151)*(Ввод!$G$12:$G$31&gt;=A3151))&gt;0,1,0))</f>
        <v/>
      </c>
      <c r="G3151">
        <f>IF(A3151="","",IF(OR(B3151&lt;&gt;B3150,C3151&lt;&gt;C3150,E3151&lt;&gt;E3150),G3150+1,G3150))</f>
        <v/>
      </c>
    </row>
    <row r="3152">
      <c r="A3152" s="20">
        <f>IF(A3151="","",IF(A3151+1&gt;Ввод!$B$4,"",A3151+1))</f>
        <v/>
      </c>
      <c r="B3152">
        <f>IF(A3152="","",IFERROR(INDEX(Ввод!$B$12:$B$71,MATCH(A3152,Ввод!$D$12:$D$71,1)),""))</f>
        <v/>
      </c>
      <c r="C3152">
        <f>IF(A3152="","",DATE(YEAR(A3152),12,31)-DATE(YEAR(A3152),1,1)+1)</f>
        <v/>
      </c>
      <c r="D3152">
        <f>IF(A3152="","",SUMIFS(Акты!$D$5:$D$16,Акты!$E$5:$E$16,"&lt;="&amp;A3152)-SUMIFS(Оплаты!$B$6:$B$505,Оплаты!$A$6:$A$505,"&lt;"&amp;A3152,Оплаты!$D$6:$D$505,"&lt;&gt;"))</f>
        <v/>
      </c>
      <c r="E3152">
        <f>IF(A3152="","",IF(SUMPRODUCT((Ввод!$F$12:$F$31&lt;&gt;"")*(Ввод!$F$12:$F$31&lt;=A3152)*(Ввод!$G$12:$G$31&gt;=A3152))&gt;0,1,0))</f>
        <v/>
      </c>
      <c r="G3152">
        <f>IF(A3152="","",IF(OR(B3152&lt;&gt;B3151,C3152&lt;&gt;C3151,E3152&lt;&gt;E3151),G3151+1,G3151))</f>
        <v/>
      </c>
    </row>
    <row r="3153">
      <c r="A3153" s="20">
        <f>IF(A3152="","",IF(A3152+1&gt;Ввод!$B$4,"",A3152+1))</f>
        <v/>
      </c>
      <c r="B3153">
        <f>IF(A3153="","",IFERROR(INDEX(Ввод!$B$12:$B$71,MATCH(A3153,Ввод!$D$12:$D$71,1)),""))</f>
        <v/>
      </c>
      <c r="C3153">
        <f>IF(A3153="","",DATE(YEAR(A3153),12,31)-DATE(YEAR(A3153),1,1)+1)</f>
        <v/>
      </c>
      <c r="D3153">
        <f>IF(A3153="","",SUMIFS(Акты!$D$5:$D$16,Акты!$E$5:$E$16,"&lt;="&amp;A3153)-SUMIFS(Оплаты!$B$6:$B$505,Оплаты!$A$6:$A$505,"&lt;"&amp;A3153,Оплаты!$D$6:$D$505,"&lt;&gt;"))</f>
        <v/>
      </c>
      <c r="E3153">
        <f>IF(A3153="","",IF(SUMPRODUCT((Ввод!$F$12:$F$31&lt;&gt;"")*(Ввод!$F$12:$F$31&lt;=A3153)*(Ввод!$G$12:$G$31&gt;=A3153))&gt;0,1,0))</f>
        <v/>
      </c>
      <c r="G3153">
        <f>IF(A3153="","",IF(OR(B3153&lt;&gt;B3152,C3153&lt;&gt;C3152,E3153&lt;&gt;E3152),G3152+1,G3152))</f>
        <v/>
      </c>
    </row>
    <row r="3154">
      <c r="A3154" s="20">
        <f>IF(A3153="","",IF(A3153+1&gt;Ввод!$B$4,"",A3153+1))</f>
        <v/>
      </c>
      <c r="B3154">
        <f>IF(A3154="","",IFERROR(INDEX(Ввод!$B$12:$B$71,MATCH(A3154,Ввод!$D$12:$D$71,1)),""))</f>
        <v/>
      </c>
      <c r="C3154">
        <f>IF(A3154="","",DATE(YEAR(A3154),12,31)-DATE(YEAR(A3154),1,1)+1)</f>
        <v/>
      </c>
      <c r="D3154">
        <f>IF(A3154="","",SUMIFS(Акты!$D$5:$D$16,Акты!$E$5:$E$16,"&lt;="&amp;A3154)-SUMIFS(Оплаты!$B$6:$B$505,Оплаты!$A$6:$A$505,"&lt;"&amp;A3154,Оплаты!$D$6:$D$505,"&lt;&gt;"))</f>
        <v/>
      </c>
      <c r="E3154">
        <f>IF(A3154="","",IF(SUMPRODUCT((Ввод!$F$12:$F$31&lt;&gt;"")*(Ввод!$F$12:$F$31&lt;=A3154)*(Ввод!$G$12:$G$31&gt;=A3154))&gt;0,1,0))</f>
        <v/>
      </c>
      <c r="G3154">
        <f>IF(A3154="","",IF(OR(B3154&lt;&gt;B3153,C3154&lt;&gt;C3153,E3154&lt;&gt;E3153),G3153+1,G3153))</f>
        <v/>
      </c>
    </row>
    <row r="3155">
      <c r="A3155" s="20">
        <f>IF(A3154="","",IF(A3154+1&gt;Ввод!$B$4,"",A3154+1))</f>
        <v/>
      </c>
      <c r="B3155">
        <f>IF(A3155="","",IFERROR(INDEX(Ввод!$B$12:$B$71,MATCH(A3155,Ввод!$D$12:$D$71,1)),""))</f>
        <v/>
      </c>
      <c r="C3155">
        <f>IF(A3155="","",DATE(YEAR(A3155),12,31)-DATE(YEAR(A3155),1,1)+1)</f>
        <v/>
      </c>
      <c r="D3155">
        <f>IF(A3155="","",SUMIFS(Акты!$D$5:$D$16,Акты!$E$5:$E$16,"&lt;="&amp;A3155)-SUMIFS(Оплаты!$B$6:$B$505,Оплаты!$A$6:$A$505,"&lt;"&amp;A3155,Оплаты!$D$6:$D$505,"&lt;&gt;"))</f>
        <v/>
      </c>
      <c r="E3155">
        <f>IF(A3155="","",IF(SUMPRODUCT((Ввод!$F$12:$F$31&lt;&gt;"")*(Ввод!$F$12:$F$31&lt;=A3155)*(Ввод!$G$12:$G$31&gt;=A3155))&gt;0,1,0))</f>
        <v/>
      </c>
      <c r="G3155">
        <f>IF(A3155="","",IF(OR(B3155&lt;&gt;B3154,C3155&lt;&gt;C3154,E3155&lt;&gt;E3154),G3154+1,G3154))</f>
        <v/>
      </c>
    </row>
    <row r="3156">
      <c r="A3156" s="20">
        <f>IF(A3155="","",IF(A3155+1&gt;Ввод!$B$4,"",A3155+1))</f>
        <v/>
      </c>
      <c r="B3156">
        <f>IF(A3156="","",IFERROR(INDEX(Ввод!$B$12:$B$71,MATCH(A3156,Ввод!$D$12:$D$71,1)),""))</f>
        <v/>
      </c>
      <c r="C3156">
        <f>IF(A3156="","",DATE(YEAR(A3156),12,31)-DATE(YEAR(A3156),1,1)+1)</f>
        <v/>
      </c>
      <c r="D3156">
        <f>IF(A3156="","",SUMIFS(Акты!$D$5:$D$16,Акты!$E$5:$E$16,"&lt;="&amp;A3156)-SUMIFS(Оплаты!$B$6:$B$505,Оплаты!$A$6:$A$505,"&lt;"&amp;A3156,Оплаты!$D$6:$D$505,"&lt;&gt;"))</f>
        <v/>
      </c>
      <c r="E3156">
        <f>IF(A3156="","",IF(SUMPRODUCT((Ввод!$F$12:$F$31&lt;&gt;"")*(Ввод!$F$12:$F$31&lt;=A3156)*(Ввод!$G$12:$G$31&gt;=A3156))&gt;0,1,0))</f>
        <v/>
      </c>
      <c r="G3156">
        <f>IF(A3156="","",IF(OR(B3156&lt;&gt;B3155,C3156&lt;&gt;C3155,E3156&lt;&gt;E3155),G3155+1,G3155))</f>
        <v/>
      </c>
    </row>
    <row r="3157">
      <c r="A3157" s="20">
        <f>IF(A3156="","",IF(A3156+1&gt;Ввод!$B$4,"",A3156+1))</f>
        <v/>
      </c>
      <c r="B3157">
        <f>IF(A3157="","",IFERROR(INDEX(Ввод!$B$12:$B$71,MATCH(A3157,Ввод!$D$12:$D$71,1)),""))</f>
        <v/>
      </c>
      <c r="C3157">
        <f>IF(A3157="","",DATE(YEAR(A3157),12,31)-DATE(YEAR(A3157),1,1)+1)</f>
        <v/>
      </c>
      <c r="D3157">
        <f>IF(A3157="","",SUMIFS(Акты!$D$5:$D$16,Акты!$E$5:$E$16,"&lt;="&amp;A3157)-SUMIFS(Оплаты!$B$6:$B$505,Оплаты!$A$6:$A$505,"&lt;"&amp;A3157,Оплаты!$D$6:$D$505,"&lt;&gt;"))</f>
        <v/>
      </c>
      <c r="E3157">
        <f>IF(A3157="","",IF(SUMPRODUCT((Ввод!$F$12:$F$31&lt;&gt;"")*(Ввод!$F$12:$F$31&lt;=A3157)*(Ввод!$G$12:$G$31&gt;=A3157))&gt;0,1,0))</f>
        <v/>
      </c>
      <c r="G3157">
        <f>IF(A3157="","",IF(OR(B3157&lt;&gt;B3156,C3157&lt;&gt;C3156,E3157&lt;&gt;E3156),G3156+1,G3156))</f>
        <v/>
      </c>
    </row>
    <row r="3158">
      <c r="A3158" s="20">
        <f>IF(A3157="","",IF(A3157+1&gt;Ввод!$B$4,"",A3157+1))</f>
        <v/>
      </c>
      <c r="B3158">
        <f>IF(A3158="","",IFERROR(INDEX(Ввод!$B$12:$B$71,MATCH(A3158,Ввод!$D$12:$D$71,1)),""))</f>
        <v/>
      </c>
      <c r="C3158">
        <f>IF(A3158="","",DATE(YEAR(A3158),12,31)-DATE(YEAR(A3158),1,1)+1)</f>
        <v/>
      </c>
      <c r="D3158">
        <f>IF(A3158="","",SUMIFS(Акты!$D$5:$D$16,Акты!$E$5:$E$16,"&lt;="&amp;A3158)-SUMIFS(Оплаты!$B$6:$B$505,Оплаты!$A$6:$A$505,"&lt;"&amp;A3158,Оплаты!$D$6:$D$505,"&lt;&gt;"))</f>
        <v/>
      </c>
      <c r="E3158">
        <f>IF(A3158="","",IF(SUMPRODUCT((Ввод!$F$12:$F$31&lt;&gt;"")*(Ввод!$F$12:$F$31&lt;=A3158)*(Ввод!$G$12:$G$31&gt;=A3158))&gt;0,1,0))</f>
        <v/>
      </c>
      <c r="G3158">
        <f>IF(A3158="","",IF(OR(B3158&lt;&gt;B3157,C3158&lt;&gt;C3157,E3158&lt;&gt;E3157),G3157+1,G3157))</f>
        <v/>
      </c>
    </row>
    <row r="3159">
      <c r="A3159" s="20">
        <f>IF(A3158="","",IF(A3158+1&gt;Ввод!$B$4,"",A3158+1))</f>
        <v/>
      </c>
      <c r="B3159">
        <f>IF(A3159="","",IFERROR(INDEX(Ввод!$B$12:$B$71,MATCH(A3159,Ввод!$D$12:$D$71,1)),""))</f>
        <v/>
      </c>
      <c r="C3159">
        <f>IF(A3159="","",DATE(YEAR(A3159),12,31)-DATE(YEAR(A3159),1,1)+1)</f>
        <v/>
      </c>
      <c r="D3159">
        <f>IF(A3159="","",SUMIFS(Акты!$D$5:$D$16,Акты!$E$5:$E$16,"&lt;="&amp;A3159)-SUMIFS(Оплаты!$B$6:$B$505,Оплаты!$A$6:$A$505,"&lt;"&amp;A3159,Оплаты!$D$6:$D$505,"&lt;&gt;"))</f>
        <v/>
      </c>
      <c r="E3159">
        <f>IF(A3159="","",IF(SUMPRODUCT((Ввод!$F$12:$F$31&lt;&gt;"")*(Ввод!$F$12:$F$31&lt;=A3159)*(Ввод!$G$12:$G$31&gt;=A3159))&gt;0,1,0))</f>
        <v/>
      </c>
      <c r="G3159">
        <f>IF(A3159="","",IF(OR(B3159&lt;&gt;B3158,C3159&lt;&gt;C3158,E3159&lt;&gt;E3158),G3158+1,G3158))</f>
        <v/>
      </c>
    </row>
    <row r="3160">
      <c r="A3160" s="20">
        <f>IF(A3159="","",IF(A3159+1&gt;Ввод!$B$4,"",A3159+1))</f>
        <v/>
      </c>
      <c r="B3160">
        <f>IF(A3160="","",IFERROR(INDEX(Ввод!$B$12:$B$71,MATCH(A3160,Ввод!$D$12:$D$71,1)),""))</f>
        <v/>
      </c>
      <c r="C3160">
        <f>IF(A3160="","",DATE(YEAR(A3160),12,31)-DATE(YEAR(A3160),1,1)+1)</f>
        <v/>
      </c>
      <c r="D3160">
        <f>IF(A3160="","",SUMIFS(Акты!$D$5:$D$16,Акты!$E$5:$E$16,"&lt;="&amp;A3160)-SUMIFS(Оплаты!$B$6:$B$505,Оплаты!$A$6:$A$505,"&lt;"&amp;A3160,Оплаты!$D$6:$D$505,"&lt;&gt;"))</f>
        <v/>
      </c>
      <c r="E3160">
        <f>IF(A3160="","",IF(SUMPRODUCT((Ввод!$F$12:$F$31&lt;&gt;"")*(Ввод!$F$12:$F$31&lt;=A3160)*(Ввод!$G$12:$G$31&gt;=A3160))&gt;0,1,0))</f>
        <v/>
      </c>
      <c r="G3160">
        <f>IF(A3160="","",IF(OR(B3160&lt;&gt;B3159,C3160&lt;&gt;C3159,E3160&lt;&gt;E3159),G3159+1,G3159))</f>
        <v/>
      </c>
    </row>
    <row r="3161">
      <c r="A3161" s="20">
        <f>IF(A3160="","",IF(A3160+1&gt;Ввод!$B$4,"",A3160+1))</f>
        <v/>
      </c>
      <c r="B3161">
        <f>IF(A3161="","",IFERROR(INDEX(Ввод!$B$12:$B$71,MATCH(A3161,Ввод!$D$12:$D$71,1)),""))</f>
        <v/>
      </c>
      <c r="C3161">
        <f>IF(A3161="","",DATE(YEAR(A3161),12,31)-DATE(YEAR(A3161),1,1)+1)</f>
        <v/>
      </c>
      <c r="D3161">
        <f>IF(A3161="","",SUMIFS(Акты!$D$5:$D$16,Акты!$E$5:$E$16,"&lt;="&amp;A3161)-SUMIFS(Оплаты!$B$6:$B$505,Оплаты!$A$6:$A$505,"&lt;"&amp;A3161,Оплаты!$D$6:$D$505,"&lt;&gt;"))</f>
        <v/>
      </c>
      <c r="E3161">
        <f>IF(A3161="","",IF(SUMPRODUCT((Ввод!$F$12:$F$31&lt;&gt;"")*(Ввод!$F$12:$F$31&lt;=A3161)*(Ввод!$G$12:$G$31&gt;=A3161))&gt;0,1,0))</f>
        <v/>
      </c>
      <c r="G3161">
        <f>IF(A3161="","",IF(OR(B3161&lt;&gt;B3160,C3161&lt;&gt;C3160,E3161&lt;&gt;E3160),G3160+1,G3160))</f>
        <v/>
      </c>
    </row>
    <row r="3162">
      <c r="A3162" s="20">
        <f>IF(A3161="","",IF(A3161+1&gt;Ввод!$B$4,"",A3161+1))</f>
        <v/>
      </c>
      <c r="B3162">
        <f>IF(A3162="","",IFERROR(INDEX(Ввод!$B$12:$B$71,MATCH(A3162,Ввод!$D$12:$D$71,1)),""))</f>
        <v/>
      </c>
      <c r="C3162">
        <f>IF(A3162="","",DATE(YEAR(A3162),12,31)-DATE(YEAR(A3162),1,1)+1)</f>
        <v/>
      </c>
      <c r="D3162">
        <f>IF(A3162="","",SUMIFS(Акты!$D$5:$D$16,Акты!$E$5:$E$16,"&lt;="&amp;A3162)-SUMIFS(Оплаты!$B$6:$B$505,Оплаты!$A$6:$A$505,"&lt;"&amp;A3162,Оплаты!$D$6:$D$505,"&lt;&gt;"))</f>
        <v/>
      </c>
      <c r="E3162">
        <f>IF(A3162="","",IF(SUMPRODUCT((Ввод!$F$12:$F$31&lt;&gt;"")*(Ввод!$F$12:$F$31&lt;=A3162)*(Ввод!$G$12:$G$31&gt;=A3162))&gt;0,1,0))</f>
        <v/>
      </c>
      <c r="G3162">
        <f>IF(A3162="","",IF(OR(B3162&lt;&gt;B3161,C3162&lt;&gt;C3161,E3162&lt;&gt;E3161),G3161+1,G3161))</f>
        <v/>
      </c>
    </row>
    <row r="3163">
      <c r="A3163" s="20">
        <f>IF(A3162="","",IF(A3162+1&gt;Ввод!$B$4,"",A3162+1))</f>
        <v/>
      </c>
      <c r="B3163">
        <f>IF(A3163="","",IFERROR(INDEX(Ввод!$B$12:$B$71,MATCH(A3163,Ввод!$D$12:$D$71,1)),""))</f>
        <v/>
      </c>
      <c r="C3163">
        <f>IF(A3163="","",DATE(YEAR(A3163),12,31)-DATE(YEAR(A3163),1,1)+1)</f>
        <v/>
      </c>
      <c r="D3163">
        <f>IF(A3163="","",SUMIFS(Акты!$D$5:$D$16,Акты!$E$5:$E$16,"&lt;="&amp;A3163)-SUMIFS(Оплаты!$B$6:$B$505,Оплаты!$A$6:$A$505,"&lt;"&amp;A3163,Оплаты!$D$6:$D$505,"&lt;&gt;"))</f>
        <v/>
      </c>
      <c r="E3163">
        <f>IF(A3163="","",IF(SUMPRODUCT((Ввод!$F$12:$F$31&lt;&gt;"")*(Ввод!$F$12:$F$31&lt;=A3163)*(Ввод!$G$12:$G$31&gt;=A3163))&gt;0,1,0))</f>
        <v/>
      </c>
      <c r="G3163">
        <f>IF(A3163="","",IF(OR(B3163&lt;&gt;B3162,C3163&lt;&gt;C3162,E3163&lt;&gt;E3162),G3162+1,G3162))</f>
        <v/>
      </c>
    </row>
    <row r="3164">
      <c r="A3164" s="20">
        <f>IF(A3163="","",IF(A3163+1&gt;Ввод!$B$4,"",A3163+1))</f>
        <v/>
      </c>
      <c r="B3164">
        <f>IF(A3164="","",IFERROR(INDEX(Ввод!$B$12:$B$71,MATCH(A3164,Ввод!$D$12:$D$71,1)),""))</f>
        <v/>
      </c>
      <c r="C3164">
        <f>IF(A3164="","",DATE(YEAR(A3164),12,31)-DATE(YEAR(A3164),1,1)+1)</f>
        <v/>
      </c>
      <c r="D3164">
        <f>IF(A3164="","",SUMIFS(Акты!$D$5:$D$16,Акты!$E$5:$E$16,"&lt;="&amp;A3164)-SUMIFS(Оплаты!$B$6:$B$505,Оплаты!$A$6:$A$505,"&lt;"&amp;A3164,Оплаты!$D$6:$D$505,"&lt;&gt;"))</f>
        <v/>
      </c>
      <c r="E3164">
        <f>IF(A3164="","",IF(SUMPRODUCT((Ввод!$F$12:$F$31&lt;&gt;"")*(Ввод!$F$12:$F$31&lt;=A3164)*(Ввод!$G$12:$G$31&gt;=A3164))&gt;0,1,0))</f>
        <v/>
      </c>
      <c r="G3164">
        <f>IF(A3164="","",IF(OR(B3164&lt;&gt;B3163,C3164&lt;&gt;C3163,E3164&lt;&gt;E3163),G3163+1,G3163))</f>
        <v/>
      </c>
    </row>
    <row r="3165">
      <c r="A3165" s="20">
        <f>IF(A3164="","",IF(A3164+1&gt;Ввод!$B$4,"",A3164+1))</f>
        <v/>
      </c>
      <c r="B3165">
        <f>IF(A3165="","",IFERROR(INDEX(Ввод!$B$12:$B$71,MATCH(A3165,Ввод!$D$12:$D$71,1)),""))</f>
        <v/>
      </c>
      <c r="C3165">
        <f>IF(A3165="","",DATE(YEAR(A3165),12,31)-DATE(YEAR(A3165),1,1)+1)</f>
        <v/>
      </c>
      <c r="D3165">
        <f>IF(A3165="","",SUMIFS(Акты!$D$5:$D$16,Акты!$E$5:$E$16,"&lt;="&amp;A3165)-SUMIFS(Оплаты!$B$6:$B$505,Оплаты!$A$6:$A$505,"&lt;"&amp;A3165,Оплаты!$D$6:$D$505,"&lt;&gt;"))</f>
        <v/>
      </c>
      <c r="E3165">
        <f>IF(A3165="","",IF(SUMPRODUCT((Ввод!$F$12:$F$31&lt;&gt;"")*(Ввод!$F$12:$F$31&lt;=A3165)*(Ввод!$G$12:$G$31&gt;=A3165))&gt;0,1,0))</f>
        <v/>
      </c>
      <c r="G3165">
        <f>IF(A3165="","",IF(OR(B3165&lt;&gt;B3164,C3165&lt;&gt;C3164,E3165&lt;&gt;E3164),G3164+1,G3164))</f>
        <v/>
      </c>
    </row>
    <row r="3166">
      <c r="A3166" s="20">
        <f>IF(A3165="","",IF(A3165+1&gt;Ввод!$B$4,"",A3165+1))</f>
        <v/>
      </c>
      <c r="B3166">
        <f>IF(A3166="","",IFERROR(INDEX(Ввод!$B$12:$B$71,MATCH(A3166,Ввод!$D$12:$D$71,1)),""))</f>
        <v/>
      </c>
      <c r="C3166">
        <f>IF(A3166="","",DATE(YEAR(A3166),12,31)-DATE(YEAR(A3166),1,1)+1)</f>
        <v/>
      </c>
      <c r="D3166">
        <f>IF(A3166="","",SUMIFS(Акты!$D$5:$D$16,Акты!$E$5:$E$16,"&lt;="&amp;A3166)-SUMIFS(Оплаты!$B$6:$B$505,Оплаты!$A$6:$A$505,"&lt;"&amp;A3166,Оплаты!$D$6:$D$505,"&lt;&gt;"))</f>
        <v/>
      </c>
      <c r="E3166">
        <f>IF(A3166="","",IF(SUMPRODUCT((Ввод!$F$12:$F$31&lt;&gt;"")*(Ввод!$F$12:$F$31&lt;=A3166)*(Ввод!$G$12:$G$31&gt;=A3166))&gt;0,1,0))</f>
        <v/>
      </c>
      <c r="G3166">
        <f>IF(A3166="","",IF(OR(B3166&lt;&gt;B3165,C3166&lt;&gt;C3165,E3166&lt;&gt;E3165),G3165+1,G3165))</f>
        <v/>
      </c>
    </row>
    <row r="3167">
      <c r="A3167" s="20">
        <f>IF(A3166="","",IF(A3166+1&gt;Ввод!$B$4,"",A3166+1))</f>
        <v/>
      </c>
      <c r="B3167">
        <f>IF(A3167="","",IFERROR(INDEX(Ввод!$B$12:$B$71,MATCH(A3167,Ввод!$D$12:$D$71,1)),""))</f>
        <v/>
      </c>
      <c r="C3167">
        <f>IF(A3167="","",DATE(YEAR(A3167),12,31)-DATE(YEAR(A3167),1,1)+1)</f>
        <v/>
      </c>
      <c r="D3167">
        <f>IF(A3167="","",SUMIFS(Акты!$D$5:$D$16,Акты!$E$5:$E$16,"&lt;="&amp;A3167)-SUMIFS(Оплаты!$B$6:$B$505,Оплаты!$A$6:$A$505,"&lt;"&amp;A3167,Оплаты!$D$6:$D$505,"&lt;&gt;"))</f>
        <v/>
      </c>
      <c r="E3167">
        <f>IF(A3167="","",IF(SUMPRODUCT((Ввод!$F$12:$F$31&lt;&gt;"")*(Ввод!$F$12:$F$31&lt;=A3167)*(Ввод!$G$12:$G$31&gt;=A3167))&gt;0,1,0))</f>
        <v/>
      </c>
      <c r="G3167">
        <f>IF(A3167="","",IF(OR(B3167&lt;&gt;B3166,C3167&lt;&gt;C3166,E3167&lt;&gt;E3166),G3166+1,G3166))</f>
        <v/>
      </c>
    </row>
    <row r="3168">
      <c r="A3168" s="20">
        <f>IF(A3167="","",IF(A3167+1&gt;Ввод!$B$4,"",A3167+1))</f>
        <v/>
      </c>
      <c r="B3168">
        <f>IF(A3168="","",IFERROR(INDEX(Ввод!$B$12:$B$71,MATCH(A3168,Ввод!$D$12:$D$71,1)),""))</f>
        <v/>
      </c>
      <c r="C3168">
        <f>IF(A3168="","",DATE(YEAR(A3168),12,31)-DATE(YEAR(A3168),1,1)+1)</f>
        <v/>
      </c>
      <c r="D3168">
        <f>IF(A3168="","",SUMIFS(Акты!$D$5:$D$16,Акты!$E$5:$E$16,"&lt;="&amp;A3168)-SUMIFS(Оплаты!$B$6:$B$505,Оплаты!$A$6:$A$505,"&lt;"&amp;A3168,Оплаты!$D$6:$D$505,"&lt;&gt;"))</f>
        <v/>
      </c>
      <c r="E3168">
        <f>IF(A3168="","",IF(SUMPRODUCT((Ввод!$F$12:$F$31&lt;&gt;"")*(Ввод!$F$12:$F$31&lt;=A3168)*(Ввод!$G$12:$G$31&gt;=A3168))&gt;0,1,0))</f>
        <v/>
      </c>
      <c r="G3168">
        <f>IF(A3168="","",IF(OR(B3168&lt;&gt;B3167,C3168&lt;&gt;C3167,E3168&lt;&gt;E3167),G3167+1,G3167))</f>
        <v/>
      </c>
    </row>
    <row r="3169">
      <c r="A3169" s="20">
        <f>IF(A3168="","",IF(A3168+1&gt;Ввод!$B$4,"",A3168+1))</f>
        <v/>
      </c>
      <c r="B3169">
        <f>IF(A3169="","",IFERROR(INDEX(Ввод!$B$12:$B$71,MATCH(A3169,Ввод!$D$12:$D$71,1)),""))</f>
        <v/>
      </c>
      <c r="C3169">
        <f>IF(A3169="","",DATE(YEAR(A3169),12,31)-DATE(YEAR(A3169),1,1)+1)</f>
        <v/>
      </c>
      <c r="D3169">
        <f>IF(A3169="","",SUMIFS(Акты!$D$5:$D$16,Акты!$E$5:$E$16,"&lt;="&amp;A3169)-SUMIFS(Оплаты!$B$6:$B$505,Оплаты!$A$6:$A$505,"&lt;"&amp;A3169,Оплаты!$D$6:$D$505,"&lt;&gt;"))</f>
        <v/>
      </c>
      <c r="E3169">
        <f>IF(A3169="","",IF(SUMPRODUCT((Ввод!$F$12:$F$31&lt;&gt;"")*(Ввод!$F$12:$F$31&lt;=A3169)*(Ввод!$G$12:$G$31&gt;=A3169))&gt;0,1,0))</f>
        <v/>
      </c>
      <c r="G3169">
        <f>IF(A3169="","",IF(OR(B3169&lt;&gt;B3168,C3169&lt;&gt;C3168,E3169&lt;&gt;E3168),G3168+1,G3168))</f>
        <v/>
      </c>
    </row>
    <row r="3170">
      <c r="A3170" s="20">
        <f>IF(A3169="","",IF(A3169+1&gt;Ввод!$B$4,"",A3169+1))</f>
        <v/>
      </c>
      <c r="B3170">
        <f>IF(A3170="","",IFERROR(INDEX(Ввод!$B$12:$B$71,MATCH(A3170,Ввод!$D$12:$D$71,1)),""))</f>
        <v/>
      </c>
      <c r="C3170">
        <f>IF(A3170="","",DATE(YEAR(A3170),12,31)-DATE(YEAR(A3170),1,1)+1)</f>
        <v/>
      </c>
      <c r="D3170">
        <f>IF(A3170="","",SUMIFS(Акты!$D$5:$D$16,Акты!$E$5:$E$16,"&lt;="&amp;A3170)-SUMIFS(Оплаты!$B$6:$B$505,Оплаты!$A$6:$A$505,"&lt;"&amp;A3170,Оплаты!$D$6:$D$505,"&lt;&gt;"))</f>
        <v/>
      </c>
      <c r="E3170">
        <f>IF(A3170="","",IF(SUMPRODUCT((Ввод!$F$12:$F$31&lt;&gt;"")*(Ввод!$F$12:$F$31&lt;=A3170)*(Ввод!$G$12:$G$31&gt;=A3170))&gt;0,1,0))</f>
        <v/>
      </c>
      <c r="G3170">
        <f>IF(A3170="","",IF(OR(B3170&lt;&gt;B3169,C3170&lt;&gt;C3169,E3170&lt;&gt;E3169),G3169+1,G3169))</f>
        <v/>
      </c>
    </row>
    <row r="3171">
      <c r="A3171" s="20">
        <f>IF(A3170="","",IF(A3170+1&gt;Ввод!$B$4,"",A3170+1))</f>
        <v/>
      </c>
      <c r="B3171">
        <f>IF(A3171="","",IFERROR(INDEX(Ввод!$B$12:$B$71,MATCH(A3171,Ввод!$D$12:$D$71,1)),""))</f>
        <v/>
      </c>
      <c r="C3171">
        <f>IF(A3171="","",DATE(YEAR(A3171),12,31)-DATE(YEAR(A3171),1,1)+1)</f>
        <v/>
      </c>
      <c r="D3171">
        <f>IF(A3171="","",SUMIFS(Акты!$D$5:$D$16,Акты!$E$5:$E$16,"&lt;="&amp;A3171)-SUMIFS(Оплаты!$B$6:$B$505,Оплаты!$A$6:$A$505,"&lt;"&amp;A3171,Оплаты!$D$6:$D$505,"&lt;&gt;"))</f>
        <v/>
      </c>
      <c r="E3171">
        <f>IF(A3171="","",IF(SUMPRODUCT((Ввод!$F$12:$F$31&lt;&gt;"")*(Ввод!$F$12:$F$31&lt;=A3171)*(Ввод!$G$12:$G$31&gt;=A3171))&gt;0,1,0))</f>
        <v/>
      </c>
      <c r="G3171">
        <f>IF(A3171="","",IF(OR(B3171&lt;&gt;B3170,C3171&lt;&gt;C3170,E3171&lt;&gt;E3170),G3170+1,G3170))</f>
        <v/>
      </c>
    </row>
    <row r="3172">
      <c r="A3172" s="20">
        <f>IF(A3171="","",IF(A3171+1&gt;Ввод!$B$4,"",A3171+1))</f>
        <v/>
      </c>
      <c r="B3172">
        <f>IF(A3172="","",IFERROR(INDEX(Ввод!$B$12:$B$71,MATCH(A3172,Ввод!$D$12:$D$71,1)),""))</f>
        <v/>
      </c>
      <c r="C3172">
        <f>IF(A3172="","",DATE(YEAR(A3172),12,31)-DATE(YEAR(A3172),1,1)+1)</f>
        <v/>
      </c>
      <c r="D3172">
        <f>IF(A3172="","",SUMIFS(Акты!$D$5:$D$16,Акты!$E$5:$E$16,"&lt;="&amp;A3172)-SUMIFS(Оплаты!$B$6:$B$505,Оплаты!$A$6:$A$505,"&lt;"&amp;A3172,Оплаты!$D$6:$D$505,"&lt;&gt;"))</f>
        <v/>
      </c>
      <c r="E3172">
        <f>IF(A3172="","",IF(SUMPRODUCT((Ввод!$F$12:$F$31&lt;&gt;"")*(Ввод!$F$12:$F$31&lt;=A3172)*(Ввод!$G$12:$G$31&gt;=A3172))&gt;0,1,0))</f>
        <v/>
      </c>
      <c r="G3172">
        <f>IF(A3172="","",IF(OR(B3172&lt;&gt;B3171,C3172&lt;&gt;C3171,E3172&lt;&gt;E3171),G3171+1,G3171))</f>
        <v/>
      </c>
    </row>
    <row r="3173">
      <c r="A3173" s="20">
        <f>IF(A3172="","",IF(A3172+1&gt;Ввод!$B$4,"",A3172+1))</f>
        <v/>
      </c>
      <c r="B3173">
        <f>IF(A3173="","",IFERROR(INDEX(Ввод!$B$12:$B$71,MATCH(A3173,Ввод!$D$12:$D$71,1)),""))</f>
        <v/>
      </c>
      <c r="C3173">
        <f>IF(A3173="","",DATE(YEAR(A3173),12,31)-DATE(YEAR(A3173),1,1)+1)</f>
        <v/>
      </c>
      <c r="D3173">
        <f>IF(A3173="","",SUMIFS(Акты!$D$5:$D$16,Акты!$E$5:$E$16,"&lt;="&amp;A3173)-SUMIFS(Оплаты!$B$6:$B$505,Оплаты!$A$6:$A$505,"&lt;"&amp;A3173,Оплаты!$D$6:$D$505,"&lt;&gt;"))</f>
        <v/>
      </c>
      <c r="E3173">
        <f>IF(A3173="","",IF(SUMPRODUCT((Ввод!$F$12:$F$31&lt;&gt;"")*(Ввод!$F$12:$F$31&lt;=A3173)*(Ввод!$G$12:$G$31&gt;=A3173))&gt;0,1,0))</f>
        <v/>
      </c>
      <c r="G3173">
        <f>IF(A3173="","",IF(OR(B3173&lt;&gt;B3172,C3173&lt;&gt;C3172,E3173&lt;&gt;E3172),G3172+1,G3172))</f>
        <v/>
      </c>
    </row>
    <row r="3174">
      <c r="A3174" s="20">
        <f>IF(A3173="","",IF(A3173+1&gt;Ввод!$B$4,"",A3173+1))</f>
        <v/>
      </c>
      <c r="B3174">
        <f>IF(A3174="","",IFERROR(INDEX(Ввод!$B$12:$B$71,MATCH(A3174,Ввод!$D$12:$D$71,1)),""))</f>
        <v/>
      </c>
      <c r="C3174">
        <f>IF(A3174="","",DATE(YEAR(A3174),12,31)-DATE(YEAR(A3174),1,1)+1)</f>
        <v/>
      </c>
      <c r="D3174">
        <f>IF(A3174="","",SUMIFS(Акты!$D$5:$D$16,Акты!$E$5:$E$16,"&lt;="&amp;A3174)-SUMIFS(Оплаты!$B$6:$B$505,Оплаты!$A$6:$A$505,"&lt;"&amp;A3174,Оплаты!$D$6:$D$505,"&lt;&gt;"))</f>
        <v/>
      </c>
      <c r="E3174">
        <f>IF(A3174="","",IF(SUMPRODUCT((Ввод!$F$12:$F$31&lt;&gt;"")*(Ввод!$F$12:$F$31&lt;=A3174)*(Ввод!$G$12:$G$31&gt;=A3174))&gt;0,1,0))</f>
        <v/>
      </c>
      <c r="G3174">
        <f>IF(A3174="","",IF(OR(B3174&lt;&gt;B3173,C3174&lt;&gt;C3173,E3174&lt;&gt;E3173),G3173+1,G3173))</f>
        <v/>
      </c>
    </row>
    <row r="3175">
      <c r="A3175" s="20">
        <f>IF(A3174="","",IF(A3174+1&gt;Ввод!$B$4,"",A3174+1))</f>
        <v/>
      </c>
      <c r="B3175">
        <f>IF(A3175="","",IFERROR(INDEX(Ввод!$B$12:$B$71,MATCH(A3175,Ввод!$D$12:$D$71,1)),""))</f>
        <v/>
      </c>
      <c r="C3175">
        <f>IF(A3175="","",DATE(YEAR(A3175),12,31)-DATE(YEAR(A3175),1,1)+1)</f>
        <v/>
      </c>
      <c r="D3175">
        <f>IF(A3175="","",SUMIFS(Акты!$D$5:$D$16,Акты!$E$5:$E$16,"&lt;="&amp;A3175)-SUMIFS(Оплаты!$B$6:$B$505,Оплаты!$A$6:$A$505,"&lt;"&amp;A3175,Оплаты!$D$6:$D$505,"&lt;&gt;"))</f>
        <v/>
      </c>
      <c r="E3175">
        <f>IF(A3175="","",IF(SUMPRODUCT((Ввод!$F$12:$F$31&lt;&gt;"")*(Ввод!$F$12:$F$31&lt;=A3175)*(Ввод!$G$12:$G$31&gt;=A3175))&gt;0,1,0))</f>
        <v/>
      </c>
      <c r="G3175">
        <f>IF(A3175="","",IF(OR(B3175&lt;&gt;B3174,C3175&lt;&gt;C3174,E3175&lt;&gt;E3174),G3174+1,G3174))</f>
        <v/>
      </c>
    </row>
    <row r="3176">
      <c r="A3176" s="20">
        <f>IF(A3175="","",IF(A3175+1&gt;Ввод!$B$4,"",A3175+1))</f>
        <v/>
      </c>
      <c r="B3176">
        <f>IF(A3176="","",IFERROR(INDEX(Ввод!$B$12:$B$71,MATCH(A3176,Ввод!$D$12:$D$71,1)),""))</f>
        <v/>
      </c>
      <c r="C3176">
        <f>IF(A3176="","",DATE(YEAR(A3176),12,31)-DATE(YEAR(A3176),1,1)+1)</f>
        <v/>
      </c>
      <c r="D3176">
        <f>IF(A3176="","",SUMIFS(Акты!$D$5:$D$16,Акты!$E$5:$E$16,"&lt;="&amp;A3176)-SUMIFS(Оплаты!$B$6:$B$505,Оплаты!$A$6:$A$505,"&lt;"&amp;A3176,Оплаты!$D$6:$D$505,"&lt;&gt;"))</f>
        <v/>
      </c>
      <c r="E3176">
        <f>IF(A3176="","",IF(SUMPRODUCT((Ввод!$F$12:$F$31&lt;&gt;"")*(Ввод!$F$12:$F$31&lt;=A3176)*(Ввод!$G$12:$G$31&gt;=A3176))&gt;0,1,0))</f>
        <v/>
      </c>
      <c r="G3176">
        <f>IF(A3176="","",IF(OR(B3176&lt;&gt;B3175,C3176&lt;&gt;C3175,E3176&lt;&gt;E3175),G3175+1,G3175))</f>
        <v/>
      </c>
    </row>
    <row r="3177">
      <c r="A3177" s="20">
        <f>IF(A3176="","",IF(A3176+1&gt;Ввод!$B$4,"",A3176+1))</f>
        <v/>
      </c>
      <c r="B3177">
        <f>IF(A3177="","",IFERROR(INDEX(Ввод!$B$12:$B$71,MATCH(A3177,Ввод!$D$12:$D$71,1)),""))</f>
        <v/>
      </c>
      <c r="C3177">
        <f>IF(A3177="","",DATE(YEAR(A3177),12,31)-DATE(YEAR(A3177),1,1)+1)</f>
        <v/>
      </c>
      <c r="D3177">
        <f>IF(A3177="","",SUMIFS(Акты!$D$5:$D$16,Акты!$E$5:$E$16,"&lt;="&amp;A3177)-SUMIFS(Оплаты!$B$6:$B$505,Оплаты!$A$6:$A$505,"&lt;"&amp;A3177,Оплаты!$D$6:$D$505,"&lt;&gt;"))</f>
        <v/>
      </c>
      <c r="E3177">
        <f>IF(A3177="","",IF(SUMPRODUCT((Ввод!$F$12:$F$31&lt;&gt;"")*(Ввод!$F$12:$F$31&lt;=A3177)*(Ввод!$G$12:$G$31&gt;=A3177))&gt;0,1,0))</f>
        <v/>
      </c>
      <c r="G3177">
        <f>IF(A3177="","",IF(OR(B3177&lt;&gt;B3176,C3177&lt;&gt;C3176,E3177&lt;&gt;E3176),G3176+1,G3176))</f>
        <v/>
      </c>
    </row>
    <row r="3178">
      <c r="A3178" s="20">
        <f>IF(A3177="","",IF(A3177+1&gt;Ввод!$B$4,"",A3177+1))</f>
        <v/>
      </c>
      <c r="B3178">
        <f>IF(A3178="","",IFERROR(INDEX(Ввод!$B$12:$B$71,MATCH(A3178,Ввод!$D$12:$D$71,1)),""))</f>
        <v/>
      </c>
      <c r="C3178">
        <f>IF(A3178="","",DATE(YEAR(A3178),12,31)-DATE(YEAR(A3178),1,1)+1)</f>
        <v/>
      </c>
      <c r="D3178">
        <f>IF(A3178="","",SUMIFS(Акты!$D$5:$D$16,Акты!$E$5:$E$16,"&lt;="&amp;A3178)-SUMIFS(Оплаты!$B$6:$B$505,Оплаты!$A$6:$A$505,"&lt;"&amp;A3178,Оплаты!$D$6:$D$505,"&lt;&gt;"))</f>
        <v/>
      </c>
      <c r="E3178">
        <f>IF(A3178="","",IF(SUMPRODUCT((Ввод!$F$12:$F$31&lt;&gt;"")*(Ввод!$F$12:$F$31&lt;=A3178)*(Ввод!$G$12:$G$31&gt;=A3178))&gt;0,1,0))</f>
        <v/>
      </c>
      <c r="G3178">
        <f>IF(A3178="","",IF(OR(B3178&lt;&gt;B3177,C3178&lt;&gt;C3177,E3178&lt;&gt;E3177),G3177+1,G3177))</f>
        <v/>
      </c>
    </row>
    <row r="3179">
      <c r="A3179" s="20">
        <f>IF(A3178="","",IF(A3178+1&gt;Ввод!$B$4,"",A3178+1))</f>
        <v/>
      </c>
      <c r="B3179">
        <f>IF(A3179="","",IFERROR(INDEX(Ввод!$B$12:$B$71,MATCH(A3179,Ввод!$D$12:$D$71,1)),""))</f>
        <v/>
      </c>
      <c r="C3179">
        <f>IF(A3179="","",DATE(YEAR(A3179),12,31)-DATE(YEAR(A3179),1,1)+1)</f>
        <v/>
      </c>
      <c r="D3179">
        <f>IF(A3179="","",SUMIFS(Акты!$D$5:$D$16,Акты!$E$5:$E$16,"&lt;="&amp;A3179)-SUMIFS(Оплаты!$B$6:$B$505,Оплаты!$A$6:$A$505,"&lt;"&amp;A3179,Оплаты!$D$6:$D$505,"&lt;&gt;"))</f>
        <v/>
      </c>
      <c r="E3179">
        <f>IF(A3179="","",IF(SUMPRODUCT((Ввод!$F$12:$F$31&lt;&gt;"")*(Ввод!$F$12:$F$31&lt;=A3179)*(Ввод!$G$12:$G$31&gt;=A3179))&gt;0,1,0))</f>
        <v/>
      </c>
      <c r="G3179">
        <f>IF(A3179="","",IF(OR(B3179&lt;&gt;B3178,C3179&lt;&gt;C3178,E3179&lt;&gt;E3178),G3178+1,G3178))</f>
        <v/>
      </c>
    </row>
    <row r="3180">
      <c r="A3180" s="20">
        <f>IF(A3179="","",IF(A3179+1&gt;Ввод!$B$4,"",A3179+1))</f>
        <v/>
      </c>
      <c r="B3180">
        <f>IF(A3180="","",IFERROR(INDEX(Ввод!$B$12:$B$71,MATCH(A3180,Ввод!$D$12:$D$71,1)),""))</f>
        <v/>
      </c>
      <c r="C3180">
        <f>IF(A3180="","",DATE(YEAR(A3180),12,31)-DATE(YEAR(A3180),1,1)+1)</f>
        <v/>
      </c>
      <c r="D3180">
        <f>IF(A3180="","",SUMIFS(Акты!$D$5:$D$16,Акты!$E$5:$E$16,"&lt;="&amp;A3180)-SUMIFS(Оплаты!$B$6:$B$505,Оплаты!$A$6:$A$505,"&lt;"&amp;A3180,Оплаты!$D$6:$D$505,"&lt;&gt;"))</f>
        <v/>
      </c>
      <c r="E3180">
        <f>IF(A3180="","",IF(SUMPRODUCT((Ввод!$F$12:$F$31&lt;&gt;"")*(Ввод!$F$12:$F$31&lt;=A3180)*(Ввод!$G$12:$G$31&gt;=A3180))&gt;0,1,0))</f>
        <v/>
      </c>
      <c r="G3180">
        <f>IF(A3180="","",IF(OR(B3180&lt;&gt;B3179,C3180&lt;&gt;C3179,E3180&lt;&gt;E3179),G3179+1,G3179))</f>
        <v/>
      </c>
    </row>
    <row r="3181">
      <c r="A3181" s="20">
        <f>IF(A3180="","",IF(A3180+1&gt;Ввод!$B$4,"",A3180+1))</f>
        <v/>
      </c>
      <c r="B3181">
        <f>IF(A3181="","",IFERROR(INDEX(Ввод!$B$12:$B$71,MATCH(A3181,Ввод!$D$12:$D$71,1)),""))</f>
        <v/>
      </c>
      <c r="C3181">
        <f>IF(A3181="","",DATE(YEAR(A3181),12,31)-DATE(YEAR(A3181),1,1)+1)</f>
        <v/>
      </c>
      <c r="D3181">
        <f>IF(A3181="","",SUMIFS(Акты!$D$5:$D$16,Акты!$E$5:$E$16,"&lt;="&amp;A3181)-SUMIFS(Оплаты!$B$6:$B$505,Оплаты!$A$6:$A$505,"&lt;"&amp;A3181,Оплаты!$D$6:$D$505,"&lt;&gt;"))</f>
        <v/>
      </c>
      <c r="E3181">
        <f>IF(A3181="","",IF(SUMPRODUCT((Ввод!$F$12:$F$31&lt;&gt;"")*(Ввод!$F$12:$F$31&lt;=A3181)*(Ввод!$G$12:$G$31&gt;=A3181))&gt;0,1,0))</f>
        <v/>
      </c>
      <c r="G3181">
        <f>IF(A3181="","",IF(OR(B3181&lt;&gt;B3180,C3181&lt;&gt;C3180,E3181&lt;&gt;E3180),G3180+1,G3180))</f>
        <v/>
      </c>
    </row>
    <row r="3182">
      <c r="A3182" s="20">
        <f>IF(A3181="","",IF(A3181+1&gt;Ввод!$B$4,"",A3181+1))</f>
        <v/>
      </c>
      <c r="B3182">
        <f>IF(A3182="","",IFERROR(INDEX(Ввод!$B$12:$B$71,MATCH(A3182,Ввод!$D$12:$D$71,1)),""))</f>
        <v/>
      </c>
      <c r="C3182">
        <f>IF(A3182="","",DATE(YEAR(A3182),12,31)-DATE(YEAR(A3182),1,1)+1)</f>
        <v/>
      </c>
      <c r="D3182">
        <f>IF(A3182="","",SUMIFS(Акты!$D$5:$D$16,Акты!$E$5:$E$16,"&lt;="&amp;A3182)-SUMIFS(Оплаты!$B$6:$B$505,Оплаты!$A$6:$A$505,"&lt;"&amp;A3182,Оплаты!$D$6:$D$505,"&lt;&gt;"))</f>
        <v/>
      </c>
      <c r="E3182">
        <f>IF(A3182="","",IF(SUMPRODUCT((Ввод!$F$12:$F$31&lt;&gt;"")*(Ввод!$F$12:$F$31&lt;=A3182)*(Ввод!$G$12:$G$31&gt;=A3182))&gt;0,1,0))</f>
        <v/>
      </c>
      <c r="G3182">
        <f>IF(A3182="","",IF(OR(B3182&lt;&gt;B3181,C3182&lt;&gt;C3181,E3182&lt;&gt;E3181),G3181+1,G3181))</f>
        <v/>
      </c>
    </row>
    <row r="3183">
      <c r="A3183" s="20">
        <f>IF(A3182="","",IF(A3182+1&gt;Ввод!$B$4,"",A3182+1))</f>
        <v/>
      </c>
      <c r="B3183">
        <f>IF(A3183="","",IFERROR(INDEX(Ввод!$B$12:$B$71,MATCH(A3183,Ввод!$D$12:$D$71,1)),""))</f>
        <v/>
      </c>
      <c r="C3183">
        <f>IF(A3183="","",DATE(YEAR(A3183),12,31)-DATE(YEAR(A3183),1,1)+1)</f>
        <v/>
      </c>
      <c r="D3183">
        <f>IF(A3183="","",SUMIFS(Акты!$D$5:$D$16,Акты!$E$5:$E$16,"&lt;="&amp;A3183)-SUMIFS(Оплаты!$B$6:$B$505,Оплаты!$A$6:$A$505,"&lt;"&amp;A3183,Оплаты!$D$6:$D$505,"&lt;&gt;"))</f>
        <v/>
      </c>
      <c r="E3183">
        <f>IF(A3183="","",IF(SUMPRODUCT((Ввод!$F$12:$F$31&lt;&gt;"")*(Ввод!$F$12:$F$31&lt;=A3183)*(Ввод!$G$12:$G$31&gt;=A3183))&gt;0,1,0))</f>
        <v/>
      </c>
      <c r="G3183">
        <f>IF(A3183="","",IF(OR(B3183&lt;&gt;B3182,C3183&lt;&gt;C3182,E3183&lt;&gt;E3182),G3182+1,G3182))</f>
        <v/>
      </c>
    </row>
    <row r="3184">
      <c r="A3184" s="20">
        <f>IF(A3183="","",IF(A3183+1&gt;Ввод!$B$4,"",A3183+1))</f>
        <v/>
      </c>
      <c r="B3184">
        <f>IF(A3184="","",IFERROR(INDEX(Ввод!$B$12:$B$71,MATCH(A3184,Ввод!$D$12:$D$71,1)),""))</f>
        <v/>
      </c>
      <c r="C3184">
        <f>IF(A3184="","",DATE(YEAR(A3184),12,31)-DATE(YEAR(A3184),1,1)+1)</f>
        <v/>
      </c>
      <c r="D3184">
        <f>IF(A3184="","",SUMIFS(Акты!$D$5:$D$16,Акты!$E$5:$E$16,"&lt;="&amp;A3184)-SUMIFS(Оплаты!$B$6:$B$505,Оплаты!$A$6:$A$505,"&lt;"&amp;A3184,Оплаты!$D$6:$D$505,"&lt;&gt;"))</f>
        <v/>
      </c>
      <c r="E3184">
        <f>IF(A3184="","",IF(SUMPRODUCT((Ввод!$F$12:$F$31&lt;&gt;"")*(Ввод!$F$12:$F$31&lt;=A3184)*(Ввод!$G$12:$G$31&gt;=A3184))&gt;0,1,0))</f>
        <v/>
      </c>
      <c r="G3184">
        <f>IF(A3184="","",IF(OR(B3184&lt;&gt;B3183,C3184&lt;&gt;C3183,E3184&lt;&gt;E3183),G3183+1,G3183))</f>
        <v/>
      </c>
    </row>
    <row r="3185">
      <c r="A3185" s="20">
        <f>IF(A3184="","",IF(A3184+1&gt;Ввод!$B$4,"",A3184+1))</f>
        <v/>
      </c>
      <c r="B3185">
        <f>IF(A3185="","",IFERROR(INDEX(Ввод!$B$12:$B$71,MATCH(A3185,Ввод!$D$12:$D$71,1)),""))</f>
        <v/>
      </c>
      <c r="C3185">
        <f>IF(A3185="","",DATE(YEAR(A3185),12,31)-DATE(YEAR(A3185),1,1)+1)</f>
        <v/>
      </c>
      <c r="D3185">
        <f>IF(A3185="","",SUMIFS(Акты!$D$5:$D$16,Акты!$E$5:$E$16,"&lt;="&amp;A3185)-SUMIFS(Оплаты!$B$6:$B$505,Оплаты!$A$6:$A$505,"&lt;"&amp;A3185,Оплаты!$D$6:$D$505,"&lt;&gt;"))</f>
        <v/>
      </c>
      <c r="E3185">
        <f>IF(A3185="","",IF(SUMPRODUCT((Ввод!$F$12:$F$31&lt;&gt;"")*(Ввод!$F$12:$F$31&lt;=A3185)*(Ввод!$G$12:$G$31&gt;=A3185))&gt;0,1,0))</f>
        <v/>
      </c>
      <c r="G3185">
        <f>IF(A3185="","",IF(OR(B3185&lt;&gt;B3184,C3185&lt;&gt;C3184,E3185&lt;&gt;E3184),G3184+1,G3184))</f>
        <v/>
      </c>
    </row>
    <row r="3186">
      <c r="A3186" s="20">
        <f>IF(A3185="","",IF(A3185+1&gt;Ввод!$B$4,"",A3185+1))</f>
        <v/>
      </c>
      <c r="B3186">
        <f>IF(A3186="","",IFERROR(INDEX(Ввод!$B$12:$B$71,MATCH(A3186,Ввод!$D$12:$D$71,1)),""))</f>
        <v/>
      </c>
      <c r="C3186">
        <f>IF(A3186="","",DATE(YEAR(A3186),12,31)-DATE(YEAR(A3186),1,1)+1)</f>
        <v/>
      </c>
      <c r="D3186">
        <f>IF(A3186="","",SUMIFS(Акты!$D$5:$D$16,Акты!$E$5:$E$16,"&lt;="&amp;A3186)-SUMIFS(Оплаты!$B$6:$B$505,Оплаты!$A$6:$A$505,"&lt;"&amp;A3186,Оплаты!$D$6:$D$505,"&lt;&gt;"))</f>
        <v/>
      </c>
      <c r="E3186">
        <f>IF(A3186="","",IF(SUMPRODUCT((Ввод!$F$12:$F$31&lt;&gt;"")*(Ввод!$F$12:$F$31&lt;=A3186)*(Ввод!$G$12:$G$31&gt;=A3186))&gt;0,1,0))</f>
        <v/>
      </c>
      <c r="G3186">
        <f>IF(A3186="","",IF(OR(B3186&lt;&gt;B3185,C3186&lt;&gt;C3185,E3186&lt;&gt;E3185),G3185+1,G3185))</f>
        <v/>
      </c>
    </row>
    <row r="3187">
      <c r="A3187" s="20">
        <f>IF(A3186="","",IF(A3186+1&gt;Ввод!$B$4,"",A3186+1))</f>
        <v/>
      </c>
      <c r="B3187">
        <f>IF(A3187="","",IFERROR(INDEX(Ввод!$B$12:$B$71,MATCH(A3187,Ввод!$D$12:$D$71,1)),""))</f>
        <v/>
      </c>
      <c r="C3187">
        <f>IF(A3187="","",DATE(YEAR(A3187),12,31)-DATE(YEAR(A3187),1,1)+1)</f>
        <v/>
      </c>
      <c r="D3187">
        <f>IF(A3187="","",SUMIFS(Акты!$D$5:$D$16,Акты!$E$5:$E$16,"&lt;="&amp;A3187)-SUMIFS(Оплаты!$B$6:$B$505,Оплаты!$A$6:$A$505,"&lt;"&amp;A3187,Оплаты!$D$6:$D$505,"&lt;&gt;"))</f>
        <v/>
      </c>
      <c r="E3187">
        <f>IF(A3187="","",IF(SUMPRODUCT((Ввод!$F$12:$F$31&lt;&gt;"")*(Ввод!$F$12:$F$31&lt;=A3187)*(Ввод!$G$12:$G$31&gt;=A3187))&gt;0,1,0))</f>
        <v/>
      </c>
      <c r="G3187">
        <f>IF(A3187="","",IF(OR(B3187&lt;&gt;B3186,C3187&lt;&gt;C3186,E3187&lt;&gt;E3186),G3186+1,G3186))</f>
        <v/>
      </c>
    </row>
    <row r="3188">
      <c r="A3188" s="20">
        <f>IF(A3187="","",IF(A3187+1&gt;Ввод!$B$4,"",A3187+1))</f>
        <v/>
      </c>
      <c r="B3188">
        <f>IF(A3188="","",IFERROR(INDEX(Ввод!$B$12:$B$71,MATCH(A3188,Ввод!$D$12:$D$71,1)),""))</f>
        <v/>
      </c>
      <c r="C3188">
        <f>IF(A3188="","",DATE(YEAR(A3188),12,31)-DATE(YEAR(A3188),1,1)+1)</f>
        <v/>
      </c>
      <c r="D3188">
        <f>IF(A3188="","",SUMIFS(Акты!$D$5:$D$16,Акты!$E$5:$E$16,"&lt;="&amp;A3188)-SUMIFS(Оплаты!$B$6:$B$505,Оплаты!$A$6:$A$505,"&lt;"&amp;A3188,Оплаты!$D$6:$D$505,"&lt;&gt;"))</f>
        <v/>
      </c>
      <c r="E3188">
        <f>IF(A3188="","",IF(SUMPRODUCT((Ввод!$F$12:$F$31&lt;&gt;"")*(Ввод!$F$12:$F$31&lt;=A3188)*(Ввод!$G$12:$G$31&gt;=A3188))&gt;0,1,0))</f>
        <v/>
      </c>
      <c r="G3188">
        <f>IF(A3188="","",IF(OR(B3188&lt;&gt;B3187,C3188&lt;&gt;C3187,E3188&lt;&gt;E3187),G3187+1,G3187))</f>
        <v/>
      </c>
    </row>
    <row r="3189">
      <c r="A3189" s="20">
        <f>IF(A3188="","",IF(A3188+1&gt;Ввод!$B$4,"",A3188+1))</f>
        <v/>
      </c>
      <c r="B3189">
        <f>IF(A3189="","",IFERROR(INDEX(Ввод!$B$12:$B$71,MATCH(A3189,Ввод!$D$12:$D$71,1)),""))</f>
        <v/>
      </c>
      <c r="C3189">
        <f>IF(A3189="","",DATE(YEAR(A3189),12,31)-DATE(YEAR(A3189),1,1)+1)</f>
        <v/>
      </c>
      <c r="D3189">
        <f>IF(A3189="","",SUMIFS(Акты!$D$5:$D$16,Акты!$E$5:$E$16,"&lt;="&amp;A3189)-SUMIFS(Оплаты!$B$6:$B$505,Оплаты!$A$6:$A$505,"&lt;"&amp;A3189,Оплаты!$D$6:$D$505,"&lt;&gt;"))</f>
        <v/>
      </c>
      <c r="E3189">
        <f>IF(A3189="","",IF(SUMPRODUCT((Ввод!$F$12:$F$31&lt;&gt;"")*(Ввод!$F$12:$F$31&lt;=A3189)*(Ввод!$G$12:$G$31&gt;=A3189))&gt;0,1,0))</f>
        <v/>
      </c>
      <c r="G3189">
        <f>IF(A3189="","",IF(OR(B3189&lt;&gt;B3188,C3189&lt;&gt;C3188,E3189&lt;&gt;E3188),G3188+1,G3188))</f>
        <v/>
      </c>
    </row>
    <row r="3190">
      <c r="A3190" s="20">
        <f>IF(A3189="","",IF(A3189+1&gt;Ввод!$B$4,"",A3189+1))</f>
        <v/>
      </c>
      <c r="B3190">
        <f>IF(A3190="","",IFERROR(INDEX(Ввод!$B$12:$B$71,MATCH(A3190,Ввод!$D$12:$D$71,1)),""))</f>
        <v/>
      </c>
      <c r="C3190">
        <f>IF(A3190="","",DATE(YEAR(A3190),12,31)-DATE(YEAR(A3190),1,1)+1)</f>
        <v/>
      </c>
      <c r="D3190">
        <f>IF(A3190="","",SUMIFS(Акты!$D$5:$D$16,Акты!$E$5:$E$16,"&lt;="&amp;A3190)-SUMIFS(Оплаты!$B$6:$B$505,Оплаты!$A$6:$A$505,"&lt;"&amp;A3190,Оплаты!$D$6:$D$505,"&lt;&gt;"))</f>
        <v/>
      </c>
      <c r="E3190">
        <f>IF(A3190="","",IF(SUMPRODUCT((Ввод!$F$12:$F$31&lt;&gt;"")*(Ввод!$F$12:$F$31&lt;=A3190)*(Ввод!$G$12:$G$31&gt;=A3190))&gt;0,1,0))</f>
        <v/>
      </c>
      <c r="G3190">
        <f>IF(A3190="","",IF(OR(B3190&lt;&gt;B3189,C3190&lt;&gt;C3189,E3190&lt;&gt;E3189),G3189+1,G3189))</f>
        <v/>
      </c>
    </row>
    <row r="3191">
      <c r="A3191" s="20">
        <f>IF(A3190="","",IF(A3190+1&gt;Ввод!$B$4,"",A3190+1))</f>
        <v/>
      </c>
      <c r="B3191">
        <f>IF(A3191="","",IFERROR(INDEX(Ввод!$B$12:$B$71,MATCH(A3191,Ввод!$D$12:$D$71,1)),""))</f>
        <v/>
      </c>
      <c r="C3191">
        <f>IF(A3191="","",DATE(YEAR(A3191),12,31)-DATE(YEAR(A3191),1,1)+1)</f>
        <v/>
      </c>
      <c r="D3191">
        <f>IF(A3191="","",SUMIFS(Акты!$D$5:$D$16,Акты!$E$5:$E$16,"&lt;="&amp;A3191)-SUMIFS(Оплаты!$B$6:$B$505,Оплаты!$A$6:$A$505,"&lt;"&amp;A3191,Оплаты!$D$6:$D$505,"&lt;&gt;"))</f>
        <v/>
      </c>
      <c r="E3191">
        <f>IF(A3191="","",IF(SUMPRODUCT((Ввод!$F$12:$F$31&lt;&gt;"")*(Ввод!$F$12:$F$31&lt;=A3191)*(Ввод!$G$12:$G$31&gt;=A3191))&gt;0,1,0))</f>
        <v/>
      </c>
      <c r="G3191">
        <f>IF(A3191="","",IF(OR(B3191&lt;&gt;B3190,C3191&lt;&gt;C3190,E3191&lt;&gt;E3190),G3190+1,G3190))</f>
        <v/>
      </c>
    </row>
    <row r="3192">
      <c r="A3192" s="20">
        <f>IF(A3191="","",IF(A3191+1&gt;Ввод!$B$4,"",A3191+1))</f>
        <v/>
      </c>
      <c r="B3192">
        <f>IF(A3192="","",IFERROR(INDEX(Ввод!$B$12:$B$71,MATCH(A3192,Ввод!$D$12:$D$71,1)),""))</f>
        <v/>
      </c>
      <c r="C3192">
        <f>IF(A3192="","",DATE(YEAR(A3192),12,31)-DATE(YEAR(A3192),1,1)+1)</f>
        <v/>
      </c>
      <c r="D3192">
        <f>IF(A3192="","",SUMIFS(Акты!$D$5:$D$16,Акты!$E$5:$E$16,"&lt;="&amp;A3192)-SUMIFS(Оплаты!$B$6:$B$505,Оплаты!$A$6:$A$505,"&lt;"&amp;A3192,Оплаты!$D$6:$D$505,"&lt;&gt;"))</f>
        <v/>
      </c>
      <c r="E3192">
        <f>IF(A3192="","",IF(SUMPRODUCT((Ввод!$F$12:$F$31&lt;&gt;"")*(Ввод!$F$12:$F$31&lt;=A3192)*(Ввод!$G$12:$G$31&gt;=A3192))&gt;0,1,0))</f>
        <v/>
      </c>
      <c r="G3192">
        <f>IF(A3192="","",IF(OR(B3192&lt;&gt;B3191,C3192&lt;&gt;C3191,E3192&lt;&gt;E3191),G3191+1,G3191))</f>
        <v/>
      </c>
    </row>
    <row r="3193">
      <c r="A3193" s="20">
        <f>IF(A3192="","",IF(A3192+1&gt;Ввод!$B$4,"",A3192+1))</f>
        <v/>
      </c>
      <c r="B3193">
        <f>IF(A3193="","",IFERROR(INDEX(Ввод!$B$12:$B$71,MATCH(A3193,Ввод!$D$12:$D$71,1)),""))</f>
        <v/>
      </c>
      <c r="C3193">
        <f>IF(A3193="","",DATE(YEAR(A3193),12,31)-DATE(YEAR(A3193),1,1)+1)</f>
        <v/>
      </c>
      <c r="D3193">
        <f>IF(A3193="","",SUMIFS(Акты!$D$5:$D$16,Акты!$E$5:$E$16,"&lt;="&amp;A3193)-SUMIFS(Оплаты!$B$6:$B$505,Оплаты!$A$6:$A$505,"&lt;"&amp;A3193,Оплаты!$D$6:$D$505,"&lt;&gt;"))</f>
        <v/>
      </c>
      <c r="E3193">
        <f>IF(A3193="","",IF(SUMPRODUCT((Ввод!$F$12:$F$31&lt;&gt;"")*(Ввод!$F$12:$F$31&lt;=A3193)*(Ввод!$G$12:$G$31&gt;=A3193))&gt;0,1,0))</f>
        <v/>
      </c>
      <c r="G3193">
        <f>IF(A3193="","",IF(OR(B3193&lt;&gt;B3192,C3193&lt;&gt;C3192,E3193&lt;&gt;E3192),G3192+1,G3192))</f>
        <v/>
      </c>
    </row>
    <row r="3194">
      <c r="A3194" s="20">
        <f>IF(A3193="","",IF(A3193+1&gt;Ввод!$B$4,"",A3193+1))</f>
        <v/>
      </c>
      <c r="B3194">
        <f>IF(A3194="","",IFERROR(INDEX(Ввод!$B$12:$B$71,MATCH(A3194,Ввод!$D$12:$D$71,1)),""))</f>
        <v/>
      </c>
      <c r="C3194">
        <f>IF(A3194="","",DATE(YEAR(A3194),12,31)-DATE(YEAR(A3194),1,1)+1)</f>
        <v/>
      </c>
      <c r="D3194">
        <f>IF(A3194="","",SUMIFS(Акты!$D$5:$D$16,Акты!$E$5:$E$16,"&lt;="&amp;A3194)-SUMIFS(Оплаты!$B$6:$B$505,Оплаты!$A$6:$A$505,"&lt;"&amp;A3194,Оплаты!$D$6:$D$505,"&lt;&gt;"))</f>
        <v/>
      </c>
      <c r="E3194">
        <f>IF(A3194="","",IF(SUMPRODUCT((Ввод!$F$12:$F$31&lt;&gt;"")*(Ввод!$F$12:$F$31&lt;=A3194)*(Ввод!$G$12:$G$31&gt;=A3194))&gt;0,1,0))</f>
        <v/>
      </c>
      <c r="G3194">
        <f>IF(A3194="","",IF(OR(B3194&lt;&gt;B3193,C3194&lt;&gt;C3193,E3194&lt;&gt;E3193),G3193+1,G3193))</f>
        <v/>
      </c>
    </row>
    <row r="3195">
      <c r="A3195" s="20">
        <f>IF(A3194="","",IF(A3194+1&gt;Ввод!$B$4,"",A3194+1))</f>
        <v/>
      </c>
      <c r="B3195">
        <f>IF(A3195="","",IFERROR(INDEX(Ввод!$B$12:$B$71,MATCH(A3195,Ввод!$D$12:$D$71,1)),""))</f>
        <v/>
      </c>
      <c r="C3195">
        <f>IF(A3195="","",DATE(YEAR(A3195),12,31)-DATE(YEAR(A3195),1,1)+1)</f>
        <v/>
      </c>
      <c r="D3195">
        <f>IF(A3195="","",SUMIFS(Акты!$D$5:$D$16,Акты!$E$5:$E$16,"&lt;="&amp;A3195)-SUMIFS(Оплаты!$B$6:$B$505,Оплаты!$A$6:$A$505,"&lt;"&amp;A3195,Оплаты!$D$6:$D$505,"&lt;&gt;"))</f>
        <v/>
      </c>
      <c r="E3195">
        <f>IF(A3195="","",IF(SUMPRODUCT((Ввод!$F$12:$F$31&lt;&gt;"")*(Ввод!$F$12:$F$31&lt;=A3195)*(Ввод!$G$12:$G$31&gt;=A3195))&gt;0,1,0))</f>
        <v/>
      </c>
      <c r="G3195">
        <f>IF(A3195="","",IF(OR(B3195&lt;&gt;B3194,C3195&lt;&gt;C3194,E3195&lt;&gt;E3194),G3194+1,G3194))</f>
        <v/>
      </c>
    </row>
    <row r="3196">
      <c r="A3196" s="20">
        <f>IF(A3195="","",IF(A3195+1&gt;Ввод!$B$4,"",A3195+1))</f>
        <v/>
      </c>
      <c r="B3196">
        <f>IF(A3196="","",IFERROR(INDEX(Ввод!$B$12:$B$71,MATCH(A3196,Ввод!$D$12:$D$71,1)),""))</f>
        <v/>
      </c>
      <c r="C3196">
        <f>IF(A3196="","",DATE(YEAR(A3196),12,31)-DATE(YEAR(A3196),1,1)+1)</f>
        <v/>
      </c>
      <c r="D3196">
        <f>IF(A3196="","",SUMIFS(Акты!$D$5:$D$16,Акты!$E$5:$E$16,"&lt;="&amp;A3196)-SUMIFS(Оплаты!$B$6:$B$505,Оплаты!$A$6:$A$505,"&lt;"&amp;A3196,Оплаты!$D$6:$D$505,"&lt;&gt;"))</f>
        <v/>
      </c>
      <c r="E3196">
        <f>IF(A3196="","",IF(SUMPRODUCT((Ввод!$F$12:$F$31&lt;&gt;"")*(Ввод!$F$12:$F$31&lt;=A3196)*(Ввод!$G$12:$G$31&gt;=A3196))&gt;0,1,0))</f>
        <v/>
      </c>
      <c r="G3196">
        <f>IF(A3196="","",IF(OR(B3196&lt;&gt;B3195,C3196&lt;&gt;C3195,E3196&lt;&gt;E3195),G3195+1,G3195))</f>
        <v/>
      </c>
    </row>
    <row r="3197">
      <c r="A3197" s="20">
        <f>IF(A3196="","",IF(A3196+1&gt;Ввод!$B$4,"",A3196+1))</f>
        <v/>
      </c>
      <c r="B3197">
        <f>IF(A3197="","",IFERROR(INDEX(Ввод!$B$12:$B$71,MATCH(A3197,Ввод!$D$12:$D$71,1)),""))</f>
        <v/>
      </c>
      <c r="C3197">
        <f>IF(A3197="","",DATE(YEAR(A3197),12,31)-DATE(YEAR(A3197),1,1)+1)</f>
        <v/>
      </c>
      <c r="D3197">
        <f>IF(A3197="","",SUMIFS(Акты!$D$5:$D$16,Акты!$E$5:$E$16,"&lt;="&amp;A3197)-SUMIFS(Оплаты!$B$6:$B$505,Оплаты!$A$6:$A$505,"&lt;"&amp;A3197,Оплаты!$D$6:$D$505,"&lt;&gt;"))</f>
        <v/>
      </c>
      <c r="E3197">
        <f>IF(A3197="","",IF(SUMPRODUCT((Ввод!$F$12:$F$31&lt;&gt;"")*(Ввод!$F$12:$F$31&lt;=A3197)*(Ввод!$G$12:$G$31&gt;=A3197))&gt;0,1,0))</f>
        <v/>
      </c>
      <c r="G3197">
        <f>IF(A3197="","",IF(OR(B3197&lt;&gt;B3196,C3197&lt;&gt;C3196,E3197&lt;&gt;E3196),G3196+1,G3196))</f>
        <v/>
      </c>
    </row>
    <row r="3198">
      <c r="A3198" s="20">
        <f>IF(A3197="","",IF(A3197+1&gt;Ввод!$B$4,"",A3197+1))</f>
        <v/>
      </c>
      <c r="B3198">
        <f>IF(A3198="","",IFERROR(INDEX(Ввод!$B$12:$B$71,MATCH(A3198,Ввод!$D$12:$D$71,1)),""))</f>
        <v/>
      </c>
      <c r="C3198">
        <f>IF(A3198="","",DATE(YEAR(A3198),12,31)-DATE(YEAR(A3198),1,1)+1)</f>
        <v/>
      </c>
      <c r="D3198">
        <f>IF(A3198="","",SUMIFS(Акты!$D$5:$D$16,Акты!$E$5:$E$16,"&lt;="&amp;A3198)-SUMIFS(Оплаты!$B$6:$B$505,Оплаты!$A$6:$A$505,"&lt;"&amp;A3198,Оплаты!$D$6:$D$505,"&lt;&gt;"))</f>
        <v/>
      </c>
      <c r="E3198">
        <f>IF(A3198="","",IF(SUMPRODUCT((Ввод!$F$12:$F$31&lt;&gt;"")*(Ввод!$F$12:$F$31&lt;=A3198)*(Ввод!$G$12:$G$31&gt;=A3198))&gt;0,1,0))</f>
        <v/>
      </c>
      <c r="G3198">
        <f>IF(A3198="","",IF(OR(B3198&lt;&gt;B3197,C3198&lt;&gt;C3197,E3198&lt;&gt;E3197),G3197+1,G3197))</f>
        <v/>
      </c>
    </row>
    <row r="3199">
      <c r="A3199" s="20">
        <f>IF(A3198="","",IF(A3198+1&gt;Ввод!$B$4,"",A3198+1))</f>
        <v/>
      </c>
      <c r="B3199">
        <f>IF(A3199="","",IFERROR(INDEX(Ввод!$B$12:$B$71,MATCH(A3199,Ввод!$D$12:$D$71,1)),""))</f>
        <v/>
      </c>
      <c r="C3199">
        <f>IF(A3199="","",DATE(YEAR(A3199),12,31)-DATE(YEAR(A3199),1,1)+1)</f>
        <v/>
      </c>
      <c r="D3199">
        <f>IF(A3199="","",SUMIFS(Акты!$D$5:$D$16,Акты!$E$5:$E$16,"&lt;="&amp;A3199)-SUMIFS(Оплаты!$B$6:$B$505,Оплаты!$A$6:$A$505,"&lt;"&amp;A3199,Оплаты!$D$6:$D$505,"&lt;&gt;"))</f>
        <v/>
      </c>
      <c r="E3199">
        <f>IF(A3199="","",IF(SUMPRODUCT((Ввод!$F$12:$F$31&lt;&gt;"")*(Ввод!$F$12:$F$31&lt;=A3199)*(Ввод!$G$12:$G$31&gt;=A3199))&gt;0,1,0))</f>
        <v/>
      </c>
      <c r="G3199">
        <f>IF(A3199="","",IF(OR(B3199&lt;&gt;B3198,C3199&lt;&gt;C3198,E3199&lt;&gt;E3198),G3198+1,G3198))</f>
        <v/>
      </c>
    </row>
    <row r="3200">
      <c r="A3200" s="20">
        <f>IF(A3199="","",IF(A3199+1&gt;Ввод!$B$4,"",A3199+1))</f>
        <v/>
      </c>
      <c r="B3200">
        <f>IF(A3200="","",IFERROR(INDEX(Ввод!$B$12:$B$71,MATCH(A3200,Ввод!$D$12:$D$71,1)),""))</f>
        <v/>
      </c>
      <c r="C3200">
        <f>IF(A3200="","",DATE(YEAR(A3200),12,31)-DATE(YEAR(A3200),1,1)+1)</f>
        <v/>
      </c>
      <c r="D3200">
        <f>IF(A3200="","",SUMIFS(Акты!$D$5:$D$16,Акты!$E$5:$E$16,"&lt;="&amp;A3200)-SUMIFS(Оплаты!$B$6:$B$505,Оплаты!$A$6:$A$505,"&lt;"&amp;A3200,Оплаты!$D$6:$D$505,"&lt;&gt;"))</f>
        <v/>
      </c>
      <c r="E3200">
        <f>IF(A3200="","",IF(SUMPRODUCT((Ввод!$F$12:$F$31&lt;&gt;"")*(Ввод!$F$12:$F$31&lt;=A3200)*(Ввод!$G$12:$G$31&gt;=A3200))&gt;0,1,0))</f>
        <v/>
      </c>
      <c r="G3200">
        <f>IF(A3200="","",IF(OR(B3200&lt;&gt;B3199,C3200&lt;&gt;C3199,E3200&lt;&gt;E3199),G3199+1,G3199))</f>
        <v/>
      </c>
    </row>
    <row r="3201">
      <c r="A3201" s="20">
        <f>IF(A3200="","",IF(A3200+1&gt;Ввод!$B$4,"",A3200+1))</f>
        <v/>
      </c>
      <c r="B3201">
        <f>IF(A3201="","",IFERROR(INDEX(Ввод!$B$12:$B$71,MATCH(A3201,Ввод!$D$12:$D$71,1)),""))</f>
        <v/>
      </c>
      <c r="C3201">
        <f>IF(A3201="","",DATE(YEAR(A3201),12,31)-DATE(YEAR(A3201),1,1)+1)</f>
        <v/>
      </c>
      <c r="D3201">
        <f>IF(A3201="","",SUMIFS(Акты!$D$5:$D$16,Акты!$E$5:$E$16,"&lt;="&amp;A3201)-SUMIFS(Оплаты!$B$6:$B$505,Оплаты!$A$6:$A$505,"&lt;"&amp;A3201,Оплаты!$D$6:$D$505,"&lt;&gt;"))</f>
        <v/>
      </c>
      <c r="E3201">
        <f>IF(A3201="","",IF(SUMPRODUCT((Ввод!$F$12:$F$31&lt;&gt;"")*(Ввод!$F$12:$F$31&lt;=A3201)*(Ввод!$G$12:$G$31&gt;=A3201))&gt;0,1,0))</f>
        <v/>
      </c>
      <c r="G3201">
        <f>IF(A3201="","",IF(OR(B3201&lt;&gt;B3200,C3201&lt;&gt;C3200,E3201&lt;&gt;E3200),G3200+1,G3200))</f>
        <v/>
      </c>
    </row>
    <row r="3202">
      <c r="A3202" s="20">
        <f>IF(A3201="","",IF(A3201+1&gt;Ввод!$B$4,"",A3201+1))</f>
        <v/>
      </c>
      <c r="B3202">
        <f>IF(A3202="","",IFERROR(INDEX(Ввод!$B$12:$B$71,MATCH(A3202,Ввод!$D$12:$D$71,1)),""))</f>
        <v/>
      </c>
      <c r="C3202">
        <f>IF(A3202="","",DATE(YEAR(A3202),12,31)-DATE(YEAR(A3202),1,1)+1)</f>
        <v/>
      </c>
      <c r="D3202">
        <f>IF(A3202="","",SUMIFS(Акты!$D$5:$D$16,Акты!$E$5:$E$16,"&lt;="&amp;A3202)-SUMIFS(Оплаты!$B$6:$B$505,Оплаты!$A$6:$A$505,"&lt;"&amp;A3202,Оплаты!$D$6:$D$505,"&lt;&gt;"))</f>
        <v/>
      </c>
      <c r="E3202">
        <f>IF(A3202="","",IF(SUMPRODUCT((Ввод!$F$12:$F$31&lt;&gt;"")*(Ввод!$F$12:$F$31&lt;=A3202)*(Ввод!$G$12:$G$31&gt;=A3202))&gt;0,1,0))</f>
        <v/>
      </c>
      <c r="G3202">
        <f>IF(A3202="","",IF(OR(B3202&lt;&gt;B3201,C3202&lt;&gt;C3201,E3202&lt;&gt;E3201),G3201+1,G3201))</f>
        <v/>
      </c>
    </row>
    <row r="3203">
      <c r="A3203" s="20">
        <f>IF(A3202="","",IF(A3202+1&gt;Ввод!$B$4,"",A3202+1))</f>
        <v/>
      </c>
      <c r="B3203">
        <f>IF(A3203="","",IFERROR(INDEX(Ввод!$B$12:$B$71,MATCH(A3203,Ввод!$D$12:$D$71,1)),""))</f>
        <v/>
      </c>
      <c r="C3203">
        <f>IF(A3203="","",DATE(YEAR(A3203),12,31)-DATE(YEAR(A3203),1,1)+1)</f>
        <v/>
      </c>
      <c r="D3203">
        <f>IF(A3203="","",SUMIFS(Акты!$D$5:$D$16,Акты!$E$5:$E$16,"&lt;="&amp;A3203)-SUMIFS(Оплаты!$B$6:$B$505,Оплаты!$A$6:$A$505,"&lt;"&amp;A3203,Оплаты!$D$6:$D$505,"&lt;&gt;"))</f>
        <v/>
      </c>
      <c r="E3203">
        <f>IF(A3203="","",IF(SUMPRODUCT((Ввод!$F$12:$F$31&lt;&gt;"")*(Ввод!$F$12:$F$31&lt;=A3203)*(Ввод!$G$12:$G$31&gt;=A3203))&gt;0,1,0))</f>
        <v/>
      </c>
      <c r="G3203">
        <f>IF(A3203="","",IF(OR(B3203&lt;&gt;B3202,C3203&lt;&gt;C3202,E3203&lt;&gt;E3202),G3202+1,G3202))</f>
        <v/>
      </c>
    </row>
    <row r="3204">
      <c r="A3204" s="20">
        <f>IF(A3203="","",IF(A3203+1&gt;Ввод!$B$4,"",A3203+1))</f>
        <v/>
      </c>
      <c r="B3204">
        <f>IF(A3204="","",IFERROR(INDEX(Ввод!$B$12:$B$71,MATCH(A3204,Ввод!$D$12:$D$71,1)),""))</f>
        <v/>
      </c>
      <c r="C3204">
        <f>IF(A3204="","",DATE(YEAR(A3204),12,31)-DATE(YEAR(A3204),1,1)+1)</f>
        <v/>
      </c>
      <c r="D3204">
        <f>IF(A3204="","",SUMIFS(Акты!$D$5:$D$16,Акты!$E$5:$E$16,"&lt;="&amp;A3204)-SUMIFS(Оплаты!$B$6:$B$505,Оплаты!$A$6:$A$505,"&lt;"&amp;A3204,Оплаты!$D$6:$D$505,"&lt;&gt;"))</f>
        <v/>
      </c>
      <c r="E3204">
        <f>IF(A3204="","",IF(SUMPRODUCT((Ввод!$F$12:$F$31&lt;&gt;"")*(Ввод!$F$12:$F$31&lt;=A3204)*(Ввод!$G$12:$G$31&gt;=A3204))&gt;0,1,0))</f>
        <v/>
      </c>
      <c r="G3204">
        <f>IF(A3204="","",IF(OR(B3204&lt;&gt;B3203,C3204&lt;&gt;C3203,E3204&lt;&gt;E3203),G3203+1,G3203))</f>
        <v/>
      </c>
    </row>
    <row r="3205">
      <c r="A3205" s="20">
        <f>IF(A3204="","",IF(A3204+1&gt;Ввод!$B$4,"",A3204+1))</f>
        <v/>
      </c>
      <c r="B3205">
        <f>IF(A3205="","",IFERROR(INDEX(Ввод!$B$12:$B$71,MATCH(A3205,Ввод!$D$12:$D$71,1)),""))</f>
        <v/>
      </c>
      <c r="C3205">
        <f>IF(A3205="","",DATE(YEAR(A3205),12,31)-DATE(YEAR(A3205),1,1)+1)</f>
        <v/>
      </c>
      <c r="D3205">
        <f>IF(A3205="","",SUMIFS(Акты!$D$5:$D$16,Акты!$E$5:$E$16,"&lt;="&amp;A3205)-SUMIFS(Оплаты!$B$6:$B$505,Оплаты!$A$6:$A$505,"&lt;"&amp;A3205,Оплаты!$D$6:$D$505,"&lt;&gt;"))</f>
        <v/>
      </c>
      <c r="E3205">
        <f>IF(A3205="","",IF(SUMPRODUCT((Ввод!$F$12:$F$31&lt;&gt;"")*(Ввод!$F$12:$F$31&lt;=A3205)*(Ввод!$G$12:$G$31&gt;=A3205))&gt;0,1,0))</f>
        <v/>
      </c>
      <c r="G3205">
        <f>IF(A3205="","",IF(OR(B3205&lt;&gt;B3204,C3205&lt;&gt;C3204,E3205&lt;&gt;E3204),G3204+1,G3204))</f>
        <v/>
      </c>
    </row>
    <row r="3206">
      <c r="A3206" s="20">
        <f>IF(A3205="","",IF(A3205+1&gt;Ввод!$B$4,"",A3205+1))</f>
        <v/>
      </c>
      <c r="B3206">
        <f>IF(A3206="","",IFERROR(INDEX(Ввод!$B$12:$B$71,MATCH(A3206,Ввод!$D$12:$D$71,1)),""))</f>
        <v/>
      </c>
      <c r="C3206">
        <f>IF(A3206="","",DATE(YEAR(A3206),12,31)-DATE(YEAR(A3206),1,1)+1)</f>
        <v/>
      </c>
      <c r="D3206">
        <f>IF(A3206="","",SUMIFS(Акты!$D$5:$D$16,Акты!$E$5:$E$16,"&lt;="&amp;A3206)-SUMIFS(Оплаты!$B$6:$B$505,Оплаты!$A$6:$A$505,"&lt;"&amp;A3206,Оплаты!$D$6:$D$505,"&lt;&gt;"))</f>
        <v/>
      </c>
      <c r="E3206">
        <f>IF(A3206="","",IF(SUMPRODUCT((Ввод!$F$12:$F$31&lt;&gt;"")*(Ввод!$F$12:$F$31&lt;=A3206)*(Ввод!$G$12:$G$31&gt;=A3206))&gt;0,1,0))</f>
        <v/>
      </c>
      <c r="G3206">
        <f>IF(A3206="","",IF(OR(B3206&lt;&gt;B3205,C3206&lt;&gt;C3205,E3206&lt;&gt;E3205),G3205+1,G3205))</f>
        <v/>
      </c>
    </row>
    <row r="3207">
      <c r="A3207" s="20">
        <f>IF(A3206="","",IF(A3206+1&gt;Ввод!$B$4,"",A3206+1))</f>
        <v/>
      </c>
      <c r="B3207">
        <f>IF(A3207="","",IFERROR(INDEX(Ввод!$B$12:$B$71,MATCH(A3207,Ввод!$D$12:$D$71,1)),""))</f>
        <v/>
      </c>
      <c r="C3207">
        <f>IF(A3207="","",DATE(YEAR(A3207),12,31)-DATE(YEAR(A3207),1,1)+1)</f>
        <v/>
      </c>
      <c r="D3207">
        <f>IF(A3207="","",SUMIFS(Акты!$D$5:$D$16,Акты!$E$5:$E$16,"&lt;="&amp;A3207)-SUMIFS(Оплаты!$B$6:$B$505,Оплаты!$A$6:$A$505,"&lt;"&amp;A3207,Оплаты!$D$6:$D$505,"&lt;&gt;"))</f>
        <v/>
      </c>
      <c r="E3207">
        <f>IF(A3207="","",IF(SUMPRODUCT((Ввод!$F$12:$F$31&lt;&gt;"")*(Ввод!$F$12:$F$31&lt;=A3207)*(Ввод!$G$12:$G$31&gt;=A3207))&gt;0,1,0))</f>
        <v/>
      </c>
      <c r="G3207">
        <f>IF(A3207="","",IF(OR(B3207&lt;&gt;B3206,C3207&lt;&gt;C3206,E3207&lt;&gt;E3206),G3206+1,G3206))</f>
        <v/>
      </c>
    </row>
    <row r="3208">
      <c r="A3208" s="20">
        <f>IF(A3207="","",IF(A3207+1&gt;Ввод!$B$4,"",A3207+1))</f>
        <v/>
      </c>
      <c r="B3208">
        <f>IF(A3208="","",IFERROR(INDEX(Ввод!$B$12:$B$71,MATCH(A3208,Ввод!$D$12:$D$71,1)),""))</f>
        <v/>
      </c>
      <c r="C3208">
        <f>IF(A3208="","",DATE(YEAR(A3208),12,31)-DATE(YEAR(A3208),1,1)+1)</f>
        <v/>
      </c>
      <c r="D3208">
        <f>IF(A3208="","",SUMIFS(Акты!$D$5:$D$16,Акты!$E$5:$E$16,"&lt;="&amp;A3208)-SUMIFS(Оплаты!$B$6:$B$505,Оплаты!$A$6:$A$505,"&lt;"&amp;A3208,Оплаты!$D$6:$D$505,"&lt;&gt;"))</f>
        <v/>
      </c>
      <c r="E3208">
        <f>IF(A3208="","",IF(SUMPRODUCT((Ввод!$F$12:$F$31&lt;&gt;"")*(Ввод!$F$12:$F$31&lt;=A3208)*(Ввод!$G$12:$G$31&gt;=A3208))&gt;0,1,0))</f>
        <v/>
      </c>
      <c r="G3208">
        <f>IF(A3208="","",IF(OR(B3208&lt;&gt;B3207,C3208&lt;&gt;C3207,E3208&lt;&gt;E3207),G3207+1,G3207))</f>
        <v/>
      </c>
    </row>
    <row r="3209">
      <c r="A3209" s="20">
        <f>IF(A3208="","",IF(A3208+1&gt;Ввод!$B$4,"",A3208+1))</f>
        <v/>
      </c>
      <c r="B3209">
        <f>IF(A3209="","",IFERROR(INDEX(Ввод!$B$12:$B$71,MATCH(A3209,Ввод!$D$12:$D$71,1)),""))</f>
        <v/>
      </c>
      <c r="C3209">
        <f>IF(A3209="","",DATE(YEAR(A3209),12,31)-DATE(YEAR(A3209),1,1)+1)</f>
        <v/>
      </c>
      <c r="D3209">
        <f>IF(A3209="","",SUMIFS(Акты!$D$5:$D$16,Акты!$E$5:$E$16,"&lt;="&amp;A3209)-SUMIFS(Оплаты!$B$6:$B$505,Оплаты!$A$6:$A$505,"&lt;"&amp;A3209,Оплаты!$D$6:$D$505,"&lt;&gt;"))</f>
        <v/>
      </c>
      <c r="E3209">
        <f>IF(A3209="","",IF(SUMPRODUCT((Ввод!$F$12:$F$31&lt;&gt;"")*(Ввод!$F$12:$F$31&lt;=A3209)*(Ввод!$G$12:$G$31&gt;=A3209))&gt;0,1,0))</f>
        <v/>
      </c>
      <c r="G3209">
        <f>IF(A3209="","",IF(OR(B3209&lt;&gt;B3208,C3209&lt;&gt;C3208,E3209&lt;&gt;E3208),G3208+1,G3208))</f>
        <v/>
      </c>
    </row>
    <row r="3210">
      <c r="A3210" s="20">
        <f>IF(A3209="","",IF(A3209+1&gt;Ввод!$B$4,"",A3209+1))</f>
        <v/>
      </c>
      <c r="B3210">
        <f>IF(A3210="","",IFERROR(INDEX(Ввод!$B$12:$B$71,MATCH(A3210,Ввод!$D$12:$D$71,1)),""))</f>
        <v/>
      </c>
      <c r="C3210">
        <f>IF(A3210="","",DATE(YEAR(A3210),12,31)-DATE(YEAR(A3210),1,1)+1)</f>
        <v/>
      </c>
      <c r="D3210">
        <f>IF(A3210="","",SUMIFS(Акты!$D$5:$D$16,Акты!$E$5:$E$16,"&lt;="&amp;A3210)-SUMIFS(Оплаты!$B$6:$B$505,Оплаты!$A$6:$A$505,"&lt;"&amp;A3210,Оплаты!$D$6:$D$505,"&lt;&gt;"))</f>
        <v/>
      </c>
      <c r="E3210">
        <f>IF(A3210="","",IF(SUMPRODUCT((Ввод!$F$12:$F$31&lt;&gt;"")*(Ввод!$F$12:$F$31&lt;=A3210)*(Ввод!$G$12:$G$31&gt;=A3210))&gt;0,1,0))</f>
        <v/>
      </c>
      <c r="G3210">
        <f>IF(A3210="","",IF(OR(B3210&lt;&gt;B3209,C3210&lt;&gt;C3209,E3210&lt;&gt;E3209),G3209+1,G3209))</f>
        <v/>
      </c>
    </row>
    <row r="3211">
      <c r="A3211" s="20">
        <f>IF(A3210="","",IF(A3210+1&gt;Ввод!$B$4,"",A3210+1))</f>
        <v/>
      </c>
      <c r="B3211">
        <f>IF(A3211="","",IFERROR(INDEX(Ввод!$B$12:$B$71,MATCH(A3211,Ввод!$D$12:$D$71,1)),""))</f>
        <v/>
      </c>
      <c r="C3211">
        <f>IF(A3211="","",DATE(YEAR(A3211),12,31)-DATE(YEAR(A3211),1,1)+1)</f>
        <v/>
      </c>
      <c r="D3211">
        <f>IF(A3211="","",SUMIFS(Акты!$D$5:$D$16,Акты!$E$5:$E$16,"&lt;="&amp;A3211)-SUMIFS(Оплаты!$B$6:$B$505,Оплаты!$A$6:$A$505,"&lt;"&amp;A3211,Оплаты!$D$6:$D$505,"&lt;&gt;"))</f>
        <v/>
      </c>
      <c r="E3211">
        <f>IF(A3211="","",IF(SUMPRODUCT((Ввод!$F$12:$F$31&lt;&gt;"")*(Ввод!$F$12:$F$31&lt;=A3211)*(Ввод!$G$12:$G$31&gt;=A3211))&gt;0,1,0))</f>
        <v/>
      </c>
      <c r="G3211">
        <f>IF(A3211="","",IF(OR(B3211&lt;&gt;B3210,C3211&lt;&gt;C3210,E3211&lt;&gt;E3210),G3210+1,G3210))</f>
        <v/>
      </c>
    </row>
    <row r="3212">
      <c r="A3212" s="20">
        <f>IF(A3211="","",IF(A3211+1&gt;Ввод!$B$4,"",A3211+1))</f>
        <v/>
      </c>
      <c r="B3212">
        <f>IF(A3212="","",IFERROR(INDEX(Ввод!$B$12:$B$71,MATCH(A3212,Ввод!$D$12:$D$71,1)),""))</f>
        <v/>
      </c>
      <c r="C3212">
        <f>IF(A3212="","",DATE(YEAR(A3212),12,31)-DATE(YEAR(A3212),1,1)+1)</f>
        <v/>
      </c>
      <c r="D3212">
        <f>IF(A3212="","",SUMIFS(Акты!$D$5:$D$16,Акты!$E$5:$E$16,"&lt;="&amp;A3212)-SUMIFS(Оплаты!$B$6:$B$505,Оплаты!$A$6:$A$505,"&lt;"&amp;A3212,Оплаты!$D$6:$D$505,"&lt;&gt;"))</f>
        <v/>
      </c>
      <c r="E3212">
        <f>IF(A3212="","",IF(SUMPRODUCT((Ввод!$F$12:$F$31&lt;&gt;"")*(Ввод!$F$12:$F$31&lt;=A3212)*(Ввод!$G$12:$G$31&gt;=A3212))&gt;0,1,0))</f>
        <v/>
      </c>
      <c r="G3212">
        <f>IF(A3212="","",IF(OR(B3212&lt;&gt;B3211,C3212&lt;&gt;C3211,E3212&lt;&gt;E3211),G3211+1,G3211))</f>
        <v/>
      </c>
    </row>
    <row r="3213">
      <c r="A3213" s="20">
        <f>IF(A3212="","",IF(A3212+1&gt;Ввод!$B$4,"",A3212+1))</f>
        <v/>
      </c>
      <c r="B3213">
        <f>IF(A3213="","",IFERROR(INDEX(Ввод!$B$12:$B$71,MATCH(A3213,Ввод!$D$12:$D$71,1)),""))</f>
        <v/>
      </c>
      <c r="C3213">
        <f>IF(A3213="","",DATE(YEAR(A3213),12,31)-DATE(YEAR(A3213),1,1)+1)</f>
        <v/>
      </c>
      <c r="D3213">
        <f>IF(A3213="","",SUMIFS(Акты!$D$5:$D$16,Акты!$E$5:$E$16,"&lt;="&amp;A3213)-SUMIFS(Оплаты!$B$6:$B$505,Оплаты!$A$6:$A$505,"&lt;"&amp;A3213,Оплаты!$D$6:$D$505,"&lt;&gt;"))</f>
        <v/>
      </c>
      <c r="E3213">
        <f>IF(A3213="","",IF(SUMPRODUCT((Ввод!$F$12:$F$31&lt;&gt;"")*(Ввод!$F$12:$F$31&lt;=A3213)*(Ввод!$G$12:$G$31&gt;=A3213))&gt;0,1,0))</f>
        <v/>
      </c>
      <c r="G3213">
        <f>IF(A3213="","",IF(OR(B3213&lt;&gt;B3212,C3213&lt;&gt;C3212,E3213&lt;&gt;E3212),G3212+1,G3212))</f>
        <v/>
      </c>
    </row>
    <row r="3214">
      <c r="A3214" s="20">
        <f>IF(A3213="","",IF(A3213+1&gt;Ввод!$B$4,"",A3213+1))</f>
        <v/>
      </c>
      <c r="B3214">
        <f>IF(A3214="","",IFERROR(INDEX(Ввод!$B$12:$B$71,MATCH(A3214,Ввод!$D$12:$D$71,1)),""))</f>
        <v/>
      </c>
      <c r="C3214">
        <f>IF(A3214="","",DATE(YEAR(A3214),12,31)-DATE(YEAR(A3214),1,1)+1)</f>
        <v/>
      </c>
      <c r="D3214">
        <f>IF(A3214="","",SUMIFS(Акты!$D$5:$D$16,Акты!$E$5:$E$16,"&lt;="&amp;A3214)-SUMIFS(Оплаты!$B$6:$B$505,Оплаты!$A$6:$A$505,"&lt;"&amp;A3214,Оплаты!$D$6:$D$505,"&lt;&gt;"))</f>
        <v/>
      </c>
      <c r="E3214">
        <f>IF(A3214="","",IF(SUMPRODUCT((Ввод!$F$12:$F$31&lt;&gt;"")*(Ввод!$F$12:$F$31&lt;=A3214)*(Ввод!$G$12:$G$31&gt;=A3214))&gt;0,1,0))</f>
        <v/>
      </c>
      <c r="G3214">
        <f>IF(A3214="","",IF(OR(B3214&lt;&gt;B3213,C3214&lt;&gt;C3213,E3214&lt;&gt;E3213),G3213+1,G3213))</f>
        <v/>
      </c>
    </row>
    <row r="3215">
      <c r="A3215" s="20">
        <f>IF(A3214="","",IF(A3214+1&gt;Ввод!$B$4,"",A3214+1))</f>
        <v/>
      </c>
      <c r="B3215">
        <f>IF(A3215="","",IFERROR(INDEX(Ввод!$B$12:$B$71,MATCH(A3215,Ввод!$D$12:$D$71,1)),""))</f>
        <v/>
      </c>
      <c r="C3215">
        <f>IF(A3215="","",DATE(YEAR(A3215),12,31)-DATE(YEAR(A3215),1,1)+1)</f>
        <v/>
      </c>
      <c r="D3215">
        <f>IF(A3215="","",SUMIFS(Акты!$D$5:$D$16,Акты!$E$5:$E$16,"&lt;="&amp;A3215)-SUMIFS(Оплаты!$B$6:$B$505,Оплаты!$A$6:$A$505,"&lt;"&amp;A3215,Оплаты!$D$6:$D$505,"&lt;&gt;"))</f>
        <v/>
      </c>
      <c r="E3215">
        <f>IF(A3215="","",IF(SUMPRODUCT((Ввод!$F$12:$F$31&lt;&gt;"")*(Ввод!$F$12:$F$31&lt;=A3215)*(Ввод!$G$12:$G$31&gt;=A3215))&gt;0,1,0))</f>
        <v/>
      </c>
      <c r="G3215">
        <f>IF(A3215="","",IF(OR(B3215&lt;&gt;B3214,C3215&lt;&gt;C3214,E3215&lt;&gt;E3214),G3214+1,G3214))</f>
        <v/>
      </c>
    </row>
    <row r="3216">
      <c r="A3216" s="20">
        <f>IF(A3215="","",IF(A3215+1&gt;Ввод!$B$4,"",A3215+1))</f>
        <v/>
      </c>
      <c r="B3216">
        <f>IF(A3216="","",IFERROR(INDEX(Ввод!$B$12:$B$71,MATCH(A3216,Ввод!$D$12:$D$71,1)),""))</f>
        <v/>
      </c>
      <c r="C3216">
        <f>IF(A3216="","",DATE(YEAR(A3216),12,31)-DATE(YEAR(A3216),1,1)+1)</f>
        <v/>
      </c>
      <c r="D3216">
        <f>IF(A3216="","",SUMIFS(Акты!$D$5:$D$16,Акты!$E$5:$E$16,"&lt;="&amp;A3216)-SUMIFS(Оплаты!$B$6:$B$505,Оплаты!$A$6:$A$505,"&lt;"&amp;A3216,Оплаты!$D$6:$D$505,"&lt;&gt;"))</f>
        <v/>
      </c>
      <c r="E3216">
        <f>IF(A3216="","",IF(SUMPRODUCT((Ввод!$F$12:$F$31&lt;&gt;"")*(Ввод!$F$12:$F$31&lt;=A3216)*(Ввод!$G$12:$G$31&gt;=A3216))&gt;0,1,0))</f>
        <v/>
      </c>
      <c r="G3216">
        <f>IF(A3216="","",IF(OR(B3216&lt;&gt;B3215,C3216&lt;&gt;C3215,E3216&lt;&gt;E3215),G3215+1,G3215))</f>
        <v/>
      </c>
    </row>
    <row r="3217">
      <c r="A3217" s="20">
        <f>IF(A3216="","",IF(A3216+1&gt;Ввод!$B$4,"",A3216+1))</f>
        <v/>
      </c>
      <c r="B3217">
        <f>IF(A3217="","",IFERROR(INDEX(Ввод!$B$12:$B$71,MATCH(A3217,Ввод!$D$12:$D$71,1)),""))</f>
        <v/>
      </c>
      <c r="C3217">
        <f>IF(A3217="","",DATE(YEAR(A3217),12,31)-DATE(YEAR(A3217),1,1)+1)</f>
        <v/>
      </c>
      <c r="D3217">
        <f>IF(A3217="","",SUMIFS(Акты!$D$5:$D$16,Акты!$E$5:$E$16,"&lt;="&amp;A3217)-SUMIFS(Оплаты!$B$6:$B$505,Оплаты!$A$6:$A$505,"&lt;"&amp;A3217,Оплаты!$D$6:$D$505,"&lt;&gt;"))</f>
        <v/>
      </c>
      <c r="E3217">
        <f>IF(A3217="","",IF(SUMPRODUCT((Ввод!$F$12:$F$31&lt;&gt;"")*(Ввод!$F$12:$F$31&lt;=A3217)*(Ввод!$G$12:$G$31&gt;=A3217))&gt;0,1,0))</f>
        <v/>
      </c>
      <c r="G3217">
        <f>IF(A3217="","",IF(OR(B3217&lt;&gt;B3216,C3217&lt;&gt;C3216,E3217&lt;&gt;E3216),G3216+1,G3216))</f>
        <v/>
      </c>
    </row>
    <row r="3218">
      <c r="A3218" s="20">
        <f>IF(A3217="","",IF(A3217+1&gt;Ввод!$B$4,"",A3217+1))</f>
        <v/>
      </c>
      <c r="B3218">
        <f>IF(A3218="","",IFERROR(INDEX(Ввод!$B$12:$B$71,MATCH(A3218,Ввод!$D$12:$D$71,1)),""))</f>
        <v/>
      </c>
      <c r="C3218">
        <f>IF(A3218="","",DATE(YEAR(A3218),12,31)-DATE(YEAR(A3218),1,1)+1)</f>
        <v/>
      </c>
      <c r="D3218">
        <f>IF(A3218="","",SUMIFS(Акты!$D$5:$D$16,Акты!$E$5:$E$16,"&lt;="&amp;A3218)-SUMIFS(Оплаты!$B$6:$B$505,Оплаты!$A$6:$A$505,"&lt;"&amp;A3218,Оплаты!$D$6:$D$505,"&lt;&gt;"))</f>
        <v/>
      </c>
      <c r="E3218">
        <f>IF(A3218="","",IF(SUMPRODUCT((Ввод!$F$12:$F$31&lt;&gt;"")*(Ввод!$F$12:$F$31&lt;=A3218)*(Ввод!$G$12:$G$31&gt;=A3218))&gt;0,1,0))</f>
        <v/>
      </c>
      <c r="G3218">
        <f>IF(A3218="","",IF(OR(B3218&lt;&gt;B3217,C3218&lt;&gt;C3217,E3218&lt;&gt;E3217),G3217+1,G3217))</f>
        <v/>
      </c>
    </row>
    <row r="3219">
      <c r="A3219" s="20">
        <f>IF(A3218="","",IF(A3218+1&gt;Ввод!$B$4,"",A3218+1))</f>
        <v/>
      </c>
      <c r="B3219">
        <f>IF(A3219="","",IFERROR(INDEX(Ввод!$B$12:$B$71,MATCH(A3219,Ввод!$D$12:$D$71,1)),""))</f>
        <v/>
      </c>
      <c r="C3219">
        <f>IF(A3219="","",DATE(YEAR(A3219),12,31)-DATE(YEAR(A3219),1,1)+1)</f>
        <v/>
      </c>
      <c r="D3219">
        <f>IF(A3219="","",SUMIFS(Акты!$D$5:$D$16,Акты!$E$5:$E$16,"&lt;="&amp;A3219)-SUMIFS(Оплаты!$B$6:$B$505,Оплаты!$A$6:$A$505,"&lt;"&amp;A3219,Оплаты!$D$6:$D$505,"&lt;&gt;"))</f>
        <v/>
      </c>
      <c r="E3219">
        <f>IF(A3219="","",IF(SUMPRODUCT((Ввод!$F$12:$F$31&lt;&gt;"")*(Ввод!$F$12:$F$31&lt;=A3219)*(Ввод!$G$12:$G$31&gt;=A3219))&gt;0,1,0))</f>
        <v/>
      </c>
      <c r="G3219">
        <f>IF(A3219="","",IF(OR(B3219&lt;&gt;B3218,C3219&lt;&gt;C3218,E3219&lt;&gt;E3218),G3218+1,G3218))</f>
        <v/>
      </c>
    </row>
    <row r="3220">
      <c r="A3220" s="20">
        <f>IF(A3219="","",IF(A3219+1&gt;Ввод!$B$4,"",A3219+1))</f>
        <v/>
      </c>
      <c r="B3220">
        <f>IF(A3220="","",IFERROR(INDEX(Ввод!$B$12:$B$71,MATCH(A3220,Ввод!$D$12:$D$71,1)),""))</f>
        <v/>
      </c>
      <c r="C3220">
        <f>IF(A3220="","",DATE(YEAR(A3220),12,31)-DATE(YEAR(A3220),1,1)+1)</f>
        <v/>
      </c>
      <c r="D3220">
        <f>IF(A3220="","",SUMIFS(Акты!$D$5:$D$16,Акты!$E$5:$E$16,"&lt;="&amp;A3220)-SUMIFS(Оплаты!$B$6:$B$505,Оплаты!$A$6:$A$505,"&lt;"&amp;A3220,Оплаты!$D$6:$D$505,"&lt;&gt;"))</f>
        <v/>
      </c>
      <c r="E3220">
        <f>IF(A3220="","",IF(SUMPRODUCT((Ввод!$F$12:$F$31&lt;&gt;"")*(Ввод!$F$12:$F$31&lt;=A3220)*(Ввод!$G$12:$G$31&gt;=A3220))&gt;0,1,0))</f>
        <v/>
      </c>
      <c r="G3220">
        <f>IF(A3220="","",IF(OR(B3220&lt;&gt;B3219,C3220&lt;&gt;C3219,E3220&lt;&gt;E3219),G3219+1,G3219))</f>
        <v/>
      </c>
    </row>
    <row r="3221">
      <c r="A3221" s="20">
        <f>IF(A3220="","",IF(A3220+1&gt;Ввод!$B$4,"",A3220+1))</f>
        <v/>
      </c>
      <c r="B3221">
        <f>IF(A3221="","",IFERROR(INDEX(Ввод!$B$12:$B$71,MATCH(A3221,Ввод!$D$12:$D$71,1)),""))</f>
        <v/>
      </c>
      <c r="C3221">
        <f>IF(A3221="","",DATE(YEAR(A3221),12,31)-DATE(YEAR(A3221),1,1)+1)</f>
        <v/>
      </c>
      <c r="D3221">
        <f>IF(A3221="","",SUMIFS(Акты!$D$5:$D$16,Акты!$E$5:$E$16,"&lt;="&amp;A3221)-SUMIFS(Оплаты!$B$6:$B$505,Оплаты!$A$6:$A$505,"&lt;"&amp;A3221,Оплаты!$D$6:$D$505,"&lt;&gt;"))</f>
        <v/>
      </c>
      <c r="E3221">
        <f>IF(A3221="","",IF(SUMPRODUCT((Ввод!$F$12:$F$31&lt;&gt;"")*(Ввод!$F$12:$F$31&lt;=A3221)*(Ввод!$G$12:$G$31&gt;=A3221))&gt;0,1,0))</f>
        <v/>
      </c>
      <c r="G3221">
        <f>IF(A3221="","",IF(OR(B3221&lt;&gt;B3220,C3221&lt;&gt;C3220,E3221&lt;&gt;E3220),G3220+1,G3220))</f>
        <v/>
      </c>
    </row>
    <row r="3222">
      <c r="A3222" s="20">
        <f>IF(A3221="","",IF(A3221+1&gt;Ввод!$B$4,"",A3221+1))</f>
        <v/>
      </c>
      <c r="B3222">
        <f>IF(A3222="","",IFERROR(INDEX(Ввод!$B$12:$B$71,MATCH(A3222,Ввод!$D$12:$D$71,1)),""))</f>
        <v/>
      </c>
      <c r="C3222">
        <f>IF(A3222="","",DATE(YEAR(A3222),12,31)-DATE(YEAR(A3222),1,1)+1)</f>
        <v/>
      </c>
      <c r="D3222">
        <f>IF(A3222="","",SUMIFS(Акты!$D$5:$D$16,Акты!$E$5:$E$16,"&lt;="&amp;A3222)-SUMIFS(Оплаты!$B$6:$B$505,Оплаты!$A$6:$A$505,"&lt;"&amp;A3222,Оплаты!$D$6:$D$505,"&lt;&gt;"))</f>
        <v/>
      </c>
      <c r="E3222">
        <f>IF(A3222="","",IF(SUMPRODUCT((Ввод!$F$12:$F$31&lt;&gt;"")*(Ввод!$F$12:$F$31&lt;=A3222)*(Ввод!$G$12:$G$31&gt;=A3222))&gt;0,1,0))</f>
        <v/>
      </c>
      <c r="G3222">
        <f>IF(A3222="","",IF(OR(B3222&lt;&gt;B3221,C3222&lt;&gt;C3221,E3222&lt;&gt;E3221),G3221+1,G3221))</f>
        <v/>
      </c>
    </row>
    <row r="3223">
      <c r="A3223" s="20">
        <f>IF(A3222="","",IF(A3222+1&gt;Ввод!$B$4,"",A3222+1))</f>
        <v/>
      </c>
      <c r="B3223">
        <f>IF(A3223="","",IFERROR(INDEX(Ввод!$B$12:$B$71,MATCH(A3223,Ввод!$D$12:$D$71,1)),""))</f>
        <v/>
      </c>
      <c r="C3223">
        <f>IF(A3223="","",DATE(YEAR(A3223),12,31)-DATE(YEAR(A3223),1,1)+1)</f>
        <v/>
      </c>
      <c r="D3223">
        <f>IF(A3223="","",SUMIFS(Акты!$D$5:$D$16,Акты!$E$5:$E$16,"&lt;="&amp;A3223)-SUMIFS(Оплаты!$B$6:$B$505,Оплаты!$A$6:$A$505,"&lt;"&amp;A3223,Оплаты!$D$6:$D$505,"&lt;&gt;"))</f>
        <v/>
      </c>
      <c r="E3223">
        <f>IF(A3223="","",IF(SUMPRODUCT((Ввод!$F$12:$F$31&lt;&gt;"")*(Ввод!$F$12:$F$31&lt;=A3223)*(Ввод!$G$12:$G$31&gt;=A3223))&gt;0,1,0))</f>
        <v/>
      </c>
      <c r="G3223">
        <f>IF(A3223="","",IF(OR(B3223&lt;&gt;B3222,C3223&lt;&gt;C3222,E3223&lt;&gt;E3222),G3222+1,G3222))</f>
        <v/>
      </c>
    </row>
    <row r="3224">
      <c r="A3224" s="20">
        <f>IF(A3223="","",IF(A3223+1&gt;Ввод!$B$4,"",A3223+1))</f>
        <v/>
      </c>
      <c r="B3224">
        <f>IF(A3224="","",IFERROR(INDEX(Ввод!$B$12:$B$71,MATCH(A3224,Ввод!$D$12:$D$71,1)),""))</f>
        <v/>
      </c>
      <c r="C3224">
        <f>IF(A3224="","",DATE(YEAR(A3224),12,31)-DATE(YEAR(A3224),1,1)+1)</f>
        <v/>
      </c>
      <c r="D3224">
        <f>IF(A3224="","",SUMIFS(Акты!$D$5:$D$16,Акты!$E$5:$E$16,"&lt;="&amp;A3224)-SUMIFS(Оплаты!$B$6:$B$505,Оплаты!$A$6:$A$505,"&lt;"&amp;A3224,Оплаты!$D$6:$D$505,"&lt;&gt;"))</f>
        <v/>
      </c>
      <c r="E3224">
        <f>IF(A3224="","",IF(SUMPRODUCT((Ввод!$F$12:$F$31&lt;&gt;"")*(Ввод!$F$12:$F$31&lt;=A3224)*(Ввод!$G$12:$G$31&gt;=A3224))&gt;0,1,0))</f>
        <v/>
      </c>
      <c r="G3224">
        <f>IF(A3224="","",IF(OR(B3224&lt;&gt;B3223,C3224&lt;&gt;C3223,E3224&lt;&gt;E3223),G3223+1,G3223))</f>
        <v/>
      </c>
    </row>
    <row r="3225">
      <c r="A3225" s="20">
        <f>IF(A3224="","",IF(A3224+1&gt;Ввод!$B$4,"",A3224+1))</f>
        <v/>
      </c>
      <c r="B3225">
        <f>IF(A3225="","",IFERROR(INDEX(Ввод!$B$12:$B$71,MATCH(A3225,Ввод!$D$12:$D$71,1)),""))</f>
        <v/>
      </c>
      <c r="C3225">
        <f>IF(A3225="","",DATE(YEAR(A3225),12,31)-DATE(YEAR(A3225),1,1)+1)</f>
        <v/>
      </c>
      <c r="D3225">
        <f>IF(A3225="","",SUMIFS(Акты!$D$5:$D$16,Акты!$E$5:$E$16,"&lt;="&amp;A3225)-SUMIFS(Оплаты!$B$6:$B$505,Оплаты!$A$6:$A$505,"&lt;"&amp;A3225,Оплаты!$D$6:$D$505,"&lt;&gt;"))</f>
        <v/>
      </c>
      <c r="E3225">
        <f>IF(A3225="","",IF(SUMPRODUCT((Ввод!$F$12:$F$31&lt;&gt;"")*(Ввод!$F$12:$F$31&lt;=A3225)*(Ввод!$G$12:$G$31&gt;=A3225))&gt;0,1,0))</f>
        <v/>
      </c>
      <c r="G3225">
        <f>IF(A3225="","",IF(OR(B3225&lt;&gt;B3224,C3225&lt;&gt;C3224,E3225&lt;&gt;E3224),G3224+1,G3224))</f>
        <v/>
      </c>
    </row>
    <row r="3226">
      <c r="A3226" s="20">
        <f>IF(A3225="","",IF(A3225+1&gt;Ввод!$B$4,"",A3225+1))</f>
        <v/>
      </c>
      <c r="B3226">
        <f>IF(A3226="","",IFERROR(INDEX(Ввод!$B$12:$B$71,MATCH(A3226,Ввод!$D$12:$D$71,1)),""))</f>
        <v/>
      </c>
      <c r="C3226">
        <f>IF(A3226="","",DATE(YEAR(A3226),12,31)-DATE(YEAR(A3226),1,1)+1)</f>
        <v/>
      </c>
      <c r="D3226">
        <f>IF(A3226="","",SUMIFS(Акты!$D$5:$D$16,Акты!$E$5:$E$16,"&lt;="&amp;A3226)-SUMIFS(Оплаты!$B$6:$B$505,Оплаты!$A$6:$A$505,"&lt;"&amp;A3226,Оплаты!$D$6:$D$505,"&lt;&gt;"))</f>
        <v/>
      </c>
      <c r="E3226">
        <f>IF(A3226="","",IF(SUMPRODUCT((Ввод!$F$12:$F$31&lt;&gt;"")*(Ввод!$F$12:$F$31&lt;=A3226)*(Ввод!$G$12:$G$31&gt;=A3226))&gt;0,1,0))</f>
        <v/>
      </c>
      <c r="G3226">
        <f>IF(A3226="","",IF(OR(B3226&lt;&gt;B3225,C3226&lt;&gt;C3225,E3226&lt;&gt;E3225),G3225+1,G3225))</f>
        <v/>
      </c>
    </row>
    <row r="3227">
      <c r="A3227" s="20">
        <f>IF(A3226="","",IF(A3226+1&gt;Ввод!$B$4,"",A3226+1))</f>
        <v/>
      </c>
      <c r="B3227">
        <f>IF(A3227="","",IFERROR(INDEX(Ввод!$B$12:$B$71,MATCH(A3227,Ввод!$D$12:$D$71,1)),""))</f>
        <v/>
      </c>
      <c r="C3227">
        <f>IF(A3227="","",DATE(YEAR(A3227),12,31)-DATE(YEAR(A3227),1,1)+1)</f>
        <v/>
      </c>
      <c r="D3227">
        <f>IF(A3227="","",SUMIFS(Акты!$D$5:$D$16,Акты!$E$5:$E$16,"&lt;="&amp;A3227)-SUMIFS(Оплаты!$B$6:$B$505,Оплаты!$A$6:$A$505,"&lt;"&amp;A3227,Оплаты!$D$6:$D$505,"&lt;&gt;"))</f>
        <v/>
      </c>
      <c r="E3227">
        <f>IF(A3227="","",IF(SUMPRODUCT((Ввод!$F$12:$F$31&lt;&gt;"")*(Ввод!$F$12:$F$31&lt;=A3227)*(Ввод!$G$12:$G$31&gt;=A3227))&gt;0,1,0))</f>
        <v/>
      </c>
      <c r="G3227">
        <f>IF(A3227="","",IF(OR(B3227&lt;&gt;B3226,C3227&lt;&gt;C3226,E3227&lt;&gt;E3226),G3226+1,G3226))</f>
        <v/>
      </c>
    </row>
    <row r="3228">
      <c r="A3228" s="20">
        <f>IF(A3227="","",IF(A3227+1&gt;Ввод!$B$4,"",A3227+1))</f>
        <v/>
      </c>
      <c r="B3228">
        <f>IF(A3228="","",IFERROR(INDEX(Ввод!$B$12:$B$71,MATCH(A3228,Ввод!$D$12:$D$71,1)),""))</f>
        <v/>
      </c>
      <c r="C3228">
        <f>IF(A3228="","",DATE(YEAR(A3228),12,31)-DATE(YEAR(A3228),1,1)+1)</f>
        <v/>
      </c>
      <c r="D3228">
        <f>IF(A3228="","",SUMIFS(Акты!$D$5:$D$16,Акты!$E$5:$E$16,"&lt;="&amp;A3228)-SUMIFS(Оплаты!$B$6:$B$505,Оплаты!$A$6:$A$505,"&lt;"&amp;A3228,Оплаты!$D$6:$D$505,"&lt;&gt;"))</f>
        <v/>
      </c>
      <c r="E3228">
        <f>IF(A3228="","",IF(SUMPRODUCT((Ввод!$F$12:$F$31&lt;&gt;"")*(Ввод!$F$12:$F$31&lt;=A3228)*(Ввод!$G$12:$G$31&gt;=A3228))&gt;0,1,0))</f>
        <v/>
      </c>
      <c r="G3228">
        <f>IF(A3228="","",IF(OR(B3228&lt;&gt;B3227,C3228&lt;&gt;C3227,E3228&lt;&gt;E3227),G3227+1,G3227))</f>
        <v/>
      </c>
    </row>
    <row r="3229">
      <c r="A3229" s="20">
        <f>IF(A3228="","",IF(A3228+1&gt;Ввод!$B$4,"",A3228+1))</f>
        <v/>
      </c>
      <c r="B3229">
        <f>IF(A3229="","",IFERROR(INDEX(Ввод!$B$12:$B$71,MATCH(A3229,Ввод!$D$12:$D$71,1)),""))</f>
        <v/>
      </c>
      <c r="C3229">
        <f>IF(A3229="","",DATE(YEAR(A3229),12,31)-DATE(YEAR(A3229),1,1)+1)</f>
        <v/>
      </c>
      <c r="D3229">
        <f>IF(A3229="","",SUMIFS(Акты!$D$5:$D$16,Акты!$E$5:$E$16,"&lt;="&amp;A3229)-SUMIFS(Оплаты!$B$6:$B$505,Оплаты!$A$6:$A$505,"&lt;"&amp;A3229,Оплаты!$D$6:$D$505,"&lt;&gt;"))</f>
        <v/>
      </c>
      <c r="E3229">
        <f>IF(A3229="","",IF(SUMPRODUCT((Ввод!$F$12:$F$31&lt;&gt;"")*(Ввод!$F$12:$F$31&lt;=A3229)*(Ввод!$G$12:$G$31&gt;=A3229))&gt;0,1,0))</f>
        <v/>
      </c>
      <c r="G3229">
        <f>IF(A3229="","",IF(OR(B3229&lt;&gt;B3228,C3229&lt;&gt;C3228,E3229&lt;&gt;E3228),G3228+1,G3228))</f>
        <v/>
      </c>
    </row>
    <row r="3230">
      <c r="A3230" s="20">
        <f>IF(A3229="","",IF(A3229+1&gt;Ввод!$B$4,"",A3229+1))</f>
        <v/>
      </c>
      <c r="B3230">
        <f>IF(A3230="","",IFERROR(INDEX(Ввод!$B$12:$B$71,MATCH(A3230,Ввод!$D$12:$D$71,1)),""))</f>
        <v/>
      </c>
      <c r="C3230">
        <f>IF(A3230="","",DATE(YEAR(A3230),12,31)-DATE(YEAR(A3230),1,1)+1)</f>
        <v/>
      </c>
      <c r="D3230">
        <f>IF(A3230="","",SUMIFS(Акты!$D$5:$D$16,Акты!$E$5:$E$16,"&lt;="&amp;A3230)-SUMIFS(Оплаты!$B$6:$B$505,Оплаты!$A$6:$A$505,"&lt;"&amp;A3230,Оплаты!$D$6:$D$505,"&lt;&gt;"))</f>
        <v/>
      </c>
      <c r="E3230">
        <f>IF(A3230="","",IF(SUMPRODUCT((Ввод!$F$12:$F$31&lt;&gt;"")*(Ввод!$F$12:$F$31&lt;=A3230)*(Ввод!$G$12:$G$31&gt;=A3230))&gt;0,1,0))</f>
        <v/>
      </c>
      <c r="G3230">
        <f>IF(A3230="","",IF(OR(B3230&lt;&gt;B3229,C3230&lt;&gt;C3229,E3230&lt;&gt;E3229),G3229+1,G3229))</f>
        <v/>
      </c>
    </row>
    <row r="3231">
      <c r="A3231" s="20">
        <f>IF(A3230="","",IF(A3230+1&gt;Ввод!$B$4,"",A3230+1))</f>
        <v/>
      </c>
      <c r="B3231">
        <f>IF(A3231="","",IFERROR(INDEX(Ввод!$B$12:$B$71,MATCH(A3231,Ввод!$D$12:$D$71,1)),""))</f>
        <v/>
      </c>
      <c r="C3231">
        <f>IF(A3231="","",DATE(YEAR(A3231),12,31)-DATE(YEAR(A3231),1,1)+1)</f>
        <v/>
      </c>
      <c r="D3231">
        <f>IF(A3231="","",SUMIFS(Акты!$D$5:$D$16,Акты!$E$5:$E$16,"&lt;="&amp;A3231)-SUMIFS(Оплаты!$B$6:$B$505,Оплаты!$A$6:$A$505,"&lt;"&amp;A3231,Оплаты!$D$6:$D$505,"&lt;&gt;"))</f>
        <v/>
      </c>
      <c r="E3231">
        <f>IF(A3231="","",IF(SUMPRODUCT((Ввод!$F$12:$F$31&lt;&gt;"")*(Ввод!$F$12:$F$31&lt;=A3231)*(Ввод!$G$12:$G$31&gt;=A3231))&gt;0,1,0))</f>
        <v/>
      </c>
      <c r="G3231">
        <f>IF(A3231="","",IF(OR(B3231&lt;&gt;B3230,C3231&lt;&gt;C3230,E3231&lt;&gt;E3230),G3230+1,G3230))</f>
        <v/>
      </c>
    </row>
    <row r="3232">
      <c r="A3232" s="20">
        <f>IF(A3231="","",IF(A3231+1&gt;Ввод!$B$4,"",A3231+1))</f>
        <v/>
      </c>
      <c r="B3232">
        <f>IF(A3232="","",IFERROR(INDEX(Ввод!$B$12:$B$71,MATCH(A3232,Ввод!$D$12:$D$71,1)),""))</f>
        <v/>
      </c>
      <c r="C3232">
        <f>IF(A3232="","",DATE(YEAR(A3232),12,31)-DATE(YEAR(A3232),1,1)+1)</f>
        <v/>
      </c>
      <c r="D3232">
        <f>IF(A3232="","",SUMIFS(Акты!$D$5:$D$16,Акты!$E$5:$E$16,"&lt;="&amp;A3232)-SUMIFS(Оплаты!$B$6:$B$505,Оплаты!$A$6:$A$505,"&lt;"&amp;A3232,Оплаты!$D$6:$D$505,"&lt;&gt;"))</f>
        <v/>
      </c>
      <c r="E3232">
        <f>IF(A3232="","",IF(SUMPRODUCT((Ввод!$F$12:$F$31&lt;&gt;"")*(Ввод!$F$12:$F$31&lt;=A3232)*(Ввод!$G$12:$G$31&gt;=A3232))&gt;0,1,0))</f>
        <v/>
      </c>
      <c r="G3232">
        <f>IF(A3232="","",IF(OR(B3232&lt;&gt;B3231,C3232&lt;&gt;C3231,E3232&lt;&gt;E3231),G3231+1,G3231))</f>
        <v/>
      </c>
    </row>
    <row r="3233">
      <c r="A3233" s="20">
        <f>IF(A3232="","",IF(A3232+1&gt;Ввод!$B$4,"",A3232+1))</f>
        <v/>
      </c>
      <c r="B3233">
        <f>IF(A3233="","",IFERROR(INDEX(Ввод!$B$12:$B$71,MATCH(A3233,Ввод!$D$12:$D$71,1)),""))</f>
        <v/>
      </c>
      <c r="C3233">
        <f>IF(A3233="","",DATE(YEAR(A3233),12,31)-DATE(YEAR(A3233),1,1)+1)</f>
        <v/>
      </c>
      <c r="D3233">
        <f>IF(A3233="","",SUMIFS(Акты!$D$5:$D$16,Акты!$E$5:$E$16,"&lt;="&amp;A3233)-SUMIFS(Оплаты!$B$6:$B$505,Оплаты!$A$6:$A$505,"&lt;"&amp;A3233,Оплаты!$D$6:$D$505,"&lt;&gt;"))</f>
        <v/>
      </c>
      <c r="E3233">
        <f>IF(A3233="","",IF(SUMPRODUCT((Ввод!$F$12:$F$31&lt;&gt;"")*(Ввод!$F$12:$F$31&lt;=A3233)*(Ввод!$G$12:$G$31&gt;=A3233))&gt;0,1,0))</f>
        <v/>
      </c>
      <c r="G3233">
        <f>IF(A3233="","",IF(OR(B3233&lt;&gt;B3232,C3233&lt;&gt;C3232,E3233&lt;&gt;E3232),G3232+1,G3232))</f>
        <v/>
      </c>
    </row>
    <row r="3234">
      <c r="A3234" s="20">
        <f>IF(A3233="","",IF(A3233+1&gt;Ввод!$B$4,"",A3233+1))</f>
        <v/>
      </c>
      <c r="B3234">
        <f>IF(A3234="","",IFERROR(INDEX(Ввод!$B$12:$B$71,MATCH(A3234,Ввод!$D$12:$D$71,1)),""))</f>
        <v/>
      </c>
      <c r="C3234">
        <f>IF(A3234="","",DATE(YEAR(A3234),12,31)-DATE(YEAR(A3234),1,1)+1)</f>
        <v/>
      </c>
      <c r="D3234">
        <f>IF(A3234="","",SUMIFS(Акты!$D$5:$D$16,Акты!$E$5:$E$16,"&lt;="&amp;A3234)-SUMIFS(Оплаты!$B$6:$B$505,Оплаты!$A$6:$A$505,"&lt;"&amp;A3234,Оплаты!$D$6:$D$505,"&lt;&gt;"))</f>
        <v/>
      </c>
      <c r="E3234">
        <f>IF(A3234="","",IF(SUMPRODUCT((Ввод!$F$12:$F$31&lt;&gt;"")*(Ввод!$F$12:$F$31&lt;=A3234)*(Ввод!$G$12:$G$31&gt;=A3234))&gt;0,1,0))</f>
        <v/>
      </c>
      <c r="G3234">
        <f>IF(A3234="","",IF(OR(B3234&lt;&gt;B3233,C3234&lt;&gt;C3233,E3234&lt;&gt;E3233),G3233+1,G3233))</f>
        <v/>
      </c>
    </row>
    <row r="3235">
      <c r="A3235" s="20">
        <f>IF(A3234="","",IF(A3234+1&gt;Ввод!$B$4,"",A3234+1))</f>
        <v/>
      </c>
      <c r="B3235">
        <f>IF(A3235="","",IFERROR(INDEX(Ввод!$B$12:$B$71,MATCH(A3235,Ввод!$D$12:$D$71,1)),""))</f>
        <v/>
      </c>
      <c r="C3235">
        <f>IF(A3235="","",DATE(YEAR(A3235),12,31)-DATE(YEAR(A3235),1,1)+1)</f>
        <v/>
      </c>
      <c r="D3235">
        <f>IF(A3235="","",SUMIFS(Акты!$D$5:$D$16,Акты!$E$5:$E$16,"&lt;="&amp;A3235)-SUMIFS(Оплаты!$B$6:$B$505,Оплаты!$A$6:$A$505,"&lt;"&amp;A3235,Оплаты!$D$6:$D$505,"&lt;&gt;"))</f>
        <v/>
      </c>
      <c r="E3235">
        <f>IF(A3235="","",IF(SUMPRODUCT((Ввод!$F$12:$F$31&lt;&gt;"")*(Ввод!$F$12:$F$31&lt;=A3235)*(Ввод!$G$12:$G$31&gt;=A3235))&gt;0,1,0))</f>
        <v/>
      </c>
      <c r="G3235">
        <f>IF(A3235="","",IF(OR(B3235&lt;&gt;B3234,C3235&lt;&gt;C3234,E3235&lt;&gt;E3234),G3234+1,G3234))</f>
        <v/>
      </c>
    </row>
    <row r="3236">
      <c r="A3236" s="20">
        <f>IF(A3235="","",IF(A3235+1&gt;Ввод!$B$4,"",A3235+1))</f>
        <v/>
      </c>
      <c r="B3236">
        <f>IF(A3236="","",IFERROR(INDEX(Ввод!$B$12:$B$71,MATCH(A3236,Ввод!$D$12:$D$71,1)),""))</f>
        <v/>
      </c>
      <c r="C3236">
        <f>IF(A3236="","",DATE(YEAR(A3236),12,31)-DATE(YEAR(A3236),1,1)+1)</f>
        <v/>
      </c>
      <c r="D3236">
        <f>IF(A3236="","",SUMIFS(Акты!$D$5:$D$16,Акты!$E$5:$E$16,"&lt;="&amp;A3236)-SUMIFS(Оплаты!$B$6:$B$505,Оплаты!$A$6:$A$505,"&lt;"&amp;A3236,Оплаты!$D$6:$D$505,"&lt;&gt;"))</f>
        <v/>
      </c>
      <c r="E3236">
        <f>IF(A3236="","",IF(SUMPRODUCT((Ввод!$F$12:$F$31&lt;&gt;"")*(Ввод!$F$12:$F$31&lt;=A3236)*(Ввод!$G$12:$G$31&gt;=A3236))&gt;0,1,0))</f>
        <v/>
      </c>
      <c r="G3236">
        <f>IF(A3236="","",IF(OR(B3236&lt;&gt;B3235,C3236&lt;&gt;C3235,E3236&lt;&gt;E3235),G3235+1,G3235))</f>
        <v/>
      </c>
    </row>
    <row r="3237">
      <c r="A3237" s="20">
        <f>IF(A3236="","",IF(A3236+1&gt;Ввод!$B$4,"",A3236+1))</f>
        <v/>
      </c>
      <c r="B3237">
        <f>IF(A3237="","",IFERROR(INDEX(Ввод!$B$12:$B$71,MATCH(A3237,Ввод!$D$12:$D$71,1)),""))</f>
        <v/>
      </c>
      <c r="C3237">
        <f>IF(A3237="","",DATE(YEAR(A3237),12,31)-DATE(YEAR(A3237),1,1)+1)</f>
        <v/>
      </c>
      <c r="D3237">
        <f>IF(A3237="","",SUMIFS(Акты!$D$5:$D$16,Акты!$E$5:$E$16,"&lt;="&amp;A3237)-SUMIFS(Оплаты!$B$6:$B$505,Оплаты!$A$6:$A$505,"&lt;"&amp;A3237,Оплаты!$D$6:$D$505,"&lt;&gt;"))</f>
        <v/>
      </c>
      <c r="E3237">
        <f>IF(A3237="","",IF(SUMPRODUCT((Ввод!$F$12:$F$31&lt;&gt;"")*(Ввод!$F$12:$F$31&lt;=A3237)*(Ввод!$G$12:$G$31&gt;=A3237))&gt;0,1,0))</f>
        <v/>
      </c>
      <c r="G3237">
        <f>IF(A3237="","",IF(OR(B3237&lt;&gt;B3236,C3237&lt;&gt;C3236,E3237&lt;&gt;E3236),G3236+1,G3236))</f>
        <v/>
      </c>
    </row>
    <row r="3238">
      <c r="A3238" s="20">
        <f>IF(A3237="","",IF(A3237+1&gt;Ввод!$B$4,"",A3237+1))</f>
        <v/>
      </c>
      <c r="B3238">
        <f>IF(A3238="","",IFERROR(INDEX(Ввод!$B$12:$B$71,MATCH(A3238,Ввод!$D$12:$D$71,1)),""))</f>
        <v/>
      </c>
      <c r="C3238">
        <f>IF(A3238="","",DATE(YEAR(A3238),12,31)-DATE(YEAR(A3238),1,1)+1)</f>
        <v/>
      </c>
      <c r="D3238">
        <f>IF(A3238="","",SUMIFS(Акты!$D$5:$D$16,Акты!$E$5:$E$16,"&lt;="&amp;A3238)-SUMIFS(Оплаты!$B$6:$B$505,Оплаты!$A$6:$A$505,"&lt;"&amp;A3238,Оплаты!$D$6:$D$505,"&lt;&gt;"))</f>
        <v/>
      </c>
      <c r="E3238">
        <f>IF(A3238="","",IF(SUMPRODUCT((Ввод!$F$12:$F$31&lt;&gt;"")*(Ввод!$F$12:$F$31&lt;=A3238)*(Ввод!$G$12:$G$31&gt;=A3238))&gt;0,1,0))</f>
        <v/>
      </c>
      <c r="G3238">
        <f>IF(A3238="","",IF(OR(B3238&lt;&gt;B3237,C3238&lt;&gt;C3237,E3238&lt;&gt;E3237),G3237+1,G3237))</f>
        <v/>
      </c>
    </row>
    <row r="3239">
      <c r="A3239" s="20">
        <f>IF(A3238="","",IF(A3238+1&gt;Ввод!$B$4,"",A3238+1))</f>
        <v/>
      </c>
      <c r="B3239">
        <f>IF(A3239="","",IFERROR(INDEX(Ввод!$B$12:$B$71,MATCH(A3239,Ввод!$D$12:$D$71,1)),""))</f>
        <v/>
      </c>
      <c r="C3239">
        <f>IF(A3239="","",DATE(YEAR(A3239),12,31)-DATE(YEAR(A3239),1,1)+1)</f>
        <v/>
      </c>
      <c r="D3239">
        <f>IF(A3239="","",SUMIFS(Акты!$D$5:$D$16,Акты!$E$5:$E$16,"&lt;="&amp;A3239)-SUMIFS(Оплаты!$B$6:$B$505,Оплаты!$A$6:$A$505,"&lt;"&amp;A3239,Оплаты!$D$6:$D$505,"&lt;&gt;"))</f>
        <v/>
      </c>
      <c r="E3239">
        <f>IF(A3239="","",IF(SUMPRODUCT((Ввод!$F$12:$F$31&lt;&gt;"")*(Ввод!$F$12:$F$31&lt;=A3239)*(Ввод!$G$12:$G$31&gt;=A3239))&gt;0,1,0))</f>
        <v/>
      </c>
      <c r="G3239">
        <f>IF(A3239="","",IF(OR(B3239&lt;&gt;B3238,C3239&lt;&gt;C3238,E3239&lt;&gt;E3238),G3238+1,G3238))</f>
        <v/>
      </c>
    </row>
    <row r="3240">
      <c r="A3240" s="20">
        <f>IF(A3239="","",IF(A3239+1&gt;Ввод!$B$4,"",A3239+1))</f>
        <v/>
      </c>
      <c r="B3240">
        <f>IF(A3240="","",IFERROR(INDEX(Ввод!$B$12:$B$71,MATCH(A3240,Ввод!$D$12:$D$71,1)),""))</f>
        <v/>
      </c>
      <c r="C3240">
        <f>IF(A3240="","",DATE(YEAR(A3240),12,31)-DATE(YEAR(A3240),1,1)+1)</f>
        <v/>
      </c>
      <c r="D3240">
        <f>IF(A3240="","",SUMIFS(Акты!$D$5:$D$16,Акты!$E$5:$E$16,"&lt;="&amp;A3240)-SUMIFS(Оплаты!$B$6:$B$505,Оплаты!$A$6:$A$505,"&lt;"&amp;A3240,Оплаты!$D$6:$D$505,"&lt;&gt;"))</f>
        <v/>
      </c>
      <c r="E3240">
        <f>IF(A3240="","",IF(SUMPRODUCT((Ввод!$F$12:$F$31&lt;&gt;"")*(Ввод!$F$12:$F$31&lt;=A3240)*(Ввод!$G$12:$G$31&gt;=A3240))&gt;0,1,0))</f>
        <v/>
      </c>
      <c r="G3240">
        <f>IF(A3240="","",IF(OR(B3240&lt;&gt;B3239,C3240&lt;&gt;C3239,E3240&lt;&gt;E3239),G3239+1,G3239))</f>
        <v/>
      </c>
    </row>
    <row r="3241">
      <c r="A3241" s="20">
        <f>IF(A3240="","",IF(A3240+1&gt;Ввод!$B$4,"",A3240+1))</f>
        <v/>
      </c>
      <c r="B3241">
        <f>IF(A3241="","",IFERROR(INDEX(Ввод!$B$12:$B$71,MATCH(A3241,Ввод!$D$12:$D$71,1)),""))</f>
        <v/>
      </c>
      <c r="C3241">
        <f>IF(A3241="","",DATE(YEAR(A3241),12,31)-DATE(YEAR(A3241),1,1)+1)</f>
        <v/>
      </c>
      <c r="D3241">
        <f>IF(A3241="","",SUMIFS(Акты!$D$5:$D$16,Акты!$E$5:$E$16,"&lt;="&amp;A3241)-SUMIFS(Оплаты!$B$6:$B$505,Оплаты!$A$6:$A$505,"&lt;"&amp;A3241,Оплаты!$D$6:$D$505,"&lt;&gt;"))</f>
        <v/>
      </c>
      <c r="E3241">
        <f>IF(A3241="","",IF(SUMPRODUCT((Ввод!$F$12:$F$31&lt;&gt;"")*(Ввод!$F$12:$F$31&lt;=A3241)*(Ввод!$G$12:$G$31&gt;=A3241))&gt;0,1,0))</f>
        <v/>
      </c>
      <c r="G3241">
        <f>IF(A3241="","",IF(OR(B3241&lt;&gt;B3240,C3241&lt;&gt;C3240,E3241&lt;&gt;E3240),G3240+1,G3240))</f>
        <v/>
      </c>
    </row>
    <row r="3242">
      <c r="A3242" s="20">
        <f>IF(A3241="","",IF(A3241+1&gt;Ввод!$B$4,"",A3241+1))</f>
        <v/>
      </c>
      <c r="B3242">
        <f>IF(A3242="","",IFERROR(INDEX(Ввод!$B$12:$B$71,MATCH(A3242,Ввод!$D$12:$D$71,1)),""))</f>
        <v/>
      </c>
      <c r="C3242">
        <f>IF(A3242="","",DATE(YEAR(A3242),12,31)-DATE(YEAR(A3242),1,1)+1)</f>
        <v/>
      </c>
      <c r="D3242">
        <f>IF(A3242="","",SUMIFS(Акты!$D$5:$D$16,Акты!$E$5:$E$16,"&lt;="&amp;A3242)-SUMIFS(Оплаты!$B$6:$B$505,Оплаты!$A$6:$A$505,"&lt;"&amp;A3242,Оплаты!$D$6:$D$505,"&lt;&gt;"))</f>
        <v/>
      </c>
      <c r="E3242">
        <f>IF(A3242="","",IF(SUMPRODUCT((Ввод!$F$12:$F$31&lt;&gt;"")*(Ввод!$F$12:$F$31&lt;=A3242)*(Ввод!$G$12:$G$31&gt;=A3242))&gt;0,1,0))</f>
        <v/>
      </c>
      <c r="G3242">
        <f>IF(A3242="","",IF(OR(B3242&lt;&gt;B3241,C3242&lt;&gt;C3241,E3242&lt;&gt;E3241),G3241+1,G3241))</f>
        <v/>
      </c>
    </row>
    <row r="3243">
      <c r="A3243" s="20">
        <f>IF(A3242="","",IF(A3242+1&gt;Ввод!$B$4,"",A3242+1))</f>
        <v/>
      </c>
      <c r="B3243">
        <f>IF(A3243="","",IFERROR(INDEX(Ввод!$B$12:$B$71,MATCH(A3243,Ввод!$D$12:$D$71,1)),""))</f>
        <v/>
      </c>
      <c r="C3243">
        <f>IF(A3243="","",DATE(YEAR(A3243),12,31)-DATE(YEAR(A3243),1,1)+1)</f>
        <v/>
      </c>
      <c r="D3243">
        <f>IF(A3243="","",SUMIFS(Акты!$D$5:$D$16,Акты!$E$5:$E$16,"&lt;="&amp;A3243)-SUMIFS(Оплаты!$B$6:$B$505,Оплаты!$A$6:$A$505,"&lt;"&amp;A3243,Оплаты!$D$6:$D$505,"&lt;&gt;"))</f>
        <v/>
      </c>
      <c r="E3243">
        <f>IF(A3243="","",IF(SUMPRODUCT((Ввод!$F$12:$F$31&lt;&gt;"")*(Ввод!$F$12:$F$31&lt;=A3243)*(Ввод!$G$12:$G$31&gt;=A3243))&gt;0,1,0))</f>
        <v/>
      </c>
      <c r="G3243">
        <f>IF(A3243="","",IF(OR(B3243&lt;&gt;B3242,C3243&lt;&gt;C3242,E3243&lt;&gt;E3242),G3242+1,G3242))</f>
        <v/>
      </c>
    </row>
    <row r="3244">
      <c r="A3244" s="20">
        <f>IF(A3243="","",IF(A3243+1&gt;Ввод!$B$4,"",A3243+1))</f>
        <v/>
      </c>
      <c r="B3244">
        <f>IF(A3244="","",IFERROR(INDEX(Ввод!$B$12:$B$71,MATCH(A3244,Ввод!$D$12:$D$71,1)),""))</f>
        <v/>
      </c>
      <c r="C3244">
        <f>IF(A3244="","",DATE(YEAR(A3244),12,31)-DATE(YEAR(A3244),1,1)+1)</f>
        <v/>
      </c>
      <c r="D3244">
        <f>IF(A3244="","",SUMIFS(Акты!$D$5:$D$16,Акты!$E$5:$E$16,"&lt;="&amp;A3244)-SUMIFS(Оплаты!$B$6:$B$505,Оплаты!$A$6:$A$505,"&lt;"&amp;A3244,Оплаты!$D$6:$D$505,"&lt;&gt;"))</f>
        <v/>
      </c>
      <c r="E3244">
        <f>IF(A3244="","",IF(SUMPRODUCT((Ввод!$F$12:$F$31&lt;&gt;"")*(Ввод!$F$12:$F$31&lt;=A3244)*(Ввод!$G$12:$G$31&gt;=A3244))&gt;0,1,0))</f>
        <v/>
      </c>
      <c r="G3244">
        <f>IF(A3244="","",IF(OR(B3244&lt;&gt;B3243,C3244&lt;&gt;C3243,E3244&lt;&gt;E3243),G3243+1,G3243))</f>
        <v/>
      </c>
    </row>
    <row r="3245">
      <c r="A3245" s="20">
        <f>IF(A3244="","",IF(A3244+1&gt;Ввод!$B$4,"",A3244+1))</f>
        <v/>
      </c>
      <c r="B3245">
        <f>IF(A3245="","",IFERROR(INDEX(Ввод!$B$12:$B$71,MATCH(A3245,Ввод!$D$12:$D$71,1)),""))</f>
        <v/>
      </c>
      <c r="C3245">
        <f>IF(A3245="","",DATE(YEAR(A3245),12,31)-DATE(YEAR(A3245),1,1)+1)</f>
        <v/>
      </c>
      <c r="D3245">
        <f>IF(A3245="","",SUMIFS(Акты!$D$5:$D$16,Акты!$E$5:$E$16,"&lt;="&amp;A3245)-SUMIFS(Оплаты!$B$6:$B$505,Оплаты!$A$6:$A$505,"&lt;"&amp;A3245,Оплаты!$D$6:$D$505,"&lt;&gt;"))</f>
        <v/>
      </c>
      <c r="E3245">
        <f>IF(A3245="","",IF(SUMPRODUCT((Ввод!$F$12:$F$31&lt;&gt;"")*(Ввод!$F$12:$F$31&lt;=A3245)*(Ввод!$G$12:$G$31&gt;=A3245))&gt;0,1,0))</f>
        <v/>
      </c>
      <c r="G3245">
        <f>IF(A3245="","",IF(OR(B3245&lt;&gt;B3244,C3245&lt;&gt;C3244,E3245&lt;&gt;E3244),G3244+1,G3244))</f>
        <v/>
      </c>
    </row>
    <row r="3246">
      <c r="A3246" s="20">
        <f>IF(A3245="","",IF(A3245+1&gt;Ввод!$B$4,"",A3245+1))</f>
        <v/>
      </c>
      <c r="B3246">
        <f>IF(A3246="","",IFERROR(INDEX(Ввод!$B$12:$B$71,MATCH(A3246,Ввод!$D$12:$D$71,1)),""))</f>
        <v/>
      </c>
      <c r="C3246">
        <f>IF(A3246="","",DATE(YEAR(A3246),12,31)-DATE(YEAR(A3246),1,1)+1)</f>
        <v/>
      </c>
      <c r="D3246">
        <f>IF(A3246="","",SUMIFS(Акты!$D$5:$D$16,Акты!$E$5:$E$16,"&lt;="&amp;A3246)-SUMIFS(Оплаты!$B$6:$B$505,Оплаты!$A$6:$A$505,"&lt;"&amp;A3246,Оплаты!$D$6:$D$505,"&lt;&gt;"))</f>
        <v/>
      </c>
      <c r="E3246">
        <f>IF(A3246="","",IF(SUMPRODUCT((Ввод!$F$12:$F$31&lt;&gt;"")*(Ввод!$F$12:$F$31&lt;=A3246)*(Ввод!$G$12:$G$31&gt;=A3246))&gt;0,1,0))</f>
        <v/>
      </c>
      <c r="G3246">
        <f>IF(A3246="","",IF(OR(B3246&lt;&gt;B3245,C3246&lt;&gt;C3245,E3246&lt;&gt;E3245),G3245+1,G3245))</f>
        <v/>
      </c>
    </row>
    <row r="3247">
      <c r="A3247" s="20">
        <f>IF(A3246="","",IF(A3246+1&gt;Ввод!$B$4,"",A3246+1))</f>
        <v/>
      </c>
      <c r="B3247">
        <f>IF(A3247="","",IFERROR(INDEX(Ввод!$B$12:$B$71,MATCH(A3247,Ввод!$D$12:$D$71,1)),""))</f>
        <v/>
      </c>
      <c r="C3247">
        <f>IF(A3247="","",DATE(YEAR(A3247),12,31)-DATE(YEAR(A3247),1,1)+1)</f>
        <v/>
      </c>
      <c r="D3247">
        <f>IF(A3247="","",SUMIFS(Акты!$D$5:$D$16,Акты!$E$5:$E$16,"&lt;="&amp;A3247)-SUMIFS(Оплаты!$B$6:$B$505,Оплаты!$A$6:$A$505,"&lt;"&amp;A3247,Оплаты!$D$6:$D$505,"&lt;&gt;"))</f>
        <v/>
      </c>
      <c r="E3247">
        <f>IF(A3247="","",IF(SUMPRODUCT((Ввод!$F$12:$F$31&lt;&gt;"")*(Ввод!$F$12:$F$31&lt;=A3247)*(Ввод!$G$12:$G$31&gt;=A3247))&gt;0,1,0))</f>
        <v/>
      </c>
      <c r="G3247">
        <f>IF(A3247="","",IF(OR(B3247&lt;&gt;B3246,C3247&lt;&gt;C3246,E3247&lt;&gt;E3246),G3246+1,G3246))</f>
        <v/>
      </c>
    </row>
    <row r="3248">
      <c r="A3248" s="20">
        <f>IF(A3247="","",IF(A3247+1&gt;Ввод!$B$4,"",A3247+1))</f>
        <v/>
      </c>
      <c r="B3248">
        <f>IF(A3248="","",IFERROR(INDEX(Ввод!$B$12:$B$71,MATCH(A3248,Ввод!$D$12:$D$71,1)),""))</f>
        <v/>
      </c>
      <c r="C3248">
        <f>IF(A3248="","",DATE(YEAR(A3248),12,31)-DATE(YEAR(A3248),1,1)+1)</f>
        <v/>
      </c>
      <c r="D3248">
        <f>IF(A3248="","",SUMIFS(Акты!$D$5:$D$16,Акты!$E$5:$E$16,"&lt;="&amp;A3248)-SUMIFS(Оплаты!$B$6:$B$505,Оплаты!$A$6:$A$505,"&lt;"&amp;A3248,Оплаты!$D$6:$D$505,"&lt;&gt;"))</f>
        <v/>
      </c>
      <c r="E3248">
        <f>IF(A3248="","",IF(SUMPRODUCT((Ввод!$F$12:$F$31&lt;&gt;"")*(Ввод!$F$12:$F$31&lt;=A3248)*(Ввод!$G$12:$G$31&gt;=A3248))&gt;0,1,0))</f>
        <v/>
      </c>
      <c r="G3248">
        <f>IF(A3248="","",IF(OR(B3248&lt;&gt;B3247,C3248&lt;&gt;C3247,E3248&lt;&gt;E3247),G3247+1,G3247))</f>
        <v/>
      </c>
    </row>
    <row r="3249">
      <c r="A3249" s="20">
        <f>IF(A3248="","",IF(A3248+1&gt;Ввод!$B$4,"",A3248+1))</f>
        <v/>
      </c>
      <c r="B3249">
        <f>IF(A3249="","",IFERROR(INDEX(Ввод!$B$12:$B$71,MATCH(A3249,Ввод!$D$12:$D$71,1)),""))</f>
        <v/>
      </c>
      <c r="C3249">
        <f>IF(A3249="","",DATE(YEAR(A3249),12,31)-DATE(YEAR(A3249),1,1)+1)</f>
        <v/>
      </c>
      <c r="D3249">
        <f>IF(A3249="","",SUMIFS(Акты!$D$5:$D$16,Акты!$E$5:$E$16,"&lt;="&amp;A3249)-SUMIFS(Оплаты!$B$6:$B$505,Оплаты!$A$6:$A$505,"&lt;"&amp;A3249,Оплаты!$D$6:$D$505,"&lt;&gt;"))</f>
        <v/>
      </c>
      <c r="E3249">
        <f>IF(A3249="","",IF(SUMPRODUCT((Ввод!$F$12:$F$31&lt;&gt;"")*(Ввод!$F$12:$F$31&lt;=A3249)*(Ввод!$G$12:$G$31&gt;=A3249))&gt;0,1,0))</f>
        <v/>
      </c>
      <c r="G3249">
        <f>IF(A3249="","",IF(OR(B3249&lt;&gt;B3248,C3249&lt;&gt;C3248,E3249&lt;&gt;E3248),G3248+1,G3248))</f>
        <v/>
      </c>
    </row>
    <row r="3250">
      <c r="A3250" s="20">
        <f>IF(A3249="","",IF(A3249+1&gt;Ввод!$B$4,"",A3249+1))</f>
        <v/>
      </c>
      <c r="B3250">
        <f>IF(A3250="","",IFERROR(INDEX(Ввод!$B$12:$B$71,MATCH(A3250,Ввод!$D$12:$D$71,1)),""))</f>
        <v/>
      </c>
      <c r="C3250">
        <f>IF(A3250="","",DATE(YEAR(A3250),12,31)-DATE(YEAR(A3250),1,1)+1)</f>
        <v/>
      </c>
      <c r="D3250">
        <f>IF(A3250="","",SUMIFS(Акты!$D$5:$D$16,Акты!$E$5:$E$16,"&lt;="&amp;A3250)-SUMIFS(Оплаты!$B$6:$B$505,Оплаты!$A$6:$A$505,"&lt;"&amp;A3250,Оплаты!$D$6:$D$505,"&lt;&gt;"))</f>
        <v/>
      </c>
      <c r="E3250">
        <f>IF(A3250="","",IF(SUMPRODUCT((Ввод!$F$12:$F$31&lt;&gt;"")*(Ввод!$F$12:$F$31&lt;=A3250)*(Ввод!$G$12:$G$31&gt;=A3250))&gt;0,1,0))</f>
        <v/>
      </c>
      <c r="G3250">
        <f>IF(A3250="","",IF(OR(B3250&lt;&gt;B3249,C3250&lt;&gt;C3249,E3250&lt;&gt;E3249),G3249+1,G3249))</f>
        <v/>
      </c>
    </row>
    <row r="3251">
      <c r="A3251" s="20">
        <f>IF(A3250="","",IF(A3250+1&gt;Ввод!$B$4,"",A3250+1))</f>
        <v/>
      </c>
      <c r="B3251">
        <f>IF(A3251="","",IFERROR(INDEX(Ввод!$B$12:$B$71,MATCH(A3251,Ввод!$D$12:$D$71,1)),""))</f>
        <v/>
      </c>
      <c r="C3251">
        <f>IF(A3251="","",DATE(YEAR(A3251),12,31)-DATE(YEAR(A3251),1,1)+1)</f>
        <v/>
      </c>
      <c r="D3251">
        <f>IF(A3251="","",SUMIFS(Акты!$D$5:$D$16,Акты!$E$5:$E$16,"&lt;="&amp;A3251)-SUMIFS(Оплаты!$B$6:$B$505,Оплаты!$A$6:$A$505,"&lt;"&amp;A3251,Оплаты!$D$6:$D$505,"&lt;&gt;"))</f>
        <v/>
      </c>
      <c r="E3251">
        <f>IF(A3251="","",IF(SUMPRODUCT((Ввод!$F$12:$F$31&lt;&gt;"")*(Ввод!$F$12:$F$31&lt;=A3251)*(Ввод!$G$12:$G$31&gt;=A3251))&gt;0,1,0))</f>
        <v/>
      </c>
      <c r="G3251">
        <f>IF(A3251="","",IF(OR(B3251&lt;&gt;B3250,C3251&lt;&gt;C3250,E3251&lt;&gt;E3250),G3250+1,G3250))</f>
        <v/>
      </c>
    </row>
    <row r="3252">
      <c r="A3252" s="20">
        <f>IF(A3251="","",IF(A3251+1&gt;Ввод!$B$4,"",A3251+1))</f>
        <v/>
      </c>
      <c r="B3252">
        <f>IF(A3252="","",IFERROR(INDEX(Ввод!$B$12:$B$71,MATCH(A3252,Ввод!$D$12:$D$71,1)),""))</f>
        <v/>
      </c>
      <c r="C3252">
        <f>IF(A3252="","",DATE(YEAR(A3252),12,31)-DATE(YEAR(A3252),1,1)+1)</f>
        <v/>
      </c>
      <c r="D3252">
        <f>IF(A3252="","",SUMIFS(Акты!$D$5:$D$16,Акты!$E$5:$E$16,"&lt;="&amp;A3252)-SUMIFS(Оплаты!$B$6:$B$505,Оплаты!$A$6:$A$505,"&lt;"&amp;A3252,Оплаты!$D$6:$D$505,"&lt;&gt;"))</f>
        <v/>
      </c>
      <c r="E3252">
        <f>IF(A3252="","",IF(SUMPRODUCT((Ввод!$F$12:$F$31&lt;&gt;"")*(Ввод!$F$12:$F$31&lt;=A3252)*(Ввод!$G$12:$G$31&gt;=A3252))&gt;0,1,0))</f>
        <v/>
      </c>
      <c r="G3252">
        <f>IF(A3252="","",IF(OR(B3252&lt;&gt;B3251,C3252&lt;&gt;C3251,E3252&lt;&gt;E3251),G3251+1,G3251))</f>
        <v/>
      </c>
    </row>
    <row r="3253">
      <c r="A3253" s="20">
        <f>IF(A3252="","",IF(A3252+1&gt;Ввод!$B$4,"",A3252+1))</f>
        <v/>
      </c>
      <c r="B3253">
        <f>IF(A3253="","",IFERROR(INDEX(Ввод!$B$12:$B$71,MATCH(A3253,Ввод!$D$12:$D$71,1)),""))</f>
        <v/>
      </c>
      <c r="C3253">
        <f>IF(A3253="","",DATE(YEAR(A3253),12,31)-DATE(YEAR(A3253),1,1)+1)</f>
        <v/>
      </c>
      <c r="D3253">
        <f>IF(A3253="","",SUMIFS(Акты!$D$5:$D$16,Акты!$E$5:$E$16,"&lt;="&amp;A3253)-SUMIFS(Оплаты!$B$6:$B$505,Оплаты!$A$6:$A$505,"&lt;"&amp;A3253,Оплаты!$D$6:$D$505,"&lt;&gt;"))</f>
        <v/>
      </c>
      <c r="E3253">
        <f>IF(A3253="","",IF(SUMPRODUCT((Ввод!$F$12:$F$31&lt;&gt;"")*(Ввод!$F$12:$F$31&lt;=A3253)*(Ввод!$G$12:$G$31&gt;=A3253))&gt;0,1,0))</f>
        <v/>
      </c>
      <c r="G3253">
        <f>IF(A3253="","",IF(OR(B3253&lt;&gt;B3252,C3253&lt;&gt;C3252,E3253&lt;&gt;E3252),G3252+1,G3252))</f>
        <v/>
      </c>
    </row>
    <row r="3254">
      <c r="A3254" s="20">
        <f>IF(A3253="","",IF(A3253+1&gt;Ввод!$B$4,"",A3253+1))</f>
        <v/>
      </c>
      <c r="B3254">
        <f>IF(A3254="","",IFERROR(INDEX(Ввод!$B$12:$B$71,MATCH(A3254,Ввод!$D$12:$D$71,1)),""))</f>
        <v/>
      </c>
      <c r="C3254">
        <f>IF(A3254="","",DATE(YEAR(A3254),12,31)-DATE(YEAR(A3254),1,1)+1)</f>
        <v/>
      </c>
      <c r="D3254">
        <f>IF(A3254="","",SUMIFS(Акты!$D$5:$D$16,Акты!$E$5:$E$16,"&lt;="&amp;A3254)-SUMIFS(Оплаты!$B$6:$B$505,Оплаты!$A$6:$A$505,"&lt;"&amp;A3254,Оплаты!$D$6:$D$505,"&lt;&gt;"))</f>
        <v/>
      </c>
      <c r="E3254">
        <f>IF(A3254="","",IF(SUMPRODUCT((Ввод!$F$12:$F$31&lt;&gt;"")*(Ввод!$F$12:$F$31&lt;=A3254)*(Ввод!$G$12:$G$31&gt;=A3254))&gt;0,1,0))</f>
        <v/>
      </c>
      <c r="G3254">
        <f>IF(A3254="","",IF(OR(B3254&lt;&gt;B3253,C3254&lt;&gt;C3253,E3254&lt;&gt;E3253),G3253+1,G3253))</f>
        <v/>
      </c>
    </row>
    <row r="3255">
      <c r="A3255" s="20">
        <f>IF(A3254="","",IF(A3254+1&gt;Ввод!$B$4,"",A3254+1))</f>
        <v/>
      </c>
      <c r="B3255">
        <f>IF(A3255="","",IFERROR(INDEX(Ввод!$B$12:$B$71,MATCH(A3255,Ввод!$D$12:$D$71,1)),""))</f>
        <v/>
      </c>
      <c r="C3255">
        <f>IF(A3255="","",DATE(YEAR(A3255),12,31)-DATE(YEAR(A3255),1,1)+1)</f>
        <v/>
      </c>
      <c r="D3255">
        <f>IF(A3255="","",SUMIFS(Акты!$D$5:$D$16,Акты!$E$5:$E$16,"&lt;="&amp;A3255)-SUMIFS(Оплаты!$B$6:$B$505,Оплаты!$A$6:$A$505,"&lt;"&amp;A3255,Оплаты!$D$6:$D$505,"&lt;&gt;"))</f>
        <v/>
      </c>
      <c r="E3255">
        <f>IF(A3255="","",IF(SUMPRODUCT((Ввод!$F$12:$F$31&lt;&gt;"")*(Ввод!$F$12:$F$31&lt;=A3255)*(Ввод!$G$12:$G$31&gt;=A3255))&gt;0,1,0))</f>
        <v/>
      </c>
      <c r="G3255">
        <f>IF(A3255="","",IF(OR(B3255&lt;&gt;B3254,C3255&lt;&gt;C3254,E3255&lt;&gt;E3254),G3254+1,G3254))</f>
        <v/>
      </c>
    </row>
    <row r="3256">
      <c r="A3256" s="20">
        <f>IF(A3255="","",IF(A3255+1&gt;Ввод!$B$4,"",A3255+1))</f>
        <v/>
      </c>
      <c r="B3256">
        <f>IF(A3256="","",IFERROR(INDEX(Ввод!$B$12:$B$71,MATCH(A3256,Ввод!$D$12:$D$71,1)),""))</f>
        <v/>
      </c>
      <c r="C3256">
        <f>IF(A3256="","",DATE(YEAR(A3256),12,31)-DATE(YEAR(A3256),1,1)+1)</f>
        <v/>
      </c>
      <c r="D3256">
        <f>IF(A3256="","",SUMIFS(Акты!$D$5:$D$16,Акты!$E$5:$E$16,"&lt;="&amp;A3256)-SUMIFS(Оплаты!$B$6:$B$505,Оплаты!$A$6:$A$505,"&lt;"&amp;A3256,Оплаты!$D$6:$D$505,"&lt;&gt;"))</f>
        <v/>
      </c>
      <c r="E3256">
        <f>IF(A3256="","",IF(SUMPRODUCT((Ввод!$F$12:$F$31&lt;&gt;"")*(Ввод!$F$12:$F$31&lt;=A3256)*(Ввод!$G$12:$G$31&gt;=A3256))&gt;0,1,0))</f>
        <v/>
      </c>
      <c r="G3256">
        <f>IF(A3256="","",IF(OR(B3256&lt;&gt;B3255,C3256&lt;&gt;C3255,E3256&lt;&gt;E3255),G3255+1,G3255))</f>
        <v/>
      </c>
    </row>
    <row r="3257">
      <c r="A3257" s="20">
        <f>IF(A3256="","",IF(A3256+1&gt;Ввод!$B$4,"",A3256+1))</f>
        <v/>
      </c>
      <c r="B3257">
        <f>IF(A3257="","",IFERROR(INDEX(Ввод!$B$12:$B$71,MATCH(A3257,Ввод!$D$12:$D$71,1)),""))</f>
        <v/>
      </c>
      <c r="C3257">
        <f>IF(A3257="","",DATE(YEAR(A3257),12,31)-DATE(YEAR(A3257),1,1)+1)</f>
        <v/>
      </c>
      <c r="D3257">
        <f>IF(A3257="","",SUMIFS(Акты!$D$5:$D$16,Акты!$E$5:$E$16,"&lt;="&amp;A3257)-SUMIFS(Оплаты!$B$6:$B$505,Оплаты!$A$6:$A$505,"&lt;"&amp;A3257,Оплаты!$D$6:$D$505,"&lt;&gt;"))</f>
        <v/>
      </c>
      <c r="E3257">
        <f>IF(A3257="","",IF(SUMPRODUCT((Ввод!$F$12:$F$31&lt;&gt;"")*(Ввод!$F$12:$F$31&lt;=A3257)*(Ввод!$G$12:$G$31&gt;=A3257))&gt;0,1,0))</f>
        <v/>
      </c>
      <c r="G3257">
        <f>IF(A3257="","",IF(OR(B3257&lt;&gt;B3256,C3257&lt;&gt;C3256,E3257&lt;&gt;E3256),G3256+1,G3256))</f>
        <v/>
      </c>
    </row>
    <row r="3258">
      <c r="A3258" s="20">
        <f>IF(A3257="","",IF(A3257+1&gt;Ввод!$B$4,"",A3257+1))</f>
        <v/>
      </c>
      <c r="B3258">
        <f>IF(A3258="","",IFERROR(INDEX(Ввод!$B$12:$B$71,MATCH(A3258,Ввод!$D$12:$D$71,1)),""))</f>
        <v/>
      </c>
      <c r="C3258">
        <f>IF(A3258="","",DATE(YEAR(A3258),12,31)-DATE(YEAR(A3258),1,1)+1)</f>
        <v/>
      </c>
      <c r="D3258">
        <f>IF(A3258="","",SUMIFS(Акты!$D$5:$D$16,Акты!$E$5:$E$16,"&lt;="&amp;A3258)-SUMIFS(Оплаты!$B$6:$B$505,Оплаты!$A$6:$A$505,"&lt;"&amp;A3258,Оплаты!$D$6:$D$505,"&lt;&gt;"))</f>
        <v/>
      </c>
      <c r="E3258">
        <f>IF(A3258="","",IF(SUMPRODUCT((Ввод!$F$12:$F$31&lt;&gt;"")*(Ввод!$F$12:$F$31&lt;=A3258)*(Ввод!$G$12:$G$31&gt;=A3258))&gt;0,1,0))</f>
        <v/>
      </c>
      <c r="G3258">
        <f>IF(A3258="","",IF(OR(B3258&lt;&gt;B3257,C3258&lt;&gt;C3257,E3258&lt;&gt;E3257),G3257+1,G3257))</f>
        <v/>
      </c>
    </row>
    <row r="3259">
      <c r="A3259" s="20">
        <f>IF(A3258="","",IF(A3258+1&gt;Ввод!$B$4,"",A3258+1))</f>
        <v/>
      </c>
      <c r="B3259">
        <f>IF(A3259="","",IFERROR(INDEX(Ввод!$B$12:$B$71,MATCH(A3259,Ввод!$D$12:$D$71,1)),""))</f>
        <v/>
      </c>
      <c r="C3259">
        <f>IF(A3259="","",DATE(YEAR(A3259),12,31)-DATE(YEAR(A3259),1,1)+1)</f>
        <v/>
      </c>
      <c r="D3259">
        <f>IF(A3259="","",SUMIFS(Акты!$D$5:$D$16,Акты!$E$5:$E$16,"&lt;="&amp;A3259)-SUMIFS(Оплаты!$B$6:$B$505,Оплаты!$A$6:$A$505,"&lt;"&amp;A3259,Оплаты!$D$6:$D$505,"&lt;&gt;"))</f>
        <v/>
      </c>
      <c r="E3259">
        <f>IF(A3259="","",IF(SUMPRODUCT((Ввод!$F$12:$F$31&lt;&gt;"")*(Ввод!$F$12:$F$31&lt;=A3259)*(Ввод!$G$12:$G$31&gt;=A3259))&gt;0,1,0))</f>
        <v/>
      </c>
      <c r="G3259">
        <f>IF(A3259="","",IF(OR(B3259&lt;&gt;B3258,C3259&lt;&gt;C3258,E3259&lt;&gt;E3258),G3258+1,G3258))</f>
        <v/>
      </c>
    </row>
    <row r="3260">
      <c r="A3260" s="20">
        <f>IF(A3259="","",IF(A3259+1&gt;Ввод!$B$4,"",A3259+1))</f>
        <v/>
      </c>
      <c r="B3260">
        <f>IF(A3260="","",IFERROR(INDEX(Ввод!$B$12:$B$71,MATCH(A3260,Ввод!$D$12:$D$71,1)),""))</f>
        <v/>
      </c>
      <c r="C3260">
        <f>IF(A3260="","",DATE(YEAR(A3260),12,31)-DATE(YEAR(A3260),1,1)+1)</f>
        <v/>
      </c>
      <c r="D3260">
        <f>IF(A3260="","",SUMIFS(Акты!$D$5:$D$16,Акты!$E$5:$E$16,"&lt;="&amp;A3260)-SUMIFS(Оплаты!$B$6:$B$505,Оплаты!$A$6:$A$505,"&lt;"&amp;A3260,Оплаты!$D$6:$D$505,"&lt;&gt;"))</f>
        <v/>
      </c>
      <c r="E3260">
        <f>IF(A3260="","",IF(SUMPRODUCT((Ввод!$F$12:$F$31&lt;&gt;"")*(Ввод!$F$12:$F$31&lt;=A3260)*(Ввод!$G$12:$G$31&gt;=A3260))&gt;0,1,0))</f>
        <v/>
      </c>
      <c r="G3260">
        <f>IF(A3260="","",IF(OR(B3260&lt;&gt;B3259,C3260&lt;&gt;C3259,E3260&lt;&gt;E3259),G3259+1,G3259))</f>
        <v/>
      </c>
    </row>
    <row r="3261">
      <c r="A3261" s="20">
        <f>IF(A3260="","",IF(A3260+1&gt;Ввод!$B$4,"",A3260+1))</f>
        <v/>
      </c>
      <c r="B3261">
        <f>IF(A3261="","",IFERROR(INDEX(Ввод!$B$12:$B$71,MATCH(A3261,Ввод!$D$12:$D$71,1)),""))</f>
        <v/>
      </c>
      <c r="C3261">
        <f>IF(A3261="","",DATE(YEAR(A3261),12,31)-DATE(YEAR(A3261),1,1)+1)</f>
        <v/>
      </c>
      <c r="D3261">
        <f>IF(A3261="","",SUMIFS(Акты!$D$5:$D$16,Акты!$E$5:$E$16,"&lt;="&amp;A3261)-SUMIFS(Оплаты!$B$6:$B$505,Оплаты!$A$6:$A$505,"&lt;"&amp;A3261,Оплаты!$D$6:$D$505,"&lt;&gt;"))</f>
        <v/>
      </c>
      <c r="E3261">
        <f>IF(A3261="","",IF(SUMPRODUCT((Ввод!$F$12:$F$31&lt;&gt;"")*(Ввод!$F$12:$F$31&lt;=A3261)*(Ввод!$G$12:$G$31&gt;=A3261))&gt;0,1,0))</f>
        <v/>
      </c>
      <c r="G3261">
        <f>IF(A3261="","",IF(OR(B3261&lt;&gt;B3260,C3261&lt;&gt;C3260,E3261&lt;&gt;E3260),G3260+1,G3260))</f>
        <v/>
      </c>
    </row>
    <row r="3262">
      <c r="A3262" s="20">
        <f>IF(A3261="","",IF(A3261+1&gt;Ввод!$B$4,"",A3261+1))</f>
        <v/>
      </c>
      <c r="B3262">
        <f>IF(A3262="","",IFERROR(INDEX(Ввод!$B$12:$B$71,MATCH(A3262,Ввод!$D$12:$D$71,1)),""))</f>
        <v/>
      </c>
      <c r="C3262">
        <f>IF(A3262="","",DATE(YEAR(A3262),12,31)-DATE(YEAR(A3262),1,1)+1)</f>
        <v/>
      </c>
      <c r="D3262">
        <f>IF(A3262="","",SUMIFS(Акты!$D$5:$D$16,Акты!$E$5:$E$16,"&lt;="&amp;A3262)-SUMIFS(Оплаты!$B$6:$B$505,Оплаты!$A$6:$A$505,"&lt;"&amp;A3262,Оплаты!$D$6:$D$505,"&lt;&gt;"))</f>
        <v/>
      </c>
      <c r="E3262">
        <f>IF(A3262="","",IF(SUMPRODUCT((Ввод!$F$12:$F$31&lt;&gt;"")*(Ввод!$F$12:$F$31&lt;=A3262)*(Ввод!$G$12:$G$31&gt;=A3262))&gt;0,1,0))</f>
        <v/>
      </c>
      <c r="G3262">
        <f>IF(A3262="","",IF(OR(B3262&lt;&gt;B3261,C3262&lt;&gt;C3261,E3262&lt;&gt;E3261),G3261+1,G3261))</f>
        <v/>
      </c>
    </row>
    <row r="3263">
      <c r="A3263" s="20">
        <f>IF(A3262="","",IF(A3262+1&gt;Ввод!$B$4,"",A3262+1))</f>
        <v/>
      </c>
      <c r="B3263">
        <f>IF(A3263="","",IFERROR(INDEX(Ввод!$B$12:$B$71,MATCH(A3263,Ввод!$D$12:$D$71,1)),""))</f>
        <v/>
      </c>
      <c r="C3263">
        <f>IF(A3263="","",DATE(YEAR(A3263),12,31)-DATE(YEAR(A3263),1,1)+1)</f>
        <v/>
      </c>
      <c r="D3263">
        <f>IF(A3263="","",SUMIFS(Акты!$D$5:$D$16,Акты!$E$5:$E$16,"&lt;="&amp;A3263)-SUMIFS(Оплаты!$B$6:$B$505,Оплаты!$A$6:$A$505,"&lt;"&amp;A3263,Оплаты!$D$6:$D$505,"&lt;&gt;"))</f>
        <v/>
      </c>
      <c r="E3263">
        <f>IF(A3263="","",IF(SUMPRODUCT((Ввод!$F$12:$F$31&lt;&gt;"")*(Ввод!$F$12:$F$31&lt;=A3263)*(Ввод!$G$12:$G$31&gt;=A3263))&gt;0,1,0))</f>
        <v/>
      </c>
      <c r="G3263">
        <f>IF(A3263="","",IF(OR(B3263&lt;&gt;B3262,C3263&lt;&gt;C3262,E3263&lt;&gt;E3262),G3262+1,G3262))</f>
        <v/>
      </c>
    </row>
    <row r="3264">
      <c r="A3264" s="20">
        <f>IF(A3263="","",IF(A3263+1&gt;Ввод!$B$4,"",A3263+1))</f>
        <v/>
      </c>
      <c r="B3264">
        <f>IF(A3264="","",IFERROR(INDEX(Ввод!$B$12:$B$71,MATCH(A3264,Ввод!$D$12:$D$71,1)),""))</f>
        <v/>
      </c>
      <c r="C3264">
        <f>IF(A3264="","",DATE(YEAR(A3264),12,31)-DATE(YEAR(A3264),1,1)+1)</f>
        <v/>
      </c>
      <c r="D3264">
        <f>IF(A3264="","",SUMIFS(Акты!$D$5:$D$16,Акты!$E$5:$E$16,"&lt;="&amp;A3264)-SUMIFS(Оплаты!$B$6:$B$505,Оплаты!$A$6:$A$505,"&lt;"&amp;A3264,Оплаты!$D$6:$D$505,"&lt;&gt;"))</f>
        <v/>
      </c>
      <c r="E3264">
        <f>IF(A3264="","",IF(SUMPRODUCT((Ввод!$F$12:$F$31&lt;&gt;"")*(Ввод!$F$12:$F$31&lt;=A3264)*(Ввод!$G$12:$G$31&gt;=A3264))&gt;0,1,0))</f>
        <v/>
      </c>
      <c r="G3264">
        <f>IF(A3264="","",IF(OR(B3264&lt;&gt;B3263,C3264&lt;&gt;C3263,E3264&lt;&gt;E3263),G3263+1,G3263))</f>
        <v/>
      </c>
    </row>
    <row r="3265">
      <c r="A3265" s="20">
        <f>IF(A3264="","",IF(A3264+1&gt;Ввод!$B$4,"",A3264+1))</f>
        <v/>
      </c>
      <c r="B3265">
        <f>IF(A3265="","",IFERROR(INDEX(Ввод!$B$12:$B$71,MATCH(A3265,Ввод!$D$12:$D$71,1)),""))</f>
        <v/>
      </c>
      <c r="C3265">
        <f>IF(A3265="","",DATE(YEAR(A3265),12,31)-DATE(YEAR(A3265),1,1)+1)</f>
        <v/>
      </c>
      <c r="D3265">
        <f>IF(A3265="","",SUMIFS(Акты!$D$5:$D$16,Акты!$E$5:$E$16,"&lt;="&amp;A3265)-SUMIFS(Оплаты!$B$6:$B$505,Оплаты!$A$6:$A$505,"&lt;"&amp;A3265,Оплаты!$D$6:$D$505,"&lt;&gt;"))</f>
        <v/>
      </c>
      <c r="E3265">
        <f>IF(A3265="","",IF(SUMPRODUCT((Ввод!$F$12:$F$31&lt;&gt;"")*(Ввод!$F$12:$F$31&lt;=A3265)*(Ввод!$G$12:$G$31&gt;=A3265))&gt;0,1,0))</f>
        <v/>
      </c>
      <c r="G3265">
        <f>IF(A3265="","",IF(OR(B3265&lt;&gt;B3264,C3265&lt;&gt;C3264,E3265&lt;&gt;E3264),G3264+1,G3264))</f>
        <v/>
      </c>
    </row>
    <row r="3266">
      <c r="A3266" s="20">
        <f>IF(A3265="","",IF(A3265+1&gt;Ввод!$B$4,"",A3265+1))</f>
        <v/>
      </c>
      <c r="B3266">
        <f>IF(A3266="","",IFERROR(INDEX(Ввод!$B$12:$B$71,MATCH(A3266,Ввод!$D$12:$D$71,1)),""))</f>
        <v/>
      </c>
      <c r="C3266">
        <f>IF(A3266="","",DATE(YEAR(A3266),12,31)-DATE(YEAR(A3266),1,1)+1)</f>
        <v/>
      </c>
      <c r="D3266">
        <f>IF(A3266="","",SUMIFS(Акты!$D$5:$D$16,Акты!$E$5:$E$16,"&lt;="&amp;A3266)-SUMIFS(Оплаты!$B$6:$B$505,Оплаты!$A$6:$A$505,"&lt;"&amp;A3266,Оплаты!$D$6:$D$505,"&lt;&gt;"))</f>
        <v/>
      </c>
      <c r="E3266">
        <f>IF(A3266="","",IF(SUMPRODUCT((Ввод!$F$12:$F$31&lt;&gt;"")*(Ввод!$F$12:$F$31&lt;=A3266)*(Ввод!$G$12:$G$31&gt;=A3266))&gt;0,1,0))</f>
        <v/>
      </c>
      <c r="G3266">
        <f>IF(A3266="","",IF(OR(B3266&lt;&gt;B3265,C3266&lt;&gt;C3265,E3266&lt;&gt;E3265),G3265+1,G3265))</f>
        <v/>
      </c>
    </row>
    <row r="3267">
      <c r="A3267" s="20">
        <f>IF(A3266="","",IF(A3266+1&gt;Ввод!$B$4,"",A3266+1))</f>
        <v/>
      </c>
      <c r="B3267">
        <f>IF(A3267="","",IFERROR(INDEX(Ввод!$B$12:$B$71,MATCH(A3267,Ввод!$D$12:$D$71,1)),""))</f>
        <v/>
      </c>
      <c r="C3267">
        <f>IF(A3267="","",DATE(YEAR(A3267),12,31)-DATE(YEAR(A3267),1,1)+1)</f>
        <v/>
      </c>
      <c r="D3267">
        <f>IF(A3267="","",SUMIFS(Акты!$D$5:$D$16,Акты!$E$5:$E$16,"&lt;="&amp;A3267)-SUMIFS(Оплаты!$B$6:$B$505,Оплаты!$A$6:$A$505,"&lt;"&amp;A3267,Оплаты!$D$6:$D$505,"&lt;&gt;"))</f>
        <v/>
      </c>
      <c r="E3267">
        <f>IF(A3267="","",IF(SUMPRODUCT((Ввод!$F$12:$F$31&lt;&gt;"")*(Ввод!$F$12:$F$31&lt;=A3267)*(Ввод!$G$12:$G$31&gt;=A3267))&gt;0,1,0))</f>
        <v/>
      </c>
      <c r="G3267">
        <f>IF(A3267="","",IF(OR(B3267&lt;&gt;B3266,C3267&lt;&gt;C3266,E3267&lt;&gt;E3266),G3266+1,G3266))</f>
        <v/>
      </c>
    </row>
    <row r="3268">
      <c r="A3268" s="20">
        <f>IF(A3267="","",IF(A3267+1&gt;Ввод!$B$4,"",A3267+1))</f>
        <v/>
      </c>
      <c r="B3268">
        <f>IF(A3268="","",IFERROR(INDEX(Ввод!$B$12:$B$71,MATCH(A3268,Ввод!$D$12:$D$71,1)),""))</f>
        <v/>
      </c>
      <c r="C3268">
        <f>IF(A3268="","",DATE(YEAR(A3268),12,31)-DATE(YEAR(A3268),1,1)+1)</f>
        <v/>
      </c>
      <c r="D3268">
        <f>IF(A3268="","",SUMIFS(Акты!$D$5:$D$16,Акты!$E$5:$E$16,"&lt;="&amp;A3268)-SUMIFS(Оплаты!$B$6:$B$505,Оплаты!$A$6:$A$505,"&lt;"&amp;A3268,Оплаты!$D$6:$D$505,"&lt;&gt;"))</f>
        <v/>
      </c>
      <c r="E3268">
        <f>IF(A3268="","",IF(SUMPRODUCT((Ввод!$F$12:$F$31&lt;&gt;"")*(Ввод!$F$12:$F$31&lt;=A3268)*(Ввод!$G$12:$G$31&gt;=A3268))&gt;0,1,0))</f>
        <v/>
      </c>
      <c r="G3268">
        <f>IF(A3268="","",IF(OR(B3268&lt;&gt;B3267,C3268&lt;&gt;C3267,E3268&lt;&gt;E3267),G3267+1,G3267))</f>
        <v/>
      </c>
    </row>
    <row r="3269">
      <c r="A3269" s="20">
        <f>IF(A3268="","",IF(A3268+1&gt;Ввод!$B$4,"",A3268+1))</f>
        <v/>
      </c>
      <c r="B3269">
        <f>IF(A3269="","",IFERROR(INDEX(Ввод!$B$12:$B$71,MATCH(A3269,Ввод!$D$12:$D$71,1)),""))</f>
        <v/>
      </c>
      <c r="C3269">
        <f>IF(A3269="","",DATE(YEAR(A3269),12,31)-DATE(YEAR(A3269),1,1)+1)</f>
        <v/>
      </c>
      <c r="D3269">
        <f>IF(A3269="","",SUMIFS(Акты!$D$5:$D$16,Акты!$E$5:$E$16,"&lt;="&amp;A3269)-SUMIFS(Оплаты!$B$6:$B$505,Оплаты!$A$6:$A$505,"&lt;"&amp;A3269,Оплаты!$D$6:$D$505,"&lt;&gt;"))</f>
        <v/>
      </c>
      <c r="E3269">
        <f>IF(A3269="","",IF(SUMPRODUCT((Ввод!$F$12:$F$31&lt;&gt;"")*(Ввод!$F$12:$F$31&lt;=A3269)*(Ввод!$G$12:$G$31&gt;=A3269))&gt;0,1,0))</f>
        <v/>
      </c>
      <c r="G3269">
        <f>IF(A3269="","",IF(OR(B3269&lt;&gt;B3268,C3269&lt;&gt;C3268,E3269&lt;&gt;E3268),G3268+1,G3268))</f>
        <v/>
      </c>
    </row>
    <row r="3270">
      <c r="A3270" s="20">
        <f>IF(A3269="","",IF(A3269+1&gt;Ввод!$B$4,"",A3269+1))</f>
        <v/>
      </c>
      <c r="B3270">
        <f>IF(A3270="","",IFERROR(INDEX(Ввод!$B$12:$B$71,MATCH(A3270,Ввод!$D$12:$D$71,1)),""))</f>
        <v/>
      </c>
      <c r="C3270">
        <f>IF(A3270="","",DATE(YEAR(A3270),12,31)-DATE(YEAR(A3270),1,1)+1)</f>
        <v/>
      </c>
      <c r="D3270">
        <f>IF(A3270="","",SUMIFS(Акты!$D$5:$D$16,Акты!$E$5:$E$16,"&lt;="&amp;A3270)-SUMIFS(Оплаты!$B$6:$B$505,Оплаты!$A$6:$A$505,"&lt;"&amp;A3270,Оплаты!$D$6:$D$505,"&lt;&gt;"))</f>
        <v/>
      </c>
      <c r="E3270">
        <f>IF(A3270="","",IF(SUMPRODUCT((Ввод!$F$12:$F$31&lt;&gt;"")*(Ввод!$F$12:$F$31&lt;=A3270)*(Ввод!$G$12:$G$31&gt;=A3270))&gt;0,1,0))</f>
        <v/>
      </c>
      <c r="G3270">
        <f>IF(A3270="","",IF(OR(B3270&lt;&gt;B3269,C3270&lt;&gt;C3269,E3270&lt;&gt;E3269),G3269+1,G3269))</f>
        <v/>
      </c>
    </row>
    <row r="3271">
      <c r="A3271" s="20">
        <f>IF(A3270="","",IF(A3270+1&gt;Ввод!$B$4,"",A3270+1))</f>
        <v/>
      </c>
      <c r="B3271">
        <f>IF(A3271="","",IFERROR(INDEX(Ввод!$B$12:$B$71,MATCH(A3271,Ввод!$D$12:$D$71,1)),""))</f>
        <v/>
      </c>
      <c r="C3271">
        <f>IF(A3271="","",DATE(YEAR(A3271),12,31)-DATE(YEAR(A3271),1,1)+1)</f>
        <v/>
      </c>
      <c r="D3271">
        <f>IF(A3271="","",SUMIFS(Акты!$D$5:$D$16,Акты!$E$5:$E$16,"&lt;="&amp;A3271)-SUMIFS(Оплаты!$B$6:$B$505,Оплаты!$A$6:$A$505,"&lt;"&amp;A3271,Оплаты!$D$6:$D$505,"&lt;&gt;"))</f>
        <v/>
      </c>
      <c r="E3271">
        <f>IF(A3271="","",IF(SUMPRODUCT((Ввод!$F$12:$F$31&lt;&gt;"")*(Ввод!$F$12:$F$31&lt;=A3271)*(Ввод!$G$12:$G$31&gt;=A3271))&gt;0,1,0))</f>
        <v/>
      </c>
      <c r="G3271">
        <f>IF(A3271="","",IF(OR(B3271&lt;&gt;B3270,C3271&lt;&gt;C3270,E3271&lt;&gt;E3270),G3270+1,G3270))</f>
        <v/>
      </c>
    </row>
    <row r="3272">
      <c r="A3272" s="20">
        <f>IF(A3271="","",IF(A3271+1&gt;Ввод!$B$4,"",A3271+1))</f>
        <v/>
      </c>
      <c r="B3272">
        <f>IF(A3272="","",IFERROR(INDEX(Ввод!$B$12:$B$71,MATCH(A3272,Ввод!$D$12:$D$71,1)),""))</f>
        <v/>
      </c>
      <c r="C3272">
        <f>IF(A3272="","",DATE(YEAR(A3272),12,31)-DATE(YEAR(A3272),1,1)+1)</f>
        <v/>
      </c>
      <c r="D3272">
        <f>IF(A3272="","",SUMIFS(Акты!$D$5:$D$16,Акты!$E$5:$E$16,"&lt;="&amp;A3272)-SUMIFS(Оплаты!$B$6:$B$505,Оплаты!$A$6:$A$505,"&lt;"&amp;A3272,Оплаты!$D$6:$D$505,"&lt;&gt;"))</f>
        <v/>
      </c>
      <c r="E3272">
        <f>IF(A3272="","",IF(SUMPRODUCT((Ввод!$F$12:$F$31&lt;&gt;"")*(Ввод!$F$12:$F$31&lt;=A3272)*(Ввод!$G$12:$G$31&gt;=A3272))&gt;0,1,0))</f>
        <v/>
      </c>
      <c r="G3272">
        <f>IF(A3272="","",IF(OR(B3272&lt;&gt;B3271,C3272&lt;&gt;C3271,E3272&lt;&gt;E3271),G3271+1,G3271))</f>
        <v/>
      </c>
    </row>
    <row r="3273">
      <c r="A3273" s="20">
        <f>IF(A3272="","",IF(A3272+1&gt;Ввод!$B$4,"",A3272+1))</f>
        <v/>
      </c>
      <c r="B3273">
        <f>IF(A3273="","",IFERROR(INDEX(Ввод!$B$12:$B$71,MATCH(A3273,Ввод!$D$12:$D$71,1)),""))</f>
        <v/>
      </c>
      <c r="C3273">
        <f>IF(A3273="","",DATE(YEAR(A3273),12,31)-DATE(YEAR(A3273),1,1)+1)</f>
        <v/>
      </c>
      <c r="D3273">
        <f>IF(A3273="","",SUMIFS(Акты!$D$5:$D$16,Акты!$E$5:$E$16,"&lt;="&amp;A3273)-SUMIFS(Оплаты!$B$6:$B$505,Оплаты!$A$6:$A$505,"&lt;"&amp;A3273,Оплаты!$D$6:$D$505,"&lt;&gt;"))</f>
        <v/>
      </c>
      <c r="E3273">
        <f>IF(A3273="","",IF(SUMPRODUCT((Ввод!$F$12:$F$31&lt;&gt;"")*(Ввод!$F$12:$F$31&lt;=A3273)*(Ввод!$G$12:$G$31&gt;=A3273))&gt;0,1,0))</f>
        <v/>
      </c>
      <c r="G3273">
        <f>IF(A3273="","",IF(OR(B3273&lt;&gt;B3272,C3273&lt;&gt;C3272,E3273&lt;&gt;E3272),G3272+1,G3272))</f>
        <v/>
      </c>
    </row>
    <row r="3274">
      <c r="A3274" s="20">
        <f>IF(A3273="","",IF(A3273+1&gt;Ввод!$B$4,"",A3273+1))</f>
        <v/>
      </c>
      <c r="B3274">
        <f>IF(A3274="","",IFERROR(INDEX(Ввод!$B$12:$B$71,MATCH(A3274,Ввод!$D$12:$D$71,1)),""))</f>
        <v/>
      </c>
      <c r="C3274">
        <f>IF(A3274="","",DATE(YEAR(A3274),12,31)-DATE(YEAR(A3274),1,1)+1)</f>
        <v/>
      </c>
      <c r="D3274">
        <f>IF(A3274="","",SUMIFS(Акты!$D$5:$D$16,Акты!$E$5:$E$16,"&lt;="&amp;A3274)-SUMIFS(Оплаты!$B$6:$B$505,Оплаты!$A$6:$A$505,"&lt;"&amp;A3274,Оплаты!$D$6:$D$505,"&lt;&gt;"))</f>
        <v/>
      </c>
      <c r="E3274">
        <f>IF(A3274="","",IF(SUMPRODUCT((Ввод!$F$12:$F$31&lt;&gt;"")*(Ввод!$F$12:$F$31&lt;=A3274)*(Ввод!$G$12:$G$31&gt;=A3274))&gt;0,1,0))</f>
        <v/>
      </c>
      <c r="G3274">
        <f>IF(A3274="","",IF(OR(B3274&lt;&gt;B3273,C3274&lt;&gt;C3273,E3274&lt;&gt;E3273),G3273+1,G3273))</f>
        <v/>
      </c>
    </row>
    <row r="3275">
      <c r="A3275" s="20">
        <f>IF(A3274="","",IF(A3274+1&gt;Ввод!$B$4,"",A3274+1))</f>
        <v/>
      </c>
      <c r="B3275">
        <f>IF(A3275="","",IFERROR(INDEX(Ввод!$B$12:$B$71,MATCH(A3275,Ввод!$D$12:$D$71,1)),""))</f>
        <v/>
      </c>
      <c r="C3275">
        <f>IF(A3275="","",DATE(YEAR(A3275),12,31)-DATE(YEAR(A3275),1,1)+1)</f>
        <v/>
      </c>
      <c r="D3275">
        <f>IF(A3275="","",SUMIFS(Акты!$D$5:$D$16,Акты!$E$5:$E$16,"&lt;="&amp;A3275)-SUMIFS(Оплаты!$B$6:$B$505,Оплаты!$A$6:$A$505,"&lt;"&amp;A3275,Оплаты!$D$6:$D$505,"&lt;&gt;"))</f>
        <v/>
      </c>
      <c r="E3275">
        <f>IF(A3275="","",IF(SUMPRODUCT((Ввод!$F$12:$F$31&lt;&gt;"")*(Ввод!$F$12:$F$31&lt;=A3275)*(Ввод!$G$12:$G$31&gt;=A3275))&gt;0,1,0))</f>
        <v/>
      </c>
      <c r="G3275">
        <f>IF(A3275="","",IF(OR(B3275&lt;&gt;B3274,C3275&lt;&gt;C3274,E3275&lt;&gt;E3274),G3274+1,G3274))</f>
        <v/>
      </c>
    </row>
    <row r="3276">
      <c r="A3276" s="20">
        <f>IF(A3275="","",IF(A3275+1&gt;Ввод!$B$4,"",A3275+1))</f>
        <v/>
      </c>
      <c r="B3276">
        <f>IF(A3276="","",IFERROR(INDEX(Ввод!$B$12:$B$71,MATCH(A3276,Ввод!$D$12:$D$71,1)),""))</f>
        <v/>
      </c>
      <c r="C3276">
        <f>IF(A3276="","",DATE(YEAR(A3276),12,31)-DATE(YEAR(A3276),1,1)+1)</f>
        <v/>
      </c>
      <c r="D3276">
        <f>IF(A3276="","",SUMIFS(Акты!$D$5:$D$16,Акты!$E$5:$E$16,"&lt;="&amp;A3276)-SUMIFS(Оплаты!$B$6:$B$505,Оплаты!$A$6:$A$505,"&lt;"&amp;A3276,Оплаты!$D$6:$D$505,"&lt;&gt;"))</f>
        <v/>
      </c>
      <c r="E3276">
        <f>IF(A3276="","",IF(SUMPRODUCT((Ввод!$F$12:$F$31&lt;&gt;"")*(Ввод!$F$12:$F$31&lt;=A3276)*(Ввод!$G$12:$G$31&gt;=A3276))&gt;0,1,0))</f>
        <v/>
      </c>
      <c r="G3276">
        <f>IF(A3276="","",IF(OR(B3276&lt;&gt;B3275,C3276&lt;&gt;C3275,E3276&lt;&gt;E3275),G3275+1,G3275))</f>
        <v/>
      </c>
    </row>
    <row r="3277">
      <c r="A3277" s="20">
        <f>IF(A3276="","",IF(A3276+1&gt;Ввод!$B$4,"",A3276+1))</f>
        <v/>
      </c>
      <c r="B3277">
        <f>IF(A3277="","",IFERROR(INDEX(Ввод!$B$12:$B$71,MATCH(A3277,Ввод!$D$12:$D$71,1)),""))</f>
        <v/>
      </c>
      <c r="C3277">
        <f>IF(A3277="","",DATE(YEAR(A3277),12,31)-DATE(YEAR(A3277),1,1)+1)</f>
        <v/>
      </c>
      <c r="D3277">
        <f>IF(A3277="","",SUMIFS(Акты!$D$5:$D$16,Акты!$E$5:$E$16,"&lt;="&amp;A3277)-SUMIFS(Оплаты!$B$6:$B$505,Оплаты!$A$6:$A$505,"&lt;"&amp;A3277,Оплаты!$D$6:$D$505,"&lt;&gt;"))</f>
        <v/>
      </c>
      <c r="E3277">
        <f>IF(A3277="","",IF(SUMPRODUCT((Ввод!$F$12:$F$31&lt;&gt;"")*(Ввод!$F$12:$F$31&lt;=A3277)*(Ввод!$G$12:$G$31&gt;=A3277))&gt;0,1,0))</f>
        <v/>
      </c>
      <c r="G3277">
        <f>IF(A3277="","",IF(OR(B3277&lt;&gt;B3276,C3277&lt;&gt;C3276,E3277&lt;&gt;E3276),G3276+1,G3276))</f>
        <v/>
      </c>
    </row>
    <row r="3278">
      <c r="A3278" s="20">
        <f>IF(A3277="","",IF(A3277+1&gt;Ввод!$B$4,"",A3277+1))</f>
        <v/>
      </c>
      <c r="B3278">
        <f>IF(A3278="","",IFERROR(INDEX(Ввод!$B$12:$B$71,MATCH(A3278,Ввод!$D$12:$D$71,1)),""))</f>
        <v/>
      </c>
      <c r="C3278">
        <f>IF(A3278="","",DATE(YEAR(A3278),12,31)-DATE(YEAR(A3278),1,1)+1)</f>
        <v/>
      </c>
      <c r="D3278">
        <f>IF(A3278="","",SUMIFS(Акты!$D$5:$D$16,Акты!$E$5:$E$16,"&lt;="&amp;A3278)-SUMIFS(Оплаты!$B$6:$B$505,Оплаты!$A$6:$A$505,"&lt;"&amp;A3278,Оплаты!$D$6:$D$505,"&lt;&gt;"))</f>
        <v/>
      </c>
      <c r="E3278">
        <f>IF(A3278="","",IF(SUMPRODUCT((Ввод!$F$12:$F$31&lt;&gt;"")*(Ввод!$F$12:$F$31&lt;=A3278)*(Ввод!$G$12:$G$31&gt;=A3278))&gt;0,1,0))</f>
        <v/>
      </c>
      <c r="G3278">
        <f>IF(A3278="","",IF(OR(B3278&lt;&gt;B3277,C3278&lt;&gt;C3277,E3278&lt;&gt;E3277),G3277+1,G3277))</f>
        <v/>
      </c>
    </row>
    <row r="3279">
      <c r="A3279" s="20">
        <f>IF(A3278="","",IF(A3278+1&gt;Ввод!$B$4,"",A3278+1))</f>
        <v/>
      </c>
      <c r="B3279">
        <f>IF(A3279="","",IFERROR(INDEX(Ввод!$B$12:$B$71,MATCH(A3279,Ввод!$D$12:$D$71,1)),""))</f>
        <v/>
      </c>
      <c r="C3279">
        <f>IF(A3279="","",DATE(YEAR(A3279),12,31)-DATE(YEAR(A3279),1,1)+1)</f>
        <v/>
      </c>
      <c r="D3279">
        <f>IF(A3279="","",SUMIFS(Акты!$D$5:$D$16,Акты!$E$5:$E$16,"&lt;="&amp;A3279)-SUMIFS(Оплаты!$B$6:$B$505,Оплаты!$A$6:$A$505,"&lt;"&amp;A3279,Оплаты!$D$6:$D$505,"&lt;&gt;"))</f>
        <v/>
      </c>
      <c r="E3279">
        <f>IF(A3279="","",IF(SUMPRODUCT((Ввод!$F$12:$F$31&lt;&gt;"")*(Ввод!$F$12:$F$31&lt;=A3279)*(Ввод!$G$12:$G$31&gt;=A3279))&gt;0,1,0))</f>
        <v/>
      </c>
      <c r="G3279">
        <f>IF(A3279="","",IF(OR(B3279&lt;&gt;B3278,C3279&lt;&gt;C3278,E3279&lt;&gt;E3278),G3278+1,G3278))</f>
        <v/>
      </c>
    </row>
    <row r="3280">
      <c r="A3280" s="20">
        <f>IF(A3279="","",IF(A3279+1&gt;Ввод!$B$4,"",A3279+1))</f>
        <v/>
      </c>
      <c r="B3280">
        <f>IF(A3280="","",IFERROR(INDEX(Ввод!$B$12:$B$71,MATCH(A3280,Ввод!$D$12:$D$71,1)),""))</f>
        <v/>
      </c>
      <c r="C3280">
        <f>IF(A3280="","",DATE(YEAR(A3280),12,31)-DATE(YEAR(A3280),1,1)+1)</f>
        <v/>
      </c>
      <c r="D3280">
        <f>IF(A3280="","",SUMIFS(Акты!$D$5:$D$16,Акты!$E$5:$E$16,"&lt;="&amp;A3280)-SUMIFS(Оплаты!$B$6:$B$505,Оплаты!$A$6:$A$505,"&lt;"&amp;A3280,Оплаты!$D$6:$D$505,"&lt;&gt;"))</f>
        <v/>
      </c>
      <c r="E3280">
        <f>IF(A3280="","",IF(SUMPRODUCT((Ввод!$F$12:$F$31&lt;&gt;"")*(Ввод!$F$12:$F$31&lt;=A3280)*(Ввод!$G$12:$G$31&gt;=A3280))&gt;0,1,0))</f>
        <v/>
      </c>
      <c r="G3280">
        <f>IF(A3280="","",IF(OR(B3280&lt;&gt;B3279,C3280&lt;&gt;C3279,E3280&lt;&gt;E3279),G3279+1,G3279))</f>
        <v/>
      </c>
    </row>
    <row r="3281">
      <c r="A3281" s="20">
        <f>IF(A3280="","",IF(A3280+1&gt;Ввод!$B$4,"",A3280+1))</f>
        <v/>
      </c>
      <c r="B3281">
        <f>IF(A3281="","",IFERROR(INDEX(Ввод!$B$12:$B$71,MATCH(A3281,Ввод!$D$12:$D$71,1)),""))</f>
        <v/>
      </c>
      <c r="C3281">
        <f>IF(A3281="","",DATE(YEAR(A3281),12,31)-DATE(YEAR(A3281),1,1)+1)</f>
        <v/>
      </c>
      <c r="D3281">
        <f>IF(A3281="","",SUMIFS(Акты!$D$5:$D$16,Акты!$E$5:$E$16,"&lt;="&amp;A3281)-SUMIFS(Оплаты!$B$6:$B$505,Оплаты!$A$6:$A$505,"&lt;"&amp;A3281,Оплаты!$D$6:$D$505,"&lt;&gt;"))</f>
        <v/>
      </c>
      <c r="E3281">
        <f>IF(A3281="","",IF(SUMPRODUCT((Ввод!$F$12:$F$31&lt;&gt;"")*(Ввод!$F$12:$F$31&lt;=A3281)*(Ввод!$G$12:$G$31&gt;=A3281))&gt;0,1,0))</f>
        <v/>
      </c>
      <c r="G3281">
        <f>IF(A3281="","",IF(OR(B3281&lt;&gt;B3280,C3281&lt;&gt;C3280,E3281&lt;&gt;E3280),G3280+1,G3280))</f>
        <v/>
      </c>
    </row>
    <row r="3282">
      <c r="A3282" s="20">
        <f>IF(A3281="","",IF(A3281+1&gt;Ввод!$B$4,"",A3281+1))</f>
        <v/>
      </c>
      <c r="B3282">
        <f>IF(A3282="","",IFERROR(INDEX(Ввод!$B$12:$B$71,MATCH(A3282,Ввод!$D$12:$D$71,1)),""))</f>
        <v/>
      </c>
      <c r="C3282">
        <f>IF(A3282="","",DATE(YEAR(A3282),12,31)-DATE(YEAR(A3282),1,1)+1)</f>
        <v/>
      </c>
      <c r="D3282">
        <f>IF(A3282="","",SUMIFS(Акты!$D$5:$D$16,Акты!$E$5:$E$16,"&lt;="&amp;A3282)-SUMIFS(Оплаты!$B$6:$B$505,Оплаты!$A$6:$A$505,"&lt;"&amp;A3282,Оплаты!$D$6:$D$505,"&lt;&gt;"))</f>
        <v/>
      </c>
      <c r="E3282">
        <f>IF(A3282="","",IF(SUMPRODUCT((Ввод!$F$12:$F$31&lt;&gt;"")*(Ввод!$F$12:$F$31&lt;=A3282)*(Ввод!$G$12:$G$31&gt;=A3282))&gt;0,1,0))</f>
        <v/>
      </c>
      <c r="G3282">
        <f>IF(A3282="","",IF(OR(B3282&lt;&gt;B3281,C3282&lt;&gt;C3281,E3282&lt;&gt;E3281),G3281+1,G3281))</f>
        <v/>
      </c>
    </row>
    <row r="3283">
      <c r="A3283" s="20">
        <f>IF(A3282="","",IF(A3282+1&gt;Ввод!$B$4,"",A3282+1))</f>
        <v/>
      </c>
      <c r="B3283">
        <f>IF(A3283="","",IFERROR(INDEX(Ввод!$B$12:$B$71,MATCH(A3283,Ввод!$D$12:$D$71,1)),""))</f>
        <v/>
      </c>
      <c r="C3283">
        <f>IF(A3283="","",DATE(YEAR(A3283),12,31)-DATE(YEAR(A3283),1,1)+1)</f>
        <v/>
      </c>
      <c r="D3283">
        <f>IF(A3283="","",SUMIFS(Акты!$D$5:$D$16,Акты!$E$5:$E$16,"&lt;="&amp;A3283)-SUMIFS(Оплаты!$B$6:$B$505,Оплаты!$A$6:$A$505,"&lt;"&amp;A3283,Оплаты!$D$6:$D$505,"&lt;&gt;"))</f>
        <v/>
      </c>
      <c r="E3283">
        <f>IF(A3283="","",IF(SUMPRODUCT((Ввод!$F$12:$F$31&lt;&gt;"")*(Ввод!$F$12:$F$31&lt;=A3283)*(Ввод!$G$12:$G$31&gt;=A3283))&gt;0,1,0))</f>
        <v/>
      </c>
      <c r="G3283">
        <f>IF(A3283="","",IF(OR(B3283&lt;&gt;B3282,C3283&lt;&gt;C3282,E3283&lt;&gt;E3282),G3282+1,G3282))</f>
        <v/>
      </c>
    </row>
    <row r="3284">
      <c r="A3284" s="20">
        <f>IF(A3283="","",IF(A3283+1&gt;Ввод!$B$4,"",A3283+1))</f>
        <v/>
      </c>
      <c r="B3284">
        <f>IF(A3284="","",IFERROR(INDEX(Ввод!$B$12:$B$71,MATCH(A3284,Ввод!$D$12:$D$71,1)),""))</f>
        <v/>
      </c>
      <c r="C3284">
        <f>IF(A3284="","",DATE(YEAR(A3284),12,31)-DATE(YEAR(A3284),1,1)+1)</f>
        <v/>
      </c>
      <c r="D3284">
        <f>IF(A3284="","",SUMIFS(Акты!$D$5:$D$16,Акты!$E$5:$E$16,"&lt;="&amp;A3284)-SUMIFS(Оплаты!$B$6:$B$505,Оплаты!$A$6:$A$505,"&lt;"&amp;A3284,Оплаты!$D$6:$D$505,"&lt;&gt;"))</f>
        <v/>
      </c>
      <c r="E3284">
        <f>IF(A3284="","",IF(SUMPRODUCT((Ввод!$F$12:$F$31&lt;&gt;"")*(Ввод!$F$12:$F$31&lt;=A3284)*(Ввод!$G$12:$G$31&gt;=A3284))&gt;0,1,0))</f>
        <v/>
      </c>
      <c r="G3284">
        <f>IF(A3284="","",IF(OR(B3284&lt;&gt;B3283,C3284&lt;&gt;C3283,E3284&lt;&gt;E3283),G3283+1,G3283))</f>
        <v/>
      </c>
    </row>
    <row r="3285">
      <c r="A3285" s="20">
        <f>IF(A3284="","",IF(A3284+1&gt;Ввод!$B$4,"",A3284+1))</f>
        <v/>
      </c>
      <c r="B3285">
        <f>IF(A3285="","",IFERROR(INDEX(Ввод!$B$12:$B$71,MATCH(A3285,Ввод!$D$12:$D$71,1)),""))</f>
        <v/>
      </c>
      <c r="C3285">
        <f>IF(A3285="","",DATE(YEAR(A3285),12,31)-DATE(YEAR(A3285),1,1)+1)</f>
        <v/>
      </c>
      <c r="D3285">
        <f>IF(A3285="","",SUMIFS(Акты!$D$5:$D$16,Акты!$E$5:$E$16,"&lt;="&amp;A3285)-SUMIFS(Оплаты!$B$6:$B$505,Оплаты!$A$6:$A$505,"&lt;"&amp;A3285,Оплаты!$D$6:$D$505,"&lt;&gt;"))</f>
        <v/>
      </c>
      <c r="E3285">
        <f>IF(A3285="","",IF(SUMPRODUCT((Ввод!$F$12:$F$31&lt;&gt;"")*(Ввод!$F$12:$F$31&lt;=A3285)*(Ввод!$G$12:$G$31&gt;=A3285))&gt;0,1,0))</f>
        <v/>
      </c>
      <c r="G3285">
        <f>IF(A3285="","",IF(OR(B3285&lt;&gt;B3284,C3285&lt;&gt;C3284,E3285&lt;&gt;E3284),G3284+1,G3284))</f>
        <v/>
      </c>
    </row>
    <row r="3286">
      <c r="A3286" s="20">
        <f>IF(A3285="","",IF(A3285+1&gt;Ввод!$B$4,"",A3285+1))</f>
        <v/>
      </c>
      <c r="B3286">
        <f>IF(A3286="","",IFERROR(INDEX(Ввод!$B$12:$B$71,MATCH(A3286,Ввод!$D$12:$D$71,1)),""))</f>
        <v/>
      </c>
      <c r="C3286">
        <f>IF(A3286="","",DATE(YEAR(A3286),12,31)-DATE(YEAR(A3286),1,1)+1)</f>
        <v/>
      </c>
      <c r="D3286">
        <f>IF(A3286="","",SUMIFS(Акты!$D$5:$D$16,Акты!$E$5:$E$16,"&lt;="&amp;A3286)-SUMIFS(Оплаты!$B$6:$B$505,Оплаты!$A$6:$A$505,"&lt;"&amp;A3286,Оплаты!$D$6:$D$505,"&lt;&gt;"))</f>
        <v/>
      </c>
      <c r="E3286">
        <f>IF(A3286="","",IF(SUMPRODUCT((Ввод!$F$12:$F$31&lt;&gt;"")*(Ввод!$F$12:$F$31&lt;=A3286)*(Ввод!$G$12:$G$31&gt;=A3286))&gt;0,1,0))</f>
        <v/>
      </c>
      <c r="G3286">
        <f>IF(A3286="","",IF(OR(B3286&lt;&gt;B3285,C3286&lt;&gt;C3285,E3286&lt;&gt;E3285),G3285+1,G3285))</f>
        <v/>
      </c>
    </row>
    <row r="3287">
      <c r="A3287" s="20">
        <f>IF(A3286="","",IF(A3286+1&gt;Ввод!$B$4,"",A3286+1))</f>
        <v/>
      </c>
      <c r="B3287">
        <f>IF(A3287="","",IFERROR(INDEX(Ввод!$B$12:$B$71,MATCH(A3287,Ввод!$D$12:$D$71,1)),""))</f>
        <v/>
      </c>
      <c r="C3287">
        <f>IF(A3287="","",DATE(YEAR(A3287),12,31)-DATE(YEAR(A3287),1,1)+1)</f>
        <v/>
      </c>
      <c r="D3287">
        <f>IF(A3287="","",SUMIFS(Акты!$D$5:$D$16,Акты!$E$5:$E$16,"&lt;="&amp;A3287)-SUMIFS(Оплаты!$B$6:$B$505,Оплаты!$A$6:$A$505,"&lt;"&amp;A3287,Оплаты!$D$6:$D$505,"&lt;&gt;"))</f>
        <v/>
      </c>
      <c r="E3287">
        <f>IF(A3287="","",IF(SUMPRODUCT((Ввод!$F$12:$F$31&lt;&gt;"")*(Ввод!$F$12:$F$31&lt;=A3287)*(Ввод!$G$12:$G$31&gt;=A3287))&gt;0,1,0))</f>
        <v/>
      </c>
      <c r="G3287">
        <f>IF(A3287="","",IF(OR(B3287&lt;&gt;B3286,C3287&lt;&gt;C3286,E3287&lt;&gt;E3286),G3286+1,G3286))</f>
        <v/>
      </c>
    </row>
    <row r="3288">
      <c r="A3288" s="20">
        <f>IF(A3287="","",IF(A3287+1&gt;Ввод!$B$4,"",A3287+1))</f>
        <v/>
      </c>
      <c r="B3288">
        <f>IF(A3288="","",IFERROR(INDEX(Ввод!$B$12:$B$71,MATCH(A3288,Ввод!$D$12:$D$71,1)),""))</f>
        <v/>
      </c>
      <c r="C3288">
        <f>IF(A3288="","",DATE(YEAR(A3288),12,31)-DATE(YEAR(A3288),1,1)+1)</f>
        <v/>
      </c>
      <c r="D3288">
        <f>IF(A3288="","",SUMIFS(Акты!$D$5:$D$16,Акты!$E$5:$E$16,"&lt;="&amp;A3288)-SUMIFS(Оплаты!$B$6:$B$505,Оплаты!$A$6:$A$505,"&lt;"&amp;A3288,Оплаты!$D$6:$D$505,"&lt;&gt;"))</f>
        <v/>
      </c>
      <c r="E3288">
        <f>IF(A3288="","",IF(SUMPRODUCT((Ввод!$F$12:$F$31&lt;&gt;"")*(Ввод!$F$12:$F$31&lt;=A3288)*(Ввод!$G$12:$G$31&gt;=A3288))&gt;0,1,0))</f>
        <v/>
      </c>
      <c r="G3288">
        <f>IF(A3288="","",IF(OR(B3288&lt;&gt;B3287,C3288&lt;&gt;C3287,E3288&lt;&gt;E3287),G3287+1,G3287))</f>
        <v/>
      </c>
    </row>
    <row r="3289">
      <c r="A3289" s="20">
        <f>IF(A3288="","",IF(A3288+1&gt;Ввод!$B$4,"",A3288+1))</f>
        <v/>
      </c>
      <c r="B3289">
        <f>IF(A3289="","",IFERROR(INDEX(Ввод!$B$12:$B$71,MATCH(A3289,Ввод!$D$12:$D$71,1)),""))</f>
        <v/>
      </c>
      <c r="C3289">
        <f>IF(A3289="","",DATE(YEAR(A3289),12,31)-DATE(YEAR(A3289),1,1)+1)</f>
        <v/>
      </c>
      <c r="D3289">
        <f>IF(A3289="","",SUMIFS(Акты!$D$5:$D$16,Акты!$E$5:$E$16,"&lt;="&amp;A3289)-SUMIFS(Оплаты!$B$6:$B$505,Оплаты!$A$6:$A$505,"&lt;"&amp;A3289,Оплаты!$D$6:$D$505,"&lt;&gt;"))</f>
        <v/>
      </c>
      <c r="E3289">
        <f>IF(A3289="","",IF(SUMPRODUCT((Ввод!$F$12:$F$31&lt;&gt;"")*(Ввод!$F$12:$F$31&lt;=A3289)*(Ввод!$G$12:$G$31&gt;=A3289))&gt;0,1,0))</f>
        <v/>
      </c>
      <c r="G3289">
        <f>IF(A3289="","",IF(OR(B3289&lt;&gt;B3288,C3289&lt;&gt;C3288,E3289&lt;&gt;E3288),G3288+1,G3288))</f>
        <v/>
      </c>
    </row>
    <row r="3290">
      <c r="A3290" s="20">
        <f>IF(A3289="","",IF(A3289+1&gt;Ввод!$B$4,"",A3289+1))</f>
        <v/>
      </c>
      <c r="B3290">
        <f>IF(A3290="","",IFERROR(INDEX(Ввод!$B$12:$B$71,MATCH(A3290,Ввод!$D$12:$D$71,1)),""))</f>
        <v/>
      </c>
      <c r="C3290">
        <f>IF(A3290="","",DATE(YEAR(A3290),12,31)-DATE(YEAR(A3290),1,1)+1)</f>
        <v/>
      </c>
      <c r="D3290">
        <f>IF(A3290="","",SUMIFS(Акты!$D$5:$D$16,Акты!$E$5:$E$16,"&lt;="&amp;A3290)-SUMIFS(Оплаты!$B$6:$B$505,Оплаты!$A$6:$A$505,"&lt;"&amp;A3290,Оплаты!$D$6:$D$505,"&lt;&gt;"))</f>
        <v/>
      </c>
      <c r="E3290">
        <f>IF(A3290="","",IF(SUMPRODUCT((Ввод!$F$12:$F$31&lt;&gt;"")*(Ввод!$F$12:$F$31&lt;=A3290)*(Ввод!$G$12:$G$31&gt;=A3290))&gt;0,1,0))</f>
        <v/>
      </c>
      <c r="G3290">
        <f>IF(A3290="","",IF(OR(B3290&lt;&gt;B3289,C3290&lt;&gt;C3289,E3290&lt;&gt;E3289),G3289+1,G3289))</f>
        <v/>
      </c>
    </row>
    <row r="3291">
      <c r="A3291" s="20">
        <f>IF(A3290="","",IF(A3290+1&gt;Ввод!$B$4,"",A3290+1))</f>
        <v/>
      </c>
      <c r="B3291">
        <f>IF(A3291="","",IFERROR(INDEX(Ввод!$B$12:$B$71,MATCH(A3291,Ввод!$D$12:$D$71,1)),""))</f>
        <v/>
      </c>
      <c r="C3291">
        <f>IF(A3291="","",DATE(YEAR(A3291),12,31)-DATE(YEAR(A3291),1,1)+1)</f>
        <v/>
      </c>
      <c r="D3291">
        <f>IF(A3291="","",SUMIFS(Акты!$D$5:$D$16,Акты!$E$5:$E$16,"&lt;="&amp;A3291)-SUMIFS(Оплаты!$B$6:$B$505,Оплаты!$A$6:$A$505,"&lt;"&amp;A3291,Оплаты!$D$6:$D$505,"&lt;&gt;"))</f>
        <v/>
      </c>
      <c r="E3291">
        <f>IF(A3291="","",IF(SUMPRODUCT((Ввод!$F$12:$F$31&lt;&gt;"")*(Ввод!$F$12:$F$31&lt;=A3291)*(Ввод!$G$12:$G$31&gt;=A3291))&gt;0,1,0))</f>
        <v/>
      </c>
      <c r="G3291">
        <f>IF(A3291="","",IF(OR(B3291&lt;&gt;B3290,C3291&lt;&gt;C3290,E3291&lt;&gt;E3290),G3290+1,G3290))</f>
        <v/>
      </c>
    </row>
    <row r="3292">
      <c r="A3292" s="20">
        <f>IF(A3291="","",IF(A3291+1&gt;Ввод!$B$4,"",A3291+1))</f>
        <v/>
      </c>
      <c r="B3292">
        <f>IF(A3292="","",IFERROR(INDEX(Ввод!$B$12:$B$71,MATCH(A3292,Ввод!$D$12:$D$71,1)),""))</f>
        <v/>
      </c>
      <c r="C3292">
        <f>IF(A3292="","",DATE(YEAR(A3292),12,31)-DATE(YEAR(A3292),1,1)+1)</f>
        <v/>
      </c>
      <c r="D3292">
        <f>IF(A3292="","",SUMIFS(Акты!$D$5:$D$16,Акты!$E$5:$E$16,"&lt;="&amp;A3292)-SUMIFS(Оплаты!$B$6:$B$505,Оплаты!$A$6:$A$505,"&lt;"&amp;A3292,Оплаты!$D$6:$D$505,"&lt;&gt;"))</f>
        <v/>
      </c>
      <c r="E3292">
        <f>IF(A3292="","",IF(SUMPRODUCT((Ввод!$F$12:$F$31&lt;&gt;"")*(Ввод!$F$12:$F$31&lt;=A3292)*(Ввод!$G$12:$G$31&gt;=A3292))&gt;0,1,0))</f>
        <v/>
      </c>
      <c r="G3292">
        <f>IF(A3292="","",IF(OR(B3292&lt;&gt;B3291,C3292&lt;&gt;C3291,E3292&lt;&gt;E3291),G3291+1,G3291))</f>
        <v/>
      </c>
    </row>
    <row r="3293">
      <c r="A3293" s="20">
        <f>IF(A3292="","",IF(A3292+1&gt;Ввод!$B$4,"",A3292+1))</f>
        <v/>
      </c>
      <c r="B3293">
        <f>IF(A3293="","",IFERROR(INDEX(Ввод!$B$12:$B$71,MATCH(A3293,Ввод!$D$12:$D$71,1)),""))</f>
        <v/>
      </c>
      <c r="C3293">
        <f>IF(A3293="","",DATE(YEAR(A3293),12,31)-DATE(YEAR(A3293),1,1)+1)</f>
        <v/>
      </c>
      <c r="D3293">
        <f>IF(A3293="","",SUMIFS(Акты!$D$5:$D$16,Акты!$E$5:$E$16,"&lt;="&amp;A3293)-SUMIFS(Оплаты!$B$6:$B$505,Оплаты!$A$6:$A$505,"&lt;"&amp;A3293,Оплаты!$D$6:$D$505,"&lt;&gt;"))</f>
        <v/>
      </c>
      <c r="E3293">
        <f>IF(A3293="","",IF(SUMPRODUCT((Ввод!$F$12:$F$31&lt;&gt;"")*(Ввод!$F$12:$F$31&lt;=A3293)*(Ввод!$G$12:$G$31&gt;=A3293))&gt;0,1,0))</f>
        <v/>
      </c>
      <c r="G3293">
        <f>IF(A3293="","",IF(OR(B3293&lt;&gt;B3292,C3293&lt;&gt;C3292,E3293&lt;&gt;E3292),G3292+1,G3292))</f>
        <v/>
      </c>
    </row>
    <row r="3294">
      <c r="A3294" s="20">
        <f>IF(A3293="","",IF(A3293+1&gt;Ввод!$B$4,"",A3293+1))</f>
        <v/>
      </c>
      <c r="B3294">
        <f>IF(A3294="","",IFERROR(INDEX(Ввод!$B$12:$B$71,MATCH(A3294,Ввод!$D$12:$D$71,1)),""))</f>
        <v/>
      </c>
      <c r="C3294">
        <f>IF(A3294="","",DATE(YEAR(A3294),12,31)-DATE(YEAR(A3294),1,1)+1)</f>
        <v/>
      </c>
      <c r="D3294">
        <f>IF(A3294="","",SUMIFS(Акты!$D$5:$D$16,Акты!$E$5:$E$16,"&lt;="&amp;A3294)-SUMIFS(Оплаты!$B$6:$B$505,Оплаты!$A$6:$A$505,"&lt;"&amp;A3294,Оплаты!$D$6:$D$505,"&lt;&gt;"))</f>
        <v/>
      </c>
      <c r="E3294">
        <f>IF(A3294="","",IF(SUMPRODUCT((Ввод!$F$12:$F$31&lt;&gt;"")*(Ввод!$F$12:$F$31&lt;=A3294)*(Ввод!$G$12:$G$31&gt;=A3294))&gt;0,1,0))</f>
        <v/>
      </c>
      <c r="G3294">
        <f>IF(A3294="","",IF(OR(B3294&lt;&gt;B3293,C3294&lt;&gt;C3293,E3294&lt;&gt;E3293),G3293+1,G3293))</f>
        <v/>
      </c>
    </row>
    <row r="3295">
      <c r="A3295" s="20">
        <f>IF(A3294="","",IF(A3294+1&gt;Ввод!$B$4,"",A3294+1))</f>
        <v/>
      </c>
      <c r="B3295">
        <f>IF(A3295="","",IFERROR(INDEX(Ввод!$B$12:$B$71,MATCH(A3295,Ввод!$D$12:$D$71,1)),""))</f>
        <v/>
      </c>
      <c r="C3295">
        <f>IF(A3295="","",DATE(YEAR(A3295),12,31)-DATE(YEAR(A3295),1,1)+1)</f>
        <v/>
      </c>
      <c r="D3295">
        <f>IF(A3295="","",SUMIFS(Акты!$D$5:$D$16,Акты!$E$5:$E$16,"&lt;="&amp;A3295)-SUMIFS(Оплаты!$B$6:$B$505,Оплаты!$A$6:$A$505,"&lt;"&amp;A3295,Оплаты!$D$6:$D$505,"&lt;&gt;"))</f>
        <v/>
      </c>
      <c r="E3295">
        <f>IF(A3295="","",IF(SUMPRODUCT((Ввод!$F$12:$F$31&lt;&gt;"")*(Ввод!$F$12:$F$31&lt;=A3295)*(Ввод!$G$12:$G$31&gt;=A3295))&gt;0,1,0))</f>
        <v/>
      </c>
      <c r="G3295">
        <f>IF(A3295="","",IF(OR(B3295&lt;&gt;B3294,C3295&lt;&gt;C3294,E3295&lt;&gt;E3294),G3294+1,G3294))</f>
        <v/>
      </c>
    </row>
    <row r="3296">
      <c r="A3296" s="20">
        <f>IF(A3295="","",IF(A3295+1&gt;Ввод!$B$4,"",A3295+1))</f>
        <v/>
      </c>
      <c r="B3296">
        <f>IF(A3296="","",IFERROR(INDEX(Ввод!$B$12:$B$71,MATCH(A3296,Ввод!$D$12:$D$71,1)),""))</f>
        <v/>
      </c>
      <c r="C3296">
        <f>IF(A3296="","",DATE(YEAR(A3296),12,31)-DATE(YEAR(A3296),1,1)+1)</f>
        <v/>
      </c>
      <c r="D3296">
        <f>IF(A3296="","",SUMIFS(Акты!$D$5:$D$16,Акты!$E$5:$E$16,"&lt;="&amp;A3296)-SUMIFS(Оплаты!$B$6:$B$505,Оплаты!$A$6:$A$505,"&lt;"&amp;A3296,Оплаты!$D$6:$D$505,"&lt;&gt;"))</f>
        <v/>
      </c>
      <c r="E3296">
        <f>IF(A3296="","",IF(SUMPRODUCT((Ввод!$F$12:$F$31&lt;&gt;"")*(Ввод!$F$12:$F$31&lt;=A3296)*(Ввод!$G$12:$G$31&gt;=A3296))&gt;0,1,0))</f>
        <v/>
      </c>
      <c r="G3296">
        <f>IF(A3296="","",IF(OR(B3296&lt;&gt;B3295,C3296&lt;&gt;C3295,E3296&lt;&gt;E3295),G3295+1,G3295))</f>
        <v/>
      </c>
    </row>
    <row r="3297">
      <c r="A3297" s="20">
        <f>IF(A3296="","",IF(A3296+1&gt;Ввод!$B$4,"",A3296+1))</f>
        <v/>
      </c>
      <c r="B3297">
        <f>IF(A3297="","",IFERROR(INDEX(Ввод!$B$12:$B$71,MATCH(A3297,Ввод!$D$12:$D$71,1)),""))</f>
        <v/>
      </c>
      <c r="C3297">
        <f>IF(A3297="","",DATE(YEAR(A3297),12,31)-DATE(YEAR(A3297),1,1)+1)</f>
        <v/>
      </c>
      <c r="D3297">
        <f>IF(A3297="","",SUMIFS(Акты!$D$5:$D$16,Акты!$E$5:$E$16,"&lt;="&amp;A3297)-SUMIFS(Оплаты!$B$6:$B$505,Оплаты!$A$6:$A$505,"&lt;"&amp;A3297,Оплаты!$D$6:$D$505,"&lt;&gt;"))</f>
        <v/>
      </c>
      <c r="E3297">
        <f>IF(A3297="","",IF(SUMPRODUCT((Ввод!$F$12:$F$31&lt;&gt;"")*(Ввод!$F$12:$F$31&lt;=A3297)*(Ввод!$G$12:$G$31&gt;=A3297))&gt;0,1,0))</f>
        <v/>
      </c>
      <c r="G3297">
        <f>IF(A3297="","",IF(OR(B3297&lt;&gt;B3296,C3297&lt;&gt;C3296,E3297&lt;&gt;E3296),G3296+1,G3296))</f>
        <v/>
      </c>
    </row>
    <row r="3298">
      <c r="A3298" s="20">
        <f>IF(A3297="","",IF(A3297+1&gt;Ввод!$B$4,"",A3297+1))</f>
        <v/>
      </c>
      <c r="B3298">
        <f>IF(A3298="","",IFERROR(INDEX(Ввод!$B$12:$B$71,MATCH(A3298,Ввод!$D$12:$D$71,1)),""))</f>
        <v/>
      </c>
      <c r="C3298">
        <f>IF(A3298="","",DATE(YEAR(A3298),12,31)-DATE(YEAR(A3298),1,1)+1)</f>
        <v/>
      </c>
      <c r="D3298">
        <f>IF(A3298="","",SUMIFS(Акты!$D$5:$D$16,Акты!$E$5:$E$16,"&lt;="&amp;A3298)-SUMIFS(Оплаты!$B$6:$B$505,Оплаты!$A$6:$A$505,"&lt;"&amp;A3298,Оплаты!$D$6:$D$505,"&lt;&gt;"))</f>
        <v/>
      </c>
      <c r="E3298">
        <f>IF(A3298="","",IF(SUMPRODUCT((Ввод!$F$12:$F$31&lt;&gt;"")*(Ввод!$F$12:$F$31&lt;=A3298)*(Ввод!$G$12:$G$31&gt;=A3298))&gt;0,1,0))</f>
        <v/>
      </c>
      <c r="G3298">
        <f>IF(A3298="","",IF(OR(B3298&lt;&gt;B3297,C3298&lt;&gt;C3297,E3298&lt;&gt;E3297),G3297+1,G3297))</f>
        <v/>
      </c>
    </row>
    <row r="3299">
      <c r="A3299" s="20">
        <f>IF(A3298="","",IF(A3298+1&gt;Ввод!$B$4,"",A3298+1))</f>
        <v/>
      </c>
      <c r="B3299">
        <f>IF(A3299="","",IFERROR(INDEX(Ввод!$B$12:$B$71,MATCH(A3299,Ввод!$D$12:$D$71,1)),""))</f>
        <v/>
      </c>
      <c r="C3299">
        <f>IF(A3299="","",DATE(YEAR(A3299),12,31)-DATE(YEAR(A3299),1,1)+1)</f>
        <v/>
      </c>
      <c r="D3299">
        <f>IF(A3299="","",SUMIFS(Акты!$D$5:$D$16,Акты!$E$5:$E$16,"&lt;="&amp;A3299)-SUMIFS(Оплаты!$B$6:$B$505,Оплаты!$A$6:$A$505,"&lt;"&amp;A3299,Оплаты!$D$6:$D$505,"&lt;&gt;"))</f>
        <v/>
      </c>
      <c r="E3299">
        <f>IF(A3299="","",IF(SUMPRODUCT((Ввод!$F$12:$F$31&lt;&gt;"")*(Ввод!$F$12:$F$31&lt;=A3299)*(Ввод!$G$12:$G$31&gt;=A3299))&gt;0,1,0))</f>
        <v/>
      </c>
      <c r="G3299">
        <f>IF(A3299="","",IF(OR(B3299&lt;&gt;B3298,C3299&lt;&gt;C3298,E3299&lt;&gt;E3298),G3298+1,G3298))</f>
        <v/>
      </c>
    </row>
    <row r="3300">
      <c r="A3300" s="20">
        <f>IF(A3299="","",IF(A3299+1&gt;Ввод!$B$4,"",A3299+1))</f>
        <v/>
      </c>
      <c r="B3300">
        <f>IF(A3300="","",IFERROR(INDEX(Ввод!$B$12:$B$71,MATCH(A3300,Ввод!$D$12:$D$71,1)),""))</f>
        <v/>
      </c>
      <c r="C3300">
        <f>IF(A3300="","",DATE(YEAR(A3300),12,31)-DATE(YEAR(A3300),1,1)+1)</f>
        <v/>
      </c>
      <c r="D3300">
        <f>IF(A3300="","",SUMIFS(Акты!$D$5:$D$16,Акты!$E$5:$E$16,"&lt;="&amp;A3300)-SUMIFS(Оплаты!$B$6:$B$505,Оплаты!$A$6:$A$505,"&lt;"&amp;A3300,Оплаты!$D$6:$D$505,"&lt;&gt;"))</f>
        <v/>
      </c>
      <c r="E3300">
        <f>IF(A3300="","",IF(SUMPRODUCT((Ввод!$F$12:$F$31&lt;&gt;"")*(Ввод!$F$12:$F$31&lt;=A3300)*(Ввод!$G$12:$G$31&gt;=A3300))&gt;0,1,0))</f>
        <v/>
      </c>
      <c r="G3300">
        <f>IF(A3300="","",IF(OR(B3300&lt;&gt;B3299,C3300&lt;&gt;C3299,E3300&lt;&gt;E3299),G3299+1,G3299))</f>
        <v/>
      </c>
    </row>
    <row r="3301">
      <c r="A3301" s="20">
        <f>IF(A3300="","",IF(A3300+1&gt;Ввод!$B$4,"",A3300+1))</f>
        <v/>
      </c>
      <c r="B3301">
        <f>IF(A3301="","",IFERROR(INDEX(Ввод!$B$12:$B$71,MATCH(A3301,Ввод!$D$12:$D$71,1)),""))</f>
        <v/>
      </c>
      <c r="C3301">
        <f>IF(A3301="","",DATE(YEAR(A3301),12,31)-DATE(YEAR(A3301),1,1)+1)</f>
        <v/>
      </c>
      <c r="D3301">
        <f>IF(A3301="","",SUMIFS(Акты!$D$5:$D$16,Акты!$E$5:$E$16,"&lt;="&amp;A3301)-SUMIFS(Оплаты!$B$6:$B$505,Оплаты!$A$6:$A$505,"&lt;"&amp;A3301,Оплаты!$D$6:$D$505,"&lt;&gt;"))</f>
        <v/>
      </c>
      <c r="E3301">
        <f>IF(A3301="","",IF(SUMPRODUCT((Ввод!$F$12:$F$31&lt;&gt;"")*(Ввод!$F$12:$F$31&lt;=A3301)*(Ввод!$G$12:$G$31&gt;=A3301))&gt;0,1,0))</f>
        <v/>
      </c>
      <c r="G3301">
        <f>IF(A3301="","",IF(OR(B3301&lt;&gt;B3300,C3301&lt;&gt;C3300,E3301&lt;&gt;E3300),G3300+1,G3300))</f>
        <v/>
      </c>
    </row>
    <row r="3302">
      <c r="A3302" s="20">
        <f>IF(A3301="","",IF(A3301+1&gt;Ввод!$B$4,"",A3301+1))</f>
        <v/>
      </c>
      <c r="B3302">
        <f>IF(A3302="","",IFERROR(INDEX(Ввод!$B$12:$B$71,MATCH(A3302,Ввод!$D$12:$D$71,1)),""))</f>
        <v/>
      </c>
      <c r="C3302">
        <f>IF(A3302="","",DATE(YEAR(A3302),12,31)-DATE(YEAR(A3302),1,1)+1)</f>
        <v/>
      </c>
      <c r="D3302">
        <f>IF(A3302="","",SUMIFS(Акты!$D$5:$D$16,Акты!$E$5:$E$16,"&lt;="&amp;A3302)-SUMIFS(Оплаты!$B$6:$B$505,Оплаты!$A$6:$A$505,"&lt;"&amp;A3302,Оплаты!$D$6:$D$505,"&lt;&gt;"))</f>
        <v/>
      </c>
      <c r="E3302">
        <f>IF(A3302="","",IF(SUMPRODUCT((Ввод!$F$12:$F$31&lt;&gt;"")*(Ввод!$F$12:$F$31&lt;=A3302)*(Ввод!$G$12:$G$31&gt;=A3302))&gt;0,1,0))</f>
        <v/>
      </c>
      <c r="G3302">
        <f>IF(A3302="","",IF(OR(B3302&lt;&gt;B3301,C3302&lt;&gt;C3301,E3302&lt;&gt;E3301),G3301+1,G3301))</f>
        <v/>
      </c>
    </row>
    <row r="3303">
      <c r="A3303" s="20">
        <f>IF(A3302="","",IF(A3302+1&gt;Ввод!$B$4,"",A3302+1))</f>
        <v/>
      </c>
      <c r="B3303">
        <f>IF(A3303="","",IFERROR(INDEX(Ввод!$B$12:$B$71,MATCH(A3303,Ввод!$D$12:$D$71,1)),""))</f>
        <v/>
      </c>
      <c r="C3303">
        <f>IF(A3303="","",DATE(YEAR(A3303),12,31)-DATE(YEAR(A3303),1,1)+1)</f>
        <v/>
      </c>
      <c r="D3303">
        <f>IF(A3303="","",SUMIFS(Акты!$D$5:$D$16,Акты!$E$5:$E$16,"&lt;="&amp;A3303)-SUMIFS(Оплаты!$B$6:$B$505,Оплаты!$A$6:$A$505,"&lt;"&amp;A3303,Оплаты!$D$6:$D$505,"&lt;&gt;"))</f>
        <v/>
      </c>
      <c r="E3303">
        <f>IF(A3303="","",IF(SUMPRODUCT((Ввод!$F$12:$F$31&lt;&gt;"")*(Ввод!$F$12:$F$31&lt;=A3303)*(Ввод!$G$12:$G$31&gt;=A3303))&gt;0,1,0))</f>
        <v/>
      </c>
      <c r="G3303">
        <f>IF(A3303="","",IF(OR(B3303&lt;&gt;B3302,C3303&lt;&gt;C3302,E3303&lt;&gt;E3302),G3302+1,G3302))</f>
        <v/>
      </c>
    </row>
    <row r="3304">
      <c r="A3304" s="20">
        <f>IF(A3303="","",IF(A3303+1&gt;Ввод!$B$4,"",A3303+1))</f>
        <v/>
      </c>
      <c r="B3304">
        <f>IF(A3304="","",IFERROR(INDEX(Ввод!$B$12:$B$71,MATCH(A3304,Ввод!$D$12:$D$71,1)),""))</f>
        <v/>
      </c>
      <c r="C3304">
        <f>IF(A3304="","",DATE(YEAR(A3304),12,31)-DATE(YEAR(A3304),1,1)+1)</f>
        <v/>
      </c>
      <c r="D3304">
        <f>IF(A3304="","",SUMIFS(Акты!$D$5:$D$16,Акты!$E$5:$E$16,"&lt;="&amp;A3304)-SUMIFS(Оплаты!$B$6:$B$505,Оплаты!$A$6:$A$505,"&lt;"&amp;A3304,Оплаты!$D$6:$D$505,"&lt;&gt;"))</f>
        <v/>
      </c>
      <c r="E3304">
        <f>IF(A3304="","",IF(SUMPRODUCT((Ввод!$F$12:$F$31&lt;&gt;"")*(Ввод!$F$12:$F$31&lt;=A3304)*(Ввод!$G$12:$G$31&gt;=A3304))&gt;0,1,0))</f>
        <v/>
      </c>
      <c r="G3304">
        <f>IF(A3304="","",IF(OR(B3304&lt;&gt;B3303,C3304&lt;&gt;C3303,E3304&lt;&gt;E3303),G3303+1,G3303))</f>
        <v/>
      </c>
    </row>
    <row r="3305">
      <c r="A3305" s="20">
        <f>IF(A3304="","",IF(A3304+1&gt;Ввод!$B$4,"",A3304+1))</f>
        <v/>
      </c>
      <c r="B3305">
        <f>IF(A3305="","",IFERROR(INDEX(Ввод!$B$12:$B$71,MATCH(A3305,Ввод!$D$12:$D$71,1)),""))</f>
        <v/>
      </c>
      <c r="C3305">
        <f>IF(A3305="","",DATE(YEAR(A3305),12,31)-DATE(YEAR(A3305),1,1)+1)</f>
        <v/>
      </c>
      <c r="D3305">
        <f>IF(A3305="","",SUMIFS(Акты!$D$5:$D$16,Акты!$E$5:$E$16,"&lt;="&amp;A3305)-SUMIFS(Оплаты!$B$6:$B$505,Оплаты!$A$6:$A$505,"&lt;"&amp;A3305,Оплаты!$D$6:$D$505,"&lt;&gt;"))</f>
        <v/>
      </c>
      <c r="E3305">
        <f>IF(A3305="","",IF(SUMPRODUCT((Ввод!$F$12:$F$31&lt;&gt;"")*(Ввод!$F$12:$F$31&lt;=A3305)*(Ввод!$G$12:$G$31&gt;=A3305))&gt;0,1,0))</f>
        <v/>
      </c>
      <c r="G3305">
        <f>IF(A3305="","",IF(OR(B3305&lt;&gt;B3304,C3305&lt;&gt;C3304,E3305&lt;&gt;E3304),G3304+1,G3304))</f>
        <v/>
      </c>
    </row>
    <row r="3306">
      <c r="A3306" s="20">
        <f>IF(A3305="","",IF(A3305+1&gt;Ввод!$B$4,"",A3305+1))</f>
        <v/>
      </c>
      <c r="B3306">
        <f>IF(A3306="","",IFERROR(INDEX(Ввод!$B$12:$B$71,MATCH(A3306,Ввод!$D$12:$D$71,1)),""))</f>
        <v/>
      </c>
      <c r="C3306">
        <f>IF(A3306="","",DATE(YEAR(A3306),12,31)-DATE(YEAR(A3306),1,1)+1)</f>
        <v/>
      </c>
      <c r="D3306">
        <f>IF(A3306="","",SUMIFS(Акты!$D$5:$D$16,Акты!$E$5:$E$16,"&lt;="&amp;A3306)-SUMIFS(Оплаты!$B$6:$B$505,Оплаты!$A$6:$A$505,"&lt;"&amp;A3306,Оплаты!$D$6:$D$505,"&lt;&gt;"))</f>
        <v/>
      </c>
      <c r="E3306">
        <f>IF(A3306="","",IF(SUMPRODUCT((Ввод!$F$12:$F$31&lt;&gt;"")*(Ввод!$F$12:$F$31&lt;=A3306)*(Ввод!$G$12:$G$31&gt;=A3306))&gt;0,1,0))</f>
        <v/>
      </c>
      <c r="G3306">
        <f>IF(A3306="","",IF(OR(B3306&lt;&gt;B3305,C3306&lt;&gt;C3305,E3306&lt;&gt;E3305),G3305+1,G3305))</f>
        <v/>
      </c>
    </row>
    <row r="3307">
      <c r="A3307" s="20">
        <f>IF(A3306="","",IF(A3306+1&gt;Ввод!$B$4,"",A3306+1))</f>
        <v/>
      </c>
      <c r="B3307">
        <f>IF(A3307="","",IFERROR(INDEX(Ввод!$B$12:$B$71,MATCH(A3307,Ввод!$D$12:$D$71,1)),""))</f>
        <v/>
      </c>
      <c r="C3307">
        <f>IF(A3307="","",DATE(YEAR(A3307),12,31)-DATE(YEAR(A3307),1,1)+1)</f>
        <v/>
      </c>
      <c r="D3307">
        <f>IF(A3307="","",SUMIFS(Акты!$D$5:$D$16,Акты!$E$5:$E$16,"&lt;="&amp;A3307)-SUMIFS(Оплаты!$B$6:$B$505,Оплаты!$A$6:$A$505,"&lt;"&amp;A3307,Оплаты!$D$6:$D$505,"&lt;&gt;"))</f>
        <v/>
      </c>
      <c r="E3307">
        <f>IF(A3307="","",IF(SUMPRODUCT((Ввод!$F$12:$F$31&lt;&gt;"")*(Ввод!$F$12:$F$31&lt;=A3307)*(Ввод!$G$12:$G$31&gt;=A3307))&gt;0,1,0))</f>
        <v/>
      </c>
      <c r="G3307">
        <f>IF(A3307="","",IF(OR(B3307&lt;&gt;B3306,C3307&lt;&gt;C3306,E3307&lt;&gt;E3306),G3306+1,G3306))</f>
        <v/>
      </c>
    </row>
    <row r="3308">
      <c r="A3308" s="20">
        <f>IF(A3307="","",IF(A3307+1&gt;Ввод!$B$4,"",A3307+1))</f>
        <v/>
      </c>
      <c r="B3308">
        <f>IF(A3308="","",IFERROR(INDEX(Ввод!$B$12:$B$71,MATCH(A3308,Ввод!$D$12:$D$71,1)),""))</f>
        <v/>
      </c>
      <c r="C3308">
        <f>IF(A3308="","",DATE(YEAR(A3308),12,31)-DATE(YEAR(A3308),1,1)+1)</f>
        <v/>
      </c>
      <c r="D3308">
        <f>IF(A3308="","",SUMIFS(Акты!$D$5:$D$16,Акты!$E$5:$E$16,"&lt;="&amp;A3308)-SUMIFS(Оплаты!$B$6:$B$505,Оплаты!$A$6:$A$505,"&lt;"&amp;A3308,Оплаты!$D$6:$D$505,"&lt;&gt;"))</f>
        <v/>
      </c>
      <c r="E3308">
        <f>IF(A3308="","",IF(SUMPRODUCT((Ввод!$F$12:$F$31&lt;&gt;"")*(Ввод!$F$12:$F$31&lt;=A3308)*(Ввод!$G$12:$G$31&gt;=A3308))&gt;0,1,0))</f>
        <v/>
      </c>
      <c r="G3308">
        <f>IF(A3308="","",IF(OR(B3308&lt;&gt;B3307,C3308&lt;&gt;C3307,E3308&lt;&gt;E3307),G3307+1,G3307))</f>
        <v/>
      </c>
    </row>
    <row r="3309">
      <c r="A3309" s="20">
        <f>IF(A3308="","",IF(A3308+1&gt;Ввод!$B$4,"",A3308+1))</f>
        <v/>
      </c>
      <c r="B3309">
        <f>IF(A3309="","",IFERROR(INDEX(Ввод!$B$12:$B$71,MATCH(A3309,Ввод!$D$12:$D$71,1)),""))</f>
        <v/>
      </c>
      <c r="C3309">
        <f>IF(A3309="","",DATE(YEAR(A3309),12,31)-DATE(YEAR(A3309),1,1)+1)</f>
        <v/>
      </c>
      <c r="D3309">
        <f>IF(A3309="","",SUMIFS(Акты!$D$5:$D$16,Акты!$E$5:$E$16,"&lt;="&amp;A3309)-SUMIFS(Оплаты!$B$6:$B$505,Оплаты!$A$6:$A$505,"&lt;"&amp;A3309,Оплаты!$D$6:$D$505,"&lt;&gt;"))</f>
        <v/>
      </c>
      <c r="E3309">
        <f>IF(A3309="","",IF(SUMPRODUCT((Ввод!$F$12:$F$31&lt;&gt;"")*(Ввод!$F$12:$F$31&lt;=A3309)*(Ввод!$G$12:$G$31&gt;=A3309))&gt;0,1,0))</f>
        <v/>
      </c>
      <c r="G3309">
        <f>IF(A3309="","",IF(OR(B3309&lt;&gt;B3308,C3309&lt;&gt;C3308,E3309&lt;&gt;E3308),G3308+1,G3308))</f>
        <v/>
      </c>
    </row>
    <row r="3310">
      <c r="A3310" s="20">
        <f>IF(A3309="","",IF(A3309+1&gt;Ввод!$B$4,"",A3309+1))</f>
        <v/>
      </c>
      <c r="B3310">
        <f>IF(A3310="","",IFERROR(INDEX(Ввод!$B$12:$B$71,MATCH(A3310,Ввод!$D$12:$D$71,1)),""))</f>
        <v/>
      </c>
      <c r="C3310">
        <f>IF(A3310="","",DATE(YEAR(A3310),12,31)-DATE(YEAR(A3310),1,1)+1)</f>
        <v/>
      </c>
      <c r="D3310">
        <f>IF(A3310="","",SUMIFS(Акты!$D$5:$D$16,Акты!$E$5:$E$16,"&lt;="&amp;A3310)-SUMIFS(Оплаты!$B$6:$B$505,Оплаты!$A$6:$A$505,"&lt;"&amp;A3310,Оплаты!$D$6:$D$505,"&lt;&gt;"))</f>
        <v/>
      </c>
      <c r="E3310">
        <f>IF(A3310="","",IF(SUMPRODUCT((Ввод!$F$12:$F$31&lt;&gt;"")*(Ввод!$F$12:$F$31&lt;=A3310)*(Ввод!$G$12:$G$31&gt;=A3310))&gt;0,1,0))</f>
        <v/>
      </c>
      <c r="G3310">
        <f>IF(A3310="","",IF(OR(B3310&lt;&gt;B3309,C3310&lt;&gt;C3309,E3310&lt;&gt;E3309),G3309+1,G3309))</f>
        <v/>
      </c>
    </row>
    <row r="3311">
      <c r="A3311" s="20">
        <f>IF(A3310="","",IF(A3310+1&gt;Ввод!$B$4,"",A3310+1))</f>
        <v/>
      </c>
      <c r="B3311">
        <f>IF(A3311="","",IFERROR(INDEX(Ввод!$B$12:$B$71,MATCH(A3311,Ввод!$D$12:$D$71,1)),""))</f>
        <v/>
      </c>
      <c r="C3311">
        <f>IF(A3311="","",DATE(YEAR(A3311),12,31)-DATE(YEAR(A3311),1,1)+1)</f>
        <v/>
      </c>
      <c r="D3311">
        <f>IF(A3311="","",SUMIFS(Акты!$D$5:$D$16,Акты!$E$5:$E$16,"&lt;="&amp;A3311)-SUMIFS(Оплаты!$B$6:$B$505,Оплаты!$A$6:$A$505,"&lt;"&amp;A3311,Оплаты!$D$6:$D$505,"&lt;&gt;"))</f>
        <v/>
      </c>
      <c r="E3311">
        <f>IF(A3311="","",IF(SUMPRODUCT((Ввод!$F$12:$F$31&lt;&gt;"")*(Ввод!$F$12:$F$31&lt;=A3311)*(Ввод!$G$12:$G$31&gt;=A3311))&gt;0,1,0))</f>
        <v/>
      </c>
      <c r="G3311">
        <f>IF(A3311="","",IF(OR(B3311&lt;&gt;B3310,C3311&lt;&gt;C3310,E3311&lt;&gt;E3310),G3310+1,G3310))</f>
        <v/>
      </c>
    </row>
    <row r="3312">
      <c r="A3312" s="20">
        <f>IF(A3311="","",IF(A3311+1&gt;Ввод!$B$4,"",A3311+1))</f>
        <v/>
      </c>
      <c r="B3312">
        <f>IF(A3312="","",IFERROR(INDEX(Ввод!$B$12:$B$71,MATCH(A3312,Ввод!$D$12:$D$71,1)),""))</f>
        <v/>
      </c>
      <c r="C3312">
        <f>IF(A3312="","",DATE(YEAR(A3312),12,31)-DATE(YEAR(A3312),1,1)+1)</f>
        <v/>
      </c>
      <c r="D3312">
        <f>IF(A3312="","",SUMIFS(Акты!$D$5:$D$16,Акты!$E$5:$E$16,"&lt;="&amp;A3312)-SUMIFS(Оплаты!$B$6:$B$505,Оплаты!$A$6:$A$505,"&lt;"&amp;A3312,Оплаты!$D$6:$D$505,"&lt;&gt;"))</f>
        <v/>
      </c>
      <c r="E3312">
        <f>IF(A3312="","",IF(SUMPRODUCT((Ввод!$F$12:$F$31&lt;&gt;"")*(Ввод!$F$12:$F$31&lt;=A3312)*(Ввод!$G$12:$G$31&gt;=A3312))&gt;0,1,0))</f>
        <v/>
      </c>
      <c r="G3312">
        <f>IF(A3312="","",IF(OR(B3312&lt;&gt;B3311,C3312&lt;&gt;C3311,E3312&lt;&gt;E3311),G3311+1,G3311))</f>
        <v/>
      </c>
    </row>
    <row r="3313">
      <c r="A3313" s="20">
        <f>IF(A3312="","",IF(A3312+1&gt;Ввод!$B$4,"",A3312+1))</f>
        <v/>
      </c>
      <c r="B3313">
        <f>IF(A3313="","",IFERROR(INDEX(Ввод!$B$12:$B$71,MATCH(A3313,Ввод!$D$12:$D$71,1)),""))</f>
        <v/>
      </c>
      <c r="C3313">
        <f>IF(A3313="","",DATE(YEAR(A3313),12,31)-DATE(YEAR(A3313),1,1)+1)</f>
        <v/>
      </c>
      <c r="D3313">
        <f>IF(A3313="","",SUMIFS(Акты!$D$5:$D$16,Акты!$E$5:$E$16,"&lt;="&amp;A3313)-SUMIFS(Оплаты!$B$6:$B$505,Оплаты!$A$6:$A$505,"&lt;"&amp;A3313,Оплаты!$D$6:$D$505,"&lt;&gt;"))</f>
        <v/>
      </c>
      <c r="E3313">
        <f>IF(A3313="","",IF(SUMPRODUCT((Ввод!$F$12:$F$31&lt;&gt;"")*(Ввод!$F$12:$F$31&lt;=A3313)*(Ввод!$G$12:$G$31&gt;=A3313))&gt;0,1,0))</f>
        <v/>
      </c>
      <c r="G3313">
        <f>IF(A3313="","",IF(OR(B3313&lt;&gt;B3312,C3313&lt;&gt;C3312,E3313&lt;&gt;E3312),G3312+1,G3312))</f>
        <v/>
      </c>
    </row>
    <row r="3314">
      <c r="A3314" s="20">
        <f>IF(A3313="","",IF(A3313+1&gt;Ввод!$B$4,"",A3313+1))</f>
        <v/>
      </c>
      <c r="B3314">
        <f>IF(A3314="","",IFERROR(INDEX(Ввод!$B$12:$B$71,MATCH(A3314,Ввод!$D$12:$D$71,1)),""))</f>
        <v/>
      </c>
      <c r="C3314">
        <f>IF(A3314="","",DATE(YEAR(A3314),12,31)-DATE(YEAR(A3314),1,1)+1)</f>
        <v/>
      </c>
      <c r="D3314">
        <f>IF(A3314="","",SUMIFS(Акты!$D$5:$D$16,Акты!$E$5:$E$16,"&lt;="&amp;A3314)-SUMIFS(Оплаты!$B$6:$B$505,Оплаты!$A$6:$A$505,"&lt;"&amp;A3314,Оплаты!$D$6:$D$505,"&lt;&gt;"))</f>
        <v/>
      </c>
      <c r="E3314">
        <f>IF(A3314="","",IF(SUMPRODUCT((Ввод!$F$12:$F$31&lt;&gt;"")*(Ввод!$F$12:$F$31&lt;=A3314)*(Ввод!$G$12:$G$31&gt;=A3314))&gt;0,1,0))</f>
        <v/>
      </c>
      <c r="G3314">
        <f>IF(A3314="","",IF(OR(B3314&lt;&gt;B3313,C3314&lt;&gt;C3313,E3314&lt;&gt;E3313),G3313+1,G3313))</f>
        <v/>
      </c>
    </row>
    <row r="3315">
      <c r="A3315" s="20">
        <f>IF(A3314="","",IF(A3314+1&gt;Ввод!$B$4,"",A3314+1))</f>
        <v/>
      </c>
      <c r="B3315">
        <f>IF(A3315="","",IFERROR(INDEX(Ввод!$B$12:$B$71,MATCH(A3315,Ввод!$D$12:$D$71,1)),""))</f>
        <v/>
      </c>
      <c r="C3315">
        <f>IF(A3315="","",DATE(YEAR(A3315),12,31)-DATE(YEAR(A3315),1,1)+1)</f>
        <v/>
      </c>
      <c r="D3315">
        <f>IF(A3315="","",SUMIFS(Акты!$D$5:$D$16,Акты!$E$5:$E$16,"&lt;="&amp;A3315)-SUMIFS(Оплаты!$B$6:$B$505,Оплаты!$A$6:$A$505,"&lt;"&amp;A3315,Оплаты!$D$6:$D$505,"&lt;&gt;"))</f>
        <v/>
      </c>
      <c r="E3315">
        <f>IF(A3315="","",IF(SUMPRODUCT((Ввод!$F$12:$F$31&lt;&gt;"")*(Ввод!$F$12:$F$31&lt;=A3315)*(Ввод!$G$12:$G$31&gt;=A3315))&gt;0,1,0))</f>
        <v/>
      </c>
      <c r="G3315">
        <f>IF(A3315="","",IF(OR(B3315&lt;&gt;B3314,C3315&lt;&gt;C3314,E3315&lt;&gt;E3314),G3314+1,G3314))</f>
        <v/>
      </c>
    </row>
    <row r="3316">
      <c r="A3316" s="20">
        <f>IF(A3315="","",IF(A3315+1&gt;Ввод!$B$4,"",A3315+1))</f>
        <v/>
      </c>
      <c r="B3316">
        <f>IF(A3316="","",IFERROR(INDEX(Ввод!$B$12:$B$71,MATCH(A3316,Ввод!$D$12:$D$71,1)),""))</f>
        <v/>
      </c>
      <c r="C3316">
        <f>IF(A3316="","",DATE(YEAR(A3316),12,31)-DATE(YEAR(A3316),1,1)+1)</f>
        <v/>
      </c>
      <c r="D3316">
        <f>IF(A3316="","",SUMIFS(Акты!$D$5:$D$16,Акты!$E$5:$E$16,"&lt;="&amp;A3316)-SUMIFS(Оплаты!$B$6:$B$505,Оплаты!$A$6:$A$505,"&lt;"&amp;A3316,Оплаты!$D$6:$D$505,"&lt;&gt;"))</f>
        <v/>
      </c>
      <c r="E3316">
        <f>IF(A3316="","",IF(SUMPRODUCT((Ввод!$F$12:$F$31&lt;&gt;"")*(Ввод!$F$12:$F$31&lt;=A3316)*(Ввод!$G$12:$G$31&gt;=A3316))&gt;0,1,0))</f>
        <v/>
      </c>
      <c r="G3316">
        <f>IF(A3316="","",IF(OR(B3316&lt;&gt;B3315,C3316&lt;&gt;C3315,E3316&lt;&gt;E3315),G3315+1,G3315))</f>
        <v/>
      </c>
    </row>
    <row r="3317">
      <c r="A3317" s="20">
        <f>IF(A3316="","",IF(A3316+1&gt;Ввод!$B$4,"",A3316+1))</f>
        <v/>
      </c>
      <c r="B3317">
        <f>IF(A3317="","",IFERROR(INDEX(Ввод!$B$12:$B$71,MATCH(A3317,Ввод!$D$12:$D$71,1)),""))</f>
        <v/>
      </c>
      <c r="C3317">
        <f>IF(A3317="","",DATE(YEAR(A3317),12,31)-DATE(YEAR(A3317),1,1)+1)</f>
        <v/>
      </c>
      <c r="D3317">
        <f>IF(A3317="","",SUMIFS(Акты!$D$5:$D$16,Акты!$E$5:$E$16,"&lt;="&amp;A3317)-SUMIFS(Оплаты!$B$6:$B$505,Оплаты!$A$6:$A$505,"&lt;"&amp;A3317,Оплаты!$D$6:$D$505,"&lt;&gt;"))</f>
        <v/>
      </c>
      <c r="E3317">
        <f>IF(A3317="","",IF(SUMPRODUCT((Ввод!$F$12:$F$31&lt;&gt;"")*(Ввод!$F$12:$F$31&lt;=A3317)*(Ввод!$G$12:$G$31&gt;=A3317))&gt;0,1,0))</f>
        <v/>
      </c>
      <c r="G3317">
        <f>IF(A3317="","",IF(OR(B3317&lt;&gt;B3316,C3317&lt;&gt;C3316,E3317&lt;&gt;E3316),G3316+1,G3316))</f>
        <v/>
      </c>
    </row>
    <row r="3318">
      <c r="A3318" s="20">
        <f>IF(A3317="","",IF(A3317+1&gt;Ввод!$B$4,"",A3317+1))</f>
        <v/>
      </c>
      <c r="B3318">
        <f>IF(A3318="","",IFERROR(INDEX(Ввод!$B$12:$B$71,MATCH(A3318,Ввод!$D$12:$D$71,1)),""))</f>
        <v/>
      </c>
      <c r="C3318">
        <f>IF(A3318="","",DATE(YEAR(A3318),12,31)-DATE(YEAR(A3318),1,1)+1)</f>
        <v/>
      </c>
      <c r="D3318">
        <f>IF(A3318="","",SUMIFS(Акты!$D$5:$D$16,Акты!$E$5:$E$16,"&lt;="&amp;A3318)-SUMIFS(Оплаты!$B$6:$B$505,Оплаты!$A$6:$A$505,"&lt;"&amp;A3318,Оплаты!$D$6:$D$505,"&lt;&gt;"))</f>
        <v/>
      </c>
      <c r="E3318">
        <f>IF(A3318="","",IF(SUMPRODUCT((Ввод!$F$12:$F$31&lt;&gt;"")*(Ввод!$F$12:$F$31&lt;=A3318)*(Ввод!$G$12:$G$31&gt;=A3318))&gt;0,1,0))</f>
        <v/>
      </c>
      <c r="G3318">
        <f>IF(A3318="","",IF(OR(B3318&lt;&gt;B3317,C3318&lt;&gt;C3317,E3318&lt;&gt;E3317),G3317+1,G3317))</f>
        <v/>
      </c>
    </row>
    <row r="3319">
      <c r="A3319" s="20">
        <f>IF(A3318="","",IF(A3318+1&gt;Ввод!$B$4,"",A3318+1))</f>
        <v/>
      </c>
      <c r="B3319">
        <f>IF(A3319="","",IFERROR(INDEX(Ввод!$B$12:$B$71,MATCH(A3319,Ввод!$D$12:$D$71,1)),""))</f>
        <v/>
      </c>
      <c r="C3319">
        <f>IF(A3319="","",DATE(YEAR(A3319),12,31)-DATE(YEAR(A3319),1,1)+1)</f>
        <v/>
      </c>
      <c r="D3319">
        <f>IF(A3319="","",SUMIFS(Акты!$D$5:$D$16,Акты!$E$5:$E$16,"&lt;="&amp;A3319)-SUMIFS(Оплаты!$B$6:$B$505,Оплаты!$A$6:$A$505,"&lt;"&amp;A3319,Оплаты!$D$6:$D$505,"&lt;&gt;"))</f>
        <v/>
      </c>
      <c r="E3319">
        <f>IF(A3319="","",IF(SUMPRODUCT((Ввод!$F$12:$F$31&lt;&gt;"")*(Ввод!$F$12:$F$31&lt;=A3319)*(Ввод!$G$12:$G$31&gt;=A3319))&gt;0,1,0))</f>
        <v/>
      </c>
      <c r="G3319">
        <f>IF(A3319="","",IF(OR(B3319&lt;&gt;B3318,C3319&lt;&gt;C3318,E3319&lt;&gt;E3318),G3318+1,G3318))</f>
        <v/>
      </c>
    </row>
    <row r="3320">
      <c r="A3320" s="20">
        <f>IF(A3319="","",IF(A3319+1&gt;Ввод!$B$4,"",A3319+1))</f>
        <v/>
      </c>
      <c r="B3320">
        <f>IF(A3320="","",IFERROR(INDEX(Ввод!$B$12:$B$71,MATCH(A3320,Ввод!$D$12:$D$71,1)),""))</f>
        <v/>
      </c>
      <c r="C3320">
        <f>IF(A3320="","",DATE(YEAR(A3320),12,31)-DATE(YEAR(A3320),1,1)+1)</f>
        <v/>
      </c>
      <c r="D3320">
        <f>IF(A3320="","",SUMIFS(Акты!$D$5:$D$16,Акты!$E$5:$E$16,"&lt;="&amp;A3320)-SUMIFS(Оплаты!$B$6:$B$505,Оплаты!$A$6:$A$505,"&lt;"&amp;A3320,Оплаты!$D$6:$D$505,"&lt;&gt;"))</f>
        <v/>
      </c>
      <c r="E3320">
        <f>IF(A3320="","",IF(SUMPRODUCT((Ввод!$F$12:$F$31&lt;&gt;"")*(Ввод!$F$12:$F$31&lt;=A3320)*(Ввод!$G$12:$G$31&gt;=A3320))&gt;0,1,0))</f>
        <v/>
      </c>
      <c r="G3320">
        <f>IF(A3320="","",IF(OR(B3320&lt;&gt;B3319,C3320&lt;&gt;C3319,E3320&lt;&gt;E3319),G3319+1,G3319))</f>
        <v/>
      </c>
    </row>
    <row r="3321">
      <c r="A3321" s="20">
        <f>IF(A3320="","",IF(A3320+1&gt;Ввод!$B$4,"",A3320+1))</f>
        <v/>
      </c>
      <c r="B3321">
        <f>IF(A3321="","",IFERROR(INDEX(Ввод!$B$12:$B$71,MATCH(A3321,Ввод!$D$12:$D$71,1)),""))</f>
        <v/>
      </c>
      <c r="C3321">
        <f>IF(A3321="","",DATE(YEAR(A3321),12,31)-DATE(YEAR(A3321),1,1)+1)</f>
        <v/>
      </c>
      <c r="D3321">
        <f>IF(A3321="","",SUMIFS(Акты!$D$5:$D$16,Акты!$E$5:$E$16,"&lt;="&amp;A3321)-SUMIFS(Оплаты!$B$6:$B$505,Оплаты!$A$6:$A$505,"&lt;"&amp;A3321,Оплаты!$D$6:$D$505,"&lt;&gt;"))</f>
        <v/>
      </c>
      <c r="E3321">
        <f>IF(A3321="","",IF(SUMPRODUCT((Ввод!$F$12:$F$31&lt;&gt;"")*(Ввод!$F$12:$F$31&lt;=A3321)*(Ввод!$G$12:$G$31&gt;=A3321))&gt;0,1,0))</f>
        <v/>
      </c>
      <c r="G3321">
        <f>IF(A3321="","",IF(OR(B3321&lt;&gt;B3320,C3321&lt;&gt;C3320,E3321&lt;&gt;E3320),G3320+1,G3320))</f>
        <v/>
      </c>
    </row>
    <row r="3322">
      <c r="A3322" s="20">
        <f>IF(A3321="","",IF(A3321+1&gt;Ввод!$B$4,"",A3321+1))</f>
        <v/>
      </c>
      <c r="B3322">
        <f>IF(A3322="","",IFERROR(INDEX(Ввод!$B$12:$B$71,MATCH(A3322,Ввод!$D$12:$D$71,1)),""))</f>
        <v/>
      </c>
      <c r="C3322">
        <f>IF(A3322="","",DATE(YEAR(A3322),12,31)-DATE(YEAR(A3322),1,1)+1)</f>
        <v/>
      </c>
      <c r="D3322">
        <f>IF(A3322="","",SUMIFS(Акты!$D$5:$D$16,Акты!$E$5:$E$16,"&lt;="&amp;A3322)-SUMIFS(Оплаты!$B$6:$B$505,Оплаты!$A$6:$A$505,"&lt;"&amp;A3322,Оплаты!$D$6:$D$505,"&lt;&gt;"))</f>
        <v/>
      </c>
      <c r="E3322">
        <f>IF(A3322="","",IF(SUMPRODUCT((Ввод!$F$12:$F$31&lt;&gt;"")*(Ввод!$F$12:$F$31&lt;=A3322)*(Ввод!$G$12:$G$31&gt;=A3322))&gt;0,1,0))</f>
        <v/>
      </c>
      <c r="G3322">
        <f>IF(A3322="","",IF(OR(B3322&lt;&gt;B3321,C3322&lt;&gt;C3321,E3322&lt;&gt;E3321),G3321+1,G3321))</f>
        <v/>
      </c>
    </row>
    <row r="3323">
      <c r="A3323" s="20">
        <f>IF(A3322="","",IF(A3322+1&gt;Ввод!$B$4,"",A3322+1))</f>
        <v/>
      </c>
      <c r="B3323">
        <f>IF(A3323="","",IFERROR(INDEX(Ввод!$B$12:$B$71,MATCH(A3323,Ввод!$D$12:$D$71,1)),""))</f>
        <v/>
      </c>
      <c r="C3323">
        <f>IF(A3323="","",DATE(YEAR(A3323),12,31)-DATE(YEAR(A3323),1,1)+1)</f>
        <v/>
      </c>
      <c r="D3323">
        <f>IF(A3323="","",SUMIFS(Акты!$D$5:$D$16,Акты!$E$5:$E$16,"&lt;="&amp;A3323)-SUMIFS(Оплаты!$B$6:$B$505,Оплаты!$A$6:$A$505,"&lt;"&amp;A3323,Оплаты!$D$6:$D$505,"&lt;&gt;"))</f>
        <v/>
      </c>
      <c r="E3323">
        <f>IF(A3323="","",IF(SUMPRODUCT((Ввод!$F$12:$F$31&lt;&gt;"")*(Ввод!$F$12:$F$31&lt;=A3323)*(Ввод!$G$12:$G$31&gt;=A3323))&gt;0,1,0))</f>
        <v/>
      </c>
      <c r="G3323">
        <f>IF(A3323="","",IF(OR(B3323&lt;&gt;B3322,C3323&lt;&gt;C3322,E3323&lt;&gt;E3322),G3322+1,G3322))</f>
        <v/>
      </c>
    </row>
    <row r="3324">
      <c r="A3324" s="20">
        <f>IF(A3323="","",IF(A3323+1&gt;Ввод!$B$4,"",A3323+1))</f>
        <v/>
      </c>
      <c r="B3324">
        <f>IF(A3324="","",IFERROR(INDEX(Ввод!$B$12:$B$71,MATCH(A3324,Ввод!$D$12:$D$71,1)),""))</f>
        <v/>
      </c>
      <c r="C3324">
        <f>IF(A3324="","",DATE(YEAR(A3324),12,31)-DATE(YEAR(A3324),1,1)+1)</f>
        <v/>
      </c>
      <c r="D3324">
        <f>IF(A3324="","",SUMIFS(Акты!$D$5:$D$16,Акты!$E$5:$E$16,"&lt;="&amp;A3324)-SUMIFS(Оплаты!$B$6:$B$505,Оплаты!$A$6:$A$505,"&lt;"&amp;A3324,Оплаты!$D$6:$D$505,"&lt;&gt;"))</f>
        <v/>
      </c>
      <c r="E3324">
        <f>IF(A3324="","",IF(SUMPRODUCT((Ввод!$F$12:$F$31&lt;&gt;"")*(Ввод!$F$12:$F$31&lt;=A3324)*(Ввод!$G$12:$G$31&gt;=A3324))&gt;0,1,0))</f>
        <v/>
      </c>
      <c r="G3324">
        <f>IF(A3324="","",IF(OR(B3324&lt;&gt;B3323,C3324&lt;&gt;C3323,E3324&lt;&gt;E3323),G3323+1,G3323))</f>
        <v/>
      </c>
    </row>
    <row r="3325">
      <c r="A3325" s="20">
        <f>IF(A3324="","",IF(A3324+1&gt;Ввод!$B$4,"",A3324+1))</f>
        <v/>
      </c>
      <c r="B3325">
        <f>IF(A3325="","",IFERROR(INDEX(Ввод!$B$12:$B$71,MATCH(A3325,Ввод!$D$12:$D$71,1)),""))</f>
        <v/>
      </c>
      <c r="C3325">
        <f>IF(A3325="","",DATE(YEAR(A3325),12,31)-DATE(YEAR(A3325),1,1)+1)</f>
        <v/>
      </c>
      <c r="D3325">
        <f>IF(A3325="","",SUMIFS(Акты!$D$5:$D$16,Акты!$E$5:$E$16,"&lt;="&amp;A3325)-SUMIFS(Оплаты!$B$6:$B$505,Оплаты!$A$6:$A$505,"&lt;"&amp;A3325,Оплаты!$D$6:$D$505,"&lt;&gt;"))</f>
        <v/>
      </c>
      <c r="E3325">
        <f>IF(A3325="","",IF(SUMPRODUCT((Ввод!$F$12:$F$31&lt;&gt;"")*(Ввод!$F$12:$F$31&lt;=A3325)*(Ввод!$G$12:$G$31&gt;=A3325))&gt;0,1,0))</f>
        <v/>
      </c>
      <c r="G3325">
        <f>IF(A3325="","",IF(OR(B3325&lt;&gt;B3324,C3325&lt;&gt;C3324,E3325&lt;&gt;E3324),G3324+1,G3324))</f>
        <v/>
      </c>
    </row>
    <row r="3326">
      <c r="A3326" s="20">
        <f>IF(A3325="","",IF(A3325+1&gt;Ввод!$B$4,"",A3325+1))</f>
        <v/>
      </c>
      <c r="B3326">
        <f>IF(A3326="","",IFERROR(INDEX(Ввод!$B$12:$B$71,MATCH(A3326,Ввод!$D$12:$D$71,1)),""))</f>
        <v/>
      </c>
      <c r="C3326">
        <f>IF(A3326="","",DATE(YEAR(A3326),12,31)-DATE(YEAR(A3326),1,1)+1)</f>
        <v/>
      </c>
      <c r="D3326">
        <f>IF(A3326="","",SUMIFS(Акты!$D$5:$D$16,Акты!$E$5:$E$16,"&lt;="&amp;A3326)-SUMIFS(Оплаты!$B$6:$B$505,Оплаты!$A$6:$A$505,"&lt;"&amp;A3326,Оплаты!$D$6:$D$505,"&lt;&gt;"))</f>
        <v/>
      </c>
      <c r="E3326">
        <f>IF(A3326="","",IF(SUMPRODUCT((Ввод!$F$12:$F$31&lt;&gt;"")*(Ввод!$F$12:$F$31&lt;=A3326)*(Ввод!$G$12:$G$31&gt;=A3326))&gt;0,1,0))</f>
        <v/>
      </c>
      <c r="G3326">
        <f>IF(A3326="","",IF(OR(B3326&lt;&gt;B3325,C3326&lt;&gt;C3325,E3326&lt;&gt;E3325),G3325+1,G3325))</f>
        <v/>
      </c>
    </row>
    <row r="3327">
      <c r="A3327" s="20">
        <f>IF(A3326="","",IF(A3326+1&gt;Ввод!$B$4,"",A3326+1))</f>
        <v/>
      </c>
      <c r="B3327">
        <f>IF(A3327="","",IFERROR(INDEX(Ввод!$B$12:$B$71,MATCH(A3327,Ввод!$D$12:$D$71,1)),""))</f>
        <v/>
      </c>
      <c r="C3327">
        <f>IF(A3327="","",DATE(YEAR(A3327),12,31)-DATE(YEAR(A3327),1,1)+1)</f>
        <v/>
      </c>
      <c r="D3327">
        <f>IF(A3327="","",SUMIFS(Акты!$D$5:$D$16,Акты!$E$5:$E$16,"&lt;="&amp;A3327)-SUMIFS(Оплаты!$B$6:$B$505,Оплаты!$A$6:$A$505,"&lt;"&amp;A3327,Оплаты!$D$6:$D$505,"&lt;&gt;"))</f>
        <v/>
      </c>
      <c r="E3327">
        <f>IF(A3327="","",IF(SUMPRODUCT((Ввод!$F$12:$F$31&lt;&gt;"")*(Ввод!$F$12:$F$31&lt;=A3327)*(Ввод!$G$12:$G$31&gt;=A3327))&gt;0,1,0))</f>
        <v/>
      </c>
      <c r="G3327">
        <f>IF(A3327="","",IF(OR(B3327&lt;&gt;B3326,C3327&lt;&gt;C3326,E3327&lt;&gt;E3326),G3326+1,G3326))</f>
        <v/>
      </c>
    </row>
    <row r="3328">
      <c r="A3328" s="20">
        <f>IF(A3327="","",IF(A3327+1&gt;Ввод!$B$4,"",A3327+1))</f>
        <v/>
      </c>
      <c r="B3328">
        <f>IF(A3328="","",IFERROR(INDEX(Ввод!$B$12:$B$71,MATCH(A3328,Ввод!$D$12:$D$71,1)),""))</f>
        <v/>
      </c>
      <c r="C3328">
        <f>IF(A3328="","",DATE(YEAR(A3328),12,31)-DATE(YEAR(A3328),1,1)+1)</f>
        <v/>
      </c>
      <c r="D3328">
        <f>IF(A3328="","",SUMIFS(Акты!$D$5:$D$16,Акты!$E$5:$E$16,"&lt;="&amp;A3328)-SUMIFS(Оплаты!$B$6:$B$505,Оплаты!$A$6:$A$505,"&lt;"&amp;A3328,Оплаты!$D$6:$D$505,"&lt;&gt;"))</f>
        <v/>
      </c>
      <c r="E3328">
        <f>IF(A3328="","",IF(SUMPRODUCT((Ввод!$F$12:$F$31&lt;&gt;"")*(Ввод!$F$12:$F$31&lt;=A3328)*(Ввод!$G$12:$G$31&gt;=A3328))&gt;0,1,0))</f>
        <v/>
      </c>
      <c r="G3328">
        <f>IF(A3328="","",IF(OR(B3328&lt;&gt;B3327,C3328&lt;&gt;C3327,E3328&lt;&gt;E3327),G3327+1,G3327))</f>
        <v/>
      </c>
    </row>
    <row r="3329">
      <c r="A3329" s="20">
        <f>IF(A3328="","",IF(A3328+1&gt;Ввод!$B$4,"",A3328+1))</f>
        <v/>
      </c>
      <c r="B3329">
        <f>IF(A3329="","",IFERROR(INDEX(Ввод!$B$12:$B$71,MATCH(A3329,Ввод!$D$12:$D$71,1)),""))</f>
        <v/>
      </c>
      <c r="C3329">
        <f>IF(A3329="","",DATE(YEAR(A3329),12,31)-DATE(YEAR(A3329),1,1)+1)</f>
        <v/>
      </c>
      <c r="D3329">
        <f>IF(A3329="","",SUMIFS(Акты!$D$5:$D$16,Акты!$E$5:$E$16,"&lt;="&amp;A3329)-SUMIFS(Оплаты!$B$6:$B$505,Оплаты!$A$6:$A$505,"&lt;"&amp;A3329,Оплаты!$D$6:$D$505,"&lt;&gt;"))</f>
        <v/>
      </c>
      <c r="E3329">
        <f>IF(A3329="","",IF(SUMPRODUCT((Ввод!$F$12:$F$31&lt;&gt;"")*(Ввод!$F$12:$F$31&lt;=A3329)*(Ввод!$G$12:$G$31&gt;=A3329))&gt;0,1,0))</f>
        <v/>
      </c>
      <c r="G3329">
        <f>IF(A3329="","",IF(OR(B3329&lt;&gt;B3328,C3329&lt;&gt;C3328,E3329&lt;&gt;E3328),G3328+1,G3328))</f>
        <v/>
      </c>
    </row>
    <row r="3330">
      <c r="A3330" s="20">
        <f>IF(A3329="","",IF(A3329+1&gt;Ввод!$B$4,"",A3329+1))</f>
        <v/>
      </c>
      <c r="B3330">
        <f>IF(A3330="","",IFERROR(INDEX(Ввод!$B$12:$B$71,MATCH(A3330,Ввод!$D$12:$D$71,1)),""))</f>
        <v/>
      </c>
      <c r="C3330">
        <f>IF(A3330="","",DATE(YEAR(A3330),12,31)-DATE(YEAR(A3330),1,1)+1)</f>
        <v/>
      </c>
      <c r="D3330">
        <f>IF(A3330="","",SUMIFS(Акты!$D$5:$D$16,Акты!$E$5:$E$16,"&lt;="&amp;A3330)-SUMIFS(Оплаты!$B$6:$B$505,Оплаты!$A$6:$A$505,"&lt;"&amp;A3330,Оплаты!$D$6:$D$505,"&lt;&gt;"))</f>
        <v/>
      </c>
      <c r="E3330">
        <f>IF(A3330="","",IF(SUMPRODUCT((Ввод!$F$12:$F$31&lt;&gt;"")*(Ввод!$F$12:$F$31&lt;=A3330)*(Ввод!$G$12:$G$31&gt;=A3330))&gt;0,1,0))</f>
        <v/>
      </c>
      <c r="G3330">
        <f>IF(A3330="","",IF(OR(B3330&lt;&gt;B3329,C3330&lt;&gt;C3329,E3330&lt;&gt;E3329),G3329+1,G3329))</f>
        <v/>
      </c>
    </row>
    <row r="3331">
      <c r="A3331" s="20">
        <f>IF(A3330="","",IF(A3330+1&gt;Ввод!$B$4,"",A3330+1))</f>
        <v/>
      </c>
      <c r="B3331">
        <f>IF(A3331="","",IFERROR(INDEX(Ввод!$B$12:$B$71,MATCH(A3331,Ввод!$D$12:$D$71,1)),""))</f>
        <v/>
      </c>
      <c r="C3331">
        <f>IF(A3331="","",DATE(YEAR(A3331),12,31)-DATE(YEAR(A3331),1,1)+1)</f>
        <v/>
      </c>
      <c r="D3331">
        <f>IF(A3331="","",SUMIFS(Акты!$D$5:$D$16,Акты!$E$5:$E$16,"&lt;="&amp;A3331)-SUMIFS(Оплаты!$B$6:$B$505,Оплаты!$A$6:$A$505,"&lt;"&amp;A3331,Оплаты!$D$6:$D$505,"&lt;&gt;"))</f>
        <v/>
      </c>
      <c r="E3331">
        <f>IF(A3331="","",IF(SUMPRODUCT((Ввод!$F$12:$F$31&lt;&gt;"")*(Ввод!$F$12:$F$31&lt;=A3331)*(Ввод!$G$12:$G$31&gt;=A3331))&gt;0,1,0))</f>
        <v/>
      </c>
      <c r="G3331">
        <f>IF(A3331="","",IF(OR(B3331&lt;&gt;B3330,C3331&lt;&gt;C3330,E3331&lt;&gt;E3330),G3330+1,G3330))</f>
        <v/>
      </c>
    </row>
    <row r="3332">
      <c r="A3332" s="20">
        <f>IF(A3331="","",IF(A3331+1&gt;Ввод!$B$4,"",A3331+1))</f>
        <v/>
      </c>
      <c r="B3332">
        <f>IF(A3332="","",IFERROR(INDEX(Ввод!$B$12:$B$71,MATCH(A3332,Ввод!$D$12:$D$71,1)),""))</f>
        <v/>
      </c>
      <c r="C3332">
        <f>IF(A3332="","",DATE(YEAR(A3332),12,31)-DATE(YEAR(A3332),1,1)+1)</f>
        <v/>
      </c>
      <c r="D3332">
        <f>IF(A3332="","",SUMIFS(Акты!$D$5:$D$16,Акты!$E$5:$E$16,"&lt;="&amp;A3332)-SUMIFS(Оплаты!$B$6:$B$505,Оплаты!$A$6:$A$505,"&lt;"&amp;A3332,Оплаты!$D$6:$D$505,"&lt;&gt;"))</f>
        <v/>
      </c>
      <c r="E3332">
        <f>IF(A3332="","",IF(SUMPRODUCT((Ввод!$F$12:$F$31&lt;&gt;"")*(Ввод!$F$12:$F$31&lt;=A3332)*(Ввод!$G$12:$G$31&gt;=A3332))&gt;0,1,0))</f>
        <v/>
      </c>
      <c r="G3332">
        <f>IF(A3332="","",IF(OR(B3332&lt;&gt;B3331,C3332&lt;&gt;C3331,E3332&lt;&gt;E3331),G3331+1,G3331))</f>
        <v/>
      </c>
    </row>
    <row r="3333">
      <c r="A3333" s="20">
        <f>IF(A3332="","",IF(A3332+1&gt;Ввод!$B$4,"",A3332+1))</f>
        <v/>
      </c>
      <c r="B3333">
        <f>IF(A3333="","",IFERROR(INDEX(Ввод!$B$12:$B$71,MATCH(A3333,Ввод!$D$12:$D$71,1)),""))</f>
        <v/>
      </c>
      <c r="C3333">
        <f>IF(A3333="","",DATE(YEAR(A3333),12,31)-DATE(YEAR(A3333),1,1)+1)</f>
        <v/>
      </c>
      <c r="D3333">
        <f>IF(A3333="","",SUMIFS(Акты!$D$5:$D$16,Акты!$E$5:$E$16,"&lt;="&amp;A3333)-SUMIFS(Оплаты!$B$6:$B$505,Оплаты!$A$6:$A$505,"&lt;"&amp;A3333,Оплаты!$D$6:$D$505,"&lt;&gt;"))</f>
        <v/>
      </c>
      <c r="E3333">
        <f>IF(A3333="","",IF(SUMPRODUCT((Ввод!$F$12:$F$31&lt;&gt;"")*(Ввод!$F$12:$F$31&lt;=A3333)*(Ввод!$G$12:$G$31&gt;=A3333))&gt;0,1,0))</f>
        <v/>
      </c>
      <c r="G3333">
        <f>IF(A3333="","",IF(OR(B3333&lt;&gt;B3332,C3333&lt;&gt;C3332,E3333&lt;&gt;E3332),G3332+1,G3332))</f>
        <v/>
      </c>
    </row>
    <row r="3334">
      <c r="A3334" s="20">
        <f>IF(A3333="","",IF(A3333+1&gt;Ввод!$B$4,"",A3333+1))</f>
        <v/>
      </c>
      <c r="B3334">
        <f>IF(A3334="","",IFERROR(INDEX(Ввод!$B$12:$B$71,MATCH(A3334,Ввод!$D$12:$D$71,1)),""))</f>
        <v/>
      </c>
      <c r="C3334">
        <f>IF(A3334="","",DATE(YEAR(A3334),12,31)-DATE(YEAR(A3334),1,1)+1)</f>
        <v/>
      </c>
      <c r="D3334">
        <f>IF(A3334="","",SUMIFS(Акты!$D$5:$D$16,Акты!$E$5:$E$16,"&lt;="&amp;A3334)-SUMIFS(Оплаты!$B$6:$B$505,Оплаты!$A$6:$A$505,"&lt;"&amp;A3334,Оплаты!$D$6:$D$505,"&lt;&gt;"))</f>
        <v/>
      </c>
      <c r="E3334">
        <f>IF(A3334="","",IF(SUMPRODUCT((Ввод!$F$12:$F$31&lt;&gt;"")*(Ввод!$F$12:$F$31&lt;=A3334)*(Ввод!$G$12:$G$31&gt;=A3334))&gt;0,1,0))</f>
        <v/>
      </c>
      <c r="G3334">
        <f>IF(A3334="","",IF(OR(B3334&lt;&gt;B3333,C3334&lt;&gt;C3333,E3334&lt;&gt;E3333),G3333+1,G3333))</f>
        <v/>
      </c>
    </row>
    <row r="3335">
      <c r="A3335" s="20">
        <f>IF(A3334="","",IF(A3334+1&gt;Ввод!$B$4,"",A3334+1))</f>
        <v/>
      </c>
      <c r="B3335">
        <f>IF(A3335="","",IFERROR(INDEX(Ввод!$B$12:$B$71,MATCH(A3335,Ввод!$D$12:$D$71,1)),""))</f>
        <v/>
      </c>
      <c r="C3335">
        <f>IF(A3335="","",DATE(YEAR(A3335),12,31)-DATE(YEAR(A3335),1,1)+1)</f>
        <v/>
      </c>
      <c r="D3335">
        <f>IF(A3335="","",SUMIFS(Акты!$D$5:$D$16,Акты!$E$5:$E$16,"&lt;="&amp;A3335)-SUMIFS(Оплаты!$B$6:$B$505,Оплаты!$A$6:$A$505,"&lt;"&amp;A3335,Оплаты!$D$6:$D$505,"&lt;&gt;"))</f>
        <v/>
      </c>
      <c r="E3335">
        <f>IF(A3335="","",IF(SUMPRODUCT((Ввод!$F$12:$F$31&lt;&gt;"")*(Ввод!$F$12:$F$31&lt;=A3335)*(Ввод!$G$12:$G$31&gt;=A3335))&gt;0,1,0))</f>
        <v/>
      </c>
      <c r="G3335">
        <f>IF(A3335="","",IF(OR(B3335&lt;&gt;B3334,C3335&lt;&gt;C3334,E3335&lt;&gt;E3334),G3334+1,G3334))</f>
        <v/>
      </c>
    </row>
    <row r="3336">
      <c r="A3336" s="20">
        <f>IF(A3335="","",IF(A3335+1&gt;Ввод!$B$4,"",A3335+1))</f>
        <v/>
      </c>
      <c r="B3336">
        <f>IF(A3336="","",IFERROR(INDEX(Ввод!$B$12:$B$71,MATCH(A3336,Ввод!$D$12:$D$71,1)),""))</f>
        <v/>
      </c>
      <c r="C3336">
        <f>IF(A3336="","",DATE(YEAR(A3336),12,31)-DATE(YEAR(A3336),1,1)+1)</f>
        <v/>
      </c>
      <c r="D3336">
        <f>IF(A3336="","",SUMIFS(Акты!$D$5:$D$16,Акты!$E$5:$E$16,"&lt;="&amp;A3336)-SUMIFS(Оплаты!$B$6:$B$505,Оплаты!$A$6:$A$505,"&lt;"&amp;A3336,Оплаты!$D$6:$D$505,"&lt;&gt;"))</f>
        <v/>
      </c>
      <c r="E3336">
        <f>IF(A3336="","",IF(SUMPRODUCT((Ввод!$F$12:$F$31&lt;&gt;"")*(Ввод!$F$12:$F$31&lt;=A3336)*(Ввод!$G$12:$G$31&gt;=A3336))&gt;0,1,0))</f>
        <v/>
      </c>
      <c r="G3336">
        <f>IF(A3336="","",IF(OR(B3336&lt;&gt;B3335,C3336&lt;&gt;C3335,E3336&lt;&gt;E3335),G3335+1,G3335))</f>
        <v/>
      </c>
    </row>
    <row r="3337">
      <c r="A3337" s="20">
        <f>IF(A3336="","",IF(A3336+1&gt;Ввод!$B$4,"",A3336+1))</f>
        <v/>
      </c>
      <c r="B3337">
        <f>IF(A3337="","",IFERROR(INDEX(Ввод!$B$12:$B$71,MATCH(A3337,Ввод!$D$12:$D$71,1)),""))</f>
        <v/>
      </c>
      <c r="C3337">
        <f>IF(A3337="","",DATE(YEAR(A3337),12,31)-DATE(YEAR(A3337),1,1)+1)</f>
        <v/>
      </c>
      <c r="D3337">
        <f>IF(A3337="","",SUMIFS(Акты!$D$5:$D$16,Акты!$E$5:$E$16,"&lt;="&amp;A3337)-SUMIFS(Оплаты!$B$6:$B$505,Оплаты!$A$6:$A$505,"&lt;"&amp;A3337,Оплаты!$D$6:$D$505,"&lt;&gt;"))</f>
        <v/>
      </c>
      <c r="E3337">
        <f>IF(A3337="","",IF(SUMPRODUCT((Ввод!$F$12:$F$31&lt;&gt;"")*(Ввод!$F$12:$F$31&lt;=A3337)*(Ввод!$G$12:$G$31&gt;=A3337))&gt;0,1,0))</f>
        <v/>
      </c>
      <c r="G3337">
        <f>IF(A3337="","",IF(OR(B3337&lt;&gt;B3336,C3337&lt;&gt;C3336,E3337&lt;&gt;E3336),G3336+1,G3336))</f>
        <v/>
      </c>
    </row>
    <row r="3338">
      <c r="A3338" s="20">
        <f>IF(A3337="","",IF(A3337+1&gt;Ввод!$B$4,"",A3337+1))</f>
        <v/>
      </c>
      <c r="B3338">
        <f>IF(A3338="","",IFERROR(INDEX(Ввод!$B$12:$B$71,MATCH(A3338,Ввод!$D$12:$D$71,1)),""))</f>
        <v/>
      </c>
      <c r="C3338">
        <f>IF(A3338="","",DATE(YEAR(A3338),12,31)-DATE(YEAR(A3338),1,1)+1)</f>
        <v/>
      </c>
      <c r="D3338">
        <f>IF(A3338="","",SUMIFS(Акты!$D$5:$D$16,Акты!$E$5:$E$16,"&lt;="&amp;A3338)-SUMIFS(Оплаты!$B$6:$B$505,Оплаты!$A$6:$A$505,"&lt;"&amp;A3338,Оплаты!$D$6:$D$505,"&lt;&gt;"))</f>
        <v/>
      </c>
      <c r="E3338">
        <f>IF(A3338="","",IF(SUMPRODUCT((Ввод!$F$12:$F$31&lt;&gt;"")*(Ввод!$F$12:$F$31&lt;=A3338)*(Ввод!$G$12:$G$31&gt;=A3338))&gt;0,1,0))</f>
        <v/>
      </c>
      <c r="G3338">
        <f>IF(A3338="","",IF(OR(B3338&lt;&gt;B3337,C3338&lt;&gt;C3337,E3338&lt;&gt;E3337),G3337+1,G3337))</f>
        <v/>
      </c>
    </row>
    <row r="3339">
      <c r="A3339" s="20">
        <f>IF(A3338="","",IF(A3338+1&gt;Ввод!$B$4,"",A3338+1))</f>
        <v/>
      </c>
      <c r="B3339">
        <f>IF(A3339="","",IFERROR(INDEX(Ввод!$B$12:$B$71,MATCH(A3339,Ввод!$D$12:$D$71,1)),""))</f>
        <v/>
      </c>
      <c r="C3339">
        <f>IF(A3339="","",DATE(YEAR(A3339),12,31)-DATE(YEAR(A3339),1,1)+1)</f>
        <v/>
      </c>
      <c r="D3339">
        <f>IF(A3339="","",SUMIFS(Акты!$D$5:$D$16,Акты!$E$5:$E$16,"&lt;="&amp;A3339)-SUMIFS(Оплаты!$B$6:$B$505,Оплаты!$A$6:$A$505,"&lt;"&amp;A3339,Оплаты!$D$6:$D$505,"&lt;&gt;"))</f>
        <v/>
      </c>
      <c r="E3339">
        <f>IF(A3339="","",IF(SUMPRODUCT((Ввод!$F$12:$F$31&lt;&gt;"")*(Ввод!$F$12:$F$31&lt;=A3339)*(Ввод!$G$12:$G$31&gt;=A3339))&gt;0,1,0))</f>
        <v/>
      </c>
      <c r="G3339">
        <f>IF(A3339="","",IF(OR(B3339&lt;&gt;B3338,C3339&lt;&gt;C3338,E3339&lt;&gt;E3338),G3338+1,G3338))</f>
        <v/>
      </c>
    </row>
    <row r="3340">
      <c r="A3340" s="20">
        <f>IF(A3339="","",IF(A3339+1&gt;Ввод!$B$4,"",A3339+1))</f>
        <v/>
      </c>
      <c r="B3340">
        <f>IF(A3340="","",IFERROR(INDEX(Ввод!$B$12:$B$71,MATCH(A3340,Ввод!$D$12:$D$71,1)),""))</f>
        <v/>
      </c>
      <c r="C3340">
        <f>IF(A3340="","",DATE(YEAR(A3340),12,31)-DATE(YEAR(A3340),1,1)+1)</f>
        <v/>
      </c>
      <c r="D3340">
        <f>IF(A3340="","",SUMIFS(Акты!$D$5:$D$16,Акты!$E$5:$E$16,"&lt;="&amp;A3340)-SUMIFS(Оплаты!$B$6:$B$505,Оплаты!$A$6:$A$505,"&lt;"&amp;A3340,Оплаты!$D$6:$D$505,"&lt;&gt;"))</f>
        <v/>
      </c>
      <c r="E3340">
        <f>IF(A3340="","",IF(SUMPRODUCT((Ввод!$F$12:$F$31&lt;&gt;"")*(Ввод!$F$12:$F$31&lt;=A3340)*(Ввод!$G$12:$G$31&gt;=A3340))&gt;0,1,0))</f>
        <v/>
      </c>
      <c r="G3340">
        <f>IF(A3340="","",IF(OR(B3340&lt;&gt;B3339,C3340&lt;&gt;C3339,E3340&lt;&gt;E3339),G3339+1,G3339))</f>
        <v/>
      </c>
    </row>
    <row r="3341">
      <c r="A3341" s="20">
        <f>IF(A3340="","",IF(A3340+1&gt;Ввод!$B$4,"",A3340+1))</f>
        <v/>
      </c>
      <c r="B3341">
        <f>IF(A3341="","",IFERROR(INDEX(Ввод!$B$12:$B$71,MATCH(A3341,Ввод!$D$12:$D$71,1)),""))</f>
        <v/>
      </c>
      <c r="C3341">
        <f>IF(A3341="","",DATE(YEAR(A3341),12,31)-DATE(YEAR(A3341),1,1)+1)</f>
        <v/>
      </c>
      <c r="D3341">
        <f>IF(A3341="","",SUMIFS(Акты!$D$5:$D$16,Акты!$E$5:$E$16,"&lt;="&amp;A3341)-SUMIFS(Оплаты!$B$6:$B$505,Оплаты!$A$6:$A$505,"&lt;"&amp;A3341,Оплаты!$D$6:$D$505,"&lt;&gt;"))</f>
        <v/>
      </c>
      <c r="E3341">
        <f>IF(A3341="","",IF(SUMPRODUCT((Ввод!$F$12:$F$31&lt;&gt;"")*(Ввод!$F$12:$F$31&lt;=A3341)*(Ввод!$G$12:$G$31&gt;=A3341))&gt;0,1,0))</f>
        <v/>
      </c>
      <c r="G3341">
        <f>IF(A3341="","",IF(OR(B3341&lt;&gt;B3340,C3341&lt;&gt;C3340,E3341&lt;&gt;E3340),G3340+1,G3340))</f>
        <v/>
      </c>
    </row>
    <row r="3342">
      <c r="A3342" s="20">
        <f>IF(A3341="","",IF(A3341+1&gt;Ввод!$B$4,"",A3341+1))</f>
        <v/>
      </c>
      <c r="B3342">
        <f>IF(A3342="","",IFERROR(INDEX(Ввод!$B$12:$B$71,MATCH(A3342,Ввод!$D$12:$D$71,1)),""))</f>
        <v/>
      </c>
      <c r="C3342">
        <f>IF(A3342="","",DATE(YEAR(A3342),12,31)-DATE(YEAR(A3342),1,1)+1)</f>
        <v/>
      </c>
      <c r="D3342">
        <f>IF(A3342="","",SUMIFS(Акты!$D$5:$D$16,Акты!$E$5:$E$16,"&lt;="&amp;A3342)-SUMIFS(Оплаты!$B$6:$B$505,Оплаты!$A$6:$A$505,"&lt;"&amp;A3342,Оплаты!$D$6:$D$505,"&lt;&gt;"))</f>
        <v/>
      </c>
      <c r="E3342">
        <f>IF(A3342="","",IF(SUMPRODUCT((Ввод!$F$12:$F$31&lt;&gt;"")*(Ввод!$F$12:$F$31&lt;=A3342)*(Ввод!$G$12:$G$31&gt;=A3342))&gt;0,1,0))</f>
        <v/>
      </c>
      <c r="G3342">
        <f>IF(A3342="","",IF(OR(B3342&lt;&gt;B3341,C3342&lt;&gt;C3341,E3342&lt;&gt;E3341),G3341+1,G3341))</f>
        <v/>
      </c>
    </row>
    <row r="3343">
      <c r="A3343" s="20">
        <f>IF(A3342="","",IF(A3342+1&gt;Ввод!$B$4,"",A3342+1))</f>
        <v/>
      </c>
      <c r="B3343">
        <f>IF(A3343="","",IFERROR(INDEX(Ввод!$B$12:$B$71,MATCH(A3343,Ввод!$D$12:$D$71,1)),""))</f>
        <v/>
      </c>
      <c r="C3343">
        <f>IF(A3343="","",DATE(YEAR(A3343),12,31)-DATE(YEAR(A3343),1,1)+1)</f>
        <v/>
      </c>
      <c r="D3343">
        <f>IF(A3343="","",SUMIFS(Акты!$D$5:$D$16,Акты!$E$5:$E$16,"&lt;="&amp;A3343)-SUMIFS(Оплаты!$B$6:$B$505,Оплаты!$A$6:$A$505,"&lt;"&amp;A3343,Оплаты!$D$6:$D$505,"&lt;&gt;"))</f>
        <v/>
      </c>
      <c r="E3343">
        <f>IF(A3343="","",IF(SUMPRODUCT((Ввод!$F$12:$F$31&lt;&gt;"")*(Ввод!$F$12:$F$31&lt;=A3343)*(Ввод!$G$12:$G$31&gt;=A3343))&gt;0,1,0))</f>
        <v/>
      </c>
      <c r="G3343">
        <f>IF(A3343="","",IF(OR(B3343&lt;&gt;B3342,C3343&lt;&gt;C3342,E3343&lt;&gt;E3342),G3342+1,G3342))</f>
        <v/>
      </c>
    </row>
    <row r="3344">
      <c r="A3344" s="20">
        <f>IF(A3343="","",IF(A3343+1&gt;Ввод!$B$4,"",A3343+1))</f>
        <v/>
      </c>
      <c r="B3344">
        <f>IF(A3344="","",IFERROR(INDEX(Ввод!$B$12:$B$71,MATCH(A3344,Ввод!$D$12:$D$71,1)),""))</f>
        <v/>
      </c>
      <c r="C3344">
        <f>IF(A3344="","",DATE(YEAR(A3344),12,31)-DATE(YEAR(A3344),1,1)+1)</f>
        <v/>
      </c>
      <c r="D3344">
        <f>IF(A3344="","",SUMIFS(Акты!$D$5:$D$16,Акты!$E$5:$E$16,"&lt;="&amp;A3344)-SUMIFS(Оплаты!$B$6:$B$505,Оплаты!$A$6:$A$505,"&lt;"&amp;A3344,Оплаты!$D$6:$D$505,"&lt;&gt;"))</f>
        <v/>
      </c>
      <c r="E3344">
        <f>IF(A3344="","",IF(SUMPRODUCT((Ввод!$F$12:$F$31&lt;&gt;"")*(Ввод!$F$12:$F$31&lt;=A3344)*(Ввод!$G$12:$G$31&gt;=A3344))&gt;0,1,0))</f>
        <v/>
      </c>
      <c r="G3344">
        <f>IF(A3344="","",IF(OR(B3344&lt;&gt;B3343,C3344&lt;&gt;C3343,E3344&lt;&gt;E3343),G3343+1,G3343))</f>
        <v/>
      </c>
    </row>
    <row r="3345">
      <c r="A3345" s="20">
        <f>IF(A3344="","",IF(A3344+1&gt;Ввод!$B$4,"",A3344+1))</f>
        <v/>
      </c>
      <c r="B3345">
        <f>IF(A3345="","",IFERROR(INDEX(Ввод!$B$12:$B$71,MATCH(A3345,Ввод!$D$12:$D$71,1)),""))</f>
        <v/>
      </c>
      <c r="C3345">
        <f>IF(A3345="","",DATE(YEAR(A3345),12,31)-DATE(YEAR(A3345),1,1)+1)</f>
        <v/>
      </c>
      <c r="D3345">
        <f>IF(A3345="","",SUMIFS(Акты!$D$5:$D$16,Акты!$E$5:$E$16,"&lt;="&amp;A3345)-SUMIFS(Оплаты!$B$6:$B$505,Оплаты!$A$6:$A$505,"&lt;"&amp;A3345,Оплаты!$D$6:$D$505,"&lt;&gt;"))</f>
        <v/>
      </c>
      <c r="E3345">
        <f>IF(A3345="","",IF(SUMPRODUCT((Ввод!$F$12:$F$31&lt;&gt;"")*(Ввод!$F$12:$F$31&lt;=A3345)*(Ввод!$G$12:$G$31&gt;=A3345))&gt;0,1,0))</f>
        <v/>
      </c>
      <c r="G3345">
        <f>IF(A3345="","",IF(OR(B3345&lt;&gt;B3344,C3345&lt;&gt;C3344,E3345&lt;&gt;E3344),G3344+1,G3344))</f>
        <v/>
      </c>
    </row>
    <row r="3346">
      <c r="A3346" s="20">
        <f>IF(A3345="","",IF(A3345+1&gt;Ввод!$B$4,"",A3345+1))</f>
        <v/>
      </c>
      <c r="B3346">
        <f>IF(A3346="","",IFERROR(INDEX(Ввод!$B$12:$B$71,MATCH(A3346,Ввод!$D$12:$D$71,1)),""))</f>
        <v/>
      </c>
      <c r="C3346">
        <f>IF(A3346="","",DATE(YEAR(A3346),12,31)-DATE(YEAR(A3346),1,1)+1)</f>
        <v/>
      </c>
      <c r="D3346">
        <f>IF(A3346="","",SUMIFS(Акты!$D$5:$D$16,Акты!$E$5:$E$16,"&lt;="&amp;A3346)-SUMIFS(Оплаты!$B$6:$B$505,Оплаты!$A$6:$A$505,"&lt;"&amp;A3346,Оплаты!$D$6:$D$505,"&lt;&gt;"))</f>
        <v/>
      </c>
      <c r="E3346">
        <f>IF(A3346="","",IF(SUMPRODUCT((Ввод!$F$12:$F$31&lt;&gt;"")*(Ввод!$F$12:$F$31&lt;=A3346)*(Ввод!$G$12:$G$31&gt;=A3346))&gt;0,1,0))</f>
        <v/>
      </c>
      <c r="G3346">
        <f>IF(A3346="","",IF(OR(B3346&lt;&gt;B3345,C3346&lt;&gt;C3345,E3346&lt;&gt;E3345),G3345+1,G3345))</f>
        <v/>
      </c>
    </row>
    <row r="3347">
      <c r="A3347" s="20">
        <f>IF(A3346="","",IF(A3346+1&gt;Ввод!$B$4,"",A3346+1))</f>
        <v/>
      </c>
      <c r="B3347">
        <f>IF(A3347="","",IFERROR(INDEX(Ввод!$B$12:$B$71,MATCH(A3347,Ввод!$D$12:$D$71,1)),""))</f>
        <v/>
      </c>
      <c r="C3347">
        <f>IF(A3347="","",DATE(YEAR(A3347),12,31)-DATE(YEAR(A3347),1,1)+1)</f>
        <v/>
      </c>
      <c r="D3347">
        <f>IF(A3347="","",SUMIFS(Акты!$D$5:$D$16,Акты!$E$5:$E$16,"&lt;="&amp;A3347)-SUMIFS(Оплаты!$B$6:$B$505,Оплаты!$A$6:$A$505,"&lt;"&amp;A3347,Оплаты!$D$6:$D$505,"&lt;&gt;"))</f>
        <v/>
      </c>
      <c r="E3347">
        <f>IF(A3347="","",IF(SUMPRODUCT((Ввод!$F$12:$F$31&lt;&gt;"")*(Ввод!$F$12:$F$31&lt;=A3347)*(Ввод!$G$12:$G$31&gt;=A3347))&gt;0,1,0))</f>
        <v/>
      </c>
      <c r="G3347">
        <f>IF(A3347="","",IF(OR(B3347&lt;&gt;B3346,C3347&lt;&gt;C3346,E3347&lt;&gt;E3346),G3346+1,G3346))</f>
        <v/>
      </c>
    </row>
    <row r="3348">
      <c r="A3348" s="20">
        <f>IF(A3347="","",IF(A3347+1&gt;Ввод!$B$4,"",A3347+1))</f>
        <v/>
      </c>
      <c r="B3348">
        <f>IF(A3348="","",IFERROR(INDEX(Ввод!$B$12:$B$71,MATCH(A3348,Ввод!$D$12:$D$71,1)),""))</f>
        <v/>
      </c>
      <c r="C3348">
        <f>IF(A3348="","",DATE(YEAR(A3348),12,31)-DATE(YEAR(A3348),1,1)+1)</f>
        <v/>
      </c>
      <c r="D3348">
        <f>IF(A3348="","",SUMIFS(Акты!$D$5:$D$16,Акты!$E$5:$E$16,"&lt;="&amp;A3348)-SUMIFS(Оплаты!$B$6:$B$505,Оплаты!$A$6:$A$505,"&lt;"&amp;A3348,Оплаты!$D$6:$D$505,"&lt;&gt;"))</f>
        <v/>
      </c>
      <c r="E3348">
        <f>IF(A3348="","",IF(SUMPRODUCT((Ввод!$F$12:$F$31&lt;&gt;"")*(Ввод!$F$12:$F$31&lt;=A3348)*(Ввод!$G$12:$G$31&gt;=A3348))&gt;0,1,0))</f>
        <v/>
      </c>
      <c r="G3348">
        <f>IF(A3348="","",IF(OR(B3348&lt;&gt;B3347,C3348&lt;&gt;C3347,E3348&lt;&gt;E3347),G3347+1,G3347))</f>
        <v/>
      </c>
    </row>
    <row r="3349">
      <c r="A3349" s="20">
        <f>IF(A3348="","",IF(A3348+1&gt;Ввод!$B$4,"",A3348+1))</f>
        <v/>
      </c>
      <c r="B3349">
        <f>IF(A3349="","",IFERROR(INDEX(Ввод!$B$12:$B$71,MATCH(A3349,Ввод!$D$12:$D$71,1)),""))</f>
        <v/>
      </c>
      <c r="C3349">
        <f>IF(A3349="","",DATE(YEAR(A3349),12,31)-DATE(YEAR(A3349),1,1)+1)</f>
        <v/>
      </c>
      <c r="D3349">
        <f>IF(A3349="","",SUMIFS(Акты!$D$5:$D$16,Акты!$E$5:$E$16,"&lt;="&amp;A3349)-SUMIFS(Оплаты!$B$6:$B$505,Оплаты!$A$6:$A$505,"&lt;"&amp;A3349,Оплаты!$D$6:$D$505,"&lt;&gt;"))</f>
        <v/>
      </c>
      <c r="E3349">
        <f>IF(A3349="","",IF(SUMPRODUCT((Ввод!$F$12:$F$31&lt;&gt;"")*(Ввод!$F$12:$F$31&lt;=A3349)*(Ввод!$G$12:$G$31&gt;=A3349))&gt;0,1,0))</f>
        <v/>
      </c>
      <c r="G3349">
        <f>IF(A3349="","",IF(OR(B3349&lt;&gt;B3348,C3349&lt;&gt;C3348,E3349&lt;&gt;E3348),G3348+1,G3348))</f>
        <v/>
      </c>
    </row>
    <row r="3350">
      <c r="A3350" s="20">
        <f>IF(A3349="","",IF(A3349+1&gt;Ввод!$B$4,"",A3349+1))</f>
        <v/>
      </c>
      <c r="B3350">
        <f>IF(A3350="","",IFERROR(INDEX(Ввод!$B$12:$B$71,MATCH(A3350,Ввод!$D$12:$D$71,1)),""))</f>
        <v/>
      </c>
      <c r="C3350">
        <f>IF(A3350="","",DATE(YEAR(A3350),12,31)-DATE(YEAR(A3350),1,1)+1)</f>
        <v/>
      </c>
      <c r="D3350">
        <f>IF(A3350="","",SUMIFS(Акты!$D$5:$D$16,Акты!$E$5:$E$16,"&lt;="&amp;A3350)-SUMIFS(Оплаты!$B$6:$B$505,Оплаты!$A$6:$A$505,"&lt;"&amp;A3350,Оплаты!$D$6:$D$505,"&lt;&gt;"))</f>
        <v/>
      </c>
      <c r="E3350">
        <f>IF(A3350="","",IF(SUMPRODUCT((Ввод!$F$12:$F$31&lt;&gt;"")*(Ввод!$F$12:$F$31&lt;=A3350)*(Ввод!$G$12:$G$31&gt;=A3350))&gt;0,1,0))</f>
        <v/>
      </c>
      <c r="G3350">
        <f>IF(A3350="","",IF(OR(B3350&lt;&gt;B3349,C3350&lt;&gt;C3349,E3350&lt;&gt;E3349),G3349+1,G3349))</f>
        <v/>
      </c>
    </row>
    <row r="3351">
      <c r="A3351" s="20">
        <f>IF(A3350="","",IF(A3350+1&gt;Ввод!$B$4,"",A3350+1))</f>
        <v/>
      </c>
      <c r="B3351">
        <f>IF(A3351="","",IFERROR(INDEX(Ввод!$B$12:$B$71,MATCH(A3351,Ввод!$D$12:$D$71,1)),""))</f>
        <v/>
      </c>
      <c r="C3351">
        <f>IF(A3351="","",DATE(YEAR(A3351),12,31)-DATE(YEAR(A3351),1,1)+1)</f>
        <v/>
      </c>
      <c r="D3351">
        <f>IF(A3351="","",SUMIFS(Акты!$D$5:$D$16,Акты!$E$5:$E$16,"&lt;="&amp;A3351)-SUMIFS(Оплаты!$B$6:$B$505,Оплаты!$A$6:$A$505,"&lt;"&amp;A3351,Оплаты!$D$6:$D$505,"&lt;&gt;"))</f>
        <v/>
      </c>
      <c r="E3351">
        <f>IF(A3351="","",IF(SUMPRODUCT((Ввод!$F$12:$F$31&lt;&gt;"")*(Ввод!$F$12:$F$31&lt;=A3351)*(Ввод!$G$12:$G$31&gt;=A3351))&gt;0,1,0))</f>
        <v/>
      </c>
      <c r="G3351">
        <f>IF(A3351="","",IF(OR(B3351&lt;&gt;B3350,C3351&lt;&gt;C3350,E3351&lt;&gt;E3350),G3350+1,G3350))</f>
        <v/>
      </c>
    </row>
    <row r="3352">
      <c r="A3352" s="20">
        <f>IF(A3351="","",IF(A3351+1&gt;Ввод!$B$4,"",A3351+1))</f>
        <v/>
      </c>
      <c r="B3352">
        <f>IF(A3352="","",IFERROR(INDEX(Ввод!$B$12:$B$71,MATCH(A3352,Ввод!$D$12:$D$71,1)),""))</f>
        <v/>
      </c>
      <c r="C3352">
        <f>IF(A3352="","",DATE(YEAR(A3352),12,31)-DATE(YEAR(A3352),1,1)+1)</f>
        <v/>
      </c>
      <c r="D3352">
        <f>IF(A3352="","",SUMIFS(Акты!$D$5:$D$16,Акты!$E$5:$E$16,"&lt;="&amp;A3352)-SUMIFS(Оплаты!$B$6:$B$505,Оплаты!$A$6:$A$505,"&lt;"&amp;A3352,Оплаты!$D$6:$D$505,"&lt;&gt;"))</f>
        <v/>
      </c>
      <c r="E3352">
        <f>IF(A3352="","",IF(SUMPRODUCT((Ввод!$F$12:$F$31&lt;&gt;"")*(Ввод!$F$12:$F$31&lt;=A3352)*(Ввод!$G$12:$G$31&gt;=A3352))&gt;0,1,0))</f>
        <v/>
      </c>
      <c r="G3352">
        <f>IF(A3352="","",IF(OR(B3352&lt;&gt;B3351,C3352&lt;&gt;C3351,E3352&lt;&gt;E3351),G3351+1,G3351))</f>
        <v/>
      </c>
    </row>
    <row r="3353">
      <c r="A3353" s="20">
        <f>IF(A3352="","",IF(A3352+1&gt;Ввод!$B$4,"",A3352+1))</f>
        <v/>
      </c>
      <c r="B3353">
        <f>IF(A3353="","",IFERROR(INDEX(Ввод!$B$12:$B$71,MATCH(A3353,Ввод!$D$12:$D$71,1)),""))</f>
        <v/>
      </c>
      <c r="C3353">
        <f>IF(A3353="","",DATE(YEAR(A3353),12,31)-DATE(YEAR(A3353),1,1)+1)</f>
        <v/>
      </c>
      <c r="D3353">
        <f>IF(A3353="","",SUMIFS(Акты!$D$5:$D$16,Акты!$E$5:$E$16,"&lt;="&amp;A3353)-SUMIFS(Оплаты!$B$6:$B$505,Оплаты!$A$6:$A$505,"&lt;"&amp;A3353,Оплаты!$D$6:$D$505,"&lt;&gt;"))</f>
        <v/>
      </c>
      <c r="E3353">
        <f>IF(A3353="","",IF(SUMPRODUCT((Ввод!$F$12:$F$31&lt;&gt;"")*(Ввод!$F$12:$F$31&lt;=A3353)*(Ввод!$G$12:$G$31&gt;=A3353))&gt;0,1,0))</f>
        <v/>
      </c>
      <c r="G3353">
        <f>IF(A3353="","",IF(OR(B3353&lt;&gt;B3352,C3353&lt;&gt;C3352,E3353&lt;&gt;E3352),G3352+1,G3352))</f>
        <v/>
      </c>
    </row>
    <row r="3354">
      <c r="A3354" s="20">
        <f>IF(A3353="","",IF(A3353+1&gt;Ввод!$B$4,"",A3353+1))</f>
        <v/>
      </c>
      <c r="B3354">
        <f>IF(A3354="","",IFERROR(INDEX(Ввод!$B$12:$B$71,MATCH(A3354,Ввод!$D$12:$D$71,1)),""))</f>
        <v/>
      </c>
      <c r="C3354">
        <f>IF(A3354="","",DATE(YEAR(A3354),12,31)-DATE(YEAR(A3354),1,1)+1)</f>
        <v/>
      </c>
      <c r="D3354">
        <f>IF(A3354="","",SUMIFS(Акты!$D$5:$D$16,Акты!$E$5:$E$16,"&lt;="&amp;A3354)-SUMIFS(Оплаты!$B$6:$B$505,Оплаты!$A$6:$A$505,"&lt;"&amp;A3354,Оплаты!$D$6:$D$505,"&lt;&gt;"))</f>
        <v/>
      </c>
      <c r="E3354">
        <f>IF(A3354="","",IF(SUMPRODUCT((Ввод!$F$12:$F$31&lt;&gt;"")*(Ввод!$F$12:$F$31&lt;=A3354)*(Ввод!$G$12:$G$31&gt;=A3354))&gt;0,1,0))</f>
        <v/>
      </c>
      <c r="G3354">
        <f>IF(A3354="","",IF(OR(B3354&lt;&gt;B3353,C3354&lt;&gt;C3353,E3354&lt;&gt;E3353),G3353+1,G3353))</f>
        <v/>
      </c>
    </row>
    <row r="3355">
      <c r="A3355" s="20">
        <f>IF(A3354="","",IF(A3354+1&gt;Ввод!$B$4,"",A3354+1))</f>
        <v/>
      </c>
      <c r="B3355">
        <f>IF(A3355="","",IFERROR(INDEX(Ввод!$B$12:$B$71,MATCH(A3355,Ввод!$D$12:$D$71,1)),""))</f>
        <v/>
      </c>
      <c r="C3355">
        <f>IF(A3355="","",DATE(YEAR(A3355),12,31)-DATE(YEAR(A3355),1,1)+1)</f>
        <v/>
      </c>
      <c r="D3355">
        <f>IF(A3355="","",SUMIFS(Акты!$D$5:$D$16,Акты!$E$5:$E$16,"&lt;="&amp;A3355)-SUMIFS(Оплаты!$B$6:$B$505,Оплаты!$A$6:$A$505,"&lt;"&amp;A3355,Оплаты!$D$6:$D$505,"&lt;&gt;"))</f>
        <v/>
      </c>
      <c r="E3355">
        <f>IF(A3355="","",IF(SUMPRODUCT((Ввод!$F$12:$F$31&lt;&gt;"")*(Ввод!$F$12:$F$31&lt;=A3355)*(Ввод!$G$12:$G$31&gt;=A3355))&gt;0,1,0))</f>
        <v/>
      </c>
      <c r="G3355">
        <f>IF(A3355="","",IF(OR(B3355&lt;&gt;B3354,C3355&lt;&gt;C3354,E3355&lt;&gt;E3354),G3354+1,G3354))</f>
        <v/>
      </c>
    </row>
    <row r="3356">
      <c r="A3356" s="20">
        <f>IF(A3355="","",IF(A3355+1&gt;Ввод!$B$4,"",A3355+1))</f>
        <v/>
      </c>
      <c r="B3356">
        <f>IF(A3356="","",IFERROR(INDEX(Ввод!$B$12:$B$71,MATCH(A3356,Ввод!$D$12:$D$71,1)),""))</f>
        <v/>
      </c>
      <c r="C3356">
        <f>IF(A3356="","",DATE(YEAR(A3356),12,31)-DATE(YEAR(A3356),1,1)+1)</f>
        <v/>
      </c>
      <c r="D3356">
        <f>IF(A3356="","",SUMIFS(Акты!$D$5:$D$16,Акты!$E$5:$E$16,"&lt;="&amp;A3356)-SUMIFS(Оплаты!$B$6:$B$505,Оплаты!$A$6:$A$505,"&lt;"&amp;A3356,Оплаты!$D$6:$D$505,"&lt;&gt;"))</f>
        <v/>
      </c>
      <c r="E3356">
        <f>IF(A3356="","",IF(SUMPRODUCT((Ввод!$F$12:$F$31&lt;&gt;"")*(Ввод!$F$12:$F$31&lt;=A3356)*(Ввод!$G$12:$G$31&gt;=A3356))&gt;0,1,0))</f>
        <v/>
      </c>
      <c r="G3356">
        <f>IF(A3356="","",IF(OR(B3356&lt;&gt;B3355,C3356&lt;&gt;C3355,E3356&lt;&gt;E3355),G3355+1,G3355))</f>
        <v/>
      </c>
    </row>
    <row r="3357">
      <c r="A3357" s="20">
        <f>IF(A3356="","",IF(A3356+1&gt;Ввод!$B$4,"",A3356+1))</f>
        <v/>
      </c>
      <c r="B3357">
        <f>IF(A3357="","",IFERROR(INDEX(Ввод!$B$12:$B$71,MATCH(A3357,Ввод!$D$12:$D$71,1)),""))</f>
        <v/>
      </c>
      <c r="C3357">
        <f>IF(A3357="","",DATE(YEAR(A3357),12,31)-DATE(YEAR(A3357),1,1)+1)</f>
        <v/>
      </c>
      <c r="D3357">
        <f>IF(A3357="","",SUMIFS(Акты!$D$5:$D$16,Акты!$E$5:$E$16,"&lt;="&amp;A3357)-SUMIFS(Оплаты!$B$6:$B$505,Оплаты!$A$6:$A$505,"&lt;"&amp;A3357,Оплаты!$D$6:$D$505,"&lt;&gt;"))</f>
        <v/>
      </c>
      <c r="E3357">
        <f>IF(A3357="","",IF(SUMPRODUCT((Ввод!$F$12:$F$31&lt;&gt;"")*(Ввод!$F$12:$F$31&lt;=A3357)*(Ввод!$G$12:$G$31&gt;=A3357))&gt;0,1,0))</f>
        <v/>
      </c>
      <c r="G3357">
        <f>IF(A3357="","",IF(OR(B3357&lt;&gt;B3356,C3357&lt;&gt;C3356,E3357&lt;&gt;E3356),G3356+1,G3356))</f>
        <v/>
      </c>
    </row>
    <row r="3358">
      <c r="A3358" s="20">
        <f>IF(A3357="","",IF(A3357+1&gt;Ввод!$B$4,"",A3357+1))</f>
        <v/>
      </c>
      <c r="B3358">
        <f>IF(A3358="","",IFERROR(INDEX(Ввод!$B$12:$B$71,MATCH(A3358,Ввод!$D$12:$D$71,1)),""))</f>
        <v/>
      </c>
      <c r="C3358">
        <f>IF(A3358="","",DATE(YEAR(A3358),12,31)-DATE(YEAR(A3358),1,1)+1)</f>
        <v/>
      </c>
      <c r="D3358">
        <f>IF(A3358="","",SUMIFS(Акты!$D$5:$D$16,Акты!$E$5:$E$16,"&lt;="&amp;A3358)-SUMIFS(Оплаты!$B$6:$B$505,Оплаты!$A$6:$A$505,"&lt;"&amp;A3358,Оплаты!$D$6:$D$505,"&lt;&gt;"))</f>
        <v/>
      </c>
      <c r="E3358">
        <f>IF(A3358="","",IF(SUMPRODUCT((Ввод!$F$12:$F$31&lt;&gt;"")*(Ввод!$F$12:$F$31&lt;=A3358)*(Ввод!$G$12:$G$31&gt;=A3358))&gt;0,1,0))</f>
        <v/>
      </c>
      <c r="G3358">
        <f>IF(A3358="","",IF(OR(B3358&lt;&gt;B3357,C3358&lt;&gt;C3357,E3358&lt;&gt;E3357),G3357+1,G3357))</f>
        <v/>
      </c>
    </row>
    <row r="3359">
      <c r="A3359" s="20">
        <f>IF(A3358="","",IF(A3358+1&gt;Ввод!$B$4,"",A3358+1))</f>
        <v/>
      </c>
      <c r="B3359">
        <f>IF(A3359="","",IFERROR(INDEX(Ввод!$B$12:$B$71,MATCH(A3359,Ввод!$D$12:$D$71,1)),""))</f>
        <v/>
      </c>
      <c r="C3359">
        <f>IF(A3359="","",DATE(YEAR(A3359),12,31)-DATE(YEAR(A3359),1,1)+1)</f>
        <v/>
      </c>
      <c r="D3359">
        <f>IF(A3359="","",SUMIFS(Акты!$D$5:$D$16,Акты!$E$5:$E$16,"&lt;="&amp;A3359)-SUMIFS(Оплаты!$B$6:$B$505,Оплаты!$A$6:$A$505,"&lt;"&amp;A3359,Оплаты!$D$6:$D$505,"&lt;&gt;"))</f>
        <v/>
      </c>
      <c r="E3359">
        <f>IF(A3359="","",IF(SUMPRODUCT((Ввод!$F$12:$F$31&lt;&gt;"")*(Ввод!$F$12:$F$31&lt;=A3359)*(Ввод!$G$12:$G$31&gt;=A3359))&gt;0,1,0))</f>
        <v/>
      </c>
      <c r="G3359">
        <f>IF(A3359="","",IF(OR(B3359&lt;&gt;B3358,C3359&lt;&gt;C3358,E3359&lt;&gt;E3358),G3358+1,G3358))</f>
        <v/>
      </c>
    </row>
    <row r="3360">
      <c r="A3360" s="20">
        <f>IF(A3359="","",IF(A3359+1&gt;Ввод!$B$4,"",A3359+1))</f>
        <v/>
      </c>
      <c r="B3360">
        <f>IF(A3360="","",IFERROR(INDEX(Ввод!$B$12:$B$71,MATCH(A3360,Ввод!$D$12:$D$71,1)),""))</f>
        <v/>
      </c>
      <c r="C3360">
        <f>IF(A3360="","",DATE(YEAR(A3360),12,31)-DATE(YEAR(A3360),1,1)+1)</f>
        <v/>
      </c>
      <c r="D3360">
        <f>IF(A3360="","",SUMIFS(Акты!$D$5:$D$16,Акты!$E$5:$E$16,"&lt;="&amp;A3360)-SUMIFS(Оплаты!$B$6:$B$505,Оплаты!$A$6:$A$505,"&lt;"&amp;A3360,Оплаты!$D$6:$D$505,"&lt;&gt;"))</f>
        <v/>
      </c>
      <c r="E3360">
        <f>IF(A3360="","",IF(SUMPRODUCT((Ввод!$F$12:$F$31&lt;&gt;"")*(Ввод!$F$12:$F$31&lt;=A3360)*(Ввод!$G$12:$G$31&gt;=A3360))&gt;0,1,0))</f>
        <v/>
      </c>
      <c r="G3360">
        <f>IF(A3360="","",IF(OR(B3360&lt;&gt;B3359,C3360&lt;&gt;C3359,E3360&lt;&gt;E3359),G3359+1,G3359))</f>
        <v/>
      </c>
    </row>
    <row r="3361">
      <c r="A3361" s="20">
        <f>IF(A3360="","",IF(A3360+1&gt;Ввод!$B$4,"",A3360+1))</f>
        <v/>
      </c>
      <c r="B3361">
        <f>IF(A3361="","",IFERROR(INDEX(Ввод!$B$12:$B$71,MATCH(A3361,Ввод!$D$12:$D$71,1)),""))</f>
        <v/>
      </c>
      <c r="C3361">
        <f>IF(A3361="","",DATE(YEAR(A3361),12,31)-DATE(YEAR(A3361),1,1)+1)</f>
        <v/>
      </c>
      <c r="D3361">
        <f>IF(A3361="","",SUMIFS(Акты!$D$5:$D$16,Акты!$E$5:$E$16,"&lt;="&amp;A3361)-SUMIFS(Оплаты!$B$6:$B$505,Оплаты!$A$6:$A$505,"&lt;"&amp;A3361,Оплаты!$D$6:$D$505,"&lt;&gt;"))</f>
        <v/>
      </c>
      <c r="E3361">
        <f>IF(A3361="","",IF(SUMPRODUCT((Ввод!$F$12:$F$31&lt;&gt;"")*(Ввод!$F$12:$F$31&lt;=A3361)*(Ввод!$G$12:$G$31&gt;=A3361))&gt;0,1,0))</f>
        <v/>
      </c>
      <c r="G3361">
        <f>IF(A3361="","",IF(OR(B3361&lt;&gt;B3360,C3361&lt;&gt;C3360,E3361&lt;&gt;E3360),G3360+1,G3360))</f>
        <v/>
      </c>
    </row>
    <row r="3362">
      <c r="A3362" s="20">
        <f>IF(A3361="","",IF(A3361+1&gt;Ввод!$B$4,"",A3361+1))</f>
        <v/>
      </c>
      <c r="B3362">
        <f>IF(A3362="","",IFERROR(INDEX(Ввод!$B$12:$B$71,MATCH(A3362,Ввод!$D$12:$D$71,1)),""))</f>
        <v/>
      </c>
      <c r="C3362">
        <f>IF(A3362="","",DATE(YEAR(A3362),12,31)-DATE(YEAR(A3362),1,1)+1)</f>
        <v/>
      </c>
      <c r="D3362">
        <f>IF(A3362="","",SUMIFS(Акты!$D$5:$D$16,Акты!$E$5:$E$16,"&lt;="&amp;A3362)-SUMIFS(Оплаты!$B$6:$B$505,Оплаты!$A$6:$A$505,"&lt;"&amp;A3362,Оплаты!$D$6:$D$505,"&lt;&gt;"))</f>
        <v/>
      </c>
      <c r="E3362">
        <f>IF(A3362="","",IF(SUMPRODUCT((Ввод!$F$12:$F$31&lt;&gt;"")*(Ввод!$F$12:$F$31&lt;=A3362)*(Ввод!$G$12:$G$31&gt;=A3362))&gt;0,1,0))</f>
        <v/>
      </c>
      <c r="G3362">
        <f>IF(A3362="","",IF(OR(B3362&lt;&gt;B3361,C3362&lt;&gt;C3361,E3362&lt;&gt;E3361),G3361+1,G3361))</f>
        <v/>
      </c>
    </row>
    <row r="3363">
      <c r="A3363" s="20">
        <f>IF(A3362="","",IF(A3362+1&gt;Ввод!$B$4,"",A3362+1))</f>
        <v/>
      </c>
      <c r="B3363">
        <f>IF(A3363="","",IFERROR(INDEX(Ввод!$B$12:$B$71,MATCH(A3363,Ввод!$D$12:$D$71,1)),""))</f>
        <v/>
      </c>
      <c r="C3363">
        <f>IF(A3363="","",DATE(YEAR(A3363),12,31)-DATE(YEAR(A3363),1,1)+1)</f>
        <v/>
      </c>
      <c r="D3363">
        <f>IF(A3363="","",SUMIFS(Акты!$D$5:$D$16,Акты!$E$5:$E$16,"&lt;="&amp;A3363)-SUMIFS(Оплаты!$B$6:$B$505,Оплаты!$A$6:$A$505,"&lt;"&amp;A3363,Оплаты!$D$6:$D$505,"&lt;&gt;"))</f>
        <v/>
      </c>
      <c r="E3363">
        <f>IF(A3363="","",IF(SUMPRODUCT((Ввод!$F$12:$F$31&lt;&gt;"")*(Ввод!$F$12:$F$31&lt;=A3363)*(Ввод!$G$12:$G$31&gt;=A3363))&gt;0,1,0))</f>
        <v/>
      </c>
      <c r="G3363">
        <f>IF(A3363="","",IF(OR(B3363&lt;&gt;B3362,C3363&lt;&gt;C3362,E3363&lt;&gt;E3362),G3362+1,G3362))</f>
        <v/>
      </c>
    </row>
    <row r="3364">
      <c r="A3364" s="20">
        <f>IF(A3363="","",IF(A3363+1&gt;Ввод!$B$4,"",A3363+1))</f>
        <v/>
      </c>
      <c r="B3364">
        <f>IF(A3364="","",IFERROR(INDEX(Ввод!$B$12:$B$71,MATCH(A3364,Ввод!$D$12:$D$71,1)),""))</f>
        <v/>
      </c>
      <c r="C3364">
        <f>IF(A3364="","",DATE(YEAR(A3364),12,31)-DATE(YEAR(A3364),1,1)+1)</f>
        <v/>
      </c>
      <c r="D3364">
        <f>IF(A3364="","",SUMIFS(Акты!$D$5:$D$16,Акты!$E$5:$E$16,"&lt;="&amp;A3364)-SUMIFS(Оплаты!$B$6:$B$505,Оплаты!$A$6:$A$505,"&lt;"&amp;A3364,Оплаты!$D$6:$D$505,"&lt;&gt;"))</f>
        <v/>
      </c>
      <c r="E3364">
        <f>IF(A3364="","",IF(SUMPRODUCT((Ввод!$F$12:$F$31&lt;&gt;"")*(Ввод!$F$12:$F$31&lt;=A3364)*(Ввод!$G$12:$G$31&gt;=A3364))&gt;0,1,0))</f>
        <v/>
      </c>
      <c r="G3364">
        <f>IF(A3364="","",IF(OR(B3364&lt;&gt;B3363,C3364&lt;&gt;C3363,E3364&lt;&gt;E3363),G3363+1,G3363))</f>
        <v/>
      </c>
    </row>
    <row r="3365">
      <c r="A3365" s="20">
        <f>IF(A3364="","",IF(A3364+1&gt;Ввод!$B$4,"",A3364+1))</f>
        <v/>
      </c>
      <c r="B3365">
        <f>IF(A3365="","",IFERROR(INDEX(Ввод!$B$12:$B$71,MATCH(A3365,Ввод!$D$12:$D$71,1)),""))</f>
        <v/>
      </c>
      <c r="C3365">
        <f>IF(A3365="","",DATE(YEAR(A3365),12,31)-DATE(YEAR(A3365),1,1)+1)</f>
        <v/>
      </c>
      <c r="D3365">
        <f>IF(A3365="","",SUMIFS(Акты!$D$5:$D$16,Акты!$E$5:$E$16,"&lt;="&amp;A3365)-SUMIFS(Оплаты!$B$6:$B$505,Оплаты!$A$6:$A$505,"&lt;"&amp;A3365,Оплаты!$D$6:$D$505,"&lt;&gt;"))</f>
        <v/>
      </c>
      <c r="E3365">
        <f>IF(A3365="","",IF(SUMPRODUCT((Ввод!$F$12:$F$31&lt;&gt;"")*(Ввод!$F$12:$F$31&lt;=A3365)*(Ввод!$G$12:$G$31&gt;=A3365))&gt;0,1,0))</f>
        <v/>
      </c>
      <c r="G3365">
        <f>IF(A3365="","",IF(OR(B3365&lt;&gt;B3364,C3365&lt;&gt;C3364,E3365&lt;&gt;E3364),G3364+1,G3364))</f>
        <v/>
      </c>
    </row>
    <row r="3366">
      <c r="A3366" s="20">
        <f>IF(A3365="","",IF(A3365+1&gt;Ввод!$B$4,"",A3365+1))</f>
        <v/>
      </c>
      <c r="B3366">
        <f>IF(A3366="","",IFERROR(INDEX(Ввод!$B$12:$B$71,MATCH(A3366,Ввод!$D$12:$D$71,1)),""))</f>
        <v/>
      </c>
      <c r="C3366">
        <f>IF(A3366="","",DATE(YEAR(A3366),12,31)-DATE(YEAR(A3366),1,1)+1)</f>
        <v/>
      </c>
      <c r="D3366">
        <f>IF(A3366="","",SUMIFS(Акты!$D$5:$D$16,Акты!$E$5:$E$16,"&lt;="&amp;A3366)-SUMIFS(Оплаты!$B$6:$B$505,Оплаты!$A$6:$A$505,"&lt;"&amp;A3366,Оплаты!$D$6:$D$505,"&lt;&gt;"))</f>
        <v/>
      </c>
      <c r="E3366">
        <f>IF(A3366="","",IF(SUMPRODUCT((Ввод!$F$12:$F$31&lt;&gt;"")*(Ввод!$F$12:$F$31&lt;=A3366)*(Ввод!$G$12:$G$31&gt;=A3366))&gt;0,1,0))</f>
        <v/>
      </c>
      <c r="G3366">
        <f>IF(A3366="","",IF(OR(B3366&lt;&gt;B3365,C3366&lt;&gt;C3365,E3366&lt;&gt;E3365),G3365+1,G3365))</f>
        <v/>
      </c>
    </row>
    <row r="3367">
      <c r="A3367" s="20">
        <f>IF(A3366="","",IF(A3366+1&gt;Ввод!$B$4,"",A3366+1))</f>
        <v/>
      </c>
      <c r="B3367">
        <f>IF(A3367="","",IFERROR(INDEX(Ввод!$B$12:$B$71,MATCH(A3367,Ввод!$D$12:$D$71,1)),""))</f>
        <v/>
      </c>
      <c r="C3367">
        <f>IF(A3367="","",DATE(YEAR(A3367),12,31)-DATE(YEAR(A3367),1,1)+1)</f>
        <v/>
      </c>
      <c r="D3367">
        <f>IF(A3367="","",SUMIFS(Акты!$D$5:$D$16,Акты!$E$5:$E$16,"&lt;="&amp;A3367)-SUMIFS(Оплаты!$B$6:$B$505,Оплаты!$A$6:$A$505,"&lt;"&amp;A3367,Оплаты!$D$6:$D$505,"&lt;&gt;"))</f>
        <v/>
      </c>
      <c r="E3367">
        <f>IF(A3367="","",IF(SUMPRODUCT((Ввод!$F$12:$F$31&lt;&gt;"")*(Ввод!$F$12:$F$31&lt;=A3367)*(Ввод!$G$12:$G$31&gt;=A3367))&gt;0,1,0))</f>
        <v/>
      </c>
      <c r="G3367">
        <f>IF(A3367="","",IF(OR(B3367&lt;&gt;B3366,C3367&lt;&gt;C3366,E3367&lt;&gt;E3366),G3366+1,G3366))</f>
        <v/>
      </c>
    </row>
    <row r="3368">
      <c r="A3368" s="20">
        <f>IF(A3367="","",IF(A3367+1&gt;Ввод!$B$4,"",A3367+1))</f>
        <v/>
      </c>
      <c r="B3368">
        <f>IF(A3368="","",IFERROR(INDEX(Ввод!$B$12:$B$71,MATCH(A3368,Ввод!$D$12:$D$71,1)),""))</f>
        <v/>
      </c>
      <c r="C3368">
        <f>IF(A3368="","",DATE(YEAR(A3368),12,31)-DATE(YEAR(A3368),1,1)+1)</f>
        <v/>
      </c>
      <c r="D3368">
        <f>IF(A3368="","",SUMIFS(Акты!$D$5:$D$16,Акты!$E$5:$E$16,"&lt;="&amp;A3368)-SUMIFS(Оплаты!$B$6:$B$505,Оплаты!$A$6:$A$505,"&lt;"&amp;A3368,Оплаты!$D$6:$D$505,"&lt;&gt;"))</f>
        <v/>
      </c>
      <c r="E3368">
        <f>IF(A3368="","",IF(SUMPRODUCT((Ввод!$F$12:$F$31&lt;&gt;"")*(Ввод!$F$12:$F$31&lt;=A3368)*(Ввод!$G$12:$G$31&gt;=A3368))&gt;0,1,0))</f>
        <v/>
      </c>
      <c r="G3368">
        <f>IF(A3368="","",IF(OR(B3368&lt;&gt;B3367,C3368&lt;&gt;C3367,E3368&lt;&gt;E3367),G3367+1,G3367))</f>
        <v/>
      </c>
    </row>
    <row r="3369">
      <c r="A3369" s="20">
        <f>IF(A3368="","",IF(A3368+1&gt;Ввод!$B$4,"",A3368+1))</f>
        <v/>
      </c>
      <c r="B3369">
        <f>IF(A3369="","",IFERROR(INDEX(Ввод!$B$12:$B$71,MATCH(A3369,Ввод!$D$12:$D$71,1)),""))</f>
        <v/>
      </c>
      <c r="C3369">
        <f>IF(A3369="","",DATE(YEAR(A3369),12,31)-DATE(YEAR(A3369),1,1)+1)</f>
        <v/>
      </c>
      <c r="D3369">
        <f>IF(A3369="","",SUMIFS(Акты!$D$5:$D$16,Акты!$E$5:$E$16,"&lt;="&amp;A3369)-SUMIFS(Оплаты!$B$6:$B$505,Оплаты!$A$6:$A$505,"&lt;"&amp;A3369,Оплаты!$D$6:$D$505,"&lt;&gt;"))</f>
        <v/>
      </c>
      <c r="E3369">
        <f>IF(A3369="","",IF(SUMPRODUCT((Ввод!$F$12:$F$31&lt;&gt;"")*(Ввод!$F$12:$F$31&lt;=A3369)*(Ввод!$G$12:$G$31&gt;=A3369))&gt;0,1,0))</f>
        <v/>
      </c>
      <c r="G3369">
        <f>IF(A3369="","",IF(OR(B3369&lt;&gt;B3368,C3369&lt;&gt;C3368,E3369&lt;&gt;E3368),G3368+1,G3368))</f>
        <v/>
      </c>
    </row>
    <row r="3370">
      <c r="A3370" s="20">
        <f>IF(A3369="","",IF(A3369+1&gt;Ввод!$B$4,"",A3369+1))</f>
        <v/>
      </c>
      <c r="B3370">
        <f>IF(A3370="","",IFERROR(INDEX(Ввод!$B$12:$B$71,MATCH(A3370,Ввод!$D$12:$D$71,1)),""))</f>
        <v/>
      </c>
      <c r="C3370">
        <f>IF(A3370="","",DATE(YEAR(A3370),12,31)-DATE(YEAR(A3370),1,1)+1)</f>
        <v/>
      </c>
      <c r="D3370">
        <f>IF(A3370="","",SUMIFS(Акты!$D$5:$D$16,Акты!$E$5:$E$16,"&lt;="&amp;A3370)-SUMIFS(Оплаты!$B$6:$B$505,Оплаты!$A$6:$A$505,"&lt;"&amp;A3370,Оплаты!$D$6:$D$505,"&lt;&gt;"))</f>
        <v/>
      </c>
      <c r="E3370">
        <f>IF(A3370="","",IF(SUMPRODUCT((Ввод!$F$12:$F$31&lt;&gt;"")*(Ввод!$F$12:$F$31&lt;=A3370)*(Ввод!$G$12:$G$31&gt;=A3370))&gt;0,1,0))</f>
        <v/>
      </c>
      <c r="G3370">
        <f>IF(A3370="","",IF(OR(B3370&lt;&gt;B3369,C3370&lt;&gt;C3369,E3370&lt;&gt;E3369),G3369+1,G3369))</f>
        <v/>
      </c>
    </row>
    <row r="3371">
      <c r="A3371" s="20">
        <f>IF(A3370="","",IF(A3370+1&gt;Ввод!$B$4,"",A3370+1))</f>
        <v/>
      </c>
      <c r="B3371">
        <f>IF(A3371="","",IFERROR(INDEX(Ввод!$B$12:$B$71,MATCH(A3371,Ввод!$D$12:$D$71,1)),""))</f>
        <v/>
      </c>
      <c r="C3371">
        <f>IF(A3371="","",DATE(YEAR(A3371),12,31)-DATE(YEAR(A3371),1,1)+1)</f>
        <v/>
      </c>
      <c r="D3371">
        <f>IF(A3371="","",SUMIFS(Акты!$D$5:$D$16,Акты!$E$5:$E$16,"&lt;="&amp;A3371)-SUMIFS(Оплаты!$B$6:$B$505,Оплаты!$A$6:$A$505,"&lt;"&amp;A3371,Оплаты!$D$6:$D$505,"&lt;&gt;"))</f>
        <v/>
      </c>
      <c r="E3371">
        <f>IF(A3371="","",IF(SUMPRODUCT((Ввод!$F$12:$F$31&lt;&gt;"")*(Ввод!$F$12:$F$31&lt;=A3371)*(Ввод!$G$12:$G$31&gt;=A3371))&gt;0,1,0))</f>
        <v/>
      </c>
      <c r="G3371">
        <f>IF(A3371="","",IF(OR(B3371&lt;&gt;B3370,C3371&lt;&gt;C3370,E3371&lt;&gt;E3370),G3370+1,G3370))</f>
        <v/>
      </c>
    </row>
    <row r="3372">
      <c r="A3372" s="20">
        <f>IF(A3371="","",IF(A3371+1&gt;Ввод!$B$4,"",A3371+1))</f>
        <v/>
      </c>
      <c r="B3372">
        <f>IF(A3372="","",IFERROR(INDEX(Ввод!$B$12:$B$71,MATCH(A3372,Ввод!$D$12:$D$71,1)),""))</f>
        <v/>
      </c>
      <c r="C3372">
        <f>IF(A3372="","",DATE(YEAR(A3372),12,31)-DATE(YEAR(A3372),1,1)+1)</f>
        <v/>
      </c>
      <c r="D3372">
        <f>IF(A3372="","",SUMIFS(Акты!$D$5:$D$16,Акты!$E$5:$E$16,"&lt;="&amp;A3372)-SUMIFS(Оплаты!$B$6:$B$505,Оплаты!$A$6:$A$505,"&lt;"&amp;A3372,Оплаты!$D$6:$D$505,"&lt;&gt;"))</f>
        <v/>
      </c>
      <c r="E3372">
        <f>IF(A3372="","",IF(SUMPRODUCT((Ввод!$F$12:$F$31&lt;&gt;"")*(Ввод!$F$12:$F$31&lt;=A3372)*(Ввод!$G$12:$G$31&gt;=A3372))&gt;0,1,0))</f>
        <v/>
      </c>
      <c r="G3372">
        <f>IF(A3372="","",IF(OR(B3372&lt;&gt;B3371,C3372&lt;&gt;C3371,E3372&lt;&gt;E3371),G3371+1,G3371))</f>
        <v/>
      </c>
    </row>
    <row r="3373">
      <c r="A3373" s="20">
        <f>IF(A3372="","",IF(A3372+1&gt;Ввод!$B$4,"",A3372+1))</f>
        <v/>
      </c>
      <c r="B3373">
        <f>IF(A3373="","",IFERROR(INDEX(Ввод!$B$12:$B$71,MATCH(A3373,Ввод!$D$12:$D$71,1)),""))</f>
        <v/>
      </c>
      <c r="C3373">
        <f>IF(A3373="","",DATE(YEAR(A3373),12,31)-DATE(YEAR(A3373),1,1)+1)</f>
        <v/>
      </c>
      <c r="D3373">
        <f>IF(A3373="","",SUMIFS(Акты!$D$5:$D$16,Акты!$E$5:$E$16,"&lt;="&amp;A3373)-SUMIFS(Оплаты!$B$6:$B$505,Оплаты!$A$6:$A$505,"&lt;"&amp;A3373,Оплаты!$D$6:$D$505,"&lt;&gt;"))</f>
        <v/>
      </c>
      <c r="E3373">
        <f>IF(A3373="","",IF(SUMPRODUCT((Ввод!$F$12:$F$31&lt;&gt;"")*(Ввод!$F$12:$F$31&lt;=A3373)*(Ввод!$G$12:$G$31&gt;=A3373))&gt;0,1,0))</f>
        <v/>
      </c>
      <c r="G3373">
        <f>IF(A3373="","",IF(OR(B3373&lt;&gt;B3372,C3373&lt;&gt;C3372,E3373&lt;&gt;E3372),G3372+1,G3372))</f>
        <v/>
      </c>
    </row>
    <row r="3374">
      <c r="A3374" s="20">
        <f>IF(A3373="","",IF(A3373+1&gt;Ввод!$B$4,"",A3373+1))</f>
        <v/>
      </c>
      <c r="B3374">
        <f>IF(A3374="","",IFERROR(INDEX(Ввод!$B$12:$B$71,MATCH(A3374,Ввод!$D$12:$D$71,1)),""))</f>
        <v/>
      </c>
      <c r="C3374">
        <f>IF(A3374="","",DATE(YEAR(A3374),12,31)-DATE(YEAR(A3374),1,1)+1)</f>
        <v/>
      </c>
      <c r="D3374">
        <f>IF(A3374="","",SUMIFS(Акты!$D$5:$D$16,Акты!$E$5:$E$16,"&lt;="&amp;A3374)-SUMIFS(Оплаты!$B$6:$B$505,Оплаты!$A$6:$A$505,"&lt;"&amp;A3374,Оплаты!$D$6:$D$505,"&lt;&gt;"))</f>
        <v/>
      </c>
      <c r="E3374">
        <f>IF(A3374="","",IF(SUMPRODUCT((Ввод!$F$12:$F$31&lt;&gt;"")*(Ввод!$F$12:$F$31&lt;=A3374)*(Ввод!$G$12:$G$31&gt;=A3374))&gt;0,1,0))</f>
        <v/>
      </c>
      <c r="G3374">
        <f>IF(A3374="","",IF(OR(B3374&lt;&gt;B3373,C3374&lt;&gt;C3373,E3374&lt;&gt;E3373),G3373+1,G3373))</f>
        <v/>
      </c>
    </row>
    <row r="3375">
      <c r="A3375" s="20">
        <f>IF(A3374="","",IF(A3374+1&gt;Ввод!$B$4,"",A3374+1))</f>
        <v/>
      </c>
      <c r="B3375">
        <f>IF(A3375="","",IFERROR(INDEX(Ввод!$B$12:$B$71,MATCH(A3375,Ввод!$D$12:$D$71,1)),""))</f>
        <v/>
      </c>
      <c r="C3375">
        <f>IF(A3375="","",DATE(YEAR(A3375),12,31)-DATE(YEAR(A3375),1,1)+1)</f>
        <v/>
      </c>
      <c r="D3375">
        <f>IF(A3375="","",SUMIFS(Акты!$D$5:$D$16,Акты!$E$5:$E$16,"&lt;="&amp;A3375)-SUMIFS(Оплаты!$B$6:$B$505,Оплаты!$A$6:$A$505,"&lt;"&amp;A3375,Оплаты!$D$6:$D$505,"&lt;&gt;"))</f>
        <v/>
      </c>
      <c r="E3375">
        <f>IF(A3375="","",IF(SUMPRODUCT((Ввод!$F$12:$F$31&lt;&gt;"")*(Ввод!$F$12:$F$31&lt;=A3375)*(Ввод!$G$12:$G$31&gt;=A3375))&gt;0,1,0))</f>
        <v/>
      </c>
      <c r="G3375">
        <f>IF(A3375="","",IF(OR(B3375&lt;&gt;B3374,C3375&lt;&gt;C3374,E3375&lt;&gt;E3374),G3374+1,G3374))</f>
        <v/>
      </c>
    </row>
    <row r="3376">
      <c r="A3376" s="20">
        <f>IF(A3375="","",IF(A3375+1&gt;Ввод!$B$4,"",A3375+1))</f>
        <v/>
      </c>
      <c r="B3376">
        <f>IF(A3376="","",IFERROR(INDEX(Ввод!$B$12:$B$71,MATCH(A3376,Ввод!$D$12:$D$71,1)),""))</f>
        <v/>
      </c>
      <c r="C3376">
        <f>IF(A3376="","",DATE(YEAR(A3376),12,31)-DATE(YEAR(A3376),1,1)+1)</f>
        <v/>
      </c>
      <c r="D3376">
        <f>IF(A3376="","",SUMIFS(Акты!$D$5:$D$16,Акты!$E$5:$E$16,"&lt;="&amp;A3376)-SUMIFS(Оплаты!$B$6:$B$505,Оплаты!$A$6:$A$505,"&lt;"&amp;A3376,Оплаты!$D$6:$D$505,"&lt;&gt;"))</f>
        <v/>
      </c>
      <c r="E3376">
        <f>IF(A3376="","",IF(SUMPRODUCT((Ввод!$F$12:$F$31&lt;&gt;"")*(Ввод!$F$12:$F$31&lt;=A3376)*(Ввод!$G$12:$G$31&gt;=A3376))&gt;0,1,0))</f>
        <v/>
      </c>
      <c r="G3376">
        <f>IF(A3376="","",IF(OR(B3376&lt;&gt;B3375,C3376&lt;&gt;C3375,E3376&lt;&gt;E3375),G3375+1,G3375))</f>
        <v/>
      </c>
    </row>
    <row r="3377">
      <c r="A3377" s="20">
        <f>IF(A3376="","",IF(A3376+1&gt;Ввод!$B$4,"",A3376+1))</f>
        <v/>
      </c>
      <c r="B3377">
        <f>IF(A3377="","",IFERROR(INDEX(Ввод!$B$12:$B$71,MATCH(A3377,Ввод!$D$12:$D$71,1)),""))</f>
        <v/>
      </c>
      <c r="C3377">
        <f>IF(A3377="","",DATE(YEAR(A3377),12,31)-DATE(YEAR(A3377),1,1)+1)</f>
        <v/>
      </c>
      <c r="D3377">
        <f>IF(A3377="","",SUMIFS(Акты!$D$5:$D$16,Акты!$E$5:$E$16,"&lt;="&amp;A3377)-SUMIFS(Оплаты!$B$6:$B$505,Оплаты!$A$6:$A$505,"&lt;"&amp;A3377,Оплаты!$D$6:$D$505,"&lt;&gt;"))</f>
        <v/>
      </c>
      <c r="E3377">
        <f>IF(A3377="","",IF(SUMPRODUCT((Ввод!$F$12:$F$31&lt;&gt;"")*(Ввод!$F$12:$F$31&lt;=A3377)*(Ввод!$G$12:$G$31&gt;=A3377))&gt;0,1,0))</f>
        <v/>
      </c>
      <c r="G3377">
        <f>IF(A3377="","",IF(OR(B3377&lt;&gt;B3376,C3377&lt;&gt;C3376,E3377&lt;&gt;E3376),G3376+1,G3376))</f>
        <v/>
      </c>
    </row>
    <row r="3378">
      <c r="A3378" s="20">
        <f>IF(A3377="","",IF(A3377+1&gt;Ввод!$B$4,"",A3377+1))</f>
        <v/>
      </c>
      <c r="B3378">
        <f>IF(A3378="","",IFERROR(INDEX(Ввод!$B$12:$B$71,MATCH(A3378,Ввод!$D$12:$D$71,1)),""))</f>
        <v/>
      </c>
      <c r="C3378">
        <f>IF(A3378="","",DATE(YEAR(A3378),12,31)-DATE(YEAR(A3378),1,1)+1)</f>
        <v/>
      </c>
      <c r="D3378">
        <f>IF(A3378="","",SUMIFS(Акты!$D$5:$D$16,Акты!$E$5:$E$16,"&lt;="&amp;A3378)-SUMIFS(Оплаты!$B$6:$B$505,Оплаты!$A$6:$A$505,"&lt;"&amp;A3378,Оплаты!$D$6:$D$505,"&lt;&gt;"))</f>
        <v/>
      </c>
      <c r="E3378">
        <f>IF(A3378="","",IF(SUMPRODUCT((Ввод!$F$12:$F$31&lt;&gt;"")*(Ввод!$F$12:$F$31&lt;=A3378)*(Ввод!$G$12:$G$31&gt;=A3378))&gt;0,1,0))</f>
        <v/>
      </c>
      <c r="G3378">
        <f>IF(A3378="","",IF(OR(B3378&lt;&gt;B3377,C3378&lt;&gt;C3377,E3378&lt;&gt;E3377),G3377+1,G3377))</f>
        <v/>
      </c>
    </row>
    <row r="3379">
      <c r="A3379" s="20">
        <f>IF(A3378="","",IF(A3378+1&gt;Ввод!$B$4,"",A3378+1))</f>
        <v/>
      </c>
      <c r="B3379">
        <f>IF(A3379="","",IFERROR(INDEX(Ввод!$B$12:$B$71,MATCH(A3379,Ввод!$D$12:$D$71,1)),""))</f>
        <v/>
      </c>
      <c r="C3379">
        <f>IF(A3379="","",DATE(YEAR(A3379),12,31)-DATE(YEAR(A3379),1,1)+1)</f>
        <v/>
      </c>
      <c r="D3379">
        <f>IF(A3379="","",SUMIFS(Акты!$D$5:$D$16,Акты!$E$5:$E$16,"&lt;="&amp;A3379)-SUMIFS(Оплаты!$B$6:$B$505,Оплаты!$A$6:$A$505,"&lt;"&amp;A3379,Оплаты!$D$6:$D$505,"&lt;&gt;"))</f>
        <v/>
      </c>
      <c r="E3379">
        <f>IF(A3379="","",IF(SUMPRODUCT((Ввод!$F$12:$F$31&lt;&gt;"")*(Ввод!$F$12:$F$31&lt;=A3379)*(Ввод!$G$12:$G$31&gt;=A3379))&gt;0,1,0))</f>
        <v/>
      </c>
      <c r="G3379">
        <f>IF(A3379="","",IF(OR(B3379&lt;&gt;B3378,C3379&lt;&gt;C3378,E3379&lt;&gt;E3378),G3378+1,G3378))</f>
        <v/>
      </c>
    </row>
    <row r="3380">
      <c r="A3380" s="20">
        <f>IF(A3379="","",IF(A3379+1&gt;Ввод!$B$4,"",A3379+1))</f>
        <v/>
      </c>
      <c r="B3380">
        <f>IF(A3380="","",IFERROR(INDEX(Ввод!$B$12:$B$71,MATCH(A3380,Ввод!$D$12:$D$71,1)),""))</f>
        <v/>
      </c>
      <c r="C3380">
        <f>IF(A3380="","",DATE(YEAR(A3380),12,31)-DATE(YEAR(A3380),1,1)+1)</f>
        <v/>
      </c>
      <c r="D3380">
        <f>IF(A3380="","",SUMIFS(Акты!$D$5:$D$16,Акты!$E$5:$E$16,"&lt;="&amp;A3380)-SUMIFS(Оплаты!$B$6:$B$505,Оплаты!$A$6:$A$505,"&lt;"&amp;A3380,Оплаты!$D$6:$D$505,"&lt;&gt;"))</f>
        <v/>
      </c>
      <c r="E3380">
        <f>IF(A3380="","",IF(SUMPRODUCT((Ввод!$F$12:$F$31&lt;&gt;"")*(Ввод!$F$12:$F$31&lt;=A3380)*(Ввод!$G$12:$G$31&gt;=A3380))&gt;0,1,0))</f>
        <v/>
      </c>
      <c r="G3380">
        <f>IF(A3380="","",IF(OR(B3380&lt;&gt;B3379,C3380&lt;&gt;C3379,E3380&lt;&gt;E3379),G3379+1,G3379))</f>
        <v/>
      </c>
    </row>
    <row r="3381">
      <c r="A3381" s="20">
        <f>IF(A3380="","",IF(A3380+1&gt;Ввод!$B$4,"",A3380+1))</f>
        <v/>
      </c>
      <c r="B3381">
        <f>IF(A3381="","",IFERROR(INDEX(Ввод!$B$12:$B$71,MATCH(A3381,Ввод!$D$12:$D$71,1)),""))</f>
        <v/>
      </c>
      <c r="C3381">
        <f>IF(A3381="","",DATE(YEAR(A3381),12,31)-DATE(YEAR(A3381),1,1)+1)</f>
        <v/>
      </c>
      <c r="D3381">
        <f>IF(A3381="","",SUMIFS(Акты!$D$5:$D$16,Акты!$E$5:$E$16,"&lt;="&amp;A3381)-SUMIFS(Оплаты!$B$6:$B$505,Оплаты!$A$6:$A$505,"&lt;"&amp;A3381,Оплаты!$D$6:$D$505,"&lt;&gt;"))</f>
        <v/>
      </c>
      <c r="E3381">
        <f>IF(A3381="","",IF(SUMPRODUCT((Ввод!$F$12:$F$31&lt;&gt;"")*(Ввод!$F$12:$F$31&lt;=A3381)*(Ввод!$G$12:$G$31&gt;=A3381))&gt;0,1,0))</f>
        <v/>
      </c>
      <c r="G3381">
        <f>IF(A3381="","",IF(OR(B3381&lt;&gt;B3380,C3381&lt;&gt;C3380,E3381&lt;&gt;E3380),G3380+1,G3380))</f>
        <v/>
      </c>
    </row>
    <row r="3382">
      <c r="A3382" s="20">
        <f>IF(A3381="","",IF(A3381+1&gt;Ввод!$B$4,"",A3381+1))</f>
        <v/>
      </c>
      <c r="B3382">
        <f>IF(A3382="","",IFERROR(INDEX(Ввод!$B$12:$B$71,MATCH(A3382,Ввод!$D$12:$D$71,1)),""))</f>
        <v/>
      </c>
      <c r="C3382">
        <f>IF(A3382="","",DATE(YEAR(A3382),12,31)-DATE(YEAR(A3382),1,1)+1)</f>
        <v/>
      </c>
      <c r="D3382">
        <f>IF(A3382="","",SUMIFS(Акты!$D$5:$D$16,Акты!$E$5:$E$16,"&lt;="&amp;A3382)-SUMIFS(Оплаты!$B$6:$B$505,Оплаты!$A$6:$A$505,"&lt;"&amp;A3382,Оплаты!$D$6:$D$505,"&lt;&gt;"))</f>
        <v/>
      </c>
      <c r="E3382">
        <f>IF(A3382="","",IF(SUMPRODUCT((Ввод!$F$12:$F$31&lt;&gt;"")*(Ввод!$F$12:$F$31&lt;=A3382)*(Ввод!$G$12:$G$31&gt;=A3382))&gt;0,1,0))</f>
        <v/>
      </c>
      <c r="G3382">
        <f>IF(A3382="","",IF(OR(B3382&lt;&gt;B3381,C3382&lt;&gt;C3381,E3382&lt;&gt;E3381),G3381+1,G3381))</f>
        <v/>
      </c>
    </row>
    <row r="3383">
      <c r="A3383" s="20">
        <f>IF(A3382="","",IF(A3382+1&gt;Ввод!$B$4,"",A3382+1))</f>
        <v/>
      </c>
      <c r="B3383">
        <f>IF(A3383="","",IFERROR(INDEX(Ввод!$B$12:$B$71,MATCH(A3383,Ввод!$D$12:$D$71,1)),""))</f>
        <v/>
      </c>
      <c r="C3383">
        <f>IF(A3383="","",DATE(YEAR(A3383),12,31)-DATE(YEAR(A3383),1,1)+1)</f>
        <v/>
      </c>
      <c r="D3383">
        <f>IF(A3383="","",SUMIFS(Акты!$D$5:$D$16,Акты!$E$5:$E$16,"&lt;="&amp;A3383)-SUMIFS(Оплаты!$B$6:$B$505,Оплаты!$A$6:$A$505,"&lt;"&amp;A3383,Оплаты!$D$6:$D$505,"&lt;&gt;"))</f>
        <v/>
      </c>
      <c r="E3383">
        <f>IF(A3383="","",IF(SUMPRODUCT((Ввод!$F$12:$F$31&lt;&gt;"")*(Ввод!$F$12:$F$31&lt;=A3383)*(Ввод!$G$12:$G$31&gt;=A3383))&gt;0,1,0))</f>
        <v/>
      </c>
      <c r="G3383">
        <f>IF(A3383="","",IF(OR(B3383&lt;&gt;B3382,C3383&lt;&gt;C3382,E3383&lt;&gt;E3382),G3382+1,G3382))</f>
        <v/>
      </c>
    </row>
    <row r="3384">
      <c r="A3384" s="20">
        <f>IF(A3383="","",IF(A3383+1&gt;Ввод!$B$4,"",A3383+1))</f>
        <v/>
      </c>
      <c r="B3384">
        <f>IF(A3384="","",IFERROR(INDEX(Ввод!$B$12:$B$71,MATCH(A3384,Ввод!$D$12:$D$71,1)),""))</f>
        <v/>
      </c>
      <c r="C3384">
        <f>IF(A3384="","",DATE(YEAR(A3384),12,31)-DATE(YEAR(A3384),1,1)+1)</f>
        <v/>
      </c>
      <c r="D3384">
        <f>IF(A3384="","",SUMIFS(Акты!$D$5:$D$16,Акты!$E$5:$E$16,"&lt;="&amp;A3384)-SUMIFS(Оплаты!$B$6:$B$505,Оплаты!$A$6:$A$505,"&lt;"&amp;A3384,Оплаты!$D$6:$D$505,"&lt;&gt;"))</f>
        <v/>
      </c>
      <c r="E3384">
        <f>IF(A3384="","",IF(SUMPRODUCT((Ввод!$F$12:$F$31&lt;&gt;"")*(Ввод!$F$12:$F$31&lt;=A3384)*(Ввод!$G$12:$G$31&gt;=A3384))&gt;0,1,0))</f>
        <v/>
      </c>
      <c r="G3384">
        <f>IF(A3384="","",IF(OR(B3384&lt;&gt;B3383,C3384&lt;&gt;C3383,E3384&lt;&gt;E3383),G3383+1,G3383))</f>
        <v/>
      </c>
    </row>
    <row r="3385">
      <c r="A3385" s="20">
        <f>IF(A3384="","",IF(A3384+1&gt;Ввод!$B$4,"",A3384+1))</f>
        <v/>
      </c>
      <c r="B3385">
        <f>IF(A3385="","",IFERROR(INDEX(Ввод!$B$12:$B$71,MATCH(A3385,Ввод!$D$12:$D$71,1)),""))</f>
        <v/>
      </c>
      <c r="C3385">
        <f>IF(A3385="","",DATE(YEAR(A3385),12,31)-DATE(YEAR(A3385),1,1)+1)</f>
        <v/>
      </c>
      <c r="D3385">
        <f>IF(A3385="","",SUMIFS(Акты!$D$5:$D$16,Акты!$E$5:$E$16,"&lt;="&amp;A3385)-SUMIFS(Оплаты!$B$6:$B$505,Оплаты!$A$6:$A$505,"&lt;"&amp;A3385,Оплаты!$D$6:$D$505,"&lt;&gt;"))</f>
        <v/>
      </c>
      <c r="E3385">
        <f>IF(A3385="","",IF(SUMPRODUCT((Ввод!$F$12:$F$31&lt;&gt;"")*(Ввод!$F$12:$F$31&lt;=A3385)*(Ввод!$G$12:$G$31&gt;=A3385))&gt;0,1,0))</f>
        <v/>
      </c>
      <c r="G3385">
        <f>IF(A3385="","",IF(OR(B3385&lt;&gt;B3384,C3385&lt;&gt;C3384,E3385&lt;&gt;E3384),G3384+1,G3384))</f>
        <v/>
      </c>
    </row>
    <row r="3386">
      <c r="A3386" s="20">
        <f>IF(A3385="","",IF(A3385+1&gt;Ввод!$B$4,"",A3385+1))</f>
        <v/>
      </c>
      <c r="B3386">
        <f>IF(A3386="","",IFERROR(INDEX(Ввод!$B$12:$B$71,MATCH(A3386,Ввод!$D$12:$D$71,1)),""))</f>
        <v/>
      </c>
      <c r="C3386">
        <f>IF(A3386="","",DATE(YEAR(A3386),12,31)-DATE(YEAR(A3386),1,1)+1)</f>
        <v/>
      </c>
      <c r="D3386">
        <f>IF(A3386="","",SUMIFS(Акты!$D$5:$D$16,Акты!$E$5:$E$16,"&lt;="&amp;A3386)-SUMIFS(Оплаты!$B$6:$B$505,Оплаты!$A$6:$A$505,"&lt;"&amp;A3386,Оплаты!$D$6:$D$505,"&lt;&gt;"))</f>
        <v/>
      </c>
      <c r="E3386">
        <f>IF(A3386="","",IF(SUMPRODUCT((Ввод!$F$12:$F$31&lt;&gt;"")*(Ввод!$F$12:$F$31&lt;=A3386)*(Ввод!$G$12:$G$31&gt;=A3386))&gt;0,1,0))</f>
        <v/>
      </c>
      <c r="G3386">
        <f>IF(A3386="","",IF(OR(B3386&lt;&gt;B3385,C3386&lt;&gt;C3385,E3386&lt;&gt;E3385),G3385+1,G3385))</f>
        <v/>
      </c>
    </row>
    <row r="3387">
      <c r="A3387" s="20">
        <f>IF(A3386="","",IF(A3386+1&gt;Ввод!$B$4,"",A3386+1))</f>
        <v/>
      </c>
      <c r="B3387">
        <f>IF(A3387="","",IFERROR(INDEX(Ввод!$B$12:$B$71,MATCH(A3387,Ввод!$D$12:$D$71,1)),""))</f>
        <v/>
      </c>
      <c r="C3387">
        <f>IF(A3387="","",DATE(YEAR(A3387),12,31)-DATE(YEAR(A3387),1,1)+1)</f>
        <v/>
      </c>
      <c r="D3387">
        <f>IF(A3387="","",SUMIFS(Акты!$D$5:$D$16,Акты!$E$5:$E$16,"&lt;="&amp;A3387)-SUMIFS(Оплаты!$B$6:$B$505,Оплаты!$A$6:$A$505,"&lt;"&amp;A3387,Оплаты!$D$6:$D$505,"&lt;&gt;"))</f>
        <v/>
      </c>
      <c r="E3387">
        <f>IF(A3387="","",IF(SUMPRODUCT((Ввод!$F$12:$F$31&lt;&gt;"")*(Ввод!$F$12:$F$31&lt;=A3387)*(Ввод!$G$12:$G$31&gt;=A3387))&gt;0,1,0))</f>
        <v/>
      </c>
      <c r="G3387">
        <f>IF(A3387="","",IF(OR(B3387&lt;&gt;B3386,C3387&lt;&gt;C3386,E3387&lt;&gt;E3386),G3386+1,G3386))</f>
        <v/>
      </c>
    </row>
    <row r="3388">
      <c r="A3388" s="20">
        <f>IF(A3387="","",IF(A3387+1&gt;Ввод!$B$4,"",A3387+1))</f>
        <v/>
      </c>
      <c r="B3388">
        <f>IF(A3388="","",IFERROR(INDEX(Ввод!$B$12:$B$71,MATCH(A3388,Ввод!$D$12:$D$71,1)),""))</f>
        <v/>
      </c>
      <c r="C3388">
        <f>IF(A3388="","",DATE(YEAR(A3388),12,31)-DATE(YEAR(A3388),1,1)+1)</f>
        <v/>
      </c>
      <c r="D3388">
        <f>IF(A3388="","",SUMIFS(Акты!$D$5:$D$16,Акты!$E$5:$E$16,"&lt;="&amp;A3388)-SUMIFS(Оплаты!$B$6:$B$505,Оплаты!$A$6:$A$505,"&lt;"&amp;A3388,Оплаты!$D$6:$D$505,"&lt;&gt;"))</f>
        <v/>
      </c>
      <c r="E3388">
        <f>IF(A3388="","",IF(SUMPRODUCT((Ввод!$F$12:$F$31&lt;&gt;"")*(Ввод!$F$12:$F$31&lt;=A3388)*(Ввод!$G$12:$G$31&gt;=A3388))&gt;0,1,0))</f>
        <v/>
      </c>
      <c r="G3388">
        <f>IF(A3388="","",IF(OR(B3388&lt;&gt;B3387,C3388&lt;&gt;C3387,E3388&lt;&gt;E3387),G3387+1,G3387))</f>
        <v/>
      </c>
    </row>
    <row r="3389">
      <c r="A3389" s="20">
        <f>IF(A3388="","",IF(A3388+1&gt;Ввод!$B$4,"",A3388+1))</f>
        <v/>
      </c>
      <c r="B3389">
        <f>IF(A3389="","",IFERROR(INDEX(Ввод!$B$12:$B$71,MATCH(A3389,Ввод!$D$12:$D$71,1)),""))</f>
        <v/>
      </c>
      <c r="C3389">
        <f>IF(A3389="","",DATE(YEAR(A3389),12,31)-DATE(YEAR(A3389),1,1)+1)</f>
        <v/>
      </c>
      <c r="D3389">
        <f>IF(A3389="","",SUMIFS(Акты!$D$5:$D$16,Акты!$E$5:$E$16,"&lt;="&amp;A3389)-SUMIFS(Оплаты!$B$6:$B$505,Оплаты!$A$6:$A$505,"&lt;"&amp;A3389,Оплаты!$D$6:$D$505,"&lt;&gt;"))</f>
        <v/>
      </c>
      <c r="E3389">
        <f>IF(A3389="","",IF(SUMPRODUCT((Ввод!$F$12:$F$31&lt;&gt;"")*(Ввод!$F$12:$F$31&lt;=A3389)*(Ввод!$G$12:$G$31&gt;=A3389))&gt;0,1,0))</f>
        <v/>
      </c>
      <c r="G3389">
        <f>IF(A3389="","",IF(OR(B3389&lt;&gt;B3388,C3389&lt;&gt;C3388,E3389&lt;&gt;E3388),G3388+1,G3388))</f>
        <v/>
      </c>
    </row>
    <row r="3390">
      <c r="A3390" s="20">
        <f>IF(A3389="","",IF(A3389+1&gt;Ввод!$B$4,"",A3389+1))</f>
        <v/>
      </c>
      <c r="B3390">
        <f>IF(A3390="","",IFERROR(INDEX(Ввод!$B$12:$B$71,MATCH(A3390,Ввод!$D$12:$D$71,1)),""))</f>
        <v/>
      </c>
      <c r="C3390">
        <f>IF(A3390="","",DATE(YEAR(A3390),12,31)-DATE(YEAR(A3390),1,1)+1)</f>
        <v/>
      </c>
      <c r="D3390">
        <f>IF(A3390="","",SUMIFS(Акты!$D$5:$D$16,Акты!$E$5:$E$16,"&lt;="&amp;A3390)-SUMIFS(Оплаты!$B$6:$B$505,Оплаты!$A$6:$A$505,"&lt;"&amp;A3390,Оплаты!$D$6:$D$505,"&lt;&gt;"))</f>
        <v/>
      </c>
      <c r="E3390">
        <f>IF(A3390="","",IF(SUMPRODUCT((Ввод!$F$12:$F$31&lt;&gt;"")*(Ввод!$F$12:$F$31&lt;=A3390)*(Ввод!$G$12:$G$31&gt;=A3390))&gt;0,1,0))</f>
        <v/>
      </c>
      <c r="G3390">
        <f>IF(A3390="","",IF(OR(B3390&lt;&gt;B3389,C3390&lt;&gt;C3389,E3390&lt;&gt;E3389),G3389+1,G3389))</f>
        <v/>
      </c>
    </row>
    <row r="3391">
      <c r="A3391" s="20">
        <f>IF(A3390="","",IF(A3390+1&gt;Ввод!$B$4,"",A3390+1))</f>
        <v/>
      </c>
      <c r="B3391">
        <f>IF(A3391="","",IFERROR(INDEX(Ввод!$B$12:$B$71,MATCH(A3391,Ввод!$D$12:$D$71,1)),""))</f>
        <v/>
      </c>
      <c r="C3391">
        <f>IF(A3391="","",DATE(YEAR(A3391),12,31)-DATE(YEAR(A3391),1,1)+1)</f>
        <v/>
      </c>
      <c r="D3391">
        <f>IF(A3391="","",SUMIFS(Акты!$D$5:$D$16,Акты!$E$5:$E$16,"&lt;="&amp;A3391)-SUMIFS(Оплаты!$B$6:$B$505,Оплаты!$A$6:$A$505,"&lt;"&amp;A3391,Оплаты!$D$6:$D$505,"&lt;&gt;"))</f>
        <v/>
      </c>
      <c r="E3391">
        <f>IF(A3391="","",IF(SUMPRODUCT((Ввод!$F$12:$F$31&lt;&gt;"")*(Ввод!$F$12:$F$31&lt;=A3391)*(Ввод!$G$12:$G$31&gt;=A3391))&gt;0,1,0))</f>
        <v/>
      </c>
      <c r="G3391">
        <f>IF(A3391="","",IF(OR(B3391&lt;&gt;B3390,C3391&lt;&gt;C3390,E3391&lt;&gt;E3390),G3390+1,G3390))</f>
        <v/>
      </c>
    </row>
    <row r="3392">
      <c r="A3392" s="20">
        <f>IF(A3391="","",IF(A3391+1&gt;Ввод!$B$4,"",A3391+1))</f>
        <v/>
      </c>
      <c r="B3392">
        <f>IF(A3392="","",IFERROR(INDEX(Ввод!$B$12:$B$71,MATCH(A3392,Ввод!$D$12:$D$71,1)),""))</f>
        <v/>
      </c>
      <c r="C3392">
        <f>IF(A3392="","",DATE(YEAR(A3392),12,31)-DATE(YEAR(A3392),1,1)+1)</f>
        <v/>
      </c>
      <c r="D3392">
        <f>IF(A3392="","",SUMIFS(Акты!$D$5:$D$16,Акты!$E$5:$E$16,"&lt;="&amp;A3392)-SUMIFS(Оплаты!$B$6:$B$505,Оплаты!$A$6:$A$505,"&lt;"&amp;A3392,Оплаты!$D$6:$D$505,"&lt;&gt;"))</f>
        <v/>
      </c>
      <c r="E3392">
        <f>IF(A3392="","",IF(SUMPRODUCT((Ввод!$F$12:$F$31&lt;&gt;"")*(Ввод!$F$12:$F$31&lt;=A3392)*(Ввод!$G$12:$G$31&gt;=A3392))&gt;0,1,0))</f>
        <v/>
      </c>
      <c r="G3392">
        <f>IF(A3392="","",IF(OR(B3392&lt;&gt;B3391,C3392&lt;&gt;C3391,E3392&lt;&gt;E3391),G3391+1,G3391))</f>
        <v/>
      </c>
    </row>
    <row r="3393">
      <c r="A3393" s="20">
        <f>IF(A3392="","",IF(A3392+1&gt;Ввод!$B$4,"",A3392+1))</f>
        <v/>
      </c>
      <c r="B3393">
        <f>IF(A3393="","",IFERROR(INDEX(Ввод!$B$12:$B$71,MATCH(A3393,Ввод!$D$12:$D$71,1)),""))</f>
        <v/>
      </c>
      <c r="C3393">
        <f>IF(A3393="","",DATE(YEAR(A3393),12,31)-DATE(YEAR(A3393),1,1)+1)</f>
        <v/>
      </c>
      <c r="D3393">
        <f>IF(A3393="","",SUMIFS(Акты!$D$5:$D$16,Акты!$E$5:$E$16,"&lt;="&amp;A3393)-SUMIFS(Оплаты!$B$6:$B$505,Оплаты!$A$6:$A$505,"&lt;"&amp;A3393,Оплаты!$D$6:$D$505,"&lt;&gt;"))</f>
        <v/>
      </c>
      <c r="E3393">
        <f>IF(A3393="","",IF(SUMPRODUCT((Ввод!$F$12:$F$31&lt;&gt;"")*(Ввод!$F$12:$F$31&lt;=A3393)*(Ввод!$G$12:$G$31&gt;=A3393))&gt;0,1,0))</f>
        <v/>
      </c>
      <c r="G3393">
        <f>IF(A3393="","",IF(OR(B3393&lt;&gt;B3392,C3393&lt;&gt;C3392,E3393&lt;&gt;E3392),G3392+1,G3392))</f>
        <v/>
      </c>
    </row>
    <row r="3394">
      <c r="A3394" s="20">
        <f>IF(A3393="","",IF(A3393+1&gt;Ввод!$B$4,"",A3393+1))</f>
        <v/>
      </c>
      <c r="B3394">
        <f>IF(A3394="","",IFERROR(INDEX(Ввод!$B$12:$B$71,MATCH(A3394,Ввод!$D$12:$D$71,1)),""))</f>
        <v/>
      </c>
      <c r="C3394">
        <f>IF(A3394="","",DATE(YEAR(A3394),12,31)-DATE(YEAR(A3394),1,1)+1)</f>
        <v/>
      </c>
      <c r="D3394">
        <f>IF(A3394="","",SUMIFS(Акты!$D$5:$D$16,Акты!$E$5:$E$16,"&lt;="&amp;A3394)-SUMIFS(Оплаты!$B$6:$B$505,Оплаты!$A$6:$A$505,"&lt;"&amp;A3394,Оплаты!$D$6:$D$505,"&lt;&gt;"))</f>
        <v/>
      </c>
      <c r="E3394">
        <f>IF(A3394="","",IF(SUMPRODUCT((Ввод!$F$12:$F$31&lt;&gt;"")*(Ввод!$F$12:$F$31&lt;=A3394)*(Ввод!$G$12:$G$31&gt;=A3394))&gt;0,1,0))</f>
        <v/>
      </c>
      <c r="G3394">
        <f>IF(A3394="","",IF(OR(B3394&lt;&gt;B3393,C3394&lt;&gt;C3393,E3394&lt;&gt;E3393),G3393+1,G3393))</f>
        <v/>
      </c>
    </row>
    <row r="3395">
      <c r="A3395" s="20">
        <f>IF(A3394="","",IF(A3394+1&gt;Ввод!$B$4,"",A3394+1))</f>
        <v/>
      </c>
      <c r="B3395">
        <f>IF(A3395="","",IFERROR(INDEX(Ввод!$B$12:$B$71,MATCH(A3395,Ввод!$D$12:$D$71,1)),""))</f>
        <v/>
      </c>
      <c r="C3395">
        <f>IF(A3395="","",DATE(YEAR(A3395),12,31)-DATE(YEAR(A3395),1,1)+1)</f>
        <v/>
      </c>
      <c r="D3395">
        <f>IF(A3395="","",SUMIFS(Акты!$D$5:$D$16,Акты!$E$5:$E$16,"&lt;="&amp;A3395)-SUMIFS(Оплаты!$B$6:$B$505,Оплаты!$A$6:$A$505,"&lt;"&amp;A3395,Оплаты!$D$6:$D$505,"&lt;&gt;"))</f>
        <v/>
      </c>
      <c r="E3395">
        <f>IF(A3395="","",IF(SUMPRODUCT((Ввод!$F$12:$F$31&lt;&gt;"")*(Ввод!$F$12:$F$31&lt;=A3395)*(Ввод!$G$12:$G$31&gt;=A3395))&gt;0,1,0))</f>
        <v/>
      </c>
      <c r="G3395">
        <f>IF(A3395="","",IF(OR(B3395&lt;&gt;B3394,C3395&lt;&gt;C3394,E3395&lt;&gt;E3394),G3394+1,G3394))</f>
        <v/>
      </c>
    </row>
    <row r="3396">
      <c r="A3396" s="20">
        <f>IF(A3395="","",IF(A3395+1&gt;Ввод!$B$4,"",A3395+1))</f>
        <v/>
      </c>
      <c r="B3396">
        <f>IF(A3396="","",IFERROR(INDEX(Ввод!$B$12:$B$71,MATCH(A3396,Ввод!$D$12:$D$71,1)),""))</f>
        <v/>
      </c>
      <c r="C3396">
        <f>IF(A3396="","",DATE(YEAR(A3396),12,31)-DATE(YEAR(A3396),1,1)+1)</f>
        <v/>
      </c>
      <c r="D3396">
        <f>IF(A3396="","",SUMIFS(Акты!$D$5:$D$16,Акты!$E$5:$E$16,"&lt;="&amp;A3396)-SUMIFS(Оплаты!$B$6:$B$505,Оплаты!$A$6:$A$505,"&lt;"&amp;A3396,Оплаты!$D$6:$D$505,"&lt;&gt;"))</f>
        <v/>
      </c>
      <c r="E3396">
        <f>IF(A3396="","",IF(SUMPRODUCT((Ввод!$F$12:$F$31&lt;&gt;"")*(Ввод!$F$12:$F$31&lt;=A3396)*(Ввод!$G$12:$G$31&gt;=A3396))&gt;0,1,0))</f>
        <v/>
      </c>
      <c r="G3396">
        <f>IF(A3396="","",IF(OR(B3396&lt;&gt;B3395,C3396&lt;&gt;C3395,E3396&lt;&gt;E3395),G3395+1,G3395))</f>
        <v/>
      </c>
    </row>
    <row r="3397">
      <c r="A3397" s="20">
        <f>IF(A3396="","",IF(A3396+1&gt;Ввод!$B$4,"",A3396+1))</f>
        <v/>
      </c>
      <c r="B3397">
        <f>IF(A3397="","",IFERROR(INDEX(Ввод!$B$12:$B$71,MATCH(A3397,Ввод!$D$12:$D$71,1)),""))</f>
        <v/>
      </c>
      <c r="C3397">
        <f>IF(A3397="","",DATE(YEAR(A3397),12,31)-DATE(YEAR(A3397),1,1)+1)</f>
        <v/>
      </c>
      <c r="D3397">
        <f>IF(A3397="","",SUMIFS(Акты!$D$5:$D$16,Акты!$E$5:$E$16,"&lt;="&amp;A3397)-SUMIFS(Оплаты!$B$6:$B$505,Оплаты!$A$6:$A$505,"&lt;"&amp;A3397,Оплаты!$D$6:$D$505,"&lt;&gt;"))</f>
        <v/>
      </c>
      <c r="E3397">
        <f>IF(A3397="","",IF(SUMPRODUCT((Ввод!$F$12:$F$31&lt;&gt;"")*(Ввод!$F$12:$F$31&lt;=A3397)*(Ввод!$G$12:$G$31&gt;=A3397))&gt;0,1,0))</f>
        <v/>
      </c>
      <c r="G3397">
        <f>IF(A3397="","",IF(OR(B3397&lt;&gt;B3396,C3397&lt;&gt;C3396,E3397&lt;&gt;E3396),G3396+1,G3396))</f>
        <v/>
      </c>
    </row>
    <row r="3398">
      <c r="A3398" s="20">
        <f>IF(A3397="","",IF(A3397+1&gt;Ввод!$B$4,"",A3397+1))</f>
        <v/>
      </c>
      <c r="B3398">
        <f>IF(A3398="","",IFERROR(INDEX(Ввод!$B$12:$B$71,MATCH(A3398,Ввод!$D$12:$D$71,1)),""))</f>
        <v/>
      </c>
      <c r="C3398">
        <f>IF(A3398="","",DATE(YEAR(A3398),12,31)-DATE(YEAR(A3398),1,1)+1)</f>
        <v/>
      </c>
      <c r="D3398">
        <f>IF(A3398="","",SUMIFS(Акты!$D$5:$D$16,Акты!$E$5:$E$16,"&lt;="&amp;A3398)-SUMIFS(Оплаты!$B$6:$B$505,Оплаты!$A$6:$A$505,"&lt;"&amp;A3398,Оплаты!$D$6:$D$505,"&lt;&gt;"))</f>
        <v/>
      </c>
      <c r="E3398">
        <f>IF(A3398="","",IF(SUMPRODUCT((Ввод!$F$12:$F$31&lt;&gt;"")*(Ввод!$F$12:$F$31&lt;=A3398)*(Ввод!$G$12:$G$31&gt;=A3398))&gt;0,1,0))</f>
        <v/>
      </c>
      <c r="G3398">
        <f>IF(A3398="","",IF(OR(B3398&lt;&gt;B3397,C3398&lt;&gt;C3397,E3398&lt;&gt;E3397),G3397+1,G3397))</f>
        <v/>
      </c>
    </row>
    <row r="3399">
      <c r="A3399" s="20">
        <f>IF(A3398="","",IF(A3398+1&gt;Ввод!$B$4,"",A3398+1))</f>
        <v/>
      </c>
      <c r="B3399">
        <f>IF(A3399="","",IFERROR(INDEX(Ввод!$B$12:$B$71,MATCH(A3399,Ввод!$D$12:$D$71,1)),""))</f>
        <v/>
      </c>
      <c r="C3399">
        <f>IF(A3399="","",DATE(YEAR(A3399),12,31)-DATE(YEAR(A3399),1,1)+1)</f>
        <v/>
      </c>
      <c r="D3399">
        <f>IF(A3399="","",SUMIFS(Акты!$D$5:$D$16,Акты!$E$5:$E$16,"&lt;="&amp;A3399)-SUMIFS(Оплаты!$B$6:$B$505,Оплаты!$A$6:$A$505,"&lt;"&amp;A3399,Оплаты!$D$6:$D$505,"&lt;&gt;"))</f>
        <v/>
      </c>
      <c r="E3399">
        <f>IF(A3399="","",IF(SUMPRODUCT((Ввод!$F$12:$F$31&lt;&gt;"")*(Ввод!$F$12:$F$31&lt;=A3399)*(Ввод!$G$12:$G$31&gt;=A3399))&gt;0,1,0))</f>
        <v/>
      </c>
      <c r="G3399">
        <f>IF(A3399="","",IF(OR(B3399&lt;&gt;B3398,C3399&lt;&gt;C3398,E3399&lt;&gt;E3398),G3398+1,G3398))</f>
        <v/>
      </c>
    </row>
    <row r="3400">
      <c r="A3400" s="20">
        <f>IF(A3399="","",IF(A3399+1&gt;Ввод!$B$4,"",A3399+1))</f>
        <v/>
      </c>
      <c r="B3400">
        <f>IF(A3400="","",IFERROR(INDEX(Ввод!$B$12:$B$71,MATCH(A3400,Ввод!$D$12:$D$71,1)),""))</f>
        <v/>
      </c>
      <c r="C3400">
        <f>IF(A3400="","",DATE(YEAR(A3400),12,31)-DATE(YEAR(A3400),1,1)+1)</f>
        <v/>
      </c>
      <c r="D3400">
        <f>IF(A3400="","",SUMIFS(Акты!$D$5:$D$16,Акты!$E$5:$E$16,"&lt;="&amp;A3400)-SUMIFS(Оплаты!$B$6:$B$505,Оплаты!$A$6:$A$505,"&lt;"&amp;A3400,Оплаты!$D$6:$D$505,"&lt;&gt;"))</f>
        <v/>
      </c>
      <c r="E3400">
        <f>IF(A3400="","",IF(SUMPRODUCT((Ввод!$F$12:$F$31&lt;&gt;"")*(Ввод!$F$12:$F$31&lt;=A3400)*(Ввод!$G$12:$G$31&gt;=A3400))&gt;0,1,0))</f>
        <v/>
      </c>
      <c r="G3400">
        <f>IF(A3400="","",IF(OR(B3400&lt;&gt;B3399,C3400&lt;&gt;C3399,E3400&lt;&gt;E3399),G3399+1,G3399))</f>
        <v/>
      </c>
    </row>
    <row r="3401">
      <c r="A3401" s="20">
        <f>IF(A3400="","",IF(A3400+1&gt;Ввод!$B$4,"",A3400+1))</f>
        <v/>
      </c>
      <c r="B3401">
        <f>IF(A3401="","",IFERROR(INDEX(Ввод!$B$12:$B$71,MATCH(A3401,Ввод!$D$12:$D$71,1)),""))</f>
        <v/>
      </c>
      <c r="C3401">
        <f>IF(A3401="","",DATE(YEAR(A3401),12,31)-DATE(YEAR(A3401),1,1)+1)</f>
        <v/>
      </c>
      <c r="D3401">
        <f>IF(A3401="","",SUMIFS(Акты!$D$5:$D$16,Акты!$E$5:$E$16,"&lt;="&amp;A3401)-SUMIFS(Оплаты!$B$6:$B$505,Оплаты!$A$6:$A$505,"&lt;"&amp;A3401,Оплаты!$D$6:$D$505,"&lt;&gt;"))</f>
        <v/>
      </c>
      <c r="E3401">
        <f>IF(A3401="","",IF(SUMPRODUCT((Ввод!$F$12:$F$31&lt;&gt;"")*(Ввод!$F$12:$F$31&lt;=A3401)*(Ввод!$G$12:$G$31&gt;=A3401))&gt;0,1,0))</f>
        <v/>
      </c>
      <c r="G3401">
        <f>IF(A3401="","",IF(OR(B3401&lt;&gt;B3400,C3401&lt;&gt;C3400,E3401&lt;&gt;E3400),G3400+1,G3400))</f>
        <v/>
      </c>
    </row>
    <row r="3402">
      <c r="A3402" s="20">
        <f>IF(A3401="","",IF(A3401+1&gt;Ввод!$B$4,"",A3401+1))</f>
        <v/>
      </c>
      <c r="B3402">
        <f>IF(A3402="","",IFERROR(INDEX(Ввод!$B$12:$B$71,MATCH(A3402,Ввод!$D$12:$D$71,1)),""))</f>
        <v/>
      </c>
      <c r="C3402">
        <f>IF(A3402="","",DATE(YEAR(A3402),12,31)-DATE(YEAR(A3402),1,1)+1)</f>
        <v/>
      </c>
      <c r="D3402">
        <f>IF(A3402="","",SUMIFS(Акты!$D$5:$D$16,Акты!$E$5:$E$16,"&lt;="&amp;A3402)-SUMIFS(Оплаты!$B$6:$B$505,Оплаты!$A$6:$A$505,"&lt;"&amp;A3402,Оплаты!$D$6:$D$505,"&lt;&gt;"))</f>
        <v/>
      </c>
      <c r="E3402">
        <f>IF(A3402="","",IF(SUMPRODUCT((Ввод!$F$12:$F$31&lt;&gt;"")*(Ввод!$F$12:$F$31&lt;=A3402)*(Ввод!$G$12:$G$31&gt;=A3402))&gt;0,1,0))</f>
        <v/>
      </c>
      <c r="G3402">
        <f>IF(A3402="","",IF(OR(B3402&lt;&gt;B3401,C3402&lt;&gt;C3401,E3402&lt;&gt;E3401),G3401+1,G3401))</f>
        <v/>
      </c>
    </row>
    <row r="3403">
      <c r="A3403" s="20">
        <f>IF(A3402="","",IF(A3402+1&gt;Ввод!$B$4,"",A3402+1))</f>
        <v/>
      </c>
      <c r="B3403">
        <f>IF(A3403="","",IFERROR(INDEX(Ввод!$B$12:$B$71,MATCH(A3403,Ввод!$D$12:$D$71,1)),""))</f>
        <v/>
      </c>
      <c r="C3403">
        <f>IF(A3403="","",DATE(YEAR(A3403),12,31)-DATE(YEAR(A3403),1,1)+1)</f>
        <v/>
      </c>
      <c r="D3403">
        <f>IF(A3403="","",SUMIFS(Акты!$D$5:$D$16,Акты!$E$5:$E$16,"&lt;="&amp;A3403)-SUMIFS(Оплаты!$B$6:$B$505,Оплаты!$A$6:$A$505,"&lt;"&amp;A3403,Оплаты!$D$6:$D$505,"&lt;&gt;"))</f>
        <v/>
      </c>
      <c r="E3403">
        <f>IF(A3403="","",IF(SUMPRODUCT((Ввод!$F$12:$F$31&lt;&gt;"")*(Ввод!$F$12:$F$31&lt;=A3403)*(Ввод!$G$12:$G$31&gt;=A3403))&gt;0,1,0))</f>
        <v/>
      </c>
      <c r="G3403">
        <f>IF(A3403="","",IF(OR(B3403&lt;&gt;B3402,C3403&lt;&gt;C3402,E3403&lt;&gt;E3402),G3402+1,G3402))</f>
        <v/>
      </c>
    </row>
    <row r="3404">
      <c r="A3404" s="20">
        <f>IF(A3403="","",IF(A3403+1&gt;Ввод!$B$4,"",A3403+1))</f>
        <v/>
      </c>
      <c r="B3404">
        <f>IF(A3404="","",IFERROR(INDEX(Ввод!$B$12:$B$71,MATCH(A3404,Ввод!$D$12:$D$71,1)),""))</f>
        <v/>
      </c>
      <c r="C3404">
        <f>IF(A3404="","",DATE(YEAR(A3404),12,31)-DATE(YEAR(A3404),1,1)+1)</f>
        <v/>
      </c>
      <c r="D3404">
        <f>IF(A3404="","",SUMIFS(Акты!$D$5:$D$16,Акты!$E$5:$E$16,"&lt;="&amp;A3404)-SUMIFS(Оплаты!$B$6:$B$505,Оплаты!$A$6:$A$505,"&lt;"&amp;A3404,Оплаты!$D$6:$D$505,"&lt;&gt;"))</f>
        <v/>
      </c>
      <c r="E3404">
        <f>IF(A3404="","",IF(SUMPRODUCT((Ввод!$F$12:$F$31&lt;&gt;"")*(Ввод!$F$12:$F$31&lt;=A3404)*(Ввод!$G$12:$G$31&gt;=A3404))&gt;0,1,0))</f>
        <v/>
      </c>
      <c r="G3404">
        <f>IF(A3404="","",IF(OR(B3404&lt;&gt;B3403,C3404&lt;&gt;C3403,E3404&lt;&gt;E3403),G3403+1,G3403))</f>
        <v/>
      </c>
    </row>
    <row r="3405">
      <c r="A3405" s="20">
        <f>IF(A3404="","",IF(A3404+1&gt;Ввод!$B$4,"",A3404+1))</f>
        <v/>
      </c>
      <c r="B3405">
        <f>IF(A3405="","",IFERROR(INDEX(Ввод!$B$12:$B$71,MATCH(A3405,Ввод!$D$12:$D$71,1)),""))</f>
        <v/>
      </c>
      <c r="C3405">
        <f>IF(A3405="","",DATE(YEAR(A3405),12,31)-DATE(YEAR(A3405),1,1)+1)</f>
        <v/>
      </c>
      <c r="D3405">
        <f>IF(A3405="","",SUMIFS(Акты!$D$5:$D$16,Акты!$E$5:$E$16,"&lt;="&amp;A3405)-SUMIFS(Оплаты!$B$6:$B$505,Оплаты!$A$6:$A$505,"&lt;"&amp;A3405,Оплаты!$D$6:$D$505,"&lt;&gt;"))</f>
        <v/>
      </c>
      <c r="E3405">
        <f>IF(A3405="","",IF(SUMPRODUCT((Ввод!$F$12:$F$31&lt;&gt;"")*(Ввод!$F$12:$F$31&lt;=A3405)*(Ввод!$G$12:$G$31&gt;=A3405))&gt;0,1,0))</f>
        <v/>
      </c>
      <c r="G3405">
        <f>IF(A3405="","",IF(OR(B3405&lt;&gt;B3404,C3405&lt;&gt;C3404,E3405&lt;&gt;E3404),G3404+1,G3404))</f>
        <v/>
      </c>
    </row>
    <row r="3406">
      <c r="A3406" s="20">
        <f>IF(A3405="","",IF(A3405+1&gt;Ввод!$B$4,"",A3405+1))</f>
        <v/>
      </c>
      <c r="B3406">
        <f>IF(A3406="","",IFERROR(INDEX(Ввод!$B$12:$B$71,MATCH(A3406,Ввод!$D$12:$D$71,1)),""))</f>
        <v/>
      </c>
      <c r="C3406">
        <f>IF(A3406="","",DATE(YEAR(A3406),12,31)-DATE(YEAR(A3406),1,1)+1)</f>
        <v/>
      </c>
      <c r="D3406">
        <f>IF(A3406="","",SUMIFS(Акты!$D$5:$D$16,Акты!$E$5:$E$16,"&lt;="&amp;A3406)-SUMIFS(Оплаты!$B$6:$B$505,Оплаты!$A$6:$A$505,"&lt;"&amp;A3406,Оплаты!$D$6:$D$505,"&lt;&gt;"))</f>
        <v/>
      </c>
      <c r="E3406">
        <f>IF(A3406="","",IF(SUMPRODUCT((Ввод!$F$12:$F$31&lt;&gt;"")*(Ввод!$F$12:$F$31&lt;=A3406)*(Ввод!$G$12:$G$31&gt;=A3406))&gt;0,1,0))</f>
        <v/>
      </c>
      <c r="G3406">
        <f>IF(A3406="","",IF(OR(B3406&lt;&gt;B3405,C3406&lt;&gt;C3405,E3406&lt;&gt;E3405),G3405+1,G3405))</f>
        <v/>
      </c>
    </row>
    <row r="3407">
      <c r="A3407" s="20">
        <f>IF(A3406="","",IF(A3406+1&gt;Ввод!$B$4,"",A3406+1))</f>
        <v/>
      </c>
      <c r="B3407">
        <f>IF(A3407="","",IFERROR(INDEX(Ввод!$B$12:$B$71,MATCH(A3407,Ввод!$D$12:$D$71,1)),""))</f>
        <v/>
      </c>
      <c r="C3407">
        <f>IF(A3407="","",DATE(YEAR(A3407),12,31)-DATE(YEAR(A3407),1,1)+1)</f>
        <v/>
      </c>
      <c r="D3407">
        <f>IF(A3407="","",SUMIFS(Акты!$D$5:$D$16,Акты!$E$5:$E$16,"&lt;="&amp;A3407)-SUMIFS(Оплаты!$B$6:$B$505,Оплаты!$A$6:$A$505,"&lt;"&amp;A3407,Оплаты!$D$6:$D$505,"&lt;&gt;"))</f>
        <v/>
      </c>
      <c r="E3407">
        <f>IF(A3407="","",IF(SUMPRODUCT((Ввод!$F$12:$F$31&lt;&gt;"")*(Ввод!$F$12:$F$31&lt;=A3407)*(Ввод!$G$12:$G$31&gt;=A3407))&gt;0,1,0))</f>
        <v/>
      </c>
      <c r="G3407">
        <f>IF(A3407="","",IF(OR(B3407&lt;&gt;B3406,C3407&lt;&gt;C3406,E3407&lt;&gt;E3406),G3406+1,G3406))</f>
        <v/>
      </c>
    </row>
    <row r="3408">
      <c r="A3408" s="20">
        <f>IF(A3407="","",IF(A3407+1&gt;Ввод!$B$4,"",A3407+1))</f>
        <v/>
      </c>
      <c r="B3408">
        <f>IF(A3408="","",IFERROR(INDEX(Ввод!$B$12:$B$71,MATCH(A3408,Ввод!$D$12:$D$71,1)),""))</f>
        <v/>
      </c>
      <c r="C3408">
        <f>IF(A3408="","",DATE(YEAR(A3408),12,31)-DATE(YEAR(A3408),1,1)+1)</f>
        <v/>
      </c>
      <c r="D3408">
        <f>IF(A3408="","",SUMIFS(Акты!$D$5:$D$16,Акты!$E$5:$E$16,"&lt;="&amp;A3408)-SUMIFS(Оплаты!$B$6:$B$505,Оплаты!$A$6:$A$505,"&lt;"&amp;A3408,Оплаты!$D$6:$D$505,"&lt;&gt;"))</f>
        <v/>
      </c>
      <c r="E3408">
        <f>IF(A3408="","",IF(SUMPRODUCT((Ввод!$F$12:$F$31&lt;&gt;"")*(Ввод!$F$12:$F$31&lt;=A3408)*(Ввод!$G$12:$G$31&gt;=A3408))&gt;0,1,0))</f>
        <v/>
      </c>
      <c r="G3408">
        <f>IF(A3408="","",IF(OR(B3408&lt;&gt;B3407,C3408&lt;&gt;C3407,E3408&lt;&gt;E3407),G3407+1,G3407))</f>
        <v/>
      </c>
    </row>
    <row r="3409">
      <c r="A3409" s="20">
        <f>IF(A3408="","",IF(A3408+1&gt;Ввод!$B$4,"",A3408+1))</f>
        <v/>
      </c>
      <c r="B3409">
        <f>IF(A3409="","",IFERROR(INDEX(Ввод!$B$12:$B$71,MATCH(A3409,Ввод!$D$12:$D$71,1)),""))</f>
        <v/>
      </c>
      <c r="C3409">
        <f>IF(A3409="","",DATE(YEAR(A3409),12,31)-DATE(YEAR(A3409),1,1)+1)</f>
        <v/>
      </c>
      <c r="D3409">
        <f>IF(A3409="","",SUMIFS(Акты!$D$5:$D$16,Акты!$E$5:$E$16,"&lt;="&amp;A3409)-SUMIFS(Оплаты!$B$6:$B$505,Оплаты!$A$6:$A$505,"&lt;"&amp;A3409,Оплаты!$D$6:$D$505,"&lt;&gt;"))</f>
        <v/>
      </c>
      <c r="E3409">
        <f>IF(A3409="","",IF(SUMPRODUCT((Ввод!$F$12:$F$31&lt;&gt;"")*(Ввод!$F$12:$F$31&lt;=A3409)*(Ввод!$G$12:$G$31&gt;=A3409))&gt;0,1,0))</f>
        <v/>
      </c>
      <c r="G3409">
        <f>IF(A3409="","",IF(OR(B3409&lt;&gt;B3408,C3409&lt;&gt;C3408,E3409&lt;&gt;E3408),G3408+1,G3408))</f>
        <v/>
      </c>
    </row>
    <row r="3410">
      <c r="A3410" s="20">
        <f>IF(A3409="","",IF(A3409+1&gt;Ввод!$B$4,"",A3409+1))</f>
        <v/>
      </c>
      <c r="B3410">
        <f>IF(A3410="","",IFERROR(INDEX(Ввод!$B$12:$B$71,MATCH(A3410,Ввод!$D$12:$D$71,1)),""))</f>
        <v/>
      </c>
      <c r="C3410">
        <f>IF(A3410="","",DATE(YEAR(A3410),12,31)-DATE(YEAR(A3410),1,1)+1)</f>
        <v/>
      </c>
      <c r="D3410">
        <f>IF(A3410="","",SUMIFS(Акты!$D$5:$D$16,Акты!$E$5:$E$16,"&lt;="&amp;A3410)-SUMIFS(Оплаты!$B$6:$B$505,Оплаты!$A$6:$A$505,"&lt;"&amp;A3410,Оплаты!$D$6:$D$505,"&lt;&gt;"))</f>
        <v/>
      </c>
      <c r="E3410">
        <f>IF(A3410="","",IF(SUMPRODUCT((Ввод!$F$12:$F$31&lt;&gt;"")*(Ввод!$F$12:$F$31&lt;=A3410)*(Ввод!$G$12:$G$31&gt;=A3410))&gt;0,1,0))</f>
        <v/>
      </c>
      <c r="G3410">
        <f>IF(A3410="","",IF(OR(B3410&lt;&gt;B3409,C3410&lt;&gt;C3409,E3410&lt;&gt;E3409),G3409+1,G3409))</f>
        <v/>
      </c>
    </row>
    <row r="3411">
      <c r="A3411" s="20">
        <f>IF(A3410="","",IF(A3410+1&gt;Ввод!$B$4,"",A3410+1))</f>
        <v/>
      </c>
      <c r="B3411">
        <f>IF(A3411="","",IFERROR(INDEX(Ввод!$B$12:$B$71,MATCH(A3411,Ввод!$D$12:$D$71,1)),""))</f>
        <v/>
      </c>
      <c r="C3411">
        <f>IF(A3411="","",DATE(YEAR(A3411),12,31)-DATE(YEAR(A3411),1,1)+1)</f>
        <v/>
      </c>
      <c r="D3411">
        <f>IF(A3411="","",SUMIFS(Акты!$D$5:$D$16,Акты!$E$5:$E$16,"&lt;="&amp;A3411)-SUMIFS(Оплаты!$B$6:$B$505,Оплаты!$A$6:$A$505,"&lt;"&amp;A3411,Оплаты!$D$6:$D$505,"&lt;&gt;"))</f>
        <v/>
      </c>
      <c r="E3411">
        <f>IF(A3411="","",IF(SUMPRODUCT((Ввод!$F$12:$F$31&lt;&gt;"")*(Ввод!$F$12:$F$31&lt;=A3411)*(Ввод!$G$12:$G$31&gt;=A3411))&gt;0,1,0))</f>
        <v/>
      </c>
      <c r="G3411">
        <f>IF(A3411="","",IF(OR(B3411&lt;&gt;B3410,C3411&lt;&gt;C3410,E3411&lt;&gt;E3410),G3410+1,G3410))</f>
        <v/>
      </c>
    </row>
    <row r="3412">
      <c r="A3412" s="20">
        <f>IF(A3411="","",IF(A3411+1&gt;Ввод!$B$4,"",A3411+1))</f>
        <v/>
      </c>
      <c r="B3412">
        <f>IF(A3412="","",IFERROR(INDEX(Ввод!$B$12:$B$71,MATCH(A3412,Ввод!$D$12:$D$71,1)),""))</f>
        <v/>
      </c>
      <c r="C3412">
        <f>IF(A3412="","",DATE(YEAR(A3412),12,31)-DATE(YEAR(A3412),1,1)+1)</f>
        <v/>
      </c>
      <c r="D3412">
        <f>IF(A3412="","",SUMIFS(Акты!$D$5:$D$16,Акты!$E$5:$E$16,"&lt;="&amp;A3412)-SUMIFS(Оплаты!$B$6:$B$505,Оплаты!$A$6:$A$505,"&lt;"&amp;A3412,Оплаты!$D$6:$D$505,"&lt;&gt;"))</f>
        <v/>
      </c>
      <c r="E3412">
        <f>IF(A3412="","",IF(SUMPRODUCT((Ввод!$F$12:$F$31&lt;&gt;"")*(Ввод!$F$12:$F$31&lt;=A3412)*(Ввод!$G$12:$G$31&gt;=A3412))&gt;0,1,0))</f>
        <v/>
      </c>
      <c r="G3412">
        <f>IF(A3412="","",IF(OR(B3412&lt;&gt;B3411,C3412&lt;&gt;C3411,E3412&lt;&gt;E3411),G3411+1,G3411))</f>
        <v/>
      </c>
    </row>
    <row r="3413">
      <c r="A3413" s="20">
        <f>IF(A3412="","",IF(A3412+1&gt;Ввод!$B$4,"",A3412+1))</f>
        <v/>
      </c>
      <c r="B3413">
        <f>IF(A3413="","",IFERROR(INDEX(Ввод!$B$12:$B$71,MATCH(A3413,Ввод!$D$12:$D$71,1)),""))</f>
        <v/>
      </c>
      <c r="C3413">
        <f>IF(A3413="","",DATE(YEAR(A3413),12,31)-DATE(YEAR(A3413),1,1)+1)</f>
        <v/>
      </c>
      <c r="D3413">
        <f>IF(A3413="","",SUMIFS(Акты!$D$5:$D$16,Акты!$E$5:$E$16,"&lt;="&amp;A3413)-SUMIFS(Оплаты!$B$6:$B$505,Оплаты!$A$6:$A$505,"&lt;"&amp;A3413,Оплаты!$D$6:$D$505,"&lt;&gt;"))</f>
        <v/>
      </c>
      <c r="E3413">
        <f>IF(A3413="","",IF(SUMPRODUCT((Ввод!$F$12:$F$31&lt;&gt;"")*(Ввод!$F$12:$F$31&lt;=A3413)*(Ввод!$G$12:$G$31&gt;=A3413))&gt;0,1,0))</f>
        <v/>
      </c>
      <c r="G3413">
        <f>IF(A3413="","",IF(OR(B3413&lt;&gt;B3412,C3413&lt;&gt;C3412,E3413&lt;&gt;E3412),G3412+1,G3412))</f>
        <v/>
      </c>
    </row>
    <row r="3414">
      <c r="A3414" s="20">
        <f>IF(A3413="","",IF(A3413+1&gt;Ввод!$B$4,"",A3413+1))</f>
        <v/>
      </c>
      <c r="B3414">
        <f>IF(A3414="","",IFERROR(INDEX(Ввод!$B$12:$B$71,MATCH(A3414,Ввод!$D$12:$D$71,1)),""))</f>
        <v/>
      </c>
      <c r="C3414">
        <f>IF(A3414="","",DATE(YEAR(A3414),12,31)-DATE(YEAR(A3414),1,1)+1)</f>
        <v/>
      </c>
      <c r="D3414">
        <f>IF(A3414="","",SUMIFS(Акты!$D$5:$D$16,Акты!$E$5:$E$16,"&lt;="&amp;A3414)-SUMIFS(Оплаты!$B$6:$B$505,Оплаты!$A$6:$A$505,"&lt;"&amp;A3414,Оплаты!$D$6:$D$505,"&lt;&gt;"))</f>
        <v/>
      </c>
      <c r="E3414">
        <f>IF(A3414="","",IF(SUMPRODUCT((Ввод!$F$12:$F$31&lt;&gt;"")*(Ввод!$F$12:$F$31&lt;=A3414)*(Ввод!$G$12:$G$31&gt;=A3414))&gt;0,1,0))</f>
        <v/>
      </c>
      <c r="G3414">
        <f>IF(A3414="","",IF(OR(B3414&lt;&gt;B3413,C3414&lt;&gt;C3413,E3414&lt;&gt;E3413),G3413+1,G3413))</f>
        <v/>
      </c>
    </row>
    <row r="3415">
      <c r="A3415" s="20">
        <f>IF(A3414="","",IF(A3414+1&gt;Ввод!$B$4,"",A3414+1))</f>
        <v/>
      </c>
      <c r="B3415">
        <f>IF(A3415="","",IFERROR(INDEX(Ввод!$B$12:$B$71,MATCH(A3415,Ввод!$D$12:$D$71,1)),""))</f>
        <v/>
      </c>
      <c r="C3415">
        <f>IF(A3415="","",DATE(YEAR(A3415),12,31)-DATE(YEAR(A3415),1,1)+1)</f>
        <v/>
      </c>
      <c r="D3415">
        <f>IF(A3415="","",SUMIFS(Акты!$D$5:$D$16,Акты!$E$5:$E$16,"&lt;="&amp;A3415)-SUMIFS(Оплаты!$B$6:$B$505,Оплаты!$A$6:$A$505,"&lt;"&amp;A3415,Оплаты!$D$6:$D$505,"&lt;&gt;"))</f>
        <v/>
      </c>
      <c r="E3415">
        <f>IF(A3415="","",IF(SUMPRODUCT((Ввод!$F$12:$F$31&lt;&gt;"")*(Ввод!$F$12:$F$31&lt;=A3415)*(Ввод!$G$12:$G$31&gt;=A3415))&gt;0,1,0))</f>
        <v/>
      </c>
      <c r="G3415">
        <f>IF(A3415="","",IF(OR(B3415&lt;&gt;B3414,C3415&lt;&gt;C3414,E3415&lt;&gt;E3414),G3414+1,G3414))</f>
        <v/>
      </c>
    </row>
    <row r="3416">
      <c r="A3416" s="20">
        <f>IF(A3415="","",IF(A3415+1&gt;Ввод!$B$4,"",A3415+1))</f>
        <v/>
      </c>
      <c r="B3416">
        <f>IF(A3416="","",IFERROR(INDEX(Ввод!$B$12:$B$71,MATCH(A3416,Ввод!$D$12:$D$71,1)),""))</f>
        <v/>
      </c>
      <c r="C3416">
        <f>IF(A3416="","",DATE(YEAR(A3416),12,31)-DATE(YEAR(A3416),1,1)+1)</f>
        <v/>
      </c>
      <c r="D3416">
        <f>IF(A3416="","",SUMIFS(Акты!$D$5:$D$16,Акты!$E$5:$E$16,"&lt;="&amp;A3416)-SUMIFS(Оплаты!$B$6:$B$505,Оплаты!$A$6:$A$505,"&lt;"&amp;A3416,Оплаты!$D$6:$D$505,"&lt;&gt;"))</f>
        <v/>
      </c>
      <c r="E3416">
        <f>IF(A3416="","",IF(SUMPRODUCT((Ввод!$F$12:$F$31&lt;&gt;"")*(Ввод!$F$12:$F$31&lt;=A3416)*(Ввод!$G$12:$G$31&gt;=A3416))&gt;0,1,0))</f>
        <v/>
      </c>
      <c r="G3416">
        <f>IF(A3416="","",IF(OR(B3416&lt;&gt;B3415,C3416&lt;&gt;C3415,E3416&lt;&gt;E3415),G3415+1,G3415))</f>
        <v/>
      </c>
    </row>
    <row r="3417">
      <c r="A3417" s="20">
        <f>IF(A3416="","",IF(A3416+1&gt;Ввод!$B$4,"",A3416+1))</f>
        <v/>
      </c>
      <c r="B3417">
        <f>IF(A3417="","",IFERROR(INDEX(Ввод!$B$12:$B$71,MATCH(A3417,Ввод!$D$12:$D$71,1)),""))</f>
        <v/>
      </c>
      <c r="C3417">
        <f>IF(A3417="","",DATE(YEAR(A3417),12,31)-DATE(YEAR(A3417),1,1)+1)</f>
        <v/>
      </c>
      <c r="D3417">
        <f>IF(A3417="","",SUMIFS(Акты!$D$5:$D$16,Акты!$E$5:$E$16,"&lt;="&amp;A3417)-SUMIFS(Оплаты!$B$6:$B$505,Оплаты!$A$6:$A$505,"&lt;"&amp;A3417,Оплаты!$D$6:$D$505,"&lt;&gt;"))</f>
        <v/>
      </c>
      <c r="E3417">
        <f>IF(A3417="","",IF(SUMPRODUCT((Ввод!$F$12:$F$31&lt;&gt;"")*(Ввод!$F$12:$F$31&lt;=A3417)*(Ввод!$G$12:$G$31&gt;=A3417))&gt;0,1,0))</f>
        <v/>
      </c>
      <c r="G3417">
        <f>IF(A3417="","",IF(OR(B3417&lt;&gt;B3416,C3417&lt;&gt;C3416,E3417&lt;&gt;E3416),G3416+1,G3416))</f>
        <v/>
      </c>
    </row>
    <row r="3418">
      <c r="A3418" s="20">
        <f>IF(A3417="","",IF(A3417+1&gt;Ввод!$B$4,"",A3417+1))</f>
        <v/>
      </c>
      <c r="B3418">
        <f>IF(A3418="","",IFERROR(INDEX(Ввод!$B$12:$B$71,MATCH(A3418,Ввод!$D$12:$D$71,1)),""))</f>
        <v/>
      </c>
      <c r="C3418">
        <f>IF(A3418="","",DATE(YEAR(A3418),12,31)-DATE(YEAR(A3418),1,1)+1)</f>
        <v/>
      </c>
      <c r="D3418">
        <f>IF(A3418="","",SUMIFS(Акты!$D$5:$D$16,Акты!$E$5:$E$16,"&lt;="&amp;A3418)-SUMIFS(Оплаты!$B$6:$B$505,Оплаты!$A$6:$A$505,"&lt;"&amp;A3418,Оплаты!$D$6:$D$505,"&lt;&gt;"))</f>
        <v/>
      </c>
      <c r="E3418">
        <f>IF(A3418="","",IF(SUMPRODUCT((Ввод!$F$12:$F$31&lt;&gt;"")*(Ввод!$F$12:$F$31&lt;=A3418)*(Ввод!$G$12:$G$31&gt;=A3418))&gt;0,1,0))</f>
        <v/>
      </c>
      <c r="G3418">
        <f>IF(A3418="","",IF(OR(B3418&lt;&gt;B3417,C3418&lt;&gt;C3417,E3418&lt;&gt;E3417),G3417+1,G3417))</f>
        <v/>
      </c>
    </row>
    <row r="3419">
      <c r="A3419" s="20">
        <f>IF(A3418="","",IF(A3418+1&gt;Ввод!$B$4,"",A3418+1))</f>
        <v/>
      </c>
      <c r="B3419">
        <f>IF(A3419="","",IFERROR(INDEX(Ввод!$B$12:$B$71,MATCH(A3419,Ввод!$D$12:$D$71,1)),""))</f>
        <v/>
      </c>
      <c r="C3419">
        <f>IF(A3419="","",DATE(YEAR(A3419),12,31)-DATE(YEAR(A3419),1,1)+1)</f>
        <v/>
      </c>
      <c r="D3419">
        <f>IF(A3419="","",SUMIFS(Акты!$D$5:$D$16,Акты!$E$5:$E$16,"&lt;="&amp;A3419)-SUMIFS(Оплаты!$B$6:$B$505,Оплаты!$A$6:$A$505,"&lt;"&amp;A3419,Оплаты!$D$6:$D$505,"&lt;&gt;"))</f>
        <v/>
      </c>
      <c r="E3419">
        <f>IF(A3419="","",IF(SUMPRODUCT((Ввод!$F$12:$F$31&lt;&gt;"")*(Ввод!$F$12:$F$31&lt;=A3419)*(Ввод!$G$12:$G$31&gt;=A3419))&gt;0,1,0))</f>
        <v/>
      </c>
      <c r="G3419">
        <f>IF(A3419="","",IF(OR(B3419&lt;&gt;B3418,C3419&lt;&gt;C3418,E3419&lt;&gt;E3418),G3418+1,G3418))</f>
        <v/>
      </c>
    </row>
    <row r="3420">
      <c r="A3420" s="20">
        <f>IF(A3419="","",IF(A3419+1&gt;Ввод!$B$4,"",A3419+1))</f>
        <v/>
      </c>
      <c r="B3420">
        <f>IF(A3420="","",IFERROR(INDEX(Ввод!$B$12:$B$71,MATCH(A3420,Ввод!$D$12:$D$71,1)),""))</f>
        <v/>
      </c>
      <c r="C3420">
        <f>IF(A3420="","",DATE(YEAR(A3420),12,31)-DATE(YEAR(A3420),1,1)+1)</f>
        <v/>
      </c>
      <c r="D3420">
        <f>IF(A3420="","",SUMIFS(Акты!$D$5:$D$16,Акты!$E$5:$E$16,"&lt;="&amp;A3420)-SUMIFS(Оплаты!$B$6:$B$505,Оплаты!$A$6:$A$505,"&lt;"&amp;A3420,Оплаты!$D$6:$D$505,"&lt;&gt;"))</f>
        <v/>
      </c>
      <c r="E3420">
        <f>IF(A3420="","",IF(SUMPRODUCT((Ввод!$F$12:$F$31&lt;&gt;"")*(Ввод!$F$12:$F$31&lt;=A3420)*(Ввод!$G$12:$G$31&gt;=A3420))&gt;0,1,0))</f>
        <v/>
      </c>
      <c r="G3420">
        <f>IF(A3420="","",IF(OR(B3420&lt;&gt;B3419,C3420&lt;&gt;C3419,E3420&lt;&gt;E3419),G3419+1,G3419))</f>
        <v/>
      </c>
    </row>
    <row r="3421">
      <c r="A3421" s="20">
        <f>IF(A3420="","",IF(A3420+1&gt;Ввод!$B$4,"",A3420+1))</f>
        <v/>
      </c>
      <c r="B3421">
        <f>IF(A3421="","",IFERROR(INDEX(Ввод!$B$12:$B$71,MATCH(A3421,Ввод!$D$12:$D$71,1)),""))</f>
        <v/>
      </c>
      <c r="C3421">
        <f>IF(A3421="","",DATE(YEAR(A3421),12,31)-DATE(YEAR(A3421),1,1)+1)</f>
        <v/>
      </c>
      <c r="D3421">
        <f>IF(A3421="","",SUMIFS(Акты!$D$5:$D$16,Акты!$E$5:$E$16,"&lt;="&amp;A3421)-SUMIFS(Оплаты!$B$6:$B$505,Оплаты!$A$6:$A$505,"&lt;"&amp;A3421,Оплаты!$D$6:$D$505,"&lt;&gt;"))</f>
        <v/>
      </c>
      <c r="E3421">
        <f>IF(A3421="","",IF(SUMPRODUCT((Ввод!$F$12:$F$31&lt;&gt;"")*(Ввод!$F$12:$F$31&lt;=A3421)*(Ввод!$G$12:$G$31&gt;=A3421))&gt;0,1,0))</f>
        <v/>
      </c>
      <c r="G3421">
        <f>IF(A3421="","",IF(OR(B3421&lt;&gt;B3420,C3421&lt;&gt;C3420,E3421&lt;&gt;E3420),G3420+1,G3420))</f>
        <v/>
      </c>
    </row>
    <row r="3422">
      <c r="A3422" s="20">
        <f>IF(A3421="","",IF(A3421+1&gt;Ввод!$B$4,"",A3421+1))</f>
        <v/>
      </c>
      <c r="B3422">
        <f>IF(A3422="","",IFERROR(INDEX(Ввод!$B$12:$B$71,MATCH(A3422,Ввод!$D$12:$D$71,1)),""))</f>
        <v/>
      </c>
      <c r="C3422">
        <f>IF(A3422="","",DATE(YEAR(A3422),12,31)-DATE(YEAR(A3422),1,1)+1)</f>
        <v/>
      </c>
      <c r="D3422">
        <f>IF(A3422="","",SUMIFS(Акты!$D$5:$D$16,Акты!$E$5:$E$16,"&lt;="&amp;A3422)-SUMIFS(Оплаты!$B$6:$B$505,Оплаты!$A$6:$A$505,"&lt;"&amp;A3422,Оплаты!$D$6:$D$505,"&lt;&gt;"))</f>
        <v/>
      </c>
      <c r="E3422">
        <f>IF(A3422="","",IF(SUMPRODUCT((Ввод!$F$12:$F$31&lt;&gt;"")*(Ввод!$F$12:$F$31&lt;=A3422)*(Ввод!$G$12:$G$31&gt;=A3422))&gt;0,1,0))</f>
        <v/>
      </c>
      <c r="G3422">
        <f>IF(A3422="","",IF(OR(B3422&lt;&gt;B3421,C3422&lt;&gt;C3421,E3422&lt;&gt;E3421),G3421+1,G3421))</f>
        <v/>
      </c>
    </row>
    <row r="3423">
      <c r="A3423" s="20">
        <f>IF(A3422="","",IF(A3422+1&gt;Ввод!$B$4,"",A3422+1))</f>
        <v/>
      </c>
      <c r="B3423">
        <f>IF(A3423="","",IFERROR(INDEX(Ввод!$B$12:$B$71,MATCH(A3423,Ввод!$D$12:$D$71,1)),""))</f>
        <v/>
      </c>
      <c r="C3423">
        <f>IF(A3423="","",DATE(YEAR(A3423),12,31)-DATE(YEAR(A3423),1,1)+1)</f>
        <v/>
      </c>
      <c r="D3423">
        <f>IF(A3423="","",SUMIFS(Акты!$D$5:$D$16,Акты!$E$5:$E$16,"&lt;="&amp;A3423)-SUMIFS(Оплаты!$B$6:$B$505,Оплаты!$A$6:$A$505,"&lt;"&amp;A3423,Оплаты!$D$6:$D$505,"&lt;&gt;"))</f>
        <v/>
      </c>
      <c r="E3423">
        <f>IF(A3423="","",IF(SUMPRODUCT((Ввод!$F$12:$F$31&lt;&gt;"")*(Ввод!$F$12:$F$31&lt;=A3423)*(Ввод!$G$12:$G$31&gt;=A3423))&gt;0,1,0))</f>
        <v/>
      </c>
      <c r="G3423">
        <f>IF(A3423="","",IF(OR(B3423&lt;&gt;B3422,C3423&lt;&gt;C3422,E3423&lt;&gt;E3422),G3422+1,G3422))</f>
        <v/>
      </c>
    </row>
    <row r="3424">
      <c r="A3424" s="20">
        <f>IF(A3423="","",IF(A3423+1&gt;Ввод!$B$4,"",A3423+1))</f>
        <v/>
      </c>
      <c r="B3424">
        <f>IF(A3424="","",IFERROR(INDEX(Ввод!$B$12:$B$71,MATCH(A3424,Ввод!$D$12:$D$71,1)),""))</f>
        <v/>
      </c>
      <c r="C3424">
        <f>IF(A3424="","",DATE(YEAR(A3424),12,31)-DATE(YEAR(A3424),1,1)+1)</f>
        <v/>
      </c>
      <c r="D3424">
        <f>IF(A3424="","",SUMIFS(Акты!$D$5:$D$16,Акты!$E$5:$E$16,"&lt;="&amp;A3424)-SUMIFS(Оплаты!$B$6:$B$505,Оплаты!$A$6:$A$505,"&lt;"&amp;A3424,Оплаты!$D$6:$D$505,"&lt;&gt;"))</f>
        <v/>
      </c>
      <c r="E3424">
        <f>IF(A3424="","",IF(SUMPRODUCT((Ввод!$F$12:$F$31&lt;&gt;"")*(Ввод!$F$12:$F$31&lt;=A3424)*(Ввод!$G$12:$G$31&gt;=A3424))&gt;0,1,0))</f>
        <v/>
      </c>
      <c r="G3424">
        <f>IF(A3424="","",IF(OR(B3424&lt;&gt;B3423,C3424&lt;&gt;C3423,E3424&lt;&gt;E3423),G3423+1,G3423))</f>
        <v/>
      </c>
    </row>
    <row r="3425">
      <c r="A3425" s="20">
        <f>IF(A3424="","",IF(A3424+1&gt;Ввод!$B$4,"",A3424+1))</f>
        <v/>
      </c>
      <c r="B3425">
        <f>IF(A3425="","",IFERROR(INDEX(Ввод!$B$12:$B$71,MATCH(A3425,Ввод!$D$12:$D$71,1)),""))</f>
        <v/>
      </c>
      <c r="C3425">
        <f>IF(A3425="","",DATE(YEAR(A3425),12,31)-DATE(YEAR(A3425),1,1)+1)</f>
        <v/>
      </c>
      <c r="D3425">
        <f>IF(A3425="","",SUMIFS(Акты!$D$5:$D$16,Акты!$E$5:$E$16,"&lt;="&amp;A3425)-SUMIFS(Оплаты!$B$6:$B$505,Оплаты!$A$6:$A$505,"&lt;"&amp;A3425,Оплаты!$D$6:$D$505,"&lt;&gt;"))</f>
        <v/>
      </c>
      <c r="E3425">
        <f>IF(A3425="","",IF(SUMPRODUCT((Ввод!$F$12:$F$31&lt;&gt;"")*(Ввод!$F$12:$F$31&lt;=A3425)*(Ввод!$G$12:$G$31&gt;=A3425))&gt;0,1,0))</f>
        <v/>
      </c>
      <c r="G3425">
        <f>IF(A3425="","",IF(OR(B3425&lt;&gt;B3424,C3425&lt;&gt;C3424,E3425&lt;&gt;E3424),G3424+1,G3424))</f>
        <v/>
      </c>
    </row>
    <row r="3426">
      <c r="A3426" s="20">
        <f>IF(A3425="","",IF(A3425+1&gt;Ввод!$B$4,"",A3425+1))</f>
        <v/>
      </c>
      <c r="B3426">
        <f>IF(A3426="","",IFERROR(INDEX(Ввод!$B$12:$B$71,MATCH(A3426,Ввод!$D$12:$D$71,1)),""))</f>
        <v/>
      </c>
      <c r="C3426">
        <f>IF(A3426="","",DATE(YEAR(A3426),12,31)-DATE(YEAR(A3426),1,1)+1)</f>
        <v/>
      </c>
      <c r="D3426">
        <f>IF(A3426="","",SUMIFS(Акты!$D$5:$D$16,Акты!$E$5:$E$16,"&lt;="&amp;A3426)-SUMIFS(Оплаты!$B$6:$B$505,Оплаты!$A$6:$A$505,"&lt;"&amp;A3426,Оплаты!$D$6:$D$505,"&lt;&gt;"))</f>
        <v/>
      </c>
      <c r="E3426">
        <f>IF(A3426="","",IF(SUMPRODUCT((Ввод!$F$12:$F$31&lt;&gt;"")*(Ввод!$F$12:$F$31&lt;=A3426)*(Ввод!$G$12:$G$31&gt;=A3426))&gt;0,1,0))</f>
        <v/>
      </c>
      <c r="G3426">
        <f>IF(A3426="","",IF(OR(B3426&lt;&gt;B3425,C3426&lt;&gt;C3425,E3426&lt;&gt;E3425),G3425+1,G3425))</f>
        <v/>
      </c>
    </row>
    <row r="3427">
      <c r="A3427" s="20">
        <f>IF(A3426="","",IF(A3426+1&gt;Ввод!$B$4,"",A3426+1))</f>
        <v/>
      </c>
      <c r="B3427">
        <f>IF(A3427="","",IFERROR(INDEX(Ввод!$B$12:$B$71,MATCH(A3427,Ввод!$D$12:$D$71,1)),""))</f>
        <v/>
      </c>
      <c r="C3427">
        <f>IF(A3427="","",DATE(YEAR(A3427),12,31)-DATE(YEAR(A3427),1,1)+1)</f>
        <v/>
      </c>
      <c r="D3427">
        <f>IF(A3427="","",SUMIFS(Акты!$D$5:$D$16,Акты!$E$5:$E$16,"&lt;="&amp;A3427)-SUMIFS(Оплаты!$B$6:$B$505,Оплаты!$A$6:$A$505,"&lt;"&amp;A3427,Оплаты!$D$6:$D$505,"&lt;&gt;"))</f>
        <v/>
      </c>
      <c r="E3427">
        <f>IF(A3427="","",IF(SUMPRODUCT((Ввод!$F$12:$F$31&lt;&gt;"")*(Ввод!$F$12:$F$31&lt;=A3427)*(Ввод!$G$12:$G$31&gt;=A3427))&gt;0,1,0))</f>
        <v/>
      </c>
      <c r="G3427">
        <f>IF(A3427="","",IF(OR(B3427&lt;&gt;B3426,C3427&lt;&gt;C3426,E3427&lt;&gt;E3426),G3426+1,G3426))</f>
        <v/>
      </c>
    </row>
    <row r="3428">
      <c r="A3428" s="20">
        <f>IF(A3427="","",IF(A3427+1&gt;Ввод!$B$4,"",A3427+1))</f>
        <v/>
      </c>
      <c r="B3428">
        <f>IF(A3428="","",IFERROR(INDEX(Ввод!$B$12:$B$71,MATCH(A3428,Ввод!$D$12:$D$71,1)),""))</f>
        <v/>
      </c>
      <c r="C3428">
        <f>IF(A3428="","",DATE(YEAR(A3428),12,31)-DATE(YEAR(A3428),1,1)+1)</f>
        <v/>
      </c>
      <c r="D3428">
        <f>IF(A3428="","",SUMIFS(Акты!$D$5:$D$16,Акты!$E$5:$E$16,"&lt;="&amp;A3428)-SUMIFS(Оплаты!$B$6:$B$505,Оплаты!$A$6:$A$505,"&lt;"&amp;A3428,Оплаты!$D$6:$D$505,"&lt;&gt;"))</f>
        <v/>
      </c>
      <c r="E3428">
        <f>IF(A3428="","",IF(SUMPRODUCT((Ввод!$F$12:$F$31&lt;&gt;"")*(Ввод!$F$12:$F$31&lt;=A3428)*(Ввод!$G$12:$G$31&gt;=A3428))&gt;0,1,0))</f>
        <v/>
      </c>
      <c r="G3428">
        <f>IF(A3428="","",IF(OR(B3428&lt;&gt;B3427,C3428&lt;&gt;C3427,E3428&lt;&gt;E3427),G3427+1,G3427))</f>
        <v/>
      </c>
    </row>
    <row r="3429">
      <c r="A3429" s="20">
        <f>IF(A3428="","",IF(A3428+1&gt;Ввод!$B$4,"",A3428+1))</f>
        <v/>
      </c>
      <c r="B3429">
        <f>IF(A3429="","",IFERROR(INDEX(Ввод!$B$12:$B$71,MATCH(A3429,Ввод!$D$12:$D$71,1)),""))</f>
        <v/>
      </c>
      <c r="C3429">
        <f>IF(A3429="","",DATE(YEAR(A3429),12,31)-DATE(YEAR(A3429),1,1)+1)</f>
        <v/>
      </c>
      <c r="D3429">
        <f>IF(A3429="","",SUMIFS(Акты!$D$5:$D$16,Акты!$E$5:$E$16,"&lt;="&amp;A3429)-SUMIFS(Оплаты!$B$6:$B$505,Оплаты!$A$6:$A$505,"&lt;"&amp;A3429,Оплаты!$D$6:$D$505,"&lt;&gt;"))</f>
        <v/>
      </c>
      <c r="E3429">
        <f>IF(A3429="","",IF(SUMPRODUCT((Ввод!$F$12:$F$31&lt;&gt;"")*(Ввод!$F$12:$F$31&lt;=A3429)*(Ввод!$G$12:$G$31&gt;=A3429))&gt;0,1,0))</f>
        <v/>
      </c>
      <c r="G3429">
        <f>IF(A3429="","",IF(OR(B3429&lt;&gt;B3428,C3429&lt;&gt;C3428,E3429&lt;&gt;E3428),G3428+1,G3428))</f>
        <v/>
      </c>
    </row>
    <row r="3430">
      <c r="A3430" s="20">
        <f>IF(A3429="","",IF(A3429+1&gt;Ввод!$B$4,"",A3429+1))</f>
        <v/>
      </c>
      <c r="B3430">
        <f>IF(A3430="","",IFERROR(INDEX(Ввод!$B$12:$B$71,MATCH(A3430,Ввод!$D$12:$D$71,1)),""))</f>
        <v/>
      </c>
      <c r="C3430">
        <f>IF(A3430="","",DATE(YEAR(A3430),12,31)-DATE(YEAR(A3430),1,1)+1)</f>
        <v/>
      </c>
      <c r="D3430">
        <f>IF(A3430="","",SUMIFS(Акты!$D$5:$D$16,Акты!$E$5:$E$16,"&lt;="&amp;A3430)-SUMIFS(Оплаты!$B$6:$B$505,Оплаты!$A$6:$A$505,"&lt;"&amp;A3430,Оплаты!$D$6:$D$505,"&lt;&gt;"))</f>
        <v/>
      </c>
      <c r="E3430">
        <f>IF(A3430="","",IF(SUMPRODUCT((Ввод!$F$12:$F$31&lt;&gt;"")*(Ввод!$F$12:$F$31&lt;=A3430)*(Ввод!$G$12:$G$31&gt;=A3430))&gt;0,1,0))</f>
        <v/>
      </c>
      <c r="G3430">
        <f>IF(A3430="","",IF(OR(B3430&lt;&gt;B3429,C3430&lt;&gt;C3429,E3430&lt;&gt;E3429),G3429+1,G3429))</f>
        <v/>
      </c>
    </row>
    <row r="3431">
      <c r="A3431" s="20">
        <f>IF(A3430="","",IF(A3430+1&gt;Ввод!$B$4,"",A3430+1))</f>
        <v/>
      </c>
      <c r="B3431">
        <f>IF(A3431="","",IFERROR(INDEX(Ввод!$B$12:$B$71,MATCH(A3431,Ввод!$D$12:$D$71,1)),""))</f>
        <v/>
      </c>
      <c r="C3431">
        <f>IF(A3431="","",DATE(YEAR(A3431),12,31)-DATE(YEAR(A3431),1,1)+1)</f>
        <v/>
      </c>
      <c r="D3431">
        <f>IF(A3431="","",SUMIFS(Акты!$D$5:$D$16,Акты!$E$5:$E$16,"&lt;="&amp;A3431)-SUMIFS(Оплаты!$B$6:$B$505,Оплаты!$A$6:$A$505,"&lt;"&amp;A3431,Оплаты!$D$6:$D$505,"&lt;&gt;"))</f>
        <v/>
      </c>
      <c r="E3431">
        <f>IF(A3431="","",IF(SUMPRODUCT((Ввод!$F$12:$F$31&lt;&gt;"")*(Ввод!$F$12:$F$31&lt;=A3431)*(Ввод!$G$12:$G$31&gt;=A3431))&gt;0,1,0))</f>
        <v/>
      </c>
      <c r="G3431">
        <f>IF(A3431="","",IF(OR(B3431&lt;&gt;B3430,C3431&lt;&gt;C3430,E3431&lt;&gt;E3430),G3430+1,G3430))</f>
        <v/>
      </c>
    </row>
    <row r="3432">
      <c r="A3432" s="20">
        <f>IF(A3431="","",IF(A3431+1&gt;Ввод!$B$4,"",A3431+1))</f>
        <v/>
      </c>
      <c r="B3432">
        <f>IF(A3432="","",IFERROR(INDEX(Ввод!$B$12:$B$71,MATCH(A3432,Ввод!$D$12:$D$71,1)),""))</f>
        <v/>
      </c>
      <c r="C3432">
        <f>IF(A3432="","",DATE(YEAR(A3432),12,31)-DATE(YEAR(A3432),1,1)+1)</f>
        <v/>
      </c>
      <c r="D3432">
        <f>IF(A3432="","",SUMIFS(Акты!$D$5:$D$16,Акты!$E$5:$E$16,"&lt;="&amp;A3432)-SUMIFS(Оплаты!$B$6:$B$505,Оплаты!$A$6:$A$505,"&lt;"&amp;A3432,Оплаты!$D$6:$D$505,"&lt;&gt;"))</f>
        <v/>
      </c>
      <c r="E3432">
        <f>IF(A3432="","",IF(SUMPRODUCT((Ввод!$F$12:$F$31&lt;&gt;"")*(Ввод!$F$12:$F$31&lt;=A3432)*(Ввод!$G$12:$G$31&gt;=A3432))&gt;0,1,0))</f>
        <v/>
      </c>
      <c r="G3432">
        <f>IF(A3432="","",IF(OR(B3432&lt;&gt;B3431,C3432&lt;&gt;C3431,E3432&lt;&gt;E3431),G3431+1,G3431))</f>
        <v/>
      </c>
    </row>
    <row r="3433">
      <c r="A3433" s="20">
        <f>IF(A3432="","",IF(A3432+1&gt;Ввод!$B$4,"",A3432+1))</f>
        <v/>
      </c>
      <c r="B3433">
        <f>IF(A3433="","",IFERROR(INDEX(Ввод!$B$12:$B$71,MATCH(A3433,Ввод!$D$12:$D$71,1)),""))</f>
        <v/>
      </c>
      <c r="C3433">
        <f>IF(A3433="","",DATE(YEAR(A3433),12,31)-DATE(YEAR(A3433),1,1)+1)</f>
        <v/>
      </c>
      <c r="D3433">
        <f>IF(A3433="","",SUMIFS(Акты!$D$5:$D$16,Акты!$E$5:$E$16,"&lt;="&amp;A3433)-SUMIFS(Оплаты!$B$6:$B$505,Оплаты!$A$6:$A$505,"&lt;"&amp;A3433,Оплаты!$D$6:$D$505,"&lt;&gt;"))</f>
        <v/>
      </c>
      <c r="E3433">
        <f>IF(A3433="","",IF(SUMPRODUCT((Ввод!$F$12:$F$31&lt;&gt;"")*(Ввод!$F$12:$F$31&lt;=A3433)*(Ввод!$G$12:$G$31&gt;=A3433))&gt;0,1,0))</f>
        <v/>
      </c>
      <c r="G3433">
        <f>IF(A3433="","",IF(OR(B3433&lt;&gt;B3432,C3433&lt;&gt;C3432,E3433&lt;&gt;E3432),G3432+1,G3432))</f>
        <v/>
      </c>
    </row>
    <row r="3434">
      <c r="A3434" s="20">
        <f>IF(A3433="","",IF(A3433+1&gt;Ввод!$B$4,"",A3433+1))</f>
        <v/>
      </c>
      <c r="B3434">
        <f>IF(A3434="","",IFERROR(INDEX(Ввод!$B$12:$B$71,MATCH(A3434,Ввод!$D$12:$D$71,1)),""))</f>
        <v/>
      </c>
      <c r="C3434">
        <f>IF(A3434="","",DATE(YEAR(A3434),12,31)-DATE(YEAR(A3434),1,1)+1)</f>
        <v/>
      </c>
      <c r="D3434">
        <f>IF(A3434="","",SUMIFS(Акты!$D$5:$D$16,Акты!$E$5:$E$16,"&lt;="&amp;A3434)-SUMIFS(Оплаты!$B$6:$B$505,Оплаты!$A$6:$A$505,"&lt;"&amp;A3434,Оплаты!$D$6:$D$505,"&lt;&gt;"))</f>
        <v/>
      </c>
      <c r="E3434">
        <f>IF(A3434="","",IF(SUMPRODUCT((Ввод!$F$12:$F$31&lt;&gt;"")*(Ввод!$F$12:$F$31&lt;=A3434)*(Ввод!$G$12:$G$31&gt;=A3434))&gt;0,1,0))</f>
        <v/>
      </c>
      <c r="G3434">
        <f>IF(A3434="","",IF(OR(B3434&lt;&gt;B3433,C3434&lt;&gt;C3433,E3434&lt;&gt;E3433),G3433+1,G3433))</f>
        <v/>
      </c>
    </row>
    <row r="3435">
      <c r="A3435" s="20">
        <f>IF(A3434="","",IF(A3434+1&gt;Ввод!$B$4,"",A3434+1))</f>
        <v/>
      </c>
      <c r="B3435">
        <f>IF(A3435="","",IFERROR(INDEX(Ввод!$B$12:$B$71,MATCH(A3435,Ввод!$D$12:$D$71,1)),""))</f>
        <v/>
      </c>
      <c r="C3435">
        <f>IF(A3435="","",DATE(YEAR(A3435),12,31)-DATE(YEAR(A3435),1,1)+1)</f>
        <v/>
      </c>
      <c r="D3435">
        <f>IF(A3435="","",SUMIFS(Акты!$D$5:$D$16,Акты!$E$5:$E$16,"&lt;="&amp;A3435)-SUMIFS(Оплаты!$B$6:$B$505,Оплаты!$A$6:$A$505,"&lt;"&amp;A3435,Оплаты!$D$6:$D$505,"&lt;&gt;"))</f>
        <v/>
      </c>
      <c r="E3435">
        <f>IF(A3435="","",IF(SUMPRODUCT((Ввод!$F$12:$F$31&lt;&gt;"")*(Ввод!$F$12:$F$31&lt;=A3435)*(Ввод!$G$12:$G$31&gt;=A3435))&gt;0,1,0))</f>
        <v/>
      </c>
      <c r="G3435">
        <f>IF(A3435="","",IF(OR(B3435&lt;&gt;B3434,C3435&lt;&gt;C3434,E3435&lt;&gt;E3434),G3434+1,G3434))</f>
        <v/>
      </c>
    </row>
    <row r="3436">
      <c r="A3436" s="20">
        <f>IF(A3435="","",IF(A3435+1&gt;Ввод!$B$4,"",A3435+1))</f>
        <v/>
      </c>
      <c r="B3436">
        <f>IF(A3436="","",IFERROR(INDEX(Ввод!$B$12:$B$71,MATCH(A3436,Ввод!$D$12:$D$71,1)),""))</f>
        <v/>
      </c>
      <c r="C3436">
        <f>IF(A3436="","",DATE(YEAR(A3436),12,31)-DATE(YEAR(A3436),1,1)+1)</f>
        <v/>
      </c>
      <c r="D3436">
        <f>IF(A3436="","",SUMIFS(Акты!$D$5:$D$16,Акты!$E$5:$E$16,"&lt;="&amp;A3436)-SUMIFS(Оплаты!$B$6:$B$505,Оплаты!$A$6:$A$505,"&lt;"&amp;A3436,Оплаты!$D$6:$D$505,"&lt;&gt;"))</f>
        <v/>
      </c>
      <c r="E3436">
        <f>IF(A3436="","",IF(SUMPRODUCT((Ввод!$F$12:$F$31&lt;&gt;"")*(Ввод!$F$12:$F$31&lt;=A3436)*(Ввод!$G$12:$G$31&gt;=A3436))&gt;0,1,0))</f>
        <v/>
      </c>
      <c r="G3436">
        <f>IF(A3436="","",IF(OR(B3436&lt;&gt;B3435,C3436&lt;&gt;C3435,E3436&lt;&gt;E3435),G3435+1,G3435))</f>
        <v/>
      </c>
    </row>
    <row r="3437">
      <c r="A3437" s="20">
        <f>IF(A3436="","",IF(A3436+1&gt;Ввод!$B$4,"",A3436+1))</f>
        <v/>
      </c>
      <c r="B3437">
        <f>IF(A3437="","",IFERROR(INDEX(Ввод!$B$12:$B$71,MATCH(A3437,Ввод!$D$12:$D$71,1)),""))</f>
        <v/>
      </c>
      <c r="C3437">
        <f>IF(A3437="","",DATE(YEAR(A3437),12,31)-DATE(YEAR(A3437),1,1)+1)</f>
        <v/>
      </c>
      <c r="D3437">
        <f>IF(A3437="","",SUMIFS(Акты!$D$5:$D$16,Акты!$E$5:$E$16,"&lt;="&amp;A3437)-SUMIFS(Оплаты!$B$6:$B$505,Оплаты!$A$6:$A$505,"&lt;"&amp;A3437,Оплаты!$D$6:$D$505,"&lt;&gt;"))</f>
        <v/>
      </c>
      <c r="E3437">
        <f>IF(A3437="","",IF(SUMPRODUCT((Ввод!$F$12:$F$31&lt;&gt;"")*(Ввод!$F$12:$F$31&lt;=A3437)*(Ввод!$G$12:$G$31&gt;=A3437))&gt;0,1,0))</f>
        <v/>
      </c>
      <c r="G3437">
        <f>IF(A3437="","",IF(OR(B3437&lt;&gt;B3436,C3437&lt;&gt;C3436,E3437&lt;&gt;E3436),G3436+1,G3436))</f>
        <v/>
      </c>
    </row>
    <row r="3438">
      <c r="A3438" s="20">
        <f>IF(A3437="","",IF(A3437+1&gt;Ввод!$B$4,"",A3437+1))</f>
        <v/>
      </c>
      <c r="B3438">
        <f>IF(A3438="","",IFERROR(INDEX(Ввод!$B$12:$B$71,MATCH(A3438,Ввод!$D$12:$D$71,1)),""))</f>
        <v/>
      </c>
      <c r="C3438">
        <f>IF(A3438="","",DATE(YEAR(A3438),12,31)-DATE(YEAR(A3438),1,1)+1)</f>
        <v/>
      </c>
      <c r="D3438">
        <f>IF(A3438="","",SUMIFS(Акты!$D$5:$D$16,Акты!$E$5:$E$16,"&lt;="&amp;A3438)-SUMIFS(Оплаты!$B$6:$B$505,Оплаты!$A$6:$A$505,"&lt;"&amp;A3438,Оплаты!$D$6:$D$505,"&lt;&gt;"))</f>
        <v/>
      </c>
      <c r="E3438">
        <f>IF(A3438="","",IF(SUMPRODUCT((Ввод!$F$12:$F$31&lt;&gt;"")*(Ввод!$F$12:$F$31&lt;=A3438)*(Ввод!$G$12:$G$31&gt;=A3438))&gt;0,1,0))</f>
        <v/>
      </c>
      <c r="G3438">
        <f>IF(A3438="","",IF(OR(B3438&lt;&gt;B3437,C3438&lt;&gt;C3437,E3438&lt;&gt;E3437),G3437+1,G3437))</f>
        <v/>
      </c>
    </row>
    <row r="3439">
      <c r="A3439" s="20">
        <f>IF(A3438="","",IF(A3438+1&gt;Ввод!$B$4,"",A3438+1))</f>
        <v/>
      </c>
      <c r="B3439">
        <f>IF(A3439="","",IFERROR(INDEX(Ввод!$B$12:$B$71,MATCH(A3439,Ввод!$D$12:$D$71,1)),""))</f>
        <v/>
      </c>
      <c r="C3439">
        <f>IF(A3439="","",DATE(YEAR(A3439),12,31)-DATE(YEAR(A3439),1,1)+1)</f>
        <v/>
      </c>
      <c r="D3439">
        <f>IF(A3439="","",SUMIFS(Акты!$D$5:$D$16,Акты!$E$5:$E$16,"&lt;="&amp;A3439)-SUMIFS(Оплаты!$B$6:$B$505,Оплаты!$A$6:$A$505,"&lt;"&amp;A3439,Оплаты!$D$6:$D$505,"&lt;&gt;"))</f>
        <v/>
      </c>
      <c r="E3439">
        <f>IF(A3439="","",IF(SUMPRODUCT((Ввод!$F$12:$F$31&lt;&gt;"")*(Ввод!$F$12:$F$31&lt;=A3439)*(Ввод!$G$12:$G$31&gt;=A3439))&gt;0,1,0))</f>
        <v/>
      </c>
      <c r="G3439">
        <f>IF(A3439="","",IF(OR(B3439&lt;&gt;B3438,C3439&lt;&gt;C3438,E3439&lt;&gt;E3438),G3438+1,G3438))</f>
        <v/>
      </c>
    </row>
    <row r="3440">
      <c r="A3440" s="20">
        <f>IF(A3439="","",IF(A3439+1&gt;Ввод!$B$4,"",A3439+1))</f>
        <v/>
      </c>
      <c r="B3440">
        <f>IF(A3440="","",IFERROR(INDEX(Ввод!$B$12:$B$71,MATCH(A3440,Ввод!$D$12:$D$71,1)),""))</f>
        <v/>
      </c>
      <c r="C3440">
        <f>IF(A3440="","",DATE(YEAR(A3440),12,31)-DATE(YEAR(A3440),1,1)+1)</f>
        <v/>
      </c>
      <c r="D3440">
        <f>IF(A3440="","",SUMIFS(Акты!$D$5:$D$16,Акты!$E$5:$E$16,"&lt;="&amp;A3440)-SUMIFS(Оплаты!$B$6:$B$505,Оплаты!$A$6:$A$505,"&lt;"&amp;A3440,Оплаты!$D$6:$D$505,"&lt;&gt;"))</f>
        <v/>
      </c>
      <c r="E3440">
        <f>IF(A3440="","",IF(SUMPRODUCT((Ввод!$F$12:$F$31&lt;&gt;"")*(Ввод!$F$12:$F$31&lt;=A3440)*(Ввод!$G$12:$G$31&gt;=A3440))&gt;0,1,0))</f>
        <v/>
      </c>
      <c r="G3440">
        <f>IF(A3440="","",IF(OR(B3440&lt;&gt;B3439,C3440&lt;&gt;C3439,E3440&lt;&gt;E3439),G3439+1,G3439))</f>
        <v/>
      </c>
    </row>
    <row r="3441">
      <c r="A3441" s="20">
        <f>IF(A3440="","",IF(A3440+1&gt;Ввод!$B$4,"",A3440+1))</f>
        <v/>
      </c>
      <c r="B3441">
        <f>IF(A3441="","",IFERROR(INDEX(Ввод!$B$12:$B$71,MATCH(A3441,Ввод!$D$12:$D$71,1)),""))</f>
        <v/>
      </c>
      <c r="C3441">
        <f>IF(A3441="","",DATE(YEAR(A3441),12,31)-DATE(YEAR(A3441),1,1)+1)</f>
        <v/>
      </c>
      <c r="D3441">
        <f>IF(A3441="","",SUMIFS(Акты!$D$5:$D$16,Акты!$E$5:$E$16,"&lt;="&amp;A3441)-SUMIFS(Оплаты!$B$6:$B$505,Оплаты!$A$6:$A$505,"&lt;"&amp;A3441,Оплаты!$D$6:$D$505,"&lt;&gt;"))</f>
        <v/>
      </c>
      <c r="E3441">
        <f>IF(A3441="","",IF(SUMPRODUCT((Ввод!$F$12:$F$31&lt;&gt;"")*(Ввод!$F$12:$F$31&lt;=A3441)*(Ввод!$G$12:$G$31&gt;=A3441))&gt;0,1,0))</f>
        <v/>
      </c>
      <c r="G3441">
        <f>IF(A3441="","",IF(OR(B3441&lt;&gt;B3440,C3441&lt;&gt;C3440,E3441&lt;&gt;E3440),G3440+1,G3440))</f>
        <v/>
      </c>
    </row>
    <row r="3442">
      <c r="A3442" s="20">
        <f>IF(A3441="","",IF(A3441+1&gt;Ввод!$B$4,"",A3441+1))</f>
        <v/>
      </c>
      <c r="B3442">
        <f>IF(A3442="","",IFERROR(INDEX(Ввод!$B$12:$B$71,MATCH(A3442,Ввод!$D$12:$D$71,1)),""))</f>
        <v/>
      </c>
      <c r="C3442">
        <f>IF(A3442="","",DATE(YEAR(A3442),12,31)-DATE(YEAR(A3442),1,1)+1)</f>
        <v/>
      </c>
      <c r="D3442">
        <f>IF(A3442="","",SUMIFS(Акты!$D$5:$D$16,Акты!$E$5:$E$16,"&lt;="&amp;A3442)-SUMIFS(Оплаты!$B$6:$B$505,Оплаты!$A$6:$A$505,"&lt;"&amp;A3442,Оплаты!$D$6:$D$505,"&lt;&gt;"))</f>
        <v/>
      </c>
      <c r="E3442">
        <f>IF(A3442="","",IF(SUMPRODUCT((Ввод!$F$12:$F$31&lt;&gt;"")*(Ввод!$F$12:$F$31&lt;=A3442)*(Ввод!$G$12:$G$31&gt;=A3442))&gt;0,1,0))</f>
        <v/>
      </c>
      <c r="G3442">
        <f>IF(A3442="","",IF(OR(B3442&lt;&gt;B3441,C3442&lt;&gt;C3441,E3442&lt;&gt;E3441),G3441+1,G3441))</f>
        <v/>
      </c>
    </row>
    <row r="3443">
      <c r="A3443" s="20">
        <f>IF(A3442="","",IF(A3442+1&gt;Ввод!$B$4,"",A3442+1))</f>
        <v/>
      </c>
      <c r="B3443">
        <f>IF(A3443="","",IFERROR(INDEX(Ввод!$B$12:$B$71,MATCH(A3443,Ввод!$D$12:$D$71,1)),""))</f>
        <v/>
      </c>
      <c r="C3443">
        <f>IF(A3443="","",DATE(YEAR(A3443),12,31)-DATE(YEAR(A3443),1,1)+1)</f>
        <v/>
      </c>
      <c r="D3443">
        <f>IF(A3443="","",SUMIFS(Акты!$D$5:$D$16,Акты!$E$5:$E$16,"&lt;="&amp;A3443)-SUMIFS(Оплаты!$B$6:$B$505,Оплаты!$A$6:$A$505,"&lt;"&amp;A3443,Оплаты!$D$6:$D$505,"&lt;&gt;"))</f>
        <v/>
      </c>
      <c r="E3443">
        <f>IF(A3443="","",IF(SUMPRODUCT((Ввод!$F$12:$F$31&lt;&gt;"")*(Ввод!$F$12:$F$31&lt;=A3443)*(Ввод!$G$12:$G$31&gt;=A3443))&gt;0,1,0))</f>
        <v/>
      </c>
      <c r="G3443">
        <f>IF(A3443="","",IF(OR(B3443&lt;&gt;B3442,C3443&lt;&gt;C3442,E3443&lt;&gt;E3442),G3442+1,G3442))</f>
        <v/>
      </c>
    </row>
    <row r="3444">
      <c r="A3444" s="20">
        <f>IF(A3443="","",IF(A3443+1&gt;Ввод!$B$4,"",A3443+1))</f>
        <v/>
      </c>
      <c r="B3444">
        <f>IF(A3444="","",IFERROR(INDEX(Ввод!$B$12:$B$71,MATCH(A3444,Ввод!$D$12:$D$71,1)),""))</f>
        <v/>
      </c>
      <c r="C3444">
        <f>IF(A3444="","",DATE(YEAR(A3444),12,31)-DATE(YEAR(A3444),1,1)+1)</f>
        <v/>
      </c>
      <c r="D3444">
        <f>IF(A3444="","",SUMIFS(Акты!$D$5:$D$16,Акты!$E$5:$E$16,"&lt;="&amp;A3444)-SUMIFS(Оплаты!$B$6:$B$505,Оплаты!$A$6:$A$505,"&lt;"&amp;A3444,Оплаты!$D$6:$D$505,"&lt;&gt;"))</f>
        <v/>
      </c>
      <c r="E3444">
        <f>IF(A3444="","",IF(SUMPRODUCT((Ввод!$F$12:$F$31&lt;&gt;"")*(Ввод!$F$12:$F$31&lt;=A3444)*(Ввод!$G$12:$G$31&gt;=A3444))&gt;0,1,0))</f>
        <v/>
      </c>
      <c r="G3444">
        <f>IF(A3444="","",IF(OR(B3444&lt;&gt;B3443,C3444&lt;&gt;C3443,E3444&lt;&gt;E3443),G3443+1,G3443))</f>
        <v/>
      </c>
    </row>
    <row r="3445">
      <c r="A3445" s="20">
        <f>IF(A3444="","",IF(A3444+1&gt;Ввод!$B$4,"",A3444+1))</f>
        <v/>
      </c>
      <c r="B3445">
        <f>IF(A3445="","",IFERROR(INDEX(Ввод!$B$12:$B$71,MATCH(A3445,Ввод!$D$12:$D$71,1)),""))</f>
        <v/>
      </c>
      <c r="C3445">
        <f>IF(A3445="","",DATE(YEAR(A3445),12,31)-DATE(YEAR(A3445),1,1)+1)</f>
        <v/>
      </c>
      <c r="D3445">
        <f>IF(A3445="","",SUMIFS(Акты!$D$5:$D$16,Акты!$E$5:$E$16,"&lt;="&amp;A3445)-SUMIFS(Оплаты!$B$6:$B$505,Оплаты!$A$6:$A$505,"&lt;"&amp;A3445,Оплаты!$D$6:$D$505,"&lt;&gt;"))</f>
        <v/>
      </c>
      <c r="E3445">
        <f>IF(A3445="","",IF(SUMPRODUCT((Ввод!$F$12:$F$31&lt;&gt;"")*(Ввод!$F$12:$F$31&lt;=A3445)*(Ввод!$G$12:$G$31&gt;=A3445))&gt;0,1,0))</f>
        <v/>
      </c>
      <c r="G3445">
        <f>IF(A3445="","",IF(OR(B3445&lt;&gt;B3444,C3445&lt;&gt;C3444,E3445&lt;&gt;E3444),G3444+1,G3444))</f>
        <v/>
      </c>
    </row>
    <row r="3446">
      <c r="A3446" s="20">
        <f>IF(A3445="","",IF(A3445+1&gt;Ввод!$B$4,"",A3445+1))</f>
        <v/>
      </c>
      <c r="B3446">
        <f>IF(A3446="","",IFERROR(INDEX(Ввод!$B$12:$B$71,MATCH(A3446,Ввод!$D$12:$D$71,1)),""))</f>
        <v/>
      </c>
      <c r="C3446">
        <f>IF(A3446="","",DATE(YEAR(A3446),12,31)-DATE(YEAR(A3446),1,1)+1)</f>
        <v/>
      </c>
      <c r="D3446">
        <f>IF(A3446="","",SUMIFS(Акты!$D$5:$D$16,Акты!$E$5:$E$16,"&lt;="&amp;A3446)-SUMIFS(Оплаты!$B$6:$B$505,Оплаты!$A$6:$A$505,"&lt;"&amp;A3446,Оплаты!$D$6:$D$505,"&lt;&gt;"))</f>
        <v/>
      </c>
      <c r="E3446">
        <f>IF(A3446="","",IF(SUMPRODUCT((Ввод!$F$12:$F$31&lt;&gt;"")*(Ввод!$F$12:$F$31&lt;=A3446)*(Ввод!$G$12:$G$31&gt;=A3446))&gt;0,1,0))</f>
        <v/>
      </c>
      <c r="G3446">
        <f>IF(A3446="","",IF(OR(B3446&lt;&gt;B3445,C3446&lt;&gt;C3445,E3446&lt;&gt;E3445),G3445+1,G3445))</f>
        <v/>
      </c>
    </row>
    <row r="3447">
      <c r="A3447" s="20">
        <f>IF(A3446="","",IF(A3446+1&gt;Ввод!$B$4,"",A3446+1))</f>
        <v/>
      </c>
      <c r="B3447">
        <f>IF(A3447="","",IFERROR(INDEX(Ввод!$B$12:$B$71,MATCH(A3447,Ввод!$D$12:$D$71,1)),""))</f>
        <v/>
      </c>
      <c r="C3447">
        <f>IF(A3447="","",DATE(YEAR(A3447),12,31)-DATE(YEAR(A3447),1,1)+1)</f>
        <v/>
      </c>
      <c r="D3447">
        <f>IF(A3447="","",SUMIFS(Акты!$D$5:$D$16,Акты!$E$5:$E$16,"&lt;="&amp;A3447)-SUMIFS(Оплаты!$B$6:$B$505,Оплаты!$A$6:$A$505,"&lt;"&amp;A3447,Оплаты!$D$6:$D$505,"&lt;&gt;"))</f>
        <v/>
      </c>
      <c r="E3447">
        <f>IF(A3447="","",IF(SUMPRODUCT((Ввод!$F$12:$F$31&lt;&gt;"")*(Ввод!$F$12:$F$31&lt;=A3447)*(Ввод!$G$12:$G$31&gt;=A3447))&gt;0,1,0))</f>
        <v/>
      </c>
      <c r="G3447">
        <f>IF(A3447="","",IF(OR(B3447&lt;&gt;B3446,C3447&lt;&gt;C3446,E3447&lt;&gt;E3446),G3446+1,G3446))</f>
        <v/>
      </c>
    </row>
    <row r="3448">
      <c r="A3448" s="20">
        <f>IF(A3447="","",IF(A3447+1&gt;Ввод!$B$4,"",A3447+1))</f>
        <v/>
      </c>
      <c r="B3448">
        <f>IF(A3448="","",IFERROR(INDEX(Ввод!$B$12:$B$71,MATCH(A3448,Ввод!$D$12:$D$71,1)),""))</f>
        <v/>
      </c>
      <c r="C3448">
        <f>IF(A3448="","",DATE(YEAR(A3448),12,31)-DATE(YEAR(A3448),1,1)+1)</f>
        <v/>
      </c>
      <c r="D3448">
        <f>IF(A3448="","",SUMIFS(Акты!$D$5:$D$16,Акты!$E$5:$E$16,"&lt;="&amp;A3448)-SUMIFS(Оплаты!$B$6:$B$505,Оплаты!$A$6:$A$505,"&lt;"&amp;A3448,Оплаты!$D$6:$D$505,"&lt;&gt;"))</f>
        <v/>
      </c>
      <c r="E3448">
        <f>IF(A3448="","",IF(SUMPRODUCT((Ввод!$F$12:$F$31&lt;&gt;"")*(Ввод!$F$12:$F$31&lt;=A3448)*(Ввод!$G$12:$G$31&gt;=A3448))&gt;0,1,0))</f>
        <v/>
      </c>
      <c r="G3448">
        <f>IF(A3448="","",IF(OR(B3448&lt;&gt;B3447,C3448&lt;&gt;C3447,E3448&lt;&gt;E3447),G3447+1,G3447))</f>
        <v/>
      </c>
    </row>
    <row r="3449">
      <c r="A3449" s="20">
        <f>IF(A3448="","",IF(A3448+1&gt;Ввод!$B$4,"",A3448+1))</f>
        <v/>
      </c>
      <c r="B3449">
        <f>IF(A3449="","",IFERROR(INDEX(Ввод!$B$12:$B$71,MATCH(A3449,Ввод!$D$12:$D$71,1)),""))</f>
        <v/>
      </c>
      <c r="C3449">
        <f>IF(A3449="","",DATE(YEAR(A3449),12,31)-DATE(YEAR(A3449),1,1)+1)</f>
        <v/>
      </c>
      <c r="D3449">
        <f>IF(A3449="","",SUMIFS(Акты!$D$5:$D$16,Акты!$E$5:$E$16,"&lt;="&amp;A3449)-SUMIFS(Оплаты!$B$6:$B$505,Оплаты!$A$6:$A$505,"&lt;"&amp;A3449,Оплаты!$D$6:$D$505,"&lt;&gt;"))</f>
        <v/>
      </c>
      <c r="E3449">
        <f>IF(A3449="","",IF(SUMPRODUCT((Ввод!$F$12:$F$31&lt;&gt;"")*(Ввод!$F$12:$F$31&lt;=A3449)*(Ввод!$G$12:$G$31&gt;=A3449))&gt;0,1,0))</f>
        <v/>
      </c>
      <c r="G3449">
        <f>IF(A3449="","",IF(OR(B3449&lt;&gt;B3448,C3449&lt;&gt;C3448,E3449&lt;&gt;E3448),G3448+1,G3448))</f>
        <v/>
      </c>
    </row>
    <row r="3450">
      <c r="A3450" s="20">
        <f>IF(A3449="","",IF(A3449+1&gt;Ввод!$B$4,"",A3449+1))</f>
        <v/>
      </c>
      <c r="B3450">
        <f>IF(A3450="","",IFERROR(INDEX(Ввод!$B$12:$B$71,MATCH(A3450,Ввод!$D$12:$D$71,1)),""))</f>
        <v/>
      </c>
      <c r="C3450">
        <f>IF(A3450="","",DATE(YEAR(A3450),12,31)-DATE(YEAR(A3450),1,1)+1)</f>
        <v/>
      </c>
      <c r="D3450">
        <f>IF(A3450="","",SUMIFS(Акты!$D$5:$D$16,Акты!$E$5:$E$16,"&lt;="&amp;A3450)-SUMIFS(Оплаты!$B$6:$B$505,Оплаты!$A$6:$A$505,"&lt;"&amp;A3450,Оплаты!$D$6:$D$505,"&lt;&gt;"))</f>
        <v/>
      </c>
      <c r="E3450">
        <f>IF(A3450="","",IF(SUMPRODUCT((Ввод!$F$12:$F$31&lt;&gt;"")*(Ввод!$F$12:$F$31&lt;=A3450)*(Ввод!$G$12:$G$31&gt;=A3450))&gt;0,1,0))</f>
        <v/>
      </c>
      <c r="G3450">
        <f>IF(A3450="","",IF(OR(B3450&lt;&gt;B3449,C3450&lt;&gt;C3449,E3450&lt;&gt;E3449),G3449+1,G3449))</f>
        <v/>
      </c>
    </row>
    <row r="3451">
      <c r="A3451" s="20">
        <f>IF(A3450="","",IF(A3450+1&gt;Ввод!$B$4,"",A3450+1))</f>
        <v/>
      </c>
      <c r="B3451">
        <f>IF(A3451="","",IFERROR(INDEX(Ввод!$B$12:$B$71,MATCH(A3451,Ввод!$D$12:$D$71,1)),""))</f>
        <v/>
      </c>
      <c r="C3451">
        <f>IF(A3451="","",DATE(YEAR(A3451),12,31)-DATE(YEAR(A3451),1,1)+1)</f>
        <v/>
      </c>
      <c r="D3451">
        <f>IF(A3451="","",SUMIFS(Акты!$D$5:$D$16,Акты!$E$5:$E$16,"&lt;="&amp;A3451)-SUMIFS(Оплаты!$B$6:$B$505,Оплаты!$A$6:$A$505,"&lt;"&amp;A3451,Оплаты!$D$6:$D$505,"&lt;&gt;"))</f>
        <v/>
      </c>
      <c r="E3451">
        <f>IF(A3451="","",IF(SUMPRODUCT((Ввод!$F$12:$F$31&lt;&gt;"")*(Ввод!$F$12:$F$31&lt;=A3451)*(Ввод!$G$12:$G$31&gt;=A3451))&gt;0,1,0))</f>
        <v/>
      </c>
      <c r="G3451">
        <f>IF(A3451="","",IF(OR(B3451&lt;&gt;B3450,C3451&lt;&gt;C3450,E3451&lt;&gt;E3450),G3450+1,G3450))</f>
        <v/>
      </c>
    </row>
    <row r="3452">
      <c r="A3452" s="20">
        <f>IF(A3451="","",IF(A3451+1&gt;Ввод!$B$4,"",A3451+1))</f>
        <v/>
      </c>
      <c r="B3452">
        <f>IF(A3452="","",IFERROR(INDEX(Ввод!$B$12:$B$71,MATCH(A3452,Ввод!$D$12:$D$71,1)),""))</f>
        <v/>
      </c>
      <c r="C3452">
        <f>IF(A3452="","",DATE(YEAR(A3452),12,31)-DATE(YEAR(A3452),1,1)+1)</f>
        <v/>
      </c>
      <c r="D3452">
        <f>IF(A3452="","",SUMIFS(Акты!$D$5:$D$16,Акты!$E$5:$E$16,"&lt;="&amp;A3452)-SUMIFS(Оплаты!$B$6:$B$505,Оплаты!$A$6:$A$505,"&lt;"&amp;A3452,Оплаты!$D$6:$D$505,"&lt;&gt;"))</f>
        <v/>
      </c>
      <c r="E3452">
        <f>IF(A3452="","",IF(SUMPRODUCT((Ввод!$F$12:$F$31&lt;&gt;"")*(Ввод!$F$12:$F$31&lt;=A3452)*(Ввод!$G$12:$G$31&gt;=A3452))&gt;0,1,0))</f>
        <v/>
      </c>
      <c r="G3452">
        <f>IF(A3452="","",IF(OR(B3452&lt;&gt;B3451,C3452&lt;&gt;C3451,E3452&lt;&gt;E3451),G3451+1,G3451))</f>
        <v/>
      </c>
    </row>
    <row r="3453">
      <c r="A3453" s="20">
        <f>IF(A3452="","",IF(A3452+1&gt;Ввод!$B$4,"",A3452+1))</f>
        <v/>
      </c>
      <c r="B3453">
        <f>IF(A3453="","",IFERROR(INDEX(Ввод!$B$12:$B$71,MATCH(A3453,Ввод!$D$12:$D$71,1)),""))</f>
        <v/>
      </c>
      <c r="C3453">
        <f>IF(A3453="","",DATE(YEAR(A3453),12,31)-DATE(YEAR(A3453),1,1)+1)</f>
        <v/>
      </c>
      <c r="D3453">
        <f>IF(A3453="","",SUMIFS(Акты!$D$5:$D$16,Акты!$E$5:$E$16,"&lt;="&amp;A3453)-SUMIFS(Оплаты!$B$6:$B$505,Оплаты!$A$6:$A$505,"&lt;"&amp;A3453,Оплаты!$D$6:$D$505,"&lt;&gt;"))</f>
        <v/>
      </c>
      <c r="E3453">
        <f>IF(A3453="","",IF(SUMPRODUCT((Ввод!$F$12:$F$31&lt;&gt;"")*(Ввод!$F$12:$F$31&lt;=A3453)*(Ввод!$G$12:$G$31&gt;=A3453))&gt;0,1,0))</f>
        <v/>
      </c>
      <c r="G3453">
        <f>IF(A3453="","",IF(OR(B3453&lt;&gt;B3452,C3453&lt;&gt;C3452,E3453&lt;&gt;E3452),G3452+1,G3452))</f>
        <v/>
      </c>
    </row>
    <row r="3454">
      <c r="A3454" s="20">
        <f>IF(A3453="","",IF(A3453+1&gt;Ввод!$B$4,"",A3453+1))</f>
        <v/>
      </c>
      <c r="B3454">
        <f>IF(A3454="","",IFERROR(INDEX(Ввод!$B$12:$B$71,MATCH(A3454,Ввод!$D$12:$D$71,1)),""))</f>
        <v/>
      </c>
      <c r="C3454">
        <f>IF(A3454="","",DATE(YEAR(A3454),12,31)-DATE(YEAR(A3454),1,1)+1)</f>
        <v/>
      </c>
      <c r="D3454">
        <f>IF(A3454="","",SUMIFS(Акты!$D$5:$D$16,Акты!$E$5:$E$16,"&lt;="&amp;A3454)-SUMIFS(Оплаты!$B$6:$B$505,Оплаты!$A$6:$A$505,"&lt;"&amp;A3454,Оплаты!$D$6:$D$505,"&lt;&gt;"))</f>
        <v/>
      </c>
      <c r="E3454">
        <f>IF(A3454="","",IF(SUMPRODUCT((Ввод!$F$12:$F$31&lt;&gt;"")*(Ввод!$F$12:$F$31&lt;=A3454)*(Ввод!$G$12:$G$31&gt;=A3454))&gt;0,1,0))</f>
        <v/>
      </c>
      <c r="G3454">
        <f>IF(A3454="","",IF(OR(B3454&lt;&gt;B3453,C3454&lt;&gt;C3453,E3454&lt;&gt;E3453),G3453+1,G3453))</f>
        <v/>
      </c>
    </row>
    <row r="3455">
      <c r="A3455" s="20">
        <f>IF(A3454="","",IF(A3454+1&gt;Ввод!$B$4,"",A3454+1))</f>
        <v/>
      </c>
      <c r="B3455">
        <f>IF(A3455="","",IFERROR(INDEX(Ввод!$B$12:$B$71,MATCH(A3455,Ввод!$D$12:$D$71,1)),""))</f>
        <v/>
      </c>
      <c r="C3455">
        <f>IF(A3455="","",DATE(YEAR(A3455),12,31)-DATE(YEAR(A3455),1,1)+1)</f>
        <v/>
      </c>
      <c r="D3455">
        <f>IF(A3455="","",SUMIFS(Акты!$D$5:$D$16,Акты!$E$5:$E$16,"&lt;="&amp;A3455)-SUMIFS(Оплаты!$B$6:$B$505,Оплаты!$A$6:$A$505,"&lt;"&amp;A3455,Оплаты!$D$6:$D$505,"&lt;&gt;"))</f>
        <v/>
      </c>
      <c r="E3455">
        <f>IF(A3455="","",IF(SUMPRODUCT((Ввод!$F$12:$F$31&lt;&gt;"")*(Ввод!$F$12:$F$31&lt;=A3455)*(Ввод!$G$12:$G$31&gt;=A3455))&gt;0,1,0))</f>
        <v/>
      </c>
      <c r="G3455">
        <f>IF(A3455="","",IF(OR(B3455&lt;&gt;B3454,C3455&lt;&gt;C3454,E3455&lt;&gt;E3454),G3454+1,G3454))</f>
        <v/>
      </c>
    </row>
    <row r="3456">
      <c r="A3456" s="20">
        <f>IF(A3455="","",IF(A3455+1&gt;Ввод!$B$4,"",A3455+1))</f>
        <v/>
      </c>
      <c r="B3456">
        <f>IF(A3456="","",IFERROR(INDEX(Ввод!$B$12:$B$71,MATCH(A3456,Ввод!$D$12:$D$71,1)),""))</f>
        <v/>
      </c>
      <c r="C3456">
        <f>IF(A3456="","",DATE(YEAR(A3456),12,31)-DATE(YEAR(A3456),1,1)+1)</f>
        <v/>
      </c>
      <c r="D3456">
        <f>IF(A3456="","",SUMIFS(Акты!$D$5:$D$16,Акты!$E$5:$E$16,"&lt;="&amp;A3456)-SUMIFS(Оплаты!$B$6:$B$505,Оплаты!$A$6:$A$505,"&lt;"&amp;A3456,Оплаты!$D$6:$D$505,"&lt;&gt;"))</f>
        <v/>
      </c>
      <c r="E3456">
        <f>IF(A3456="","",IF(SUMPRODUCT((Ввод!$F$12:$F$31&lt;&gt;"")*(Ввод!$F$12:$F$31&lt;=A3456)*(Ввод!$G$12:$G$31&gt;=A3456))&gt;0,1,0))</f>
        <v/>
      </c>
      <c r="G3456">
        <f>IF(A3456="","",IF(OR(B3456&lt;&gt;B3455,C3456&lt;&gt;C3455,E3456&lt;&gt;E3455),G3455+1,G3455))</f>
        <v/>
      </c>
    </row>
    <row r="3457">
      <c r="A3457" s="20">
        <f>IF(A3456="","",IF(A3456+1&gt;Ввод!$B$4,"",A3456+1))</f>
        <v/>
      </c>
      <c r="B3457">
        <f>IF(A3457="","",IFERROR(INDEX(Ввод!$B$12:$B$71,MATCH(A3457,Ввод!$D$12:$D$71,1)),""))</f>
        <v/>
      </c>
      <c r="C3457">
        <f>IF(A3457="","",DATE(YEAR(A3457),12,31)-DATE(YEAR(A3457),1,1)+1)</f>
        <v/>
      </c>
      <c r="D3457">
        <f>IF(A3457="","",SUMIFS(Акты!$D$5:$D$16,Акты!$E$5:$E$16,"&lt;="&amp;A3457)-SUMIFS(Оплаты!$B$6:$B$505,Оплаты!$A$6:$A$505,"&lt;"&amp;A3457,Оплаты!$D$6:$D$505,"&lt;&gt;"))</f>
        <v/>
      </c>
      <c r="E3457">
        <f>IF(A3457="","",IF(SUMPRODUCT((Ввод!$F$12:$F$31&lt;&gt;"")*(Ввод!$F$12:$F$31&lt;=A3457)*(Ввод!$G$12:$G$31&gt;=A3457))&gt;0,1,0))</f>
        <v/>
      </c>
      <c r="G3457">
        <f>IF(A3457="","",IF(OR(B3457&lt;&gt;B3456,C3457&lt;&gt;C3456,E3457&lt;&gt;E3456),G3456+1,G3456))</f>
        <v/>
      </c>
    </row>
    <row r="3458">
      <c r="A3458" s="20">
        <f>IF(A3457="","",IF(A3457+1&gt;Ввод!$B$4,"",A3457+1))</f>
        <v/>
      </c>
      <c r="B3458">
        <f>IF(A3458="","",IFERROR(INDEX(Ввод!$B$12:$B$71,MATCH(A3458,Ввод!$D$12:$D$71,1)),""))</f>
        <v/>
      </c>
      <c r="C3458">
        <f>IF(A3458="","",DATE(YEAR(A3458),12,31)-DATE(YEAR(A3458),1,1)+1)</f>
        <v/>
      </c>
      <c r="D3458">
        <f>IF(A3458="","",SUMIFS(Акты!$D$5:$D$16,Акты!$E$5:$E$16,"&lt;="&amp;A3458)-SUMIFS(Оплаты!$B$6:$B$505,Оплаты!$A$6:$A$505,"&lt;"&amp;A3458,Оплаты!$D$6:$D$505,"&lt;&gt;"))</f>
        <v/>
      </c>
      <c r="E3458">
        <f>IF(A3458="","",IF(SUMPRODUCT((Ввод!$F$12:$F$31&lt;&gt;"")*(Ввод!$F$12:$F$31&lt;=A3458)*(Ввод!$G$12:$G$31&gt;=A3458))&gt;0,1,0))</f>
        <v/>
      </c>
      <c r="G3458">
        <f>IF(A3458="","",IF(OR(B3458&lt;&gt;B3457,C3458&lt;&gt;C3457,E3458&lt;&gt;E3457),G3457+1,G3457))</f>
        <v/>
      </c>
    </row>
    <row r="3459">
      <c r="A3459" s="20">
        <f>IF(A3458="","",IF(A3458+1&gt;Ввод!$B$4,"",A3458+1))</f>
        <v/>
      </c>
      <c r="B3459">
        <f>IF(A3459="","",IFERROR(INDEX(Ввод!$B$12:$B$71,MATCH(A3459,Ввод!$D$12:$D$71,1)),""))</f>
        <v/>
      </c>
      <c r="C3459">
        <f>IF(A3459="","",DATE(YEAR(A3459),12,31)-DATE(YEAR(A3459),1,1)+1)</f>
        <v/>
      </c>
      <c r="D3459">
        <f>IF(A3459="","",SUMIFS(Акты!$D$5:$D$16,Акты!$E$5:$E$16,"&lt;="&amp;A3459)-SUMIFS(Оплаты!$B$6:$B$505,Оплаты!$A$6:$A$505,"&lt;"&amp;A3459,Оплаты!$D$6:$D$505,"&lt;&gt;"))</f>
        <v/>
      </c>
      <c r="E3459">
        <f>IF(A3459="","",IF(SUMPRODUCT((Ввод!$F$12:$F$31&lt;&gt;"")*(Ввод!$F$12:$F$31&lt;=A3459)*(Ввод!$G$12:$G$31&gt;=A3459))&gt;0,1,0))</f>
        <v/>
      </c>
      <c r="G3459">
        <f>IF(A3459="","",IF(OR(B3459&lt;&gt;B3458,C3459&lt;&gt;C3458,E3459&lt;&gt;E3458),G3458+1,G3458))</f>
        <v/>
      </c>
    </row>
    <row r="3460">
      <c r="A3460" s="20">
        <f>IF(A3459="","",IF(A3459+1&gt;Ввод!$B$4,"",A3459+1))</f>
        <v/>
      </c>
      <c r="B3460">
        <f>IF(A3460="","",IFERROR(INDEX(Ввод!$B$12:$B$71,MATCH(A3460,Ввод!$D$12:$D$71,1)),""))</f>
        <v/>
      </c>
      <c r="C3460">
        <f>IF(A3460="","",DATE(YEAR(A3460),12,31)-DATE(YEAR(A3460),1,1)+1)</f>
        <v/>
      </c>
      <c r="D3460">
        <f>IF(A3460="","",SUMIFS(Акты!$D$5:$D$16,Акты!$E$5:$E$16,"&lt;="&amp;A3460)-SUMIFS(Оплаты!$B$6:$B$505,Оплаты!$A$6:$A$505,"&lt;"&amp;A3460,Оплаты!$D$6:$D$505,"&lt;&gt;"))</f>
        <v/>
      </c>
      <c r="E3460">
        <f>IF(A3460="","",IF(SUMPRODUCT((Ввод!$F$12:$F$31&lt;&gt;"")*(Ввод!$F$12:$F$31&lt;=A3460)*(Ввод!$G$12:$G$31&gt;=A3460))&gt;0,1,0))</f>
        <v/>
      </c>
      <c r="G3460">
        <f>IF(A3460="","",IF(OR(B3460&lt;&gt;B3459,C3460&lt;&gt;C3459,E3460&lt;&gt;E3459),G3459+1,G3459))</f>
        <v/>
      </c>
    </row>
    <row r="3461">
      <c r="A3461" s="20">
        <f>IF(A3460="","",IF(A3460+1&gt;Ввод!$B$4,"",A3460+1))</f>
        <v/>
      </c>
      <c r="B3461">
        <f>IF(A3461="","",IFERROR(INDEX(Ввод!$B$12:$B$71,MATCH(A3461,Ввод!$D$12:$D$71,1)),""))</f>
        <v/>
      </c>
      <c r="C3461">
        <f>IF(A3461="","",DATE(YEAR(A3461),12,31)-DATE(YEAR(A3461),1,1)+1)</f>
        <v/>
      </c>
      <c r="D3461">
        <f>IF(A3461="","",SUMIFS(Акты!$D$5:$D$16,Акты!$E$5:$E$16,"&lt;="&amp;A3461)-SUMIFS(Оплаты!$B$6:$B$505,Оплаты!$A$6:$A$505,"&lt;"&amp;A3461,Оплаты!$D$6:$D$505,"&lt;&gt;"))</f>
        <v/>
      </c>
      <c r="E3461">
        <f>IF(A3461="","",IF(SUMPRODUCT((Ввод!$F$12:$F$31&lt;&gt;"")*(Ввод!$F$12:$F$31&lt;=A3461)*(Ввод!$G$12:$G$31&gt;=A3461))&gt;0,1,0))</f>
        <v/>
      </c>
      <c r="G3461">
        <f>IF(A3461="","",IF(OR(B3461&lt;&gt;B3460,C3461&lt;&gt;C3460,E3461&lt;&gt;E3460),G3460+1,G3460))</f>
        <v/>
      </c>
    </row>
    <row r="3462">
      <c r="A3462" s="20">
        <f>IF(A3461="","",IF(A3461+1&gt;Ввод!$B$4,"",A3461+1))</f>
        <v/>
      </c>
      <c r="B3462">
        <f>IF(A3462="","",IFERROR(INDEX(Ввод!$B$12:$B$71,MATCH(A3462,Ввод!$D$12:$D$71,1)),""))</f>
        <v/>
      </c>
      <c r="C3462">
        <f>IF(A3462="","",DATE(YEAR(A3462),12,31)-DATE(YEAR(A3462),1,1)+1)</f>
        <v/>
      </c>
      <c r="D3462">
        <f>IF(A3462="","",SUMIFS(Акты!$D$5:$D$16,Акты!$E$5:$E$16,"&lt;="&amp;A3462)-SUMIFS(Оплаты!$B$6:$B$505,Оплаты!$A$6:$A$505,"&lt;"&amp;A3462,Оплаты!$D$6:$D$505,"&lt;&gt;"))</f>
        <v/>
      </c>
      <c r="E3462">
        <f>IF(A3462="","",IF(SUMPRODUCT((Ввод!$F$12:$F$31&lt;&gt;"")*(Ввод!$F$12:$F$31&lt;=A3462)*(Ввод!$G$12:$G$31&gt;=A3462))&gt;0,1,0))</f>
        <v/>
      </c>
      <c r="G3462">
        <f>IF(A3462="","",IF(OR(B3462&lt;&gt;B3461,C3462&lt;&gt;C3461,E3462&lt;&gt;E3461),G3461+1,G3461))</f>
        <v/>
      </c>
    </row>
    <row r="3463">
      <c r="A3463" s="20">
        <f>IF(A3462="","",IF(A3462+1&gt;Ввод!$B$4,"",A3462+1))</f>
        <v/>
      </c>
      <c r="B3463">
        <f>IF(A3463="","",IFERROR(INDEX(Ввод!$B$12:$B$71,MATCH(A3463,Ввод!$D$12:$D$71,1)),""))</f>
        <v/>
      </c>
      <c r="C3463">
        <f>IF(A3463="","",DATE(YEAR(A3463),12,31)-DATE(YEAR(A3463),1,1)+1)</f>
        <v/>
      </c>
      <c r="D3463">
        <f>IF(A3463="","",SUMIFS(Акты!$D$5:$D$16,Акты!$E$5:$E$16,"&lt;="&amp;A3463)-SUMIFS(Оплаты!$B$6:$B$505,Оплаты!$A$6:$A$505,"&lt;"&amp;A3463,Оплаты!$D$6:$D$505,"&lt;&gt;"))</f>
        <v/>
      </c>
      <c r="E3463">
        <f>IF(A3463="","",IF(SUMPRODUCT((Ввод!$F$12:$F$31&lt;&gt;"")*(Ввод!$F$12:$F$31&lt;=A3463)*(Ввод!$G$12:$G$31&gt;=A3463))&gt;0,1,0))</f>
        <v/>
      </c>
      <c r="G3463">
        <f>IF(A3463="","",IF(OR(B3463&lt;&gt;B3462,C3463&lt;&gt;C3462,E3463&lt;&gt;E3462),G3462+1,G3462))</f>
        <v/>
      </c>
    </row>
    <row r="3464">
      <c r="A3464" s="20">
        <f>IF(A3463="","",IF(A3463+1&gt;Ввод!$B$4,"",A3463+1))</f>
        <v/>
      </c>
      <c r="B3464">
        <f>IF(A3464="","",IFERROR(INDEX(Ввод!$B$12:$B$71,MATCH(A3464,Ввод!$D$12:$D$71,1)),""))</f>
        <v/>
      </c>
      <c r="C3464">
        <f>IF(A3464="","",DATE(YEAR(A3464),12,31)-DATE(YEAR(A3464),1,1)+1)</f>
        <v/>
      </c>
      <c r="D3464">
        <f>IF(A3464="","",SUMIFS(Акты!$D$5:$D$16,Акты!$E$5:$E$16,"&lt;="&amp;A3464)-SUMIFS(Оплаты!$B$6:$B$505,Оплаты!$A$6:$A$505,"&lt;"&amp;A3464,Оплаты!$D$6:$D$505,"&lt;&gt;"))</f>
        <v/>
      </c>
      <c r="E3464">
        <f>IF(A3464="","",IF(SUMPRODUCT((Ввод!$F$12:$F$31&lt;&gt;"")*(Ввод!$F$12:$F$31&lt;=A3464)*(Ввод!$G$12:$G$31&gt;=A3464))&gt;0,1,0))</f>
        <v/>
      </c>
      <c r="G3464">
        <f>IF(A3464="","",IF(OR(B3464&lt;&gt;B3463,C3464&lt;&gt;C3463,E3464&lt;&gt;E3463),G3463+1,G3463))</f>
        <v/>
      </c>
    </row>
    <row r="3465">
      <c r="A3465" s="20">
        <f>IF(A3464="","",IF(A3464+1&gt;Ввод!$B$4,"",A3464+1))</f>
        <v/>
      </c>
      <c r="B3465">
        <f>IF(A3465="","",IFERROR(INDEX(Ввод!$B$12:$B$71,MATCH(A3465,Ввод!$D$12:$D$71,1)),""))</f>
        <v/>
      </c>
      <c r="C3465">
        <f>IF(A3465="","",DATE(YEAR(A3465),12,31)-DATE(YEAR(A3465),1,1)+1)</f>
        <v/>
      </c>
      <c r="D3465">
        <f>IF(A3465="","",SUMIFS(Акты!$D$5:$D$16,Акты!$E$5:$E$16,"&lt;="&amp;A3465)-SUMIFS(Оплаты!$B$6:$B$505,Оплаты!$A$6:$A$505,"&lt;"&amp;A3465,Оплаты!$D$6:$D$505,"&lt;&gt;"))</f>
        <v/>
      </c>
      <c r="E3465">
        <f>IF(A3465="","",IF(SUMPRODUCT((Ввод!$F$12:$F$31&lt;&gt;"")*(Ввод!$F$12:$F$31&lt;=A3465)*(Ввод!$G$12:$G$31&gt;=A3465))&gt;0,1,0))</f>
        <v/>
      </c>
      <c r="G3465">
        <f>IF(A3465="","",IF(OR(B3465&lt;&gt;B3464,C3465&lt;&gt;C3464,E3465&lt;&gt;E3464),G3464+1,G3464))</f>
        <v/>
      </c>
    </row>
    <row r="3466">
      <c r="A3466" s="20">
        <f>IF(A3465="","",IF(A3465+1&gt;Ввод!$B$4,"",A3465+1))</f>
        <v/>
      </c>
      <c r="B3466">
        <f>IF(A3466="","",IFERROR(INDEX(Ввод!$B$12:$B$71,MATCH(A3466,Ввод!$D$12:$D$71,1)),""))</f>
        <v/>
      </c>
      <c r="C3466">
        <f>IF(A3466="","",DATE(YEAR(A3466),12,31)-DATE(YEAR(A3466),1,1)+1)</f>
        <v/>
      </c>
      <c r="D3466">
        <f>IF(A3466="","",SUMIFS(Акты!$D$5:$D$16,Акты!$E$5:$E$16,"&lt;="&amp;A3466)-SUMIFS(Оплаты!$B$6:$B$505,Оплаты!$A$6:$A$505,"&lt;"&amp;A3466,Оплаты!$D$6:$D$505,"&lt;&gt;"))</f>
        <v/>
      </c>
      <c r="E3466">
        <f>IF(A3466="","",IF(SUMPRODUCT((Ввод!$F$12:$F$31&lt;&gt;"")*(Ввод!$F$12:$F$31&lt;=A3466)*(Ввод!$G$12:$G$31&gt;=A3466))&gt;0,1,0))</f>
        <v/>
      </c>
      <c r="G3466">
        <f>IF(A3466="","",IF(OR(B3466&lt;&gt;B3465,C3466&lt;&gt;C3465,E3466&lt;&gt;E3465),G3465+1,G3465))</f>
        <v/>
      </c>
    </row>
    <row r="3467">
      <c r="A3467" s="20">
        <f>IF(A3466="","",IF(A3466+1&gt;Ввод!$B$4,"",A3466+1))</f>
        <v/>
      </c>
      <c r="B3467">
        <f>IF(A3467="","",IFERROR(INDEX(Ввод!$B$12:$B$71,MATCH(A3467,Ввод!$D$12:$D$71,1)),""))</f>
        <v/>
      </c>
      <c r="C3467">
        <f>IF(A3467="","",DATE(YEAR(A3467),12,31)-DATE(YEAR(A3467),1,1)+1)</f>
        <v/>
      </c>
      <c r="D3467">
        <f>IF(A3467="","",SUMIFS(Акты!$D$5:$D$16,Акты!$E$5:$E$16,"&lt;="&amp;A3467)-SUMIFS(Оплаты!$B$6:$B$505,Оплаты!$A$6:$A$505,"&lt;"&amp;A3467,Оплаты!$D$6:$D$505,"&lt;&gt;"))</f>
        <v/>
      </c>
      <c r="E3467">
        <f>IF(A3467="","",IF(SUMPRODUCT((Ввод!$F$12:$F$31&lt;&gt;"")*(Ввод!$F$12:$F$31&lt;=A3467)*(Ввод!$G$12:$G$31&gt;=A3467))&gt;0,1,0))</f>
        <v/>
      </c>
      <c r="G3467">
        <f>IF(A3467="","",IF(OR(B3467&lt;&gt;B3466,C3467&lt;&gt;C3466,E3467&lt;&gt;E3466),G3466+1,G3466))</f>
        <v/>
      </c>
    </row>
    <row r="3468">
      <c r="A3468" s="20">
        <f>IF(A3467="","",IF(A3467+1&gt;Ввод!$B$4,"",A3467+1))</f>
        <v/>
      </c>
      <c r="B3468">
        <f>IF(A3468="","",IFERROR(INDEX(Ввод!$B$12:$B$71,MATCH(A3468,Ввод!$D$12:$D$71,1)),""))</f>
        <v/>
      </c>
      <c r="C3468">
        <f>IF(A3468="","",DATE(YEAR(A3468),12,31)-DATE(YEAR(A3468),1,1)+1)</f>
        <v/>
      </c>
      <c r="D3468">
        <f>IF(A3468="","",SUMIFS(Акты!$D$5:$D$16,Акты!$E$5:$E$16,"&lt;="&amp;A3468)-SUMIFS(Оплаты!$B$6:$B$505,Оплаты!$A$6:$A$505,"&lt;"&amp;A3468,Оплаты!$D$6:$D$505,"&lt;&gt;"))</f>
        <v/>
      </c>
      <c r="E3468">
        <f>IF(A3468="","",IF(SUMPRODUCT((Ввод!$F$12:$F$31&lt;&gt;"")*(Ввод!$F$12:$F$31&lt;=A3468)*(Ввод!$G$12:$G$31&gt;=A3468))&gt;0,1,0))</f>
        <v/>
      </c>
      <c r="G3468">
        <f>IF(A3468="","",IF(OR(B3468&lt;&gt;B3467,C3468&lt;&gt;C3467,E3468&lt;&gt;E3467),G3467+1,G3467))</f>
        <v/>
      </c>
    </row>
    <row r="3469">
      <c r="A3469" s="20">
        <f>IF(A3468="","",IF(A3468+1&gt;Ввод!$B$4,"",A3468+1))</f>
        <v/>
      </c>
      <c r="B3469">
        <f>IF(A3469="","",IFERROR(INDEX(Ввод!$B$12:$B$71,MATCH(A3469,Ввод!$D$12:$D$71,1)),""))</f>
        <v/>
      </c>
      <c r="C3469">
        <f>IF(A3469="","",DATE(YEAR(A3469),12,31)-DATE(YEAR(A3469),1,1)+1)</f>
        <v/>
      </c>
      <c r="D3469">
        <f>IF(A3469="","",SUMIFS(Акты!$D$5:$D$16,Акты!$E$5:$E$16,"&lt;="&amp;A3469)-SUMIFS(Оплаты!$B$6:$B$505,Оплаты!$A$6:$A$505,"&lt;"&amp;A3469,Оплаты!$D$6:$D$505,"&lt;&gt;"))</f>
        <v/>
      </c>
      <c r="E3469">
        <f>IF(A3469="","",IF(SUMPRODUCT((Ввод!$F$12:$F$31&lt;&gt;"")*(Ввод!$F$12:$F$31&lt;=A3469)*(Ввод!$G$12:$G$31&gt;=A3469))&gt;0,1,0))</f>
        <v/>
      </c>
      <c r="G3469">
        <f>IF(A3469="","",IF(OR(B3469&lt;&gt;B3468,C3469&lt;&gt;C3468,E3469&lt;&gt;E3468),G3468+1,G3468))</f>
        <v/>
      </c>
    </row>
    <row r="3470">
      <c r="A3470" s="20">
        <f>IF(A3469="","",IF(A3469+1&gt;Ввод!$B$4,"",A3469+1))</f>
        <v/>
      </c>
      <c r="B3470">
        <f>IF(A3470="","",IFERROR(INDEX(Ввод!$B$12:$B$71,MATCH(A3470,Ввод!$D$12:$D$71,1)),""))</f>
        <v/>
      </c>
      <c r="C3470">
        <f>IF(A3470="","",DATE(YEAR(A3470),12,31)-DATE(YEAR(A3470),1,1)+1)</f>
        <v/>
      </c>
      <c r="D3470">
        <f>IF(A3470="","",SUMIFS(Акты!$D$5:$D$16,Акты!$E$5:$E$16,"&lt;="&amp;A3470)-SUMIFS(Оплаты!$B$6:$B$505,Оплаты!$A$6:$A$505,"&lt;"&amp;A3470,Оплаты!$D$6:$D$505,"&lt;&gt;"))</f>
        <v/>
      </c>
      <c r="E3470">
        <f>IF(A3470="","",IF(SUMPRODUCT((Ввод!$F$12:$F$31&lt;&gt;"")*(Ввод!$F$12:$F$31&lt;=A3470)*(Ввод!$G$12:$G$31&gt;=A3470))&gt;0,1,0))</f>
        <v/>
      </c>
      <c r="G3470">
        <f>IF(A3470="","",IF(OR(B3470&lt;&gt;B3469,C3470&lt;&gt;C3469,E3470&lt;&gt;E3469),G3469+1,G3469))</f>
        <v/>
      </c>
    </row>
    <row r="3471">
      <c r="A3471" s="20">
        <f>IF(A3470="","",IF(A3470+1&gt;Ввод!$B$4,"",A3470+1))</f>
        <v/>
      </c>
      <c r="B3471">
        <f>IF(A3471="","",IFERROR(INDEX(Ввод!$B$12:$B$71,MATCH(A3471,Ввод!$D$12:$D$71,1)),""))</f>
        <v/>
      </c>
      <c r="C3471">
        <f>IF(A3471="","",DATE(YEAR(A3471),12,31)-DATE(YEAR(A3471),1,1)+1)</f>
        <v/>
      </c>
      <c r="D3471">
        <f>IF(A3471="","",SUMIFS(Акты!$D$5:$D$16,Акты!$E$5:$E$16,"&lt;="&amp;A3471)-SUMIFS(Оплаты!$B$6:$B$505,Оплаты!$A$6:$A$505,"&lt;"&amp;A3471,Оплаты!$D$6:$D$505,"&lt;&gt;"))</f>
        <v/>
      </c>
      <c r="E3471">
        <f>IF(A3471="","",IF(SUMPRODUCT((Ввод!$F$12:$F$31&lt;&gt;"")*(Ввод!$F$12:$F$31&lt;=A3471)*(Ввод!$G$12:$G$31&gt;=A3471))&gt;0,1,0))</f>
        <v/>
      </c>
      <c r="G3471">
        <f>IF(A3471="","",IF(OR(B3471&lt;&gt;B3470,C3471&lt;&gt;C3470,E3471&lt;&gt;E3470),G3470+1,G3470))</f>
        <v/>
      </c>
    </row>
    <row r="3472">
      <c r="A3472" s="20">
        <f>IF(A3471="","",IF(A3471+1&gt;Ввод!$B$4,"",A3471+1))</f>
        <v/>
      </c>
      <c r="B3472">
        <f>IF(A3472="","",IFERROR(INDEX(Ввод!$B$12:$B$71,MATCH(A3472,Ввод!$D$12:$D$71,1)),""))</f>
        <v/>
      </c>
      <c r="C3472">
        <f>IF(A3472="","",DATE(YEAR(A3472),12,31)-DATE(YEAR(A3472),1,1)+1)</f>
        <v/>
      </c>
      <c r="D3472">
        <f>IF(A3472="","",SUMIFS(Акты!$D$5:$D$16,Акты!$E$5:$E$16,"&lt;="&amp;A3472)-SUMIFS(Оплаты!$B$6:$B$505,Оплаты!$A$6:$A$505,"&lt;"&amp;A3472,Оплаты!$D$6:$D$505,"&lt;&gt;"))</f>
        <v/>
      </c>
      <c r="E3472">
        <f>IF(A3472="","",IF(SUMPRODUCT((Ввод!$F$12:$F$31&lt;&gt;"")*(Ввод!$F$12:$F$31&lt;=A3472)*(Ввод!$G$12:$G$31&gt;=A3472))&gt;0,1,0))</f>
        <v/>
      </c>
      <c r="G3472">
        <f>IF(A3472="","",IF(OR(B3472&lt;&gt;B3471,C3472&lt;&gt;C3471,E3472&lt;&gt;E3471),G3471+1,G3471))</f>
        <v/>
      </c>
    </row>
    <row r="3473">
      <c r="A3473" s="20">
        <f>IF(A3472="","",IF(A3472+1&gt;Ввод!$B$4,"",A3472+1))</f>
        <v/>
      </c>
      <c r="B3473">
        <f>IF(A3473="","",IFERROR(INDEX(Ввод!$B$12:$B$71,MATCH(A3473,Ввод!$D$12:$D$71,1)),""))</f>
        <v/>
      </c>
      <c r="C3473">
        <f>IF(A3473="","",DATE(YEAR(A3473),12,31)-DATE(YEAR(A3473),1,1)+1)</f>
        <v/>
      </c>
      <c r="D3473">
        <f>IF(A3473="","",SUMIFS(Акты!$D$5:$D$16,Акты!$E$5:$E$16,"&lt;="&amp;A3473)-SUMIFS(Оплаты!$B$6:$B$505,Оплаты!$A$6:$A$505,"&lt;"&amp;A3473,Оплаты!$D$6:$D$505,"&lt;&gt;"))</f>
        <v/>
      </c>
      <c r="E3473">
        <f>IF(A3473="","",IF(SUMPRODUCT((Ввод!$F$12:$F$31&lt;&gt;"")*(Ввод!$F$12:$F$31&lt;=A3473)*(Ввод!$G$12:$G$31&gt;=A3473))&gt;0,1,0))</f>
        <v/>
      </c>
      <c r="G3473">
        <f>IF(A3473="","",IF(OR(B3473&lt;&gt;B3472,C3473&lt;&gt;C3472,E3473&lt;&gt;E3472),G3472+1,G3472))</f>
        <v/>
      </c>
    </row>
    <row r="3474">
      <c r="A3474" s="20">
        <f>IF(A3473="","",IF(A3473+1&gt;Ввод!$B$4,"",A3473+1))</f>
        <v/>
      </c>
      <c r="B3474">
        <f>IF(A3474="","",IFERROR(INDEX(Ввод!$B$12:$B$71,MATCH(A3474,Ввод!$D$12:$D$71,1)),""))</f>
        <v/>
      </c>
      <c r="C3474">
        <f>IF(A3474="","",DATE(YEAR(A3474),12,31)-DATE(YEAR(A3474),1,1)+1)</f>
        <v/>
      </c>
      <c r="D3474">
        <f>IF(A3474="","",SUMIFS(Акты!$D$5:$D$16,Акты!$E$5:$E$16,"&lt;="&amp;A3474)-SUMIFS(Оплаты!$B$6:$B$505,Оплаты!$A$6:$A$505,"&lt;"&amp;A3474,Оплаты!$D$6:$D$505,"&lt;&gt;"))</f>
        <v/>
      </c>
      <c r="E3474">
        <f>IF(A3474="","",IF(SUMPRODUCT((Ввод!$F$12:$F$31&lt;&gt;"")*(Ввод!$F$12:$F$31&lt;=A3474)*(Ввод!$G$12:$G$31&gt;=A3474))&gt;0,1,0))</f>
        <v/>
      </c>
      <c r="G3474">
        <f>IF(A3474="","",IF(OR(B3474&lt;&gt;B3473,C3474&lt;&gt;C3473,E3474&lt;&gt;E3473),G3473+1,G3473))</f>
        <v/>
      </c>
    </row>
    <row r="3475">
      <c r="A3475" s="20">
        <f>IF(A3474="","",IF(A3474+1&gt;Ввод!$B$4,"",A3474+1))</f>
        <v/>
      </c>
      <c r="B3475">
        <f>IF(A3475="","",IFERROR(INDEX(Ввод!$B$12:$B$71,MATCH(A3475,Ввод!$D$12:$D$71,1)),""))</f>
        <v/>
      </c>
      <c r="C3475">
        <f>IF(A3475="","",DATE(YEAR(A3475),12,31)-DATE(YEAR(A3475),1,1)+1)</f>
        <v/>
      </c>
      <c r="D3475">
        <f>IF(A3475="","",SUMIFS(Акты!$D$5:$D$16,Акты!$E$5:$E$16,"&lt;="&amp;A3475)-SUMIFS(Оплаты!$B$6:$B$505,Оплаты!$A$6:$A$505,"&lt;"&amp;A3475,Оплаты!$D$6:$D$505,"&lt;&gt;"))</f>
        <v/>
      </c>
      <c r="E3475">
        <f>IF(A3475="","",IF(SUMPRODUCT((Ввод!$F$12:$F$31&lt;&gt;"")*(Ввод!$F$12:$F$31&lt;=A3475)*(Ввод!$G$12:$G$31&gt;=A3475))&gt;0,1,0))</f>
        <v/>
      </c>
      <c r="G3475">
        <f>IF(A3475="","",IF(OR(B3475&lt;&gt;B3474,C3475&lt;&gt;C3474,E3475&lt;&gt;E3474),G3474+1,G3474))</f>
        <v/>
      </c>
    </row>
    <row r="3476">
      <c r="A3476" s="20">
        <f>IF(A3475="","",IF(A3475+1&gt;Ввод!$B$4,"",A3475+1))</f>
        <v/>
      </c>
      <c r="B3476">
        <f>IF(A3476="","",IFERROR(INDEX(Ввод!$B$12:$B$71,MATCH(A3476,Ввод!$D$12:$D$71,1)),""))</f>
        <v/>
      </c>
      <c r="C3476">
        <f>IF(A3476="","",DATE(YEAR(A3476),12,31)-DATE(YEAR(A3476),1,1)+1)</f>
        <v/>
      </c>
      <c r="D3476">
        <f>IF(A3476="","",SUMIFS(Акты!$D$5:$D$16,Акты!$E$5:$E$16,"&lt;="&amp;A3476)-SUMIFS(Оплаты!$B$6:$B$505,Оплаты!$A$6:$A$505,"&lt;"&amp;A3476,Оплаты!$D$6:$D$505,"&lt;&gt;"))</f>
        <v/>
      </c>
      <c r="E3476">
        <f>IF(A3476="","",IF(SUMPRODUCT((Ввод!$F$12:$F$31&lt;&gt;"")*(Ввод!$F$12:$F$31&lt;=A3476)*(Ввод!$G$12:$G$31&gt;=A3476))&gt;0,1,0))</f>
        <v/>
      </c>
      <c r="G3476">
        <f>IF(A3476="","",IF(OR(B3476&lt;&gt;B3475,C3476&lt;&gt;C3475,E3476&lt;&gt;E3475),G3475+1,G3475))</f>
        <v/>
      </c>
    </row>
    <row r="3477">
      <c r="A3477" s="20">
        <f>IF(A3476="","",IF(A3476+1&gt;Ввод!$B$4,"",A3476+1))</f>
        <v/>
      </c>
      <c r="B3477">
        <f>IF(A3477="","",IFERROR(INDEX(Ввод!$B$12:$B$71,MATCH(A3477,Ввод!$D$12:$D$71,1)),""))</f>
        <v/>
      </c>
      <c r="C3477">
        <f>IF(A3477="","",DATE(YEAR(A3477),12,31)-DATE(YEAR(A3477),1,1)+1)</f>
        <v/>
      </c>
      <c r="D3477">
        <f>IF(A3477="","",SUMIFS(Акты!$D$5:$D$16,Акты!$E$5:$E$16,"&lt;="&amp;A3477)-SUMIFS(Оплаты!$B$6:$B$505,Оплаты!$A$6:$A$505,"&lt;"&amp;A3477,Оплаты!$D$6:$D$505,"&lt;&gt;"))</f>
        <v/>
      </c>
      <c r="E3477">
        <f>IF(A3477="","",IF(SUMPRODUCT((Ввод!$F$12:$F$31&lt;&gt;"")*(Ввод!$F$12:$F$31&lt;=A3477)*(Ввод!$G$12:$G$31&gt;=A3477))&gt;0,1,0))</f>
        <v/>
      </c>
      <c r="G3477">
        <f>IF(A3477="","",IF(OR(B3477&lt;&gt;B3476,C3477&lt;&gt;C3476,E3477&lt;&gt;E3476),G3476+1,G3476))</f>
        <v/>
      </c>
    </row>
    <row r="3478">
      <c r="A3478" s="20">
        <f>IF(A3477="","",IF(A3477+1&gt;Ввод!$B$4,"",A3477+1))</f>
        <v/>
      </c>
      <c r="B3478">
        <f>IF(A3478="","",IFERROR(INDEX(Ввод!$B$12:$B$71,MATCH(A3478,Ввод!$D$12:$D$71,1)),""))</f>
        <v/>
      </c>
      <c r="C3478">
        <f>IF(A3478="","",DATE(YEAR(A3478),12,31)-DATE(YEAR(A3478),1,1)+1)</f>
        <v/>
      </c>
      <c r="D3478">
        <f>IF(A3478="","",SUMIFS(Акты!$D$5:$D$16,Акты!$E$5:$E$16,"&lt;="&amp;A3478)-SUMIFS(Оплаты!$B$6:$B$505,Оплаты!$A$6:$A$505,"&lt;"&amp;A3478,Оплаты!$D$6:$D$505,"&lt;&gt;"))</f>
        <v/>
      </c>
      <c r="E3478">
        <f>IF(A3478="","",IF(SUMPRODUCT((Ввод!$F$12:$F$31&lt;&gt;"")*(Ввод!$F$12:$F$31&lt;=A3478)*(Ввод!$G$12:$G$31&gt;=A3478))&gt;0,1,0))</f>
        <v/>
      </c>
      <c r="G3478">
        <f>IF(A3478="","",IF(OR(B3478&lt;&gt;B3477,C3478&lt;&gt;C3477,E3478&lt;&gt;E3477),G3477+1,G3477))</f>
        <v/>
      </c>
    </row>
    <row r="3479">
      <c r="A3479" s="20">
        <f>IF(A3478="","",IF(A3478+1&gt;Ввод!$B$4,"",A3478+1))</f>
        <v/>
      </c>
      <c r="B3479">
        <f>IF(A3479="","",IFERROR(INDEX(Ввод!$B$12:$B$71,MATCH(A3479,Ввод!$D$12:$D$71,1)),""))</f>
        <v/>
      </c>
      <c r="C3479">
        <f>IF(A3479="","",DATE(YEAR(A3479),12,31)-DATE(YEAR(A3479),1,1)+1)</f>
        <v/>
      </c>
      <c r="D3479">
        <f>IF(A3479="","",SUMIFS(Акты!$D$5:$D$16,Акты!$E$5:$E$16,"&lt;="&amp;A3479)-SUMIFS(Оплаты!$B$6:$B$505,Оплаты!$A$6:$A$505,"&lt;"&amp;A3479,Оплаты!$D$6:$D$505,"&lt;&gt;"))</f>
        <v/>
      </c>
      <c r="E3479">
        <f>IF(A3479="","",IF(SUMPRODUCT((Ввод!$F$12:$F$31&lt;&gt;"")*(Ввод!$F$12:$F$31&lt;=A3479)*(Ввод!$G$12:$G$31&gt;=A3479))&gt;0,1,0))</f>
        <v/>
      </c>
      <c r="G3479">
        <f>IF(A3479="","",IF(OR(B3479&lt;&gt;B3478,C3479&lt;&gt;C3478,E3479&lt;&gt;E3478),G3478+1,G3478))</f>
        <v/>
      </c>
    </row>
    <row r="3480">
      <c r="A3480" s="20">
        <f>IF(A3479="","",IF(A3479+1&gt;Ввод!$B$4,"",A3479+1))</f>
        <v/>
      </c>
      <c r="B3480">
        <f>IF(A3480="","",IFERROR(INDEX(Ввод!$B$12:$B$71,MATCH(A3480,Ввод!$D$12:$D$71,1)),""))</f>
        <v/>
      </c>
      <c r="C3480">
        <f>IF(A3480="","",DATE(YEAR(A3480),12,31)-DATE(YEAR(A3480),1,1)+1)</f>
        <v/>
      </c>
      <c r="D3480">
        <f>IF(A3480="","",SUMIFS(Акты!$D$5:$D$16,Акты!$E$5:$E$16,"&lt;="&amp;A3480)-SUMIFS(Оплаты!$B$6:$B$505,Оплаты!$A$6:$A$505,"&lt;"&amp;A3480,Оплаты!$D$6:$D$505,"&lt;&gt;"))</f>
        <v/>
      </c>
      <c r="E3480">
        <f>IF(A3480="","",IF(SUMPRODUCT((Ввод!$F$12:$F$31&lt;&gt;"")*(Ввод!$F$12:$F$31&lt;=A3480)*(Ввод!$G$12:$G$31&gt;=A3480))&gt;0,1,0))</f>
        <v/>
      </c>
      <c r="G3480">
        <f>IF(A3480="","",IF(OR(B3480&lt;&gt;B3479,C3480&lt;&gt;C3479,E3480&lt;&gt;E3479),G3479+1,G3479))</f>
        <v/>
      </c>
    </row>
    <row r="3481">
      <c r="A3481" s="20">
        <f>IF(A3480="","",IF(A3480+1&gt;Ввод!$B$4,"",A3480+1))</f>
        <v/>
      </c>
      <c r="B3481">
        <f>IF(A3481="","",IFERROR(INDEX(Ввод!$B$12:$B$71,MATCH(A3481,Ввод!$D$12:$D$71,1)),""))</f>
        <v/>
      </c>
      <c r="C3481">
        <f>IF(A3481="","",DATE(YEAR(A3481),12,31)-DATE(YEAR(A3481),1,1)+1)</f>
        <v/>
      </c>
      <c r="D3481">
        <f>IF(A3481="","",SUMIFS(Акты!$D$5:$D$16,Акты!$E$5:$E$16,"&lt;="&amp;A3481)-SUMIFS(Оплаты!$B$6:$B$505,Оплаты!$A$6:$A$505,"&lt;"&amp;A3481,Оплаты!$D$6:$D$505,"&lt;&gt;"))</f>
        <v/>
      </c>
      <c r="E3481">
        <f>IF(A3481="","",IF(SUMPRODUCT((Ввод!$F$12:$F$31&lt;&gt;"")*(Ввод!$F$12:$F$31&lt;=A3481)*(Ввод!$G$12:$G$31&gt;=A3481))&gt;0,1,0))</f>
        <v/>
      </c>
      <c r="G3481">
        <f>IF(A3481="","",IF(OR(B3481&lt;&gt;B3480,C3481&lt;&gt;C3480,E3481&lt;&gt;E3480),G3480+1,G3480))</f>
        <v/>
      </c>
    </row>
    <row r="3482">
      <c r="A3482" s="20">
        <f>IF(A3481="","",IF(A3481+1&gt;Ввод!$B$4,"",A3481+1))</f>
        <v/>
      </c>
      <c r="B3482">
        <f>IF(A3482="","",IFERROR(INDEX(Ввод!$B$12:$B$71,MATCH(A3482,Ввод!$D$12:$D$71,1)),""))</f>
        <v/>
      </c>
      <c r="C3482">
        <f>IF(A3482="","",DATE(YEAR(A3482),12,31)-DATE(YEAR(A3482),1,1)+1)</f>
        <v/>
      </c>
      <c r="D3482">
        <f>IF(A3482="","",SUMIFS(Акты!$D$5:$D$16,Акты!$E$5:$E$16,"&lt;="&amp;A3482)-SUMIFS(Оплаты!$B$6:$B$505,Оплаты!$A$6:$A$505,"&lt;"&amp;A3482,Оплаты!$D$6:$D$505,"&lt;&gt;"))</f>
        <v/>
      </c>
      <c r="E3482">
        <f>IF(A3482="","",IF(SUMPRODUCT((Ввод!$F$12:$F$31&lt;&gt;"")*(Ввод!$F$12:$F$31&lt;=A3482)*(Ввод!$G$12:$G$31&gt;=A3482))&gt;0,1,0))</f>
        <v/>
      </c>
      <c r="G3482">
        <f>IF(A3482="","",IF(OR(B3482&lt;&gt;B3481,C3482&lt;&gt;C3481,E3482&lt;&gt;E3481),G3481+1,G3481))</f>
        <v/>
      </c>
    </row>
    <row r="3483">
      <c r="A3483" s="20">
        <f>IF(A3482="","",IF(A3482+1&gt;Ввод!$B$4,"",A3482+1))</f>
        <v/>
      </c>
      <c r="B3483">
        <f>IF(A3483="","",IFERROR(INDEX(Ввод!$B$12:$B$71,MATCH(A3483,Ввод!$D$12:$D$71,1)),""))</f>
        <v/>
      </c>
      <c r="C3483">
        <f>IF(A3483="","",DATE(YEAR(A3483),12,31)-DATE(YEAR(A3483),1,1)+1)</f>
        <v/>
      </c>
      <c r="D3483">
        <f>IF(A3483="","",SUMIFS(Акты!$D$5:$D$16,Акты!$E$5:$E$16,"&lt;="&amp;A3483)-SUMIFS(Оплаты!$B$6:$B$505,Оплаты!$A$6:$A$505,"&lt;"&amp;A3483,Оплаты!$D$6:$D$505,"&lt;&gt;"))</f>
        <v/>
      </c>
      <c r="E3483">
        <f>IF(A3483="","",IF(SUMPRODUCT((Ввод!$F$12:$F$31&lt;&gt;"")*(Ввод!$F$12:$F$31&lt;=A3483)*(Ввод!$G$12:$G$31&gt;=A3483))&gt;0,1,0))</f>
        <v/>
      </c>
      <c r="G3483">
        <f>IF(A3483="","",IF(OR(B3483&lt;&gt;B3482,C3483&lt;&gt;C3482,E3483&lt;&gt;E3482),G3482+1,G3482))</f>
        <v/>
      </c>
    </row>
    <row r="3484">
      <c r="A3484" s="20">
        <f>IF(A3483="","",IF(A3483+1&gt;Ввод!$B$4,"",A3483+1))</f>
        <v/>
      </c>
      <c r="B3484">
        <f>IF(A3484="","",IFERROR(INDEX(Ввод!$B$12:$B$71,MATCH(A3484,Ввод!$D$12:$D$71,1)),""))</f>
        <v/>
      </c>
      <c r="C3484">
        <f>IF(A3484="","",DATE(YEAR(A3484),12,31)-DATE(YEAR(A3484),1,1)+1)</f>
        <v/>
      </c>
      <c r="D3484">
        <f>IF(A3484="","",SUMIFS(Акты!$D$5:$D$16,Акты!$E$5:$E$16,"&lt;="&amp;A3484)-SUMIFS(Оплаты!$B$6:$B$505,Оплаты!$A$6:$A$505,"&lt;"&amp;A3484,Оплаты!$D$6:$D$505,"&lt;&gt;"))</f>
        <v/>
      </c>
      <c r="E3484">
        <f>IF(A3484="","",IF(SUMPRODUCT((Ввод!$F$12:$F$31&lt;&gt;"")*(Ввод!$F$12:$F$31&lt;=A3484)*(Ввод!$G$12:$G$31&gt;=A3484))&gt;0,1,0))</f>
        <v/>
      </c>
      <c r="G3484">
        <f>IF(A3484="","",IF(OR(B3484&lt;&gt;B3483,C3484&lt;&gt;C3483,E3484&lt;&gt;E3483),G3483+1,G3483))</f>
        <v/>
      </c>
    </row>
    <row r="3485">
      <c r="A3485" s="20">
        <f>IF(A3484="","",IF(A3484+1&gt;Ввод!$B$4,"",A3484+1))</f>
        <v/>
      </c>
      <c r="B3485">
        <f>IF(A3485="","",IFERROR(INDEX(Ввод!$B$12:$B$71,MATCH(A3485,Ввод!$D$12:$D$71,1)),""))</f>
        <v/>
      </c>
      <c r="C3485">
        <f>IF(A3485="","",DATE(YEAR(A3485),12,31)-DATE(YEAR(A3485),1,1)+1)</f>
        <v/>
      </c>
      <c r="D3485">
        <f>IF(A3485="","",SUMIFS(Акты!$D$5:$D$16,Акты!$E$5:$E$16,"&lt;="&amp;A3485)-SUMIFS(Оплаты!$B$6:$B$505,Оплаты!$A$6:$A$505,"&lt;"&amp;A3485,Оплаты!$D$6:$D$505,"&lt;&gt;"))</f>
        <v/>
      </c>
      <c r="E3485">
        <f>IF(A3485="","",IF(SUMPRODUCT((Ввод!$F$12:$F$31&lt;&gt;"")*(Ввод!$F$12:$F$31&lt;=A3485)*(Ввод!$G$12:$G$31&gt;=A3485))&gt;0,1,0))</f>
        <v/>
      </c>
      <c r="G3485">
        <f>IF(A3485="","",IF(OR(B3485&lt;&gt;B3484,C3485&lt;&gt;C3484,E3485&lt;&gt;E3484),G3484+1,G3484))</f>
        <v/>
      </c>
    </row>
    <row r="3486">
      <c r="A3486" s="20">
        <f>IF(A3485="","",IF(A3485+1&gt;Ввод!$B$4,"",A3485+1))</f>
        <v/>
      </c>
      <c r="B3486">
        <f>IF(A3486="","",IFERROR(INDEX(Ввод!$B$12:$B$71,MATCH(A3486,Ввод!$D$12:$D$71,1)),""))</f>
        <v/>
      </c>
      <c r="C3486">
        <f>IF(A3486="","",DATE(YEAR(A3486),12,31)-DATE(YEAR(A3486),1,1)+1)</f>
        <v/>
      </c>
      <c r="D3486">
        <f>IF(A3486="","",SUMIFS(Акты!$D$5:$D$16,Акты!$E$5:$E$16,"&lt;="&amp;A3486)-SUMIFS(Оплаты!$B$6:$B$505,Оплаты!$A$6:$A$505,"&lt;"&amp;A3486,Оплаты!$D$6:$D$505,"&lt;&gt;"))</f>
        <v/>
      </c>
      <c r="E3486">
        <f>IF(A3486="","",IF(SUMPRODUCT((Ввод!$F$12:$F$31&lt;&gt;"")*(Ввод!$F$12:$F$31&lt;=A3486)*(Ввод!$G$12:$G$31&gt;=A3486))&gt;0,1,0))</f>
        <v/>
      </c>
      <c r="G3486">
        <f>IF(A3486="","",IF(OR(B3486&lt;&gt;B3485,C3486&lt;&gt;C3485,E3486&lt;&gt;E3485),G3485+1,G3485))</f>
        <v/>
      </c>
    </row>
    <row r="3487">
      <c r="A3487" s="20">
        <f>IF(A3486="","",IF(A3486+1&gt;Ввод!$B$4,"",A3486+1))</f>
        <v/>
      </c>
      <c r="B3487">
        <f>IF(A3487="","",IFERROR(INDEX(Ввод!$B$12:$B$71,MATCH(A3487,Ввод!$D$12:$D$71,1)),""))</f>
        <v/>
      </c>
      <c r="C3487">
        <f>IF(A3487="","",DATE(YEAR(A3487),12,31)-DATE(YEAR(A3487),1,1)+1)</f>
        <v/>
      </c>
      <c r="D3487">
        <f>IF(A3487="","",SUMIFS(Акты!$D$5:$D$16,Акты!$E$5:$E$16,"&lt;="&amp;A3487)-SUMIFS(Оплаты!$B$6:$B$505,Оплаты!$A$6:$A$505,"&lt;"&amp;A3487,Оплаты!$D$6:$D$505,"&lt;&gt;"))</f>
        <v/>
      </c>
      <c r="E3487">
        <f>IF(A3487="","",IF(SUMPRODUCT((Ввод!$F$12:$F$31&lt;&gt;"")*(Ввод!$F$12:$F$31&lt;=A3487)*(Ввод!$G$12:$G$31&gt;=A3487))&gt;0,1,0))</f>
        <v/>
      </c>
      <c r="G3487">
        <f>IF(A3487="","",IF(OR(B3487&lt;&gt;B3486,C3487&lt;&gt;C3486,E3487&lt;&gt;E3486),G3486+1,G3486))</f>
        <v/>
      </c>
    </row>
    <row r="3488">
      <c r="A3488" s="20">
        <f>IF(A3487="","",IF(A3487+1&gt;Ввод!$B$4,"",A3487+1))</f>
        <v/>
      </c>
      <c r="B3488">
        <f>IF(A3488="","",IFERROR(INDEX(Ввод!$B$12:$B$71,MATCH(A3488,Ввод!$D$12:$D$71,1)),""))</f>
        <v/>
      </c>
      <c r="C3488">
        <f>IF(A3488="","",DATE(YEAR(A3488),12,31)-DATE(YEAR(A3488),1,1)+1)</f>
        <v/>
      </c>
      <c r="D3488">
        <f>IF(A3488="","",SUMIFS(Акты!$D$5:$D$16,Акты!$E$5:$E$16,"&lt;="&amp;A3488)-SUMIFS(Оплаты!$B$6:$B$505,Оплаты!$A$6:$A$505,"&lt;"&amp;A3488,Оплаты!$D$6:$D$505,"&lt;&gt;"))</f>
        <v/>
      </c>
      <c r="E3488">
        <f>IF(A3488="","",IF(SUMPRODUCT((Ввод!$F$12:$F$31&lt;&gt;"")*(Ввод!$F$12:$F$31&lt;=A3488)*(Ввод!$G$12:$G$31&gt;=A3488))&gt;0,1,0))</f>
        <v/>
      </c>
      <c r="G3488">
        <f>IF(A3488="","",IF(OR(B3488&lt;&gt;B3487,C3488&lt;&gt;C3487,E3488&lt;&gt;E3487),G3487+1,G3487))</f>
        <v/>
      </c>
    </row>
    <row r="3489">
      <c r="A3489" s="20">
        <f>IF(A3488="","",IF(A3488+1&gt;Ввод!$B$4,"",A3488+1))</f>
        <v/>
      </c>
      <c r="B3489">
        <f>IF(A3489="","",IFERROR(INDEX(Ввод!$B$12:$B$71,MATCH(A3489,Ввод!$D$12:$D$71,1)),""))</f>
        <v/>
      </c>
      <c r="C3489">
        <f>IF(A3489="","",DATE(YEAR(A3489),12,31)-DATE(YEAR(A3489),1,1)+1)</f>
        <v/>
      </c>
      <c r="D3489">
        <f>IF(A3489="","",SUMIFS(Акты!$D$5:$D$16,Акты!$E$5:$E$16,"&lt;="&amp;A3489)-SUMIFS(Оплаты!$B$6:$B$505,Оплаты!$A$6:$A$505,"&lt;"&amp;A3489,Оплаты!$D$6:$D$505,"&lt;&gt;"))</f>
        <v/>
      </c>
      <c r="E3489">
        <f>IF(A3489="","",IF(SUMPRODUCT((Ввод!$F$12:$F$31&lt;&gt;"")*(Ввод!$F$12:$F$31&lt;=A3489)*(Ввод!$G$12:$G$31&gt;=A3489))&gt;0,1,0))</f>
        <v/>
      </c>
      <c r="G3489">
        <f>IF(A3489="","",IF(OR(B3489&lt;&gt;B3488,C3489&lt;&gt;C3488,E3489&lt;&gt;E3488),G3488+1,G3488))</f>
        <v/>
      </c>
    </row>
    <row r="3490">
      <c r="A3490" s="20">
        <f>IF(A3489="","",IF(A3489+1&gt;Ввод!$B$4,"",A3489+1))</f>
        <v/>
      </c>
      <c r="B3490">
        <f>IF(A3490="","",IFERROR(INDEX(Ввод!$B$12:$B$71,MATCH(A3490,Ввод!$D$12:$D$71,1)),""))</f>
        <v/>
      </c>
      <c r="C3490">
        <f>IF(A3490="","",DATE(YEAR(A3490),12,31)-DATE(YEAR(A3490),1,1)+1)</f>
        <v/>
      </c>
      <c r="D3490">
        <f>IF(A3490="","",SUMIFS(Акты!$D$5:$D$16,Акты!$E$5:$E$16,"&lt;="&amp;A3490)-SUMIFS(Оплаты!$B$6:$B$505,Оплаты!$A$6:$A$505,"&lt;"&amp;A3490,Оплаты!$D$6:$D$505,"&lt;&gt;"))</f>
        <v/>
      </c>
      <c r="E3490">
        <f>IF(A3490="","",IF(SUMPRODUCT((Ввод!$F$12:$F$31&lt;&gt;"")*(Ввод!$F$12:$F$31&lt;=A3490)*(Ввод!$G$12:$G$31&gt;=A3490))&gt;0,1,0))</f>
        <v/>
      </c>
      <c r="G3490">
        <f>IF(A3490="","",IF(OR(B3490&lt;&gt;B3489,C3490&lt;&gt;C3489,E3490&lt;&gt;E3489),G3489+1,G3489))</f>
        <v/>
      </c>
    </row>
    <row r="3491">
      <c r="A3491" s="20">
        <f>IF(A3490="","",IF(A3490+1&gt;Ввод!$B$4,"",A3490+1))</f>
        <v/>
      </c>
      <c r="B3491">
        <f>IF(A3491="","",IFERROR(INDEX(Ввод!$B$12:$B$71,MATCH(A3491,Ввод!$D$12:$D$71,1)),""))</f>
        <v/>
      </c>
      <c r="C3491">
        <f>IF(A3491="","",DATE(YEAR(A3491),12,31)-DATE(YEAR(A3491),1,1)+1)</f>
        <v/>
      </c>
      <c r="D3491">
        <f>IF(A3491="","",SUMIFS(Акты!$D$5:$D$16,Акты!$E$5:$E$16,"&lt;="&amp;A3491)-SUMIFS(Оплаты!$B$6:$B$505,Оплаты!$A$6:$A$505,"&lt;"&amp;A3491,Оплаты!$D$6:$D$505,"&lt;&gt;"))</f>
        <v/>
      </c>
      <c r="E3491">
        <f>IF(A3491="","",IF(SUMPRODUCT((Ввод!$F$12:$F$31&lt;&gt;"")*(Ввод!$F$12:$F$31&lt;=A3491)*(Ввод!$G$12:$G$31&gt;=A3491))&gt;0,1,0))</f>
        <v/>
      </c>
      <c r="G3491">
        <f>IF(A3491="","",IF(OR(B3491&lt;&gt;B3490,C3491&lt;&gt;C3490,E3491&lt;&gt;E3490),G3490+1,G3490))</f>
        <v/>
      </c>
    </row>
    <row r="3492">
      <c r="A3492" s="20">
        <f>IF(A3491="","",IF(A3491+1&gt;Ввод!$B$4,"",A3491+1))</f>
        <v/>
      </c>
      <c r="B3492">
        <f>IF(A3492="","",IFERROR(INDEX(Ввод!$B$12:$B$71,MATCH(A3492,Ввод!$D$12:$D$71,1)),""))</f>
        <v/>
      </c>
      <c r="C3492">
        <f>IF(A3492="","",DATE(YEAR(A3492),12,31)-DATE(YEAR(A3492),1,1)+1)</f>
        <v/>
      </c>
      <c r="D3492">
        <f>IF(A3492="","",SUMIFS(Акты!$D$5:$D$16,Акты!$E$5:$E$16,"&lt;="&amp;A3492)-SUMIFS(Оплаты!$B$6:$B$505,Оплаты!$A$6:$A$505,"&lt;"&amp;A3492,Оплаты!$D$6:$D$505,"&lt;&gt;"))</f>
        <v/>
      </c>
      <c r="E3492">
        <f>IF(A3492="","",IF(SUMPRODUCT((Ввод!$F$12:$F$31&lt;&gt;"")*(Ввод!$F$12:$F$31&lt;=A3492)*(Ввод!$G$12:$G$31&gt;=A3492))&gt;0,1,0))</f>
        <v/>
      </c>
      <c r="G3492">
        <f>IF(A3492="","",IF(OR(B3492&lt;&gt;B3491,C3492&lt;&gt;C3491,E3492&lt;&gt;E3491),G3491+1,G3491))</f>
        <v/>
      </c>
    </row>
    <row r="3493">
      <c r="A3493" s="20">
        <f>IF(A3492="","",IF(A3492+1&gt;Ввод!$B$4,"",A3492+1))</f>
        <v/>
      </c>
      <c r="B3493">
        <f>IF(A3493="","",IFERROR(INDEX(Ввод!$B$12:$B$71,MATCH(A3493,Ввод!$D$12:$D$71,1)),""))</f>
        <v/>
      </c>
      <c r="C3493">
        <f>IF(A3493="","",DATE(YEAR(A3493),12,31)-DATE(YEAR(A3493),1,1)+1)</f>
        <v/>
      </c>
      <c r="D3493">
        <f>IF(A3493="","",SUMIFS(Акты!$D$5:$D$16,Акты!$E$5:$E$16,"&lt;="&amp;A3493)-SUMIFS(Оплаты!$B$6:$B$505,Оплаты!$A$6:$A$505,"&lt;"&amp;A3493,Оплаты!$D$6:$D$505,"&lt;&gt;"))</f>
        <v/>
      </c>
      <c r="E3493">
        <f>IF(A3493="","",IF(SUMPRODUCT((Ввод!$F$12:$F$31&lt;&gt;"")*(Ввод!$F$12:$F$31&lt;=A3493)*(Ввод!$G$12:$G$31&gt;=A3493))&gt;0,1,0))</f>
        <v/>
      </c>
      <c r="G3493">
        <f>IF(A3493="","",IF(OR(B3493&lt;&gt;B3492,C3493&lt;&gt;C3492,E3493&lt;&gt;E3492),G3492+1,G3492))</f>
        <v/>
      </c>
    </row>
    <row r="3494">
      <c r="A3494" s="20">
        <f>IF(A3493="","",IF(A3493+1&gt;Ввод!$B$4,"",A3493+1))</f>
        <v/>
      </c>
      <c r="B3494">
        <f>IF(A3494="","",IFERROR(INDEX(Ввод!$B$12:$B$71,MATCH(A3494,Ввод!$D$12:$D$71,1)),""))</f>
        <v/>
      </c>
      <c r="C3494">
        <f>IF(A3494="","",DATE(YEAR(A3494),12,31)-DATE(YEAR(A3494),1,1)+1)</f>
        <v/>
      </c>
      <c r="D3494">
        <f>IF(A3494="","",SUMIFS(Акты!$D$5:$D$16,Акты!$E$5:$E$16,"&lt;="&amp;A3494)-SUMIFS(Оплаты!$B$6:$B$505,Оплаты!$A$6:$A$505,"&lt;"&amp;A3494,Оплаты!$D$6:$D$505,"&lt;&gt;"))</f>
        <v/>
      </c>
      <c r="E3494">
        <f>IF(A3494="","",IF(SUMPRODUCT((Ввод!$F$12:$F$31&lt;&gt;"")*(Ввод!$F$12:$F$31&lt;=A3494)*(Ввод!$G$12:$G$31&gt;=A3494))&gt;0,1,0))</f>
        <v/>
      </c>
      <c r="G3494">
        <f>IF(A3494="","",IF(OR(B3494&lt;&gt;B3493,C3494&lt;&gt;C3493,E3494&lt;&gt;E3493),G3493+1,G3493))</f>
        <v/>
      </c>
    </row>
    <row r="3495">
      <c r="A3495" s="20">
        <f>IF(A3494="","",IF(A3494+1&gt;Ввод!$B$4,"",A3494+1))</f>
        <v/>
      </c>
      <c r="B3495">
        <f>IF(A3495="","",IFERROR(INDEX(Ввод!$B$12:$B$71,MATCH(A3495,Ввод!$D$12:$D$71,1)),""))</f>
        <v/>
      </c>
      <c r="C3495">
        <f>IF(A3495="","",DATE(YEAR(A3495),12,31)-DATE(YEAR(A3495),1,1)+1)</f>
        <v/>
      </c>
      <c r="D3495">
        <f>IF(A3495="","",SUMIFS(Акты!$D$5:$D$16,Акты!$E$5:$E$16,"&lt;="&amp;A3495)-SUMIFS(Оплаты!$B$6:$B$505,Оплаты!$A$6:$A$505,"&lt;"&amp;A3495,Оплаты!$D$6:$D$505,"&lt;&gt;"))</f>
        <v/>
      </c>
      <c r="E3495">
        <f>IF(A3495="","",IF(SUMPRODUCT((Ввод!$F$12:$F$31&lt;&gt;"")*(Ввод!$F$12:$F$31&lt;=A3495)*(Ввод!$G$12:$G$31&gt;=A3495))&gt;0,1,0))</f>
        <v/>
      </c>
      <c r="G3495">
        <f>IF(A3495="","",IF(OR(B3495&lt;&gt;B3494,C3495&lt;&gt;C3494,E3495&lt;&gt;E3494),G3494+1,G3494))</f>
        <v/>
      </c>
    </row>
    <row r="3496">
      <c r="A3496" s="20">
        <f>IF(A3495="","",IF(A3495+1&gt;Ввод!$B$4,"",A3495+1))</f>
        <v/>
      </c>
      <c r="B3496">
        <f>IF(A3496="","",IFERROR(INDEX(Ввод!$B$12:$B$71,MATCH(A3496,Ввод!$D$12:$D$71,1)),""))</f>
        <v/>
      </c>
      <c r="C3496">
        <f>IF(A3496="","",DATE(YEAR(A3496),12,31)-DATE(YEAR(A3496),1,1)+1)</f>
        <v/>
      </c>
      <c r="D3496">
        <f>IF(A3496="","",SUMIFS(Акты!$D$5:$D$16,Акты!$E$5:$E$16,"&lt;="&amp;A3496)-SUMIFS(Оплаты!$B$6:$B$505,Оплаты!$A$6:$A$505,"&lt;"&amp;A3496,Оплаты!$D$6:$D$505,"&lt;&gt;"))</f>
        <v/>
      </c>
      <c r="E3496">
        <f>IF(A3496="","",IF(SUMPRODUCT((Ввод!$F$12:$F$31&lt;&gt;"")*(Ввод!$F$12:$F$31&lt;=A3496)*(Ввод!$G$12:$G$31&gt;=A3496))&gt;0,1,0))</f>
        <v/>
      </c>
      <c r="G3496">
        <f>IF(A3496="","",IF(OR(B3496&lt;&gt;B3495,C3496&lt;&gt;C3495,E3496&lt;&gt;E3495),G3495+1,G3495))</f>
        <v/>
      </c>
    </row>
    <row r="3497">
      <c r="A3497" s="20">
        <f>IF(A3496="","",IF(A3496+1&gt;Ввод!$B$4,"",A3496+1))</f>
        <v/>
      </c>
      <c r="B3497">
        <f>IF(A3497="","",IFERROR(INDEX(Ввод!$B$12:$B$71,MATCH(A3497,Ввод!$D$12:$D$71,1)),""))</f>
        <v/>
      </c>
      <c r="C3497">
        <f>IF(A3497="","",DATE(YEAR(A3497),12,31)-DATE(YEAR(A3497),1,1)+1)</f>
        <v/>
      </c>
      <c r="D3497">
        <f>IF(A3497="","",SUMIFS(Акты!$D$5:$D$16,Акты!$E$5:$E$16,"&lt;="&amp;A3497)-SUMIFS(Оплаты!$B$6:$B$505,Оплаты!$A$6:$A$505,"&lt;"&amp;A3497,Оплаты!$D$6:$D$505,"&lt;&gt;"))</f>
        <v/>
      </c>
      <c r="E3497">
        <f>IF(A3497="","",IF(SUMPRODUCT((Ввод!$F$12:$F$31&lt;&gt;"")*(Ввод!$F$12:$F$31&lt;=A3497)*(Ввод!$G$12:$G$31&gt;=A3497))&gt;0,1,0))</f>
        <v/>
      </c>
      <c r="G3497">
        <f>IF(A3497="","",IF(OR(B3497&lt;&gt;B3496,C3497&lt;&gt;C3496,E3497&lt;&gt;E3496),G3496+1,G3496))</f>
        <v/>
      </c>
    </row>
    <row r="3498">
      <c r="A3498" s="20">
        <f>IF(A3497="","",IF(A3497+1&gt;Ввод!$B$4,"",A3497+1))</f>
        <v/>
      </c>
      <c r="B3498">
        <f>IF(A3498="","",IFERROR(INDEX(Ввод!$B$12:$B$71,MATCH(A3498,Ввод!$D$12:$D$71,1)),""))</f>
        <v/>
      </c>
      <c r="C3498">
        <f>IF(A3498="","",DATE(YEAR(A3498),12,31)-DATE(YEAR(A3498),1,1)+1)</f>
        <v/>
      </c>
      <c r="D3498">
        <f>IF(A3498="","",SUMIFS(Акты!$D$5:$D$16,Акты!$E$5:$E$16,"&lt;="&amp;A3498)-SUMIFS(Оплаты!$B$6:$B$505,Оплаты!$A$6:$A$505,"&lt;"&amp;A3498,Оплаты!$D$6:$D$505,"&lt;&gt;"))</f>
        <v/>
      </c>
      <c r="E3498">
        <f>IF(A3498="","",IF(SUMPRODUCT((Ввод!$F$12:$F$31&lt;&gt;"")*(Ввод!$F$12:$F$31&lt;=A3498)*(Ввод!$G$12:$G$31&gt;=A3498))&gt;0,1,0))</f>
        <v/>
      </c>
      <c r="G3498">
        <f>IF(A3498="","",IF(OR(B3498&lt;&gt;B3497,C3498&lt;&gt;C3497,E3498&lt;&gt;E3497),G3497+1,G3497))</f>
        <v/>
      </c>
    </row>
    <row r="3499">
      <c r="A3499" s="20">
        <f>IF(A3498="","",IF(A3498+1&gt;Ввод!$B$4,"",A3498+1))</f>
        <v/>
      </c>
      <c r="B3499">
        <f>IF(A3499="","",IFERROR(INDEX(Ввод!$B$12:$B$71,MATCH(A3499,Ввод!$D$12:$D$71,1)),""))</f>
        <v/>
      </c>
      <c r="C3499">
        <f>IF(A3499="","",DATE(YEAR(A3499),12,31)-DATE(YEAR(A3499),1,1)+1)</f>
        <v/>
      </c>
      <c r="D3499">
        <f>IF(A3499="","",SUMIFS(Акты!$D$5:$D$16,Акты!$E$5:$E$16,"&lt;="&amp;A3499)-SUMIFS(Оплаты!$B$6:$B$505,Оплаты!$A$6:$A$505,"&lt;"&amp;A3499,Оплаты!$D$6:$D$505,"&lt;&gt;"))</f>
        <v/>
      </c>
      <c r="E3499">
        <f>IF(A3499="","",IF(SUMPRODUCT((Ввод!$F$12:$F$31&lt;&gt;"")*(Ввод!$F$12:$F$31&lt;=A3499)*(Ввод!$G$12:$G$31&gt;=A3499))&gt;0,1,0))</f>
        <v/>
      </c>
      <c r="G3499">
        <f>IF(A3499="","",IF(OR(B3499&lt;&gt;B3498,C3499&lt;&gt;C3498,E3499&lt;&gt;E3498),G3498+1,G3498))</f>
        <v/>
      </c>
    </row>
    <row r="3500">
      <c r="A3500" s="20">
        <f>IF(A3499="","",IF(A3499+1&gt;Ввод!$B$4,"",A3499+1))</f>
        <v/>
      </c>
      <c r="B3500">
        <f>IF(A3500="","",IFERROR(INDEX(Ввод!$B$12:$B$71,MATCH(A3500,Ввод!$D$12:$D$71,1)),""))</f>
        <v/>
      </c>
      <c r="C3500">
        <f>IF(A3500="","",DATE(YEAR(A3500),12,31)-DATE(YEAR(A3500),1,1)+1)</f>
        <v/>
      </c>
      <c r="D3500">
        <f>IF(A3500="","",SUMIFS(Акты!$D$5:$D$16,Акты!$E$5:$E$16,"&lt;="&amp;A3500)-SUMIFS(Оплаты!$B$6:$B$505,Оплаты!$A$6:$A$505,"&lt;"&amp;A3500,Оплаты!$D$6:$D$505,"&lt;&gt;"))</f>
        <v/>
      </c>
      <c r="E3500">
        <f>IF(A3500="","",IF(SUMPRODUCT((Ввод!$F$12:$F$31&lt;&gt;"")*(Ввод!$F$12:$F$31&lt;=A3500)*(Ввод!$G$12:$G$31&gt;=A3500))&gt;0,1,0))</f>
        <v/>
      </c>
      <c r="G3500">
        <f>IF(A3500="","",IF(OR(B3500&lt;&gt;B3499,C3500&lt;&gt;C3499,E3500&lt;&gt;E3499),G3499+1,G3499))</f>
        <v/>
      </c>
    </row>
    <row r="3501">
      <c r="A3501" s="20">
        <f>IF(A3500="","",IF(A3500+1&gt;Ввод!$B$4,"",A3500+1))</f>
        <v/>
      </c>
      <c r="B3501">
        <f>IF(A3501="","",IFERROR(INDEX(Ввод!$B$12:$B$71,MATCH(A3501,Ввод!$D$12:$D$71,1)),""))</f>
        <v/>
      </c>
      <c r="C3501">
        <f>IF(A3501="","",DATE(YEAR(A3501),12,31)-DATE(YEAR(A3501),1,1)+1)</f>
        <v/>
      </c>
      <c r="D3501">
        <f>IF(A3501="","",SUMIFS(Акты!$D$5:$D$16,Акты!$E$5:$E$16,"&lt;="&amp;A3501)-SUMIFS(Оплаты!$B$6:$B$505,Оплаты!$A$6:$A$505,"&lt;"&amp;A3501,Оплаты!$D$6:$D$505,"&lt;&gt;"))</f>
        <v/>
      </c>
      <c r="E3501">
        <f>IF(A3501="","",IF(SUMPRODUCT((Ввод!$F$12:$F$31&lt;&gt;"")*(Ввод!$F$12:$F$31&lt;=A3501)*(Ввод!$G$12:$G$31&gt;=A3501))&gt;0,1,0))</f>
        <v/>
      </c>
      <c r="G3501">
        <f>IF(A3501="","",IF(OR(B3501&lt;&gt;B3500,C3501&lt;&gt;C3500,E3501&lt;&gt;E3500),G3500+1,G3500))</f>
        <v/>
      </c>
    </row>
    <row r="3502">
      <c r="A3502" s="20">
        <f>IF(A3501="","",IF(A3501+1&gt;Ввод!$B$4,"",A3501+1))</f>
        <v/>
      </c>
      <c r="B3502">
        <f>IF(A3502="","",IFERROR(INDEX(Ввод!$B$12:$B$71,MATCH(A3502,Ввод!$D$12:$D$71,1)),""))</f>
        <v/>
      </c>
      <c r="C3502">
        <f>IF(A3502="","",DATE(YEAR(A3502),12,31)-DATE(YEAR(A3502),1,1)+1)</f>
        <v/>
      </c>
      <c r="D3502">
        <f>IF(A3502="","",SUMIFS(Акты!$D$5:$D$16,Акты!$E$5:$E$16,"&lt;="&amp;A3502)-SUMIFS(Оплаты!$B$6:$B$505,Оплаты!$A$6:$A$505,"&lt;"&amp;A3502,Оплаты!$D$6:$D$505,"&lt;&gt;"))</f>
        <v/>
      </c>
      <c r="E3502">
        <f>IF(A3502="","",IF(SUMPRODUCT((Ввод!$F$12:$F$31&lt;&gt;"")*(Ввод!$F$12:$F$31&lt;=A3502)*(Ввод!$G$12:$G$31&gt;=A3502))&gt;0,1,0))</f>
        <v/>
      </c>
      <c r="G3502">
        <f>IF(A3502="","",IF(OR(B3502&lt;&gt;B3501,C3502&lt;&gt;C3501,E3502&lt;&gt;E3501),G3501+1,G3501))</f>
        <v/>
      </c>
    </row>
    <row r="3503">
      <c r="A3503" s="20">
        <f>IF(A3502="","",IF(A3502+1&gt;Ввод!$B$4,"",A3502+1))</f>
        <v/>
      </c>
      <c r="B3503">
        <f>IF(A3503="","",IFERROR(INDEX(Ввод!$B$12:$B$71,MATCH(A3503,Ввод!$D$12:$D$71,1)),""))</f>
        <v/>
      </c>
      <c r="C3503">
        <f>IF(A3503="","",DATE(YEAR(A3503),12,31)-DATE(YEAR(A3503),1,1)+1)</f>
        <v/>
      </c>
      <c r="D3503">
        <f>IF(A3503="","",SUMIFS(Акты!$D$5:$D$16,Акты!$E$5:$E$16,"&lt;="&amp;A3503)-SUMIFS(Оплаты!$B$6:$B$505,Оплаты!$A$6:$A$505,"&lt;"&amp;A3503,Оплаты!$D$6:$D$505,"&lt;&gt;"))</f>
        <v/>
      </c>
      <c r="E3503">
        <f>IF(A3503="","",IF(SUMPRODUCT((Ввод!$F$12:$F$31&lt;&gt;"")*(Ввод!$F$12:$F$31&lt;=A3503)*(Ввод!$G$12:$G$31&gt;=A3503))&gt;0,1,0))</f>
        <v/>
      </c>
      <c r="G3503">
        <f>IF(A3503="","",IF(OR(B3503&lt;&gt;B3502,C3503&lt;&gt;C3502,E3503&lt;&gt;E3502),G3502+1,G3502))</f>
        <v/>
      </c>
    </row>
    <row r="3504">
      <c r="A3504" s="20">
        <f>IF(A3503="","",IF(A3503+1&gt;Ввод!$B$4,"",A3503+1))</f>
        <v/>
      </c>
      <c r="B3504">
        <f>IF(A3504="","",IFERROR(INDEX(Ввод!$B$12:$B$71,MATCH(A3504,Ввод!$D$12:$D$71,1)),""))</f>
        <v/>
      </c>
      <c r="C3504">
        <f>IF(A3504="","",DATE(YEAR(A3504),12,31)-DATE(YEAR(A3504),1,1)+1)</f>
        <v/>
      </c>
      <c r="D3504">
        <f>IF(A3504="","",SUMIFS(Акты!$D$5:$D$16,Акты!$E$5:$E$16,"&lt;="&amp;A3504)-SUMIFS(Оплаты!$B$6:$B$505,Оплаты!$A$6:$A$505,"&lt;"&amp;A3504,Оплаты!$D$6:$D$505,"&lt;&gt;"))</f>
        <v/>
      </c>
      <c r="E3504">
        <f>IF(A3504="","",IF(SUMPRODUCT((Ввод!$F$12:$F$31&lt;&gt;"")*(Ввод!$F$12:$F$31&lt;=A3504)*(Ввод!$G$12:$G$31&gt;=A3504))&gt;0,1,0))</f>
        <v/>
      </c>
      <c r="G3504">
        <f>IF(A3504="","",IF(OR(B3504&lt;&gt;B3503,C3504&lt;&gt;C3503,E3504&lt;&gt;E3503),G3503+1,G3503))</f>
        <v/>
      </c>
    </row>
    <row r="3505">
      <c r="A3505" s="20">
        <f>IF(A3504="","",IF(A3504+1&gt;Ввод!$B$4,"",A3504+1))</f>
        <v/>
      </c>
      <c r="B3505">
        <f>IF(A3505="","",IFERROR(INDEX(Ввод!$B$12:$B$71,MATCH(A3505,Ввод!$D$12:$D$71,1)),""))</f>
        <v/>
      </c>
      <c r="C3505">
        <f>IF(A3505="","",DATE(YEAR(A3505),12,31)-DATE(YEAR(A3505),1,1)+1)</f>
        <v/>
      </c>
      <c r="D3505">
        <f>IF(A3505="","",SUMIFS(Акты!$D$5:$D$16,Акты!$E$5:$E$16,"&lt;="&amp;A3505)-SUMIFS(Оплаты!$B$6:$B$505,Оплаты!$A$6:$A$505,"&lt;"&amp;A3505,Оплаты!$D$6:$D$505,"&lt;&gt;"))</f>
        <v/>
      </c>
      <c r="E3505">
        <f>IF(A3505="","",IF(SUMPRODUCT((Ввод!$F$12:$F$31&lt;&gt;"")*(Ввод!$F$12:$F$31&lt;=A3505)*(Ввод!$G$12:$G$31&gt;=A3505))&gt;0,1,0))</f>
        <v/>
      </c>
      <c r="G3505">
        <f>IF(A3505="","",IF(OR(B3505&lt;&gt;B3504,C3505&lt;&gt;C3504,E3505&lt;&gt;E3504),G3504+1,G3504))</f>
        <v/>
      </c>
    </row>
    <row r="3506">
      <c r="A3506" s="20">
        <f>IF(A3505="","",IF(A3505+1&gt;Ввод!$B$4,"",A3505+1))</f>
        <v/>
      </c>
      <c r="B3506">
        <f>IF(A3506="","",IFERROR(INDEX(Ввод!$B$12:$B$71,MATCH(A3506,Ввод!$D$12:$D$71,1)),""))</f>
        <v/>
      </c>
      <c r="C3506">
        <f>IF(A3506="","",DATE(YEAR(A3506),12,31)-DATE(YEAR(A3506),1,1)+1)</f>
        <v/>
      </c>
      <c r="D3506">
        <f>IF(A3506="","",SUMIFS(Акты!$D$5:$D$16,Акты!$E$5:$E$16,"&lt;="&amp;A3506)-SUMIFS(Оплаты!$B$6:$B$505,Оплаты!$A$6:$A$505,"&lt;"&amp;A3506,Оплаты!$D$6:$D$505,"&lt;&gt;"))</f>
        <v/>
      </c>
      <c r="E3506">
        <f>IF(A3506="","",IF(SUMPRODUCT((Ввод!$F$12:$F$31&lt;&gt;"")*(Ввод!$F$12:$F$31&lt;=A3506)*(Ввод!$G$12:$G$31&gt;=A3506))&gt;0,1,0))</f>
        <v/>
      </c>
      <c r="G3506">
        <f>IF(A3506="","",IF(OR(B3506&lt;&gt;B3505,C3506&lt;&gt;C3505,E3506&lt;&gt;E3505),G3505+1,G3505))</f>
        <v/>
      </c>
    </row>
    <row r="3507">
      <c r="A3507" s="20">
        <f>IF(A3506="","",IF(A3506+1&gt;Ввод!$B$4,"",A3506+1))</f>
        <v/>
      </c>
      <c r="B3507">
        <f>IF(A3507="","",IFERROR(INDEX(Ввод!$B$12:$B$71,MATCH(A3507,Ввод!$D$12:$D$71,1)),""))</f>
        <v/>
      </c>
      <c r="C3507">
        <f>IF(A3507="","",DATE(YEAR(A3507),12,31)-DATE(YEAR(A3507),1,1)+1)</f>
        <v/>
      </c>
      <c r="D3507">
        <f>IF(A3507="","",SUMIFS(Акты!$D$5:$D$16,Акты!$E$5:$E$16,"&lt;="&amp;A3507)-SUMIFS(Оплаты!$B$6:$B$505,Оплаты!$A$6:$A$505,"&lt;"&amp;A3507,Оплаты!$D$6:$D$505,"&lt;&gt;"))</f>
        <v/>
      </c>
      <c r="E3507">
        <f>IF(A3507="","",IF(SUMPRODUCT((Ввод!$F$12:$F$31&lt;&gt;"")*(Ввод!$F$12:$F$31&lt;=A3507)*(Ввод!$G$12:$G$31&gt;=A3507))&gt;0,1,0))</f>
        <v/>
      </c>
      <c r="G3507">
        <f>IF(A3507="","",IF(OR(B3507&lt;&gt;B3506,C3507&lt;&gt;C3506,E3507&lt;&gt;E3506),G3506+1,G3506))</f>
        <v/>
      </c>
    </row>
    <row r="3508">
      <c r="A3508" s="20">
        <f>IF(A3507="","",IF(A3507+1&gt;Ввод!$B$4,"",A3507+1))</f>
        <v/>
      </c>
      <c r="B3508">
        <f>IF(A3508="","",IFERROR(INDEX(Ввод!$B$12:$B$71,MATCH(A3508,Ввод!$D$12:$D$71,1)),""))</f>
        <v/>
      </c>
      <c r="C3508">
        <f>IF(A3508="","",DATE(YEAR(A3508),12,31)-DATE(YEAR(A3508),1,1)+1)</f>
        <v/>
      </c>
      <c r="D3508">
        <f>IF(A3508="","",SUMIFS(Акты!$D$5:$D$16,Акты!$E$5:$E$16,"&lt;="&amp;A3508)-SUMIFS(Оплаты!$B$6:$B$505,Оплаты!$A$6:$A$505,"&lt;"&amp;A3508,Оплаты!$D$6:$D$505,"&lt;&gt;"))</f>
        <v/>
      </c>
      <c r="E3508">
        <f>IF(A3508="","",IF(SUMPRODUCT((Ввод!$F$12:$F$31&lt;&gt;"")*(Ввод!$F$12:$F$31&lt;=A3508)*(Ввод!$G$12:$G$31&gt;=A3508))&gt;0,1,0))</f>
        <v/>
      </c>
      <c r="G3508">
        <f>IF(A3508="","",IF(OR(B3508&lt;&gt;B3507,C3508&lt;&gt;C3507,E3508&lt;&gt;E3507),G3507+1,G3507))</f>
        <v/>
      </c>
    </row>
    <row r="3509">
      <c r="A3509" s="20">
        <f>IF(A3508="","",IF(A3508+1&gt;Ввод!$B$4,"",A3508+1))</f>
        <v/>
      </c>
      <c r="B3509">
        <f>IF(A3509="","",IFERROR(INDEX(Ввод!$B$12:$B$71,MATCH(A3509,Ввод!$D$12:$D$71,1)),""))</f>
        <v/>
      </c>
      <c r="C3509">
        <f>IF(A3509="","",DATE(YEAR(A3509),12,31)-DATE(YEAR(A3509),1,1)+1)</f>
        <v/>
      </c>
      <c r="D3509">
        <f>IF(A3509="","",SUMIFS(Акты!$D$5:$D$16,Акты!$E$5:$E$16,"&lt;="&amp;A3509)-SUMIFS(Оплаты!$B$6:$B$505,Оплаты!$A$6:$A$505,"&lt;"&amp;A3509,Оплаты!$D$6:$D$505,"&lt;&gt;"))</f>
        <v/>
      </c>
      <c r="E3509">
        <f>IF(A3509="","",IF(SUMPRODUCT((Ввод!$F$12:$F$31&lt;&gt;"")*(Ввод!$F$12:$F$31&lt;=A3509)*(Ввод!$G$12:$G$31&gt;=A3509))&gt;0,1,0))</f>
        <v/>
      </c>
      <c r="G3509">
        <f>IF(A3509="","",IF(OR(B3509&lt;&gt;B3508,C3509&lt;&gt;C3508,E3509&lt;&gt;E3508),G3508+1,G3508))</f>
        <v/>
      </c>
    </row>
    <row r="3510">
      <c r="A3510" s="20">
        <f>IF(A3509="","",IF(A3509+1&gt;Ввод!$B$4,"",A3509+1))</f>
        <v/>
      </c>
      <c r="B3510">
        <f>IF(A3510="","",IFERROR(INDEX(Ввод!$B$12:$B$71,MATCH(A3510,Ввод!$D$12:$D$71,1)),""))</f>
        <v/>
      </c>
      <c r="C3510">
        <f>IF(A3510="","",DATE(YEAR(A3510),12,31)-DATE(YEAR(A3510),1,1)+1)</f>
        <v/>
      </c>
      <c r="D3510">
        <f>IF(A3510="","",SUMIFS(Акты!$D$5:$D$16,Акты!$E$5:$E$16,"&lt;="&amp;A3510)-SUMIFS(Оплаты!$B$6:$B$505,Оплаты!$A$6:$A$505,"&lt;"&amp;A3510,Оплаты!$D$6:$D$505,"&lt;&gt;"))</f>
        <v/>
      </c>
      <c r="E3510">
        <f>IF(A3510="","",IF(SUMPRODUCT((Ввод!$F$12:$F$31&lt;&gt;"")*(Ввод!$F$12:$F$31&lt;=A3510)*(Ввод!$G$12:$G$31&gt;=A3510))&gt;0,1,0))</f>
        <v/>
      </c>
      <c r="G3510">
        <f>IF(A3510="","",IF(OR(B3510&lt;&gt;B3509,C3510&lt;&gt;C3509,E3510&lt;&gt;E3509),G3509+1,G3509))</f>
        <v/>
      </c>
    </row>
    <row r="3511">
      <c r="A3511" s="20">
        <f>IF(A3510="","",IF(A3510+1&gt;Ввод!$B$4,"",A3510+1))</f>
        <v/>
      </c>
      <c r="B3511">
        <f>IF(A3511="","",IFERROR(INDEX(Ввод!$B$12:$B$71,MATCH(A3511,Ввод!$D$12:$D$71,1)),""))</f>
        <v/>
      </c>
      <c r="C3511">
        <f>IF(A3511="","",DATE(YEAR(A3511),12,31)-DATE(YEAR(A3511),1,1)+1)</f>
        <v/>
      </c>
      <c r="D3511">
        <f>IF(A3511="","",SUMIFS(Акты!$D$5:$D$16,Акты!$E$5:$E$16,"&lt;="&amp;A3511)-SUMIFS(Оплаты!$B$6:$B$505,Оплаты!$A$6:$A$505,"&lt;"&amp;A3511,Оплаты!$D$6:$D$505,"&lt;&gt;"))</f>
        <v/>
      </c>
      <c r="E3511">
        <f>IF(A3511="","",IF(SUMPRODUCT((Ввод!$F$12:$F$31&lt;&gt;"")*(Ввод!$F$12:$F$31&lt;=A3511)*(Ввод!$G$12:$G$31&gt;=A3511))&gt;0,1,0))</f>
        <v/>
      </c>
      <c r="G3511">
        <f>IF(A3511="","",IF(OR(B3511&lt;&gt;B3510,C3511&lt;&gt;C3510,E3511&lt;&gt;E3510),G3510+1,G3510))</f>
        <v/>
      </c>
    </row>
    <row r="3512">
      <c r="A3512" s="20">
        <f>IF(A3511="","",IF(A3511+1&gt;Ввод!$B$4,"",A3511+1))</f>
        <v/>
      </c>
      <c r="B3512">
        <f>IF(A3512="","",IFERROR(INDEX(Ввод!$B$12:$B$71,MATCH(A3512,Ввод!$D$12:$D$71,1)),""))</f>
        <v/>
      </c>
      <c r="C3512">
        <f>IF(A3512="","",DATE(YEAR(A3512),12,31)-DATE(YEAR(A3512),1,1)+1)</f>
        <v/>
      </c>
      <c r="D3512">
        <f>IF(A3512="","",SUMIFS(Акты!$D$5:$D$16,Акты!$E$5:$E$16,"&lt;="&amp;A3512)-SUMIFS(Оплаты!$B$6:$B$505,Оплаты!$A$6:$A$505,"&lt;"&amp;A3512,Оплаты!$D$6:$D$505,"&lt;&gt;"))</f>
        <v/>
      </c>
      <c r="E3512">
        <f>IF(A3512="","",IF(SUMPRODUCT((Ввод!$F$12:$F$31&lt;&gt;"")*(Ввод!$F$12:$F$31&lt;=A3512)*(Ввод!$G$12:$G$31&gt;=A3512))&gt;0,1,0))</f>
        <v/>
      </c>
      <c r="G3512">
        <f>IF(A3512="","",IF(OR(B3512&lt;&gt;B3511,C3512&lt;&gt;C3511,E3512&lt;&gt;E3511),G3511+1,G3511))</f>
        <v/>
      </c>
    </row>
    <row r="3513">
      <c r="A3513" s="20">
        <f>IF(A3512="","",IF(A3512+1&gt;Ввод!$B$4,"",A3512+1))</f>
        <v/>
      </c>
      <c r="B3513">
        <f>IF(A3513="","",IFERROR(INDEX(Ввод!$B$12:$B$71,MATCH(A3513,Ввод!$D$12:$D$71,1)),""))</f>
        <v/>
      </c>
      <c r="C3513">
        <f>IF(A3513="","",DATE(YEAR(A3513),12,31)-DATE(YEAR(A3513),1,1)+1)</f>
        <v/>
      </c>
      <c r="D3513">
        <f>IF(A3513="","",SUMIFS(Акты!$D$5:$D$16,Акты!$E$5:$E$16,"&lt;="&amp;A3513)-SUMIFS(Оплаты!$B$6:$B$505,Оплаты!$A$6:$A$505,"&lt;"&amp;A3513,Оплаты!$D$6:$D$505,"&lt;&gt;"))</f>
        <v/>
      </c>
      <c r="E3513">
        <f>IF(A3513="","",IF(SUMPRODUCT((Ввод!$F$12:$F$31&lt;&gt;"")*(Ввод!$F$12:$F$31&lt;=A3513)*(Ввод!$G$12:$G$31&gt;=A3513))&gt;0,1,0))</f>
        <v/>
      </c>
      <c r="G3513">
        <f>IF(A3513="","",IF(OR(B3513&lt;&gt;B3512,C3513&lt;&gt;C3512,E3513&lt;&gt;E3512),G3512+1,G3512))</f>
        <v/>
      </c>
    </row>
    <row r="3514">
      <c r="A3514" s="20">
        <f>IF(A3513="","",IF(A3513+1&gt;Ввод!$B$4,"",A3513+1))</f>
        <v/>
      </c>
      <c r="B3514">
        <f>IF(A3514="","",IFERROR(INDEX(Ввод!$B$12:$B$71,MATCH(A3514,Ввод!$D$12:$D$71,1)),""))</f>
        <v/>
      </c>
      <c r="C3514">
        <f>IF(A3514="","",DATE(YEAR(A3514),12,31)-DATE(YEAR(A3514),1,1)+1)</f>
        <v/>
      </c>
      <c r="D3514">
        <f>IF(A3514="","",SUMIFS(Акты!$D$5:$D$16,Акты!$E$5:$E$16,"&lt;="&amp;A3514)-SUMIFS(Оплаты!$B$6:$B$505,Оплаты!$A$6:$A$505,"&lt;"&amp;A3514,Оплаты!$D$6:$D$505,"&lt;&gt;"))</f>
        <v/>
      </c>
      <c r="E3514">
        <f>IF(A3514="","",IF(SUMPRODUCT((Ввод!$F$12:$F$31&lt;&gt;"")*(Ввод!$F$12:$F$31&lt;=A3514)*(Ввод!$G$12:$G$31&gt;=A3514))&gt;0,1,0))</f>
        <v/>
      </c>
      <c r="G3514">
        <f>IF(A3514="","",IF(OR(B3514&lt;&gt;B3513,C3514&lt;&gt;C3513,E3514&lt;&gt;E3513),G3513+1,G3513))</f>
        <v/>
      </c>
    </row>
    <row r="3515">
      <c r="A3515" s="20">
        <f>IF(A3514="","",IF(A3514+1&gt;Ввод!$B$4,"",A3514+1))</f>
        <v/>
      </c>
      <c r="B3515">
        <f>IF(A3515="","",IFERROR(INDEX(Ввод!$B$12:$B$71,MATCH(A3515,Ввод!$D$12:$D$71,1)),""))</f>
        <v/>
      </c>
      <c r="C3515">
        <f>IF(A3515="","",DATE(YEAR(A3515),12,31)-DATE(YEAR(A3515),1,1)+1)</f>
        <v/>
      </c>
      <c r="D3515">
        <f>IF(A3515="","",SUMIFS(Акты!$D$5:$D$16,Акты!$E$5:$E$16,"&lt;="&amp;A3515)-SUMIFS(Оплаты!$B$6:$B$505,Оплаты!$A$6:$A$505,"&lt;"&amp;A3515,Оплаты!$D$6:$D$505,"&lt;&gt;"))</f>
        <v/>
      </c>
      <c r="E3515">
        <f>IF(A3515="","",IF(SUMPRODUCT((Ввод!$F$12:$F$31&lt;&gt;"")*(Ввод!$F$12:$F$31&lt;=A3515)*(Ввод!$G$12:$G$31&gt;=A3515))&gt;0,1,0))</f>
        <v/>
      </c>
      <c r="G3515">
        <f>IF(A3515="","",IF(OR(B3515&lt;&gt;B3514,C3515&lt;&gt;C3514,E3515&lt;&gt;E3514),G3514+1,G3514))</f>
        <v/>
      </c>
    </row>
    <row r="3516">
      <c r="A3516" s="20">
        <f>IF(A3515="","",IF(A3515+1&gt;Ввод!$B$4,"",A3515+1))</f>
        <v/>
      </c>
      <c r="B3516">
        <f>IF(A3516="","",IFERROR(INDEX(Ввод!$B$12:$B$71,MATCH(A3516,Ввод!$D$12:$D$71,1)),""))</f>
        <v/>
      </c>
      <c r="C3516">
        <f>IF(A3516="","",DATE(YEAR(A3516),12,31)-DATE(YEAR(A3516),1,1)+1)</f>
        <v/>
      </c>
      <c r="D3516">
        <f>IF(A3516="","",SUMIFS(Акты!$D$5:$D$16,Акты!$E$5:$E$16,"&lt;="&amp;A3516)-SUMIFS(Оплаты!$B$6:$B$505,Оплаты!$A$6:$A$505,"&lt;"&amp;A3516,Оплаты!$D$6:$D$505,"&lt;&gt;"))</f>
        <v/>
      </c>
      <c r="E3516">
        <f>IF(A3516="","",IF(SUMPRODUCT((Ввод!$F$12:$F$31&lt;&gt;"")*(Ввод!$F$12:$F$31&lt;=A3516)*(Ввод!$G$12:$G$31&gt;=A3516))&gt;0,1,0))</f>
        <v/>
      </c>
      <c r="G3516">
        <f>IF(A3516="","",IF(OR(B3516&lt;&gt;B3515,C3516&lt;&gt;C3515,E3516&lt;&gt;E3515),G3515+1,G3515))</f>
        <v/>
      </c>
    </row>
    <row r="3517">
      <c r="A3517" s="20">
        <f>IF(A3516="","",IF(A3516+1&gt;Ввод!$B$4,"",A3516+1))</f>
        <v/>
      </c>
      <c r="B3517">
        <f>IF(A3517="","",IFERROR(INDEX(Ввод!$B$12:$B$71,MATCH(A3517,Ввод!$D$12:$D$71,1)),""))</f>
        <v/>
      </c>
      <c r="C3517">
        <f>IF(A3517="","",DATE(YEAR(A3517),12,31)-DATE(YEAR(A3517),1,1)+1)</f>
        <v/>
      </c>
      <c r="D3517">
        <f>IF(A3517="","",SUMIFS(Акты!$D$5:$D$16,Акты!$E$5:$E$16,"&lt;="&amp;A3517)-SUMIFS(Оплаты!$B$6:$B$505,Оплаты!$A$6:$A$505,"&lt;"&amp;A3517,Оплаты!$D$6:$D$505,"&lt;&gt;"))</f>
        <v/>
      </c>
      <c r="E3517">
        <f>IF(A3517="","",IF(SUMPRODUCT((Ввод!$F$12:$F$31&lt;&gt;"")*(Ввод!$F$12:$F$31&lt;=A3517)*(Ввод!$G$12:$G$31&gt;=A3517))&gt;0,1,0))</f>
        <v/>
      </c>
      <c r="G3517">
        <f>IF(A3517="","",IF(OR(B3517&lt;&gt;B3516,C3517&lt;&gt;C3516,E3517&lt;&gt;E3516),G3516+1,G3516))</f>
        <v/>
      </c>
    </row>
    <row r="3518">
      <c r="A3518" s="20">
        <f>IF(A3517="","",IF(A3517+1&gt;Ввод!$B$4,"",A3517+1))</f>
        <v/>
      </c>
      <c r="B3518">
        <f>IF(A3518="","",IFERROR(INDEX(Ввод!$B$12:$B$71,MATCH(A3518,Ввод!$D$12:$D$71,1)),""))</f>
        <v/>
      </c>
      <c r="C3518">
        <f>IF(A3518="","",DATE(YEAR(A3518),12,31)-DATE(YEAR(A3518),1,1)+1)</f>
        <v/>
      </c>
      <c r="D3518">
        <f>IF(A3518="","",SUMIFS(Акты!$D$5:$D$16,Акты!$E$5:$E$16,"&lt;="&amp;A3518)-SUMIFS(Оплаты!$B$6:$B$505,Оплаты!$A$6:$A$505,"&lt;"&amp;A3518,Оплаты!$D$6:$D$505,"&lt;&gt;"))</f>
        <v/>
      </c>
      <c r="E3518">
        <f>IF(A3518="","",IF(SUMPRODUCT((Ввод!$F$12:$F$31&lt;&gt;"")*(Ввод!$F$12:$F$31&lt;=A3518)*(Ввод!$G$12:$G$31&gt;=A3518))&gt;0,1,0))</f>
        <v/>
      </c>
      <c r="G3518">
        <f>IF(A3518="","",IF(OR(B3518&lt;&gt;B3517,C3518&lt;&gt;C3517,E3518&lt;&gt;E3517),G3517+1,G3517))</f>
        <v/>
      </c>
    </row>
    <row r="3519">
      <c r="A3519" s="20">
        <f>IF(A3518="","",IF(A3518+1&gt;Ввод!$B$4,"",A3518+1))</f>
        <v/>
      </c>
      <c r="B3519">
        <f>IF(A3519="","",IFERROR(INDEX(Ввод!$B$12:$B$71,MATCH(A3519,Ввод!$D$12:$D$71,1)),""))</f>
        <v/>
      </c>
      <c r="C3519">
        <f>IF(A3519="","",DATE(YEAR(A3519),12,31)-DATE(YEAR(A3519),1,1)+1)</f>
        <v/>
      </c>
      <c r="D3519">
        <f>IF(A3519="","",SUMIFS(Акты!$D$5:$D$16,Акты!$E$5:$E$16,"&lt;="&amp;A3519)-SUMIFS(Оплаты!$B$6:$B$505,Оплаты!$A$6:$A$505,"&lt;"&amp;A3519,Оплаты!$D$6:$D$505,"&lt;&gt;"))</f>
        <v/>
      </c>
      <c r="E3519">
        <f>IF(A3519="","",IF(SUMPRODUCT((Ввод!$F$12:$F$31&lt;&gt;"")*(Ввод!$F$12:$F$31&lt;=A3519)*(Ввод!$G$12:$G$31&gt;=A3519))&gt;0,1,0))</f>
        <v/>
      </c>
      <c r="G3519">
        <f>IF(A3519="","",IF(OR(B3519&lt;&gt;B3518,C3519&lt;&gt;C3518,E3519&lt;&gt;E3518),G3518+1,G3518))</f>
        <v/>
      </c>
    </row>
    <row r="3520">
      <c r="A3520" s="20">
        <f>IF(A3519="","",IF(A3519+1&gt;Ввод!$B$4,"",A3519+1))</f>
        <v/>
      </c>
      <c r="B3520">
        <f>IF(A3520="","",IFERROR(INDEX(Ввод!$B$12:$B$71,MATCH(A3520,Ввод!$D$12:$D$71,1)),""))</f>
        <v/>
      </c>
      <c r="C3520">
        <f>IF(A3520="","",DATE(YEAR(A3520),12,31)-DATE(YEAR(A3520),1,1)+1)</f>
        <v/>
      </c>
      <c r="D3520">
        <f>IF(A3520="","",SUMIFS(Акты!$D$5:$D$16,Акты!$E$5:$E$16,"&lt;="&amp;A3520)-SUMIFS(Оплаты!$B$6:$B$505,Оплаты!$A$6:$A$505,"&lt;"&amp;A3520,Оплаты!$D$6:$D$505,"&lt;&gt;"))</f>
        <v/>
      </c>
      <c r="E3520">
        <f>IF(A3520="","",IF(SUMPRODUCT((Ввод!$F$12:$F$31&lt;&gt;"")*(Ввод!$F$12:$F$31&lt;=A3520)*(Ввод!$G$12:$G$31&gt;=A3520))&gt;0,1,0))</f>
        <v/>
      </c>
      <c r="G3520">
        <f>IF(A3520="","",IF(OR(B3520&lt;&gt;B3519,C3520&lt;&gt;C3519,E3520&lt;&gt;E3519),G3519+1,G3519))</f>
        <v/>
      </c>
    </row>
    <row r="3521">
      <c r="A3521" s="20">
        <f>IF(A3520="","",IF(A3520+1&gt;Ввод!$B$4,"",A3520+1))</f>
        <v/>
      </c>
      <c r="B3521">
        <f>IF(A3521="","",IFERROR(INDEX(Ввод!$B$12:$B$71,MATCH(A3521,Ввод!$D$12:$D$71,1)),""))</f>
        <v/>
      </c>
      <c r="C3521">
        <f>IF(A3521="","",DATE(YEAR(A3521),12,31)-DATE(YEAR(A3521),1,1)+1)</f>
        <v/>
      </c>
      <c r="D3521">
        <f>IF(A3521="","",SUMIFS(Акты!$D$5:$D$16,Акты!$E$5:$E$16,"&lt;="&amp;A3521)-SUMIFS(Оплаты!$B$6:$B$505,Оплаты!$A$6:$A$505,"&lt;"&amp;A3521,Оплаты!$D$6:$D$505,"&lt;&gt;"))</f>
        <v/>
      </c>
      <c r="E3521">
        <f>IF(A3521="","",IF(SUMPRODUCT((Ввод!$F$12:$F$31&lt;&gt;"")*(Ввод!$F$12:$F$31&lt;=A3521)*(Ввод!$G$12:$G$31&gt;=A3521))&gt;0,1,0))</f>
        <v/>
      </c>
      <c r="G3521">
        <f>IF(A3521="","",IF(OR(B3521&lt;&gt;B3520,C3521&lt;&gt;C3520,E3521&lt;&gt;E3520),G3520+1,G3520))</f>
        <v/>
      </c>
    </row>
    <row r="3522">
      <c r="A3522" s="20">
        <f>IF(A3521="","",IF(A3521+1&gt;Ввод!$B$4,"",A3521+1))</f>
        <v/>
      </c>
      <c r="B3522">
        <f>IF(A3522="","",IFERROR(INDEX(Ввод!$B$12:$B$71,MATCH(A3522,Ввод!$D$12:$D$71,1)),""))</f>
        <v/>
      </c>
      <c r="C3522">
        <f>IF(A3522="","",DATE(YEAR(A3522),12,31)-DATE(YEAR(A3522),1,1)+1)</f>
        <v/>
      </c>
      <c r="D3522">
        <f>IF(A3522="","",SUMIFS(Акты!$D$5:$D$16,Акты!$E$5:$E$16,"&lt;="&amp;A3522)-SUMIFS(Оплаты!$B$6:$B$505,Оплаты!$A$6:$A$505,"&lt;"&amp;A3522,Оплаты!$D$6:$D$505,"&lt;&gt;"))</f>
        <v/>
      </c>
      <c r="E3522">
        <f>IF(A3522="","",IF(SUMPRODUCT((Ввод!$F$12:$F$31&lt;&gt;"")*(Ввод!$F$12:$F$31&lt;=A3522)*(Ввод!$G$12:$G$31&gt;=A3522))&gt;0,1,0))</f>
        <v/>
      </c>
      <c r="G3522">
        <f>IF(A3522="","",IF(OR(B3522&lt;&gt;B3521,C3522&lt;&gt;C3521,E3522&lt;&gt;E3521),G3521+1,G3521))</f>
        <v/>
      </c>
    </row>
    <row r="3523">
      <c r="A3523" s="20">
        <f>IF(A3522="","",IF(A3522+1&gt;Ввод!$B$4,"",A3522+1))</f>
        <v/>
      </c>
      <c r="B3523">
        <f>IF(A3523="","",IFERROR(INDEX(Ввод!$B$12:$B$71,MATCH(A3523,Ввод!$D$12:$D$71,1)),""))</f>
        <v/>
      </c>
      <c r="C3523">
        <f>IF(A3523="","",DATE(YEAR(A3523),12,31)-DATE(YEAR(A3523),1,1)+1)</f>
        <v/>
      </c>
      <c r="D3523">
        <f>IF(A3523="","",SUMIFS(Акты!$D$5:$D$16,Акты!$E$5:$E$16,"&lt;="&amp;A3523)-SUMIFS(Оплаты!$B$6:$B$505,Оплаты!$A$6:$A$505,"&lt;"&amp;A3523,Оплаты!$D$6:$D$505,"&lt;&gt;"))</f>
        <v/>
      </c>
      <c r="E3523">
        <f>IF(A3523="","",IF(SUMPRODUCT((Ввод!$F$12:$F$31&lt;&gt;"")*(Ввод!$F$12:$F$31&lt;=A3523)*(Ввод!$G$12:$G$31&gt;=A3523))&gt;0,1,0))</f>
        <v/>
      </c>
      <c r="G3523">
        <f>IF(A3523="","",IF(OR(B3523&lt;&gt;B3522,C3523&lt;&gt;C3522,E3523&lt;&gt;E3522),G3522+1,G3522))</f>
        <v/>
      </c>
    </row>
    <row r="3524">
      <c r="A3524" s="20">
        <f>IF(A3523="","",IF(A3523+1&gt;Ввод!$B$4,"",A3523+1))</f>
        <v/>
      </c>
      <c r="B3524">
        <f>IF(A3524="","",IFERROR(INDEX(Ввод!$B$12:$B$71,MATCH(A3524,Ввод!$D$12:$D$71,1)),""))</f>
        <v/>
      </c>
      <c r="C3524">
        <f>IF(A3524="","",DATE(YEAR(A3524),12,31)-DATE(YEAR(A3524),1,1)+1)</f>
        <v/>
      </c>
      <c r="D3524">
        <f>IF(A3524="","",SUMIFS(Акты!$D$5:$D$16,Акты!$E$5:$E$16,"&lt;="&amp;A3524)-SUMIFS(Оплаты!$B$6:$B$505,Оплаты!$A$6:$A$505,"&lt;"&amp;A3524,Оплаты!$D$6:$D$505,"&lt;&gt;"))</f>
        <v/>
      </c>
      <c r="E3524">
        <f>IF(A3524="","",IF(SUMPRODUCT((Ввод!$F$12:$F$31&lt;&gt;"")*(Ввод!$F$12:$F$31&lt;=A3524)*(Ввод!$G$12:$G$31&gt;=A3524))&gt;0,1,0))</f>
        <v/>
      </c>
      <c r="G3524">
        <f>IF(A3524="","",IF(OR(B3524&lt;&gt;B3523,C3524&lt;&gt;C3523,E3524&lt;&gt;E3523),G3523+1,G3523))</f>
        <v/>
      </c>
    </row>
    <row r="3525">
      <c r="A3525" s="20">
        <f>IF(A3524="","",IF(A3524+1&gt;Ввод!$B$4,"",A3524+1))</f>
        <v/>
      </c>
      <c r="B3525">
        <f>IF(A3525="","",IFERROR(INDEX(Ввод!$B$12:$B$71,MATCH(A3525,Ввод!$D$12:$D$71,1)),""))</f>
        <v/>
      </c>
      <c r="C3525">
        <f>IF(A3525="","",DATE(YEAR(A3525),12,31)-DATE(YEAR(A3525),1,1)+1)</f>
        <v/>
      </c>
      <c r="D3525">
        <f>IF(A3525="","",SUMIFS(Акты!$D$5:$D$16,Акты!$E$5:$E$16,"&lt;="&amp;A3525)-SUMIFS(Оплаты!$B$6:$B$505,Оплаты!$A$6:$A$505,"&lt;"&amp;A3525,Оплаты!$D$6:$D$505,"&lt;&gt;"))</f>
        <v/>
      </c>
      <c r="E3525">
        <f>IF(A3525="","",IF(SUMPRODUCT((Ввод!$F$12:$F$31&lt;&gt;"")*(Ввод!$F$12:$F$31&lt;=A3525)*(Ввод!$G$12:$G$31&gt;=A3525))&gt;0,1,0))</f>
        <v/>
      </c>
      <c r="G3525">
        <f>IF(A3525="","",IF(OR(B3525&lt;&gt;B3524,C3525&lt;&gt;C3524,E3525&lt;&gt;E3524),G3524+1,G3524))</f>
        <v/>
      </c>
    </row>
    <row r="3526">
      <c r="A3526" s="20">
        <f>IF(A3525="","",IF(A3525+1&gt;Ввод!$B$4,"",A3525+1))</f>
        <v/>
      </c>
      <c r="B3526">
        <f>IF(A3526="","",IFERROR(INDEX(Ввод!$B$12:$B$71,MATCH(A3526,Ввод!$D$12:$D$71,1)),""))</f>
        <v/>
      </c>
      <c r="C3526">
        <f>IF(A3526="","",DATE(YEAR(A3526),12,31)-DATE(YEAR(A3526),1,1)+1)</f>
        <v/>
      </c>
      <c r="D3526">
        <f>IF(A3526="","",SUMIFS(Акты!$D$5:$D$16,Акты!$E$5:$E$16,"&lt;="&amp;A3526)-SUMIFS(Оплаты!$B$6:$B$505,Оплаты!$A$6:$A$505,"&lt;"&amp;A3526,Оплаты!$D$6:$D$505,"&lt;&gt;"))</f>
        <v/>
      </c>
      <c r="E3526">
        <f>IF(A3526="","",IF(SUMPRODUCT((Ввод!$F$12:$F$31&lt;&gt;"")*(Ввод!$F$12:$F$31&lt;=A3526)*(Ввод!$G$12:$G$31&gt;=A3526))&gt;0,1,0))</f>
        <v/>
      </c>
      <c r="G3526">
        <f>IF(A3526="","",IF(OR(B3526&lt;&gt;B3525,C3526&lt;&gt;C3525,E3526&lt;&gt;E3525),G3525+1,G3525))</f>
        <v/>
      </c>
    </row>
    <row r="3527">
      <c r="A3527" s="20">
        <f>IF(A3526="","",IF(A3526+1&gt;Ввод!$B$4,"",A3526+1))</f>
        <v/>
      </c>
      <c r="B3527">
        <f>IF(A3527="","",IFERROR(INDEX(Ввод!$B$12:$B$71,MATCH(A3527,Ввод!$D$12:$D$71,1)),""))</f>
        <v/>
      </c>
      <c r="C3527">
        <f>IF(A3527="","",DATE(YEAR(A3527),12,31)-DATE(YEAR(A3527),1,1)+1)</f>
        <v/>
      </c>
      <c r="D3527">
        <f>IF(A3527="","",SUMIFS(Акты!$D$5:$D$16,Акты!$E$5:$E$16,"&lt;="&amp;A3527)-SUMIFS(Оплаты!$B$6:$B$505,Оплаты!$A$6:$A$505,"&lt;"&amp;A3527,Оплаты!$D$6:$D$505,"&lt;&gt;"))</f>
        <v/>
      </c>
      <c r="E3527">
        <f>IF(A3527="","",IF(SUMPRODUCT((Ввод!$F$12:$F$31&lt;&gt;"")*(Ввод!$F$12:$F$31&lt;=A3527)*(Ввод!$G$12:$G$31&gt;=A3527))&gt;0,1,0))</f>
        <v/>
      </c>
      <c r="G3527">
        <f>IF(A3527="","",IF(OR(B3527&lt;&gt;B3526,C3527&lt;&gt;C3526,E3527&lt;&gt;E3526),G3526+1,G3526))</f>
        <v/>
      </c>
    </row>
    <row r="3528">
      <c r="A3528" s="20">
        <f>IF(A3527="","",IF(A3527+1&gt;Ввод!$B$4,"",A3527+1))</f>
        <v/>
      </c>
      <c r="B3528">
        <f>IF(A3528="","",IFERROR(INDEX(Ввод!$B$12:$B$71,MATCH(A3528,Ввод!$D$12:$D$71,1)),""))</f>
        <v/>
      </c>
      <c r="C3528">
        <f>IF(A3528="","",DATE(YEAR(A3528),12,31)-DATE(YEAR(A3528),1,1)+1)</f>
        <v/>
      </c>
      <c r="D3528">
        <f>IF(A3528="","",SUMIFS(Акты!$D$5:$D$16,Акты!$E$5:$E$16,"&lt;="&amp;A3528)-SUMIFS(Оплаты!$B$6:$B$505,Оплаты!$A$6:$A$505,"&lt;"&amp;A3528,Оплаты!$D$6:$D$505,"&lt;&gt;"))</f>
        <v/>
      </c>
      <c r="E3528">
        <f>IF(A3528="","",IF(SUMPRODUCT((Ввод!$F$12:$F$31&lt;&gt;"")*(Ввод!$F$12:$F$31&lt;=A3528)*(Ввод!$G$12:$G$31&gt;=A3528))&gt;0,1,0))</f>
        <v/>
      </c>
      <c r="G3528">
        <f>IF(A3528="","",IF(OR(B3528&lt;&gt;B3527,C3528&lt;&gt;C3527,E3528&lt;&gt;E3527),G3527+1,G3527))</f>
        <v/>
      </c>
    </row>
    <row r="3529">
      <c r="A3529" s="20">
        <f>IF(A3528="","",IF(A3528+1&gt;Ввод!$B$4,"",A3528+1))</f>
        <v/>
      </c>
      <c r="B3529">
        <f>IF(A3529="","",IFERROR(INDEX(Ввод!$B$12:$B$71,MATCH(A3529,Ввод!$D$12:$D$71,1)),""))</f>
        <v/>
      </c>
      <c r="C3529">
        <f>IF(A3529="","",DATE(YEAR(A3529),12,31)-DATE(YEAR(A3529),1,1)+1)</f>
        <v/>
      </c>
      <c r="D3529">
        <f>IF(A3529="","",SUMIFS(Акты!$D$5:$D$16,Акты!$E$5:$E$16,"&lt;="&amp;A3529)-SUMIFS(Оплаты!$B$6:$B$505,Оплаты!$A$6:$A$505,"&lt;"&amp;A3529,Оплаты!$D$6:$D$505,"&lt;&gt;"))</f>
        <v/>
      </c>
      <c r="E3529">
        <f>IF(A3529="","",IF(SUMPRODUCT((Ввод!$F$12:$F$31&lt;&gt;"")*(Ввод!$F$12:$F$31&lt;=A3529)*(Ввод!$G$12:$G$31&gt;=A3529))&gt;0,1,0))</f>
        <v/>
      </c>
      <c r="G3529">
        <f>IF(A3529="","",IF(OR(B3529&lt;&gt;B3528,C3529&lt;&gt;C3528,E3529&lt;&gt;E3528),G3528+1,G3528))</f>
        <v/>
      </c>
    </row>
    <row r="3530">
      <c r="A3530" s="20">
        <f>IF(A3529="","",IF(A3529+1&gt;Ввод!$B$4,"",A3529+1))</f>
        <v/>
      </c>
      <c r="B3530">
        <f>IF(A3530="","",IFERROR(INDEX(Ввод!$B$12:$B$71,MATCH(A3530,Ввод!$D$12:$D$71,1)),""))</f>
        <v/>
      </c>
      <c r="C3530">
        <f>IF(A3530="","",DATE(YEAR(A3530),12,31)-DATE(YEAR(A3530),1,1)+1)</f>
        <v/>
      </c>
      <c r="D3530">
        <f>IF(A3530="","",SUMIFS(Акты!$D$5:$D$16,Акты!$E$5:$E$16,"&lt;="&amp;A3530)-SUMIFS(Оплаты!$B$6:$B$505,Оплаты!$A$6:$A$505,"&lt;"&amp;A3530,Оплаты!$D$6:$D$505,"&lt;&gt;"))</f>
        <v/>
      </c>
      <c r="E3530">
        <f>IF(A3530="","",IF(SUMPRODUCT((Ввод!$F$12:$F$31&lt;&gt;"")*(Ввод!$F$12:$F$31&lt;=A3530)*(Ввод!$G$12:$G$31&gt;=A3530))&gt;0,1,0))</f>
        <v/>
      </c>
      <c r="G3530">
        <f>IF(A3530="","",IF(OR(B3530&lt;&gt;B3529,C3530&lt;&gt;C3529,E3530&lt;&gt;E3529),G3529+1,G3529))</f>
        <v/>
      </c>
    </row>
    <row r="3531">
      <c r="A3531" s="20">
        <f>IF(A3530="","",IF(A3530+1&gt;Ввод!$B$4,"",A3530+1))</f>
        <v/>
      </c>
      <c r="B3531">
        <f>IF(A3531="","",IFERROR(INDEX(Ввод!$B$12:$B$71,MATCH(A3531,Ввод!$D$12:$D$71,1)),""))</f>
        <v/>
      </c>
      <c r="C3531">
        <f>IF(A3531="","",DATE(YEAR(A3531),12,31)-DATE(YEAR(A3531),1,1)+1)</f>
        <v/>
      </c>
      <c r="D3531">
        <f>IF(A3531="","",SUMIFS(Акты!$D$5:$D$16,Акты!$E$5:$E$16,"&lt;="&amp;A3531)-SUMIFS(Оплаты!$B$6:$B$505,Оплаты!$A$6:$A$505,"&lt;"&amp;A3531,Оплаты!$D$6:$D$505,"&lt;&gt;"))</f>
        <v/>
      </c>
      <c r="E3531">
        <f>IF(A3531="","",IF(SUMPRODUCT((Ввод!$F$12:$F$31&lt;&gt;"")*(Ввод!$F$12:$F$31&lt;=A3531)*(Ввод!$G$12:$G$31&gt;=A3531))&gt;0,1,0))</f>
        <v/>
      </c>
      <c r="G3531">
        <f>IF(A3531="","",IF(OR(B3531&lt;&gt;B3530,C3531&lt;&gt;C3530,E3531&lt;&gt;E3530),G3530+1,G3530))</f>
        <v/>
      </c>
    </row>
    <row r="3532">
      <c r="A3532" s="20">
        <f>IF(A3531="","",IF(A3531+1&gt;Ввод!$B$4,"",A3531+1))</f>
        <v/>
      </c>
      <c r="B3532">
        <f>IF(A3532="","",IFERROR(INDEX(Ввод!$B$12:$B$71,MATCH(A3532,Ввод!$D$12:$D$71,1)),""))</f>
        <v/>
      </c>
      <c r="C3532">
        <f>IF(A3532="","",DATE(YEAR(A3532),12,31)-DATE(YEAR(A3532),1,1)+1)</f>
        <v/>
      </c>
      <c r="D3532">
        <f>IF(A3532="","",SUMIFS(Акты!$D$5:$D$16,Акты!$E$5:$E$16,"&lt;="&amp;A3532)-SUMIFS(Оплаты!$B$6:$B$505,Оплаты!$A$6:$A$505,"&lt;"&amp;A3532,Оплаты!$D$6:$D$505,"&lt;&gt;"))</f>
        <v/>
      </c>
      <c r="E3532">
        <f>IF(A3532="","",IF(SUMPRODUCT((Ввод!$F$12:$F$31&lt;&gt;"")*(Ввод!$F$12:$F$31&lt;=A3532)*(Ввод!$G$12:$G$31&gt;=A3532))&gt;0,1,0))</f>
        <v/>
      </c>
      <c r="G3532">
        <f>IF(A3532="","",IF(OR(B3532&lt;&gt;B3531,C3532&lt;&gt;C3531,E3532&lt;&gt;E3531),G3531+1,G3531))</f>
        <v/>
      </c>
    </row>
    <row r="3533">
      <c r="A3533" s="20">
        <f>IF(A3532="","",IF(A3532+1&gt;Ввод!$B$4,"",A3532+1))</f>
        <v/>
      </c>
      <c r="B3533">
        <f>IF(A3533="","",IFERROR(INDEX(Ввод!$B$12:$B$71,MATCH(A3533,Ввод!$D$12:$D$71,1)),""))</f>
        <v/>
      </c>
      <c r="C3533">
        <f>IF(A3533="","",DATE(YEAR(A3533),12,31)-DATE(YEAR(A3533),1,1)+1)</f>
        <v/>
      </c>
      <c r="D3533">
        <f>IF(A3533="","",SUMIFS(Акты!$D$5:$D$16,Акты!$E$5:$E$16,"&lt;="&amp;A3533)-SUMIFS(Оплаты!$B$6:$B$505,Оплаты!$A$6:$A$505,"&lt;"&amp;A3533,Оплаты!$D$6:$D$505,"&lt;&gt;"))</f>
        <v/>
      </c>
      <c r="E3533">
        <f>IF(A3533="","",IF(SUMPRODUCT((Ввод!$F$12:$F$31&lt;&gt;"")*(Ввод!$F$12:$F$31&lt;=A3533)*(Ввод!$G$12:$G$31&gt;=A3533))&gt;0,1,0))</f>
        <v/>
      </c>
      <c r="G3533">
        <f>IF(A3533="","",IF(OR(B3533&lt;&gt;B3532,C3533&lt;&gt;C3532,E3533&lt;&gt;E3532),G3532+1,G3532))</f>
        <v/>
      </c>
    </row>
    <row r="3534">
      <c r="A3534" s="20">
        <f>IF(A3533="","",IF(A3533+1&gt;Ввод!$B$4,"",A3533+1))</f>
        <v/>
      </c>
      <c r="B3534">
        <f>IF(A3534="","",IFERROR(INDEX(Ввод!$B$12:$B$71,MATCH(A3534,Ввод!$D$12:$D$71,1)),""))</f>
        <v/>
      </c>
      <c r="C3534">
        <f>IF(A3534="","",DATE(YEAR(A3534),12,31)-DATE(YEAR(A3534),1,1)+1)</f>
        <v/>
      </c>
      <c r="D3534">
        <f>IF(A3534="","",SUMIFS(Акты!$D$5:$D$16,Акты!$E$5:$E$16,"&lt;="&amp;A3534)-SUMIFS(Оплаты!$B$6:$B$505,Оплаты!$A$6:$A$505,"&lt;"&amp;A3534,Оплаты!$D$6:$D$505,"&lt;&gt;"))</f>
        <v/>
      </c>
      <c r="E3534">
        <f>IF(A3534="","",IF(SUMPRODUCT((Ввод!$F$12:$F$31&lt;&gt;"")*(Ввод!$F$12:$F$31&lt;=A3534)*(Ввод!$G$12:$G$31&gt;=A3534))&gt;0,1,0))</f>
        <v/>
      </c>
      <c r="G3534">
        <f>IF(A3534="","",IF(OR(B3534&lt;&gt;B3533,C3534&lt;&gt;C3533,E3534&lt;&gt;E3533),G3533+1,G3533))</f>
        <v/>
      </c>
    </row>
    <row r="3535">
      <c r="A3535" s="20">
        <f>IF(A3534="","",IF(A3534+1&gt;Ввод!$B$4,"",A3534+1))</f>
        <v/>
      </c>
      <c r="B3535">
        <f>IF(A3535="","",IFERROR(INDEX(Ввод!$B$12:$B$71,MATCH(A3535,Ввод!$D$12:$D$71,1)),""))</f>
        <v/>
      </c>
      <c r="C3535">
        <f>IF(A3535="","",DATE(YEAR(A3535),12,31)-DATE(YEAR(A3535),1,1)+1)</f>
        <v/>
      </c>
      <c r="D3535">
        <f>IF(A3535="","",SUMIFS(Акты!$D$5:$D$16,Акты!$E$5:$E$16,"&lt;="&amp;A3535)-SUMIFS(Оплаты!$B$6:$B$505,Оплаты!$A$6:$A$505,"&lt;"&amp;A3535,Оплаты!$D$6:$D$505,"&lt;&gt;"))</f>
        <v/>
      </c>
      <c r="E3535">
        <f>IF(A3535="","",IF(SUMPRODUCT((Ввод!$F$12:$F$31&lt;&gt;"")*(Ввод!$F$12:$F$31&lt;=A3535)*(Ввод!$G$12:$G$31&gt;=A3535))&gt;0,1,0))</f>
        <v/>
      </c>
      <c r="G3535">
        <f>IF(A3535="","",IF(OR(B3535&lt;&gt;B3534,C3535&lt;&gt;C3534,E3535&lt;&gt;E3534),G3534+1,G3534))</f>
        <v/>
      </c>
    </row>
    <row r="3536">
      <c r="A3536" s="20">
        <f>IF(A3535="","",IF(A3535+1&gt;Ввод!$B$4,"",A3535+1))</f>
        <v/>
      </c>
      <c r="B3536">
        <f>IF(A3536="","",IFERROR(INDEX(Ввод!$B$12:$B$71,MATCH(A3536,Ввод!$D$12:$D$71,1)),""))</f>
        <v/>
      </c>
      <c r="C3536">
        <f>IF(A3536="","",DATE(YEAR(A3536),12,31)-DATE(YEAR(A3536),1,1)+1)</f>
        <v/>
      </c>
      <c r="D3536">
        <f>IF(A3536="","",SUMIFS(Акты!$D$5:$D$16,Акты!$E$5:$E$16,"&lt;="&amp;A3536)-SUMIFS(Оплаты!$B$6:$B$505,Оплаты!$A$6:$A$505,"&lt;"&amp;A3536,Оплаты!$D$6:$D$505,"&lt;&gt;"))</f>
        <v/>
      </c>
      <c r="E3536">
        <f>IF(A3536="","",IF(SUMPRODUCT((Ввод!$F$12:$F$31&lt;&gt;"")*(Ввод!$F$12:$F$31&lt;=A3536)*(Ввод!$G$12:$G$31&gt;=A3536))&gt;0,1,0))</f>
        <v/>
      </c>
      <c r="G3536">
        <f>IF(A3536="","",IF(OR(B3536&lt;&gt;B3535,C3536&lt;&gt;C3535,E3536&lt;&gt;E3535),G3535+1,G3535))</f>
        <v/>
      </c>
    </row>
    <row r="3537">
      <c r="A3537" s="20">
        <f>IF(A3536="","",IF(A3536+1&gt;Ввод!$B$4,"",A3536+1))</f>
        <v/>
      </c>
      <c r="B3537">
        <f>IF(A3537="","",IFERROR(INDEX(Ввод!$B$12:$B$71,MATCH(A3537,Ввод!$D$12:$D$71,1)),""))</f>
        <v/>
      </c>
      <c r="C3537">
        <f>IF(A3537="","",DATE(YEAR(A3537),12,31)-DATE(YEAR(A3537),1,1)+1)</f>
        <v/>
      </c>
      <c r="D3537">
        <f>IF(A3537="","",SUMIFS(Акты!$D$5:$D$16,Акты!$E$5:$E$16,"&lt;="&amp;A3537)-SUMIFS(Оплаты!$B$6:$B$505,Оплаты!$A$6:$A$505,"&lt;"&amp;A3537,Оплаты!$D$6:$D$505,"&lt;&gt;"))</f>
        <v/>
      </c>
      <c r="E3537">
        <f>IF(A3537="","",IF(SUMPRODUCT((Ввод!$F$12:$F$31&lt;&gt;"")*(Ввод!$F$12:$F$31&lt;=A3537)*(Ввод!$G$12:$G$31&gt;=A3537))&gt;0,1,0))</f>
        <v/>
      </c>
      <c r="G3537">
        <f>IF(A3537="","",IF(OR(B3537&lt;&gt;B3536,C3537&lt;&gt;C3536,E3537&lt;&gt;E3536),G3536+1,G3536))</f>
        <v/>
      </c>
    </row>
    <row r="3538">
      <c r="A3538" s="20">
        <f>IF(A3537="","",IF(A3537+1&gt;Ввод!$B$4,"",A3537+1))</f>
        <v/>
      </c>
      <c r="B3538">
        <f>IF(A3538="","",IFERROR(INDEX(Ввод!$B$12:$B$71,MATCH(A3538,Ввод!$D$12:$D$71,1)),""))</f>
        <v/>
      </c>
      <c r="C3538">
        <f>IF(A3538="","",DATE(YEAR(A3538),12,31)-DATE(YEAR(A3538),1,1)+1)</f>
        <v/>
      </c>
      <c r="D3538">
        <f>IF(A3538="","",SUMIFS(Акты!$D$5:$D$16,Акты!$E$5:$E$16,"&lt;="&amp;A3538)-SUMIFS(Оплаты!$B$6:$B$505,Оплаты!$A$6:$A$505,"&lt;"&amp;A3538,Оплаты!$D$6:$D$505,"&lt;&gt;"))</f>
        <v/>
      </c>
      <c r="E3538">
        <f>IF(A3538="","",IF(SUMPRODUCT((Ввод!$F$12:$F$31&lt;&gt;"")*(Ввод!$F$12:$F$31&lt;=A3538)*(Ввод!$G$12:$G$31&gt;=A3538))&gt;0,1,0))</f>
        <v/>
      </c>
      <c r="G3538">
        <f>IF(A3538="","",IF(OR(B3538&lt;&gt;B3537,C3538&lt;&gt;C3537,E3538&lt;&gt;E3537),G3537+1,G3537))</f>
        <v/>
      </c>
    </row>
    <row r="3539">
      <c r="A3539" s="20">
        <f>IF(A3538="","",IF(A3538+1&gt;Ввод!$B$4,"",A3538+1))</f>
        <v/>
      </c>
      <c r="B3539">
        <f>IF(A3539="","",IFERROR(INDEX(Ввод!$B$12:$B$71,MATCH(A3539,Ввод!$D$12:$D$71,1)),""))</f>
        <v/>
      </c>
      <c r="C3539">
        <f>IF(A3539="","",DATE(YEAR(A3539),12,31)-DATE(YEAR(A3539),1,1)+1)</f>
        <v/>
      </c>
      <c r="D3539">
        <f>IF(A3539="","",SUMIFS(Акты!$D$5:$D$16,Акты!$E$5:$E$16,"&lt;="&amp;A3539)-SUMIFS(Оплаты!$B$6:$B$505,Оплаты!$A$6:$A$505,"&lt;"&amp;A3539,Оплаты!$D$6:$D$505,"&lt;&gt;"))</f>
        <v/>
      </c>
      <c r="E3539">
        <f>IF(A3539="","",IF(SUMPRODUCT((Ввод!$F$12:$F$31&lt;&gt;"")*(Ввод!$F$12:$F$31&lt;=A3539)*(Ввод!$G$12:$G$31&gt;=A3539))&gt;0,1,0))</f>
        <v/>
      </c>
      <c r="G3539">
        <f>IF(A3539="","",IF(OR(B3539&lt;&gt;B3538,C3539&lt;&gt;C3538,E3539&lt;&gt;E3538),G3538+1,G3538))</f>
        <v/>
      </c>
    </row>
    <row r="3540">
      <c r="A3540" s="20">
        <f>IF(A3539="","",IF(A3539+1&gt;Ввод!$B$4,"",A3539+1))</f>
        <v/>
      </c>
      <c r="B3540">
        <f>IF(A3540="","",IFERROR(INDEX(Ввод!$B$12:$B$71,MATCH(A3540,Ввод!$D$12:$D$71,1)),""))</f>
        <v/>
      </c>
      <c r="C3540">
        <f>IF(A3540="","",DATE(YEAR(A3540),12,31)-DATE(YEAR(A3540),1,1)+1)</f>
        <v/>
      </c>
      <c r="D3540">
        <f>IF(A3540="","",SUMIFS(Акты!$D$5:$D$16,Акты!$E$5:$E$16,"&lt;="&amp;A3540)-SUMIFS(Оплаты!$B$6:$B$505,Оплаты!$A$6:$A$505,"&lt;"&amp;A3540,Оплаты!$D$6:$D$505,"&lt;&gt;"))</f>
        <v/>
      </c>
      <c r="E3540">
        <f>IF(A3540="","",IF(SUMPRODUCT((Ввод!$F$12:$F$31&lt;&gt;"")*(Ввод!$F$12:$F$31&lt;=A3540)*(Ввод!$G$12:$G$31&gt;=A3540))&gt;0,1,0))</f>
        <v/>
      </c>
      <c r="G3540">
        <f>IF(A3540="","",IF(OR(B3540&lt;&gt;B3539,C3540&lt;&gt;C3539,E3540&lt;&gt;E3539),G3539+1,G3539))</f>
        <v/>
      </c>
    </row>
    <row r="3541">
      <c r="A3541" s="20">
        <f>IF(A3540="","",IF(A3540+1&gt;Ввод!$B$4,"",A3540+1))</f>
        <v/>
      </c>
      <c r="B3541">
        <f>IF(A3541="","",IFERROR(INDEX(Ввод!$B$12:$B$71,MATCH(A3541,Ввод!$D$12:$D$71,1)),""))</f>
        <v/>
      </c>
      <c r="C3541">
        <f>IF(A3541="","",DATE(YEAR(A3541),12,31)-DATE(YEAR(A3541),1,1)+1)</f>
        <v/>
      </c>
      <c r="D3541">
        <f>IF(A3541="","",SUMIFS(Акты!$D$5:$D$16,Акты!$E$5:$E$16,"&lt;="&amp;A3541)-SUMIFS(Оплаты!$B$6:$B$505,Оплаты!$A$6:$A$505,"&lt;"&amp;A3541,Оплаты!$D$6:$D$505,"&lt;&gt;"))</f>
        <v/>
      </c>
      <c r="E3541">
        <f>IF(A3541="","",IF(SUMPRODUCT((Ввод!$F$12:$F$31&lt;&gt;"")*(Ввод!$F$12:$F$31&lt;=A3541)*(Ввод!$G$12:$G$31&gt;=A3541))&gt;0,1,0))</f>
        <v/>
      </c>
      <c r="G3541">
        <f>IF(A3541="","",IF(OR(B3541&lt;&gt;B3540,C3541&lt;&gt;C3540,E3541&lt;&gt;E3540),G3540+1,G3540))</f>
        <v/>
      </c>
    </row>
    <row r="3542">
      <c r="A3542" s="20">
        <f>IF(A3541="","",IF(A3541+1&gt;Ввод!$B$4,"",A3541+1))</f>
        <v/>
      </c>
      <c r="B3542">
        <f>IF(A3542="","",IFERROR(INDEX(Ввод!$B$12:$B$71,MATCH(A3542,Ввод!$D$12:$D$71,1)),""))</f>
        <v/>
      </c>
      <c r="C3542">
        <f>IF(A3542="","",DATE(YEAR(A3542),12,31)-DATE(YEAR(A3542),1,1)+1)</f>
        <v/>
      </c>
      <c r="D3542">
        <f>IF(A3542="","",SUMIFS(Акты!$D$5:$D$16,Акты!$E$5:$E$16,"&lt;="&amp;A3542)-SUMIFS(Оплаты!$B$6:$B$505,Оплаты!$A$6:$A$505,"&lt;"&amp;A3542,Оплаты!$D$6:$D$505,"&lt;&gt;"))</f>
        <v/>
      </c>
      <c r="E3542">
        <f>IF(A3542="","",IF(SUMPRODUCT((Ввод!$F$12:$F$31&lt;&gt;"")*(Ввод!$F$12:$F$31&lt;=A3542)*(Ввод!$G$12:$G$31&gt;=A3542))&gt;0,1,0))</f>
        <v/>
      </c>
      <c r="G3542">
        <f>IF(A3542="","",IF(OR(B3542&lt;&gt;B3541,C3542&lt;&gt;C3541,E3542&lt;&gt;E3541),G3541+1,G3541))</f>
        <v/>
      </c>
    </row>
    <row r="3543">
      <c r="A3543" s="20">
        <f>IF(A3542="","",IF(A3542+1&gt;Ввод!$B$4,"",A3542+1))</f>
        <v/>
      </c>
      <c r="B3543">
        <f>IF(A3543="","",IFERROR(INDEX(Ввод!$B$12:$B$71,MATCH(A3543,Ввод!$D$12:$D$71,1)),""))</f>
        <v/>
      </c>
      <c r="C3543">
        <f>IF(A3543="","",DATE(YEAR(A3543),12,31)-DATE(YEAR(A3543),1,1)+1)</f>
        <v/>
      </c>
      <c r="D3543">
        <f>IF(A3543="","",SUMIFS(Акты!$D$5:$D$16,Акты!$E$5:$E$16,"&lt;="&amp;A3543)-SUMIFS(Оплаты!$B$6:$B$505,Оплаты!$A$6:$A$505,"&lt;"&amp;A3543,Оплаты!$D$6:$D$505,"&lt;&gt;"))</f>
        <v/>
      </c>
      <c r="E3543">
        <f>IF(A3543="","",IF(SUMPRODUCT((Ввод!$F$12:$F$31&lt;&gt;"")*(Ввод!$F$12:$F$31&lt;=A3543)*(Ввод!$G$12:$G$31&gt;=A3543))&gt;0,1,0))</f>
        <v/>
      </c>
      <c r="G3543">
        <f>IF(A3543="","",IF(OR(B3543&lt;&gt;B3542,C3543&lt;&gt;C3542,E3543&lt;&gt;E3542),G3542+1,G3542))</f>
        <v/>
      </c>
    </row>
    <row r="3544">
      <c r="A3544" s="20">
        <f>IF(A3543="","",IF(A3543+1&gt;Ввод!$B$4,"",A3543+1))</f>
        <v/>
      </c>
      <c r="B3544">
        <f>IF(A3544="","",IFERROR(INDEX(Ввод!$B$12:$B$71,MATCH(A3544,Ввод!$D$12:$D$71,1)),""))</f>
        <v/>
      </c>
      <c r="C3544">
        <f>IF(A3544="","",DATE(YEAR(A3544),12,31)-DATE(YEAR(A3544),1,1)+1)</f>
        <v/>
      </c>
      <c r="D3544">
        <f>IF(A3544="","",SUMIFS(Акты!$D$5:$D$16,Акты!$E$5:$E$16,"&lt;="&amp;A3544)-SUMIFS(Оплаты!$B$6:$B$505,Оплаты!$A$6:$A$505,"&lt;"&amp;A3544,Оплаты!$D$6:$D$505,"&lt;&gt;"))</f>
        <v/>
      </c>
      <c r="E3544">
        <f>IF(A3544="","",IF(SUMPRODUCT((Ввод!$F$12:$F$31&lt;&gt;"")*(Ввод!$F$12:$F$31&lt;=A3544)*(Ввод!$G$12:$G$31&gt;=A3544))&gt;0,1,0))</f>
        <v/>
      </c>
      <c r="G3544">
        <f>IF(A3544="","",IF(OR(B3544&lt;&gt;B3543,C3544&lt;&gt;C3543,E3544&lt;&gt;E3543),G3543+1,G3543))</f>
        <v/>
      </c>
    </row>
    <row r="3545">
      <c r="A3545" s="20">
        <f>IF(A3544="","",IF(A3544+1&gt;Ввод!$B$4,"",A3544+1))</f>
        <v/>
      </c>
      <c r="B3545">
        <f>IF(A3545="","",IFERROR(INDEX(Ввод!$B$12:$B$71,MATCH(A3545,Ввод!$D$12:$D$71,1)),""))</f>
        <v/>
      </c>
      <c r="C3545">
        <f>IF(A3545="","",DATE(YEAR(A3545),12,31)-DATE(YEAR(A3545),1,1)+1)</f>
        <v/>
      </c>
      <c r="D3545">
        <f>IF(A3545="","",SUMIFS(Акты!$D$5:$D$16,Акты!$E$5:$E$16,"&lt;="&amp;A3545)-SUMIFS(Оплаты!$B$6:$B$505,Оплаты!$A$6:$A$505,"&lt;"&amp;A3545,Оплаты!$D$6:$D$505,"&lt;&gt;"))</f>
        <v/>
      </c>
      <c r="E3545">
        <f>IF(A3545="","",IF(SUMPRODUCT((Ввод!$F$12:$F$31&lt;&gt;"")*(Ввод!$F$12:$F$31&lt;=A3545)*(Ввод!$G$12:$G$31&gt;=A3545))&gt;0,1,0))</f>
        <v/>
      </c>
      <c r="G3545">
        <f>IF(A3545="","",IF(OR(B3545&lt;&gt;B3544,C3545&lt;&gt;C3544,E3545&lt;&gt;E3544),G3544+1,G3544))</f>
        <v/>
      </c>
    </row>
    <row r="3546">
      <c r="A3546" s="20">
        <f>IF(A3545="","",IF(A3545+1&gt;Ввод!$B$4,"",A3545+1))</f>
        <v/>
      </c>
      <c r="B3546">
        <f>IF(A3546="","",IFERROR(INDEX(Ввод!$B$12:$B$71,MATCH(A3546,Ввод!$D$12:$D$71,1)),""))</f>
        <v/>
      </c>
      <c r="C3546">
        <f>IF(A3546="","",DATE(YEAR(A3546),12,31)-DATE(YEAR(A3546),1,1)+1)</f>
        <v/>
      </c>
      <c r="D3546">
        <f>IF(A3546="","",SUMIFS(Акты!$D$5:$D$16,Акты!$E$5:$E$16,"&lt;="&amp;A3546)-SUMIFS(Оплаты!$B$6:$B$505,Оплаты!$A$6:$A$505,"&lt;"&amp;A3546,Оплаты!$D$6:$D$505,"&lt;&gt;"))</f>
        <v/>
      </c>
      <c r="E3546">
        <f>IF(A3546="","",IF(SUMPRODUCT((Ввод!$F$12:$F$31&lt;&gt;"")*(Ввод!$F$12:$F$31&lt;=A3546)*(Ввод!$G$12:$G$31&gt;=A3546))&gt;0,1,0))</f>
        <v/>
      </c>
      <c r="G3546">
        <f>IF(A3546="","",IF(OR(B3546&lt;&gt;B3545,C3546&lt;&gt;C3545,E3546&lt;&gt;E3545),G3545+1,G3545))</f>
        <v/>
      </c>
    </row>
    <row r="3547">
      <c r="A3547" s="20">
        <f>IF(A3546="","",IF(A3546+1&gt;Ввод!$B$4,"",A3546+1))</f>
        <v/>
      </c>
      <c r="B3547">
        <f>IF(A3547="","",IFERROR(INDEX(Ввод!$B$12:$B$71,MATCH(A3547,Ввод!$D$12:$D$71,1)),""))</f>
        <v/>
      </c>
      <c r="C3547">
        <f>IF(A3547="","",DATE(YEAR(A3547),12,31)-DATE(YEAR(A3547),1,1)+1)</f>
        <v/>
      </c>
      <c r="D3547">
        <f>IF(A3547="","",SUMIFS(Акты!$D$5:$D$16,Акты!$E$5:$E$16,"&lt;="&amp;A3547)-SUMIFS(Оплаты!$B$6:$B$505,Оплаты!$A$6:$A$505,"&lt;"&amp;A3547,Оплаты!$D$6:$D$505,"&lt;&gt;"))</f>
        <v/>
      </c>
      <c r="E3547">
        <f>IF(A3547="","",IF(SUMPRODUCT((Ввод!$F$12:$F$31&lt;&gt;"")*(Ввод!$F$12:$F$31&lt;=A3547)*(Ввод!$G$12:$G$31&gt;=A3547))&gt;0,1,0))</f>
        <v/>
      </c>
      <c r="G3547">
        <f>IF(A3547="","",IF(OR(B3547&lt;&gt;B3546,C3547&lt;&gt;C3546,E3547&lt;&gt;E3546),G3546+1,G3546))</f>
        <v/>
      </c>
    </row>
    <row r="3548">
      <c r="A3548" s="20">
        <f>IF(A3547="","",IF(A3547+1&gt;Ввод!$B$4,"",A3547+1))</f>
        <v/>
      </c>
      <c r="B3548">
        <f>IF(A3548="","",IFERROR(INDEX(Ввод!$B$12:$B$71,MATCH(A3548,Ввод!$D$12:$D$71,1)),""))</f>
        <v/>
      </c>
      <c r="C3548">
        <f>IF(A3548="","",DATE(YEAR(A3548),12,31)-DATE(YEAR(A3548),1,1)+1)</f>
        <v/>
      </c>
      <c r="D3548">
        <f>IF(A3548="","",SUMIFS(Акты!$D$5:$D$16,Акты!$E$5:$E$16,"&lt;="&amp;A3548)-SUMIFS(Оплаты!$B$6:$B$505,Оплаты!$A$6:$A$505,"&lt;"&amp;A3548,Оплаты!$D$6:$D$505,"&lt;&gt;"))</f>
        <v/>
      </c>
      <c r="E3548">
        <f>IF(A3548="","",IF(SUMPRODUCT((Ввод!$F$12:$F$31&lt;&gt;"")*(Ввод!$F$12:$F$31&lt;=A3548)*(Ввод!$G$12:$G$31&gt;=A3548))&gt;0,1,0))</f>
        <v/>
      </c>
      <c r="G3548">
        <f>IF(A3548="","",IF(OR(B3548&lt;&gt;B3547,C3548&lt;&gt;C3547,E3548&lt;&gt;E3547),G3547+1,G3547))</f>
        <v/>
      </c>
    </row>
    <row r="3549">
      <c r="A3549" s="20">
        <f>IF(A3548="","",IF(A3548+1&gt;Ввод!$B$4,"",A3548+1))</f>
        <v/>
      </c>
      <c r="B3549">
        <f>IF(A3549="","",IFERROR(INDEX(Ввод!$B$12:$B$71,MATCH(A3549,Ввод!$D$12:$D$71,1)),""))</f>
        <v/>
      </c>
      <c r="C3549">
        <f>IF(A3549="","",DATE(YEAR(A3549),12,31)-DATE(YEAR(A3549),1,1)+1)</f>
        <v/>
      </c>
      <c r="D3549">
        <f>IF(A3549="","",SUMIFS(Акты!$D$5:$D$16,Акты!$E$5:$E$16,"&lt;="&amp;A3549)-SUMIFS(Оплаты!$B$6:$B$505,Оплаты!$A$6:$A$505,"&lt;"&amp;A3549,Оплаты!$D$6:$D$505,"&lt;&gt;"))</f>
        <v/>
      </c>
      <c r="E3549">
        <f>IF(A3549="","",IF(SUMPRODUCT((Ввод!$F$12:$F$31&lt;&gt;"")*(Ввод!$F$12:$F$31&lt;=A3549)*(Ввод!$G$12:$G$31&gt;=A3549))&gt;0,1,0))</f>
        <v/>
      </c>
      <c r="G3549">
        <f>IF(A3549="","",IF(OR(B3549&lt;&gt;B3548,C3549&lt;&gt;C3548,E3549&lt;&gt;E3548),G3548+1,G3548))</f>
        <v/>
      </c>
    </row>
    <row r="3550">
      <c r="A3550" s="20">
        <f>IF(A3549="","",IF(A3549+1&gt;Ввод!$B$4,"",A3549+1))</f>
        <v/>
      </c>
      <c r="B3550">
        <f>IF(A3550="","",IFERROR(INDEX(Ввод!$B$12:$B$71,MATCH(A3550,Ввод!$D$12:$D$71,1)),""))</f>
        <v/>
      </c>
      <c r="C3550">
        <f>IF(A3550="","",DATE(YEAR(A3550),12,31)-DATE(YEAR(A3550),1,1)+1)</f>
        <v/>
      </c>
      <c r="D3550">
        <f>IF(A3550="","",SUMIFS(Акты!$D$5:$D$16,Акты!$E$5:$E$16,"&lt;="&amp;A3550)-SUMIFS(Оплаты!$B$6:$B$505,Оплаты!$A$6:$A$505,"&lt;"&amp;A3550,Оплаты!$D$6:$D$505,"&lt;&gt;"))</f>
        <v/>
      </c>
      <c r="E3550">
        <f>IF(A3550="","",IF(SUMPRODUCT((Ввод!$F$12:$F$31&lt;&gt;"")*(Ввод!$F$12:$F$31&lt;=A3550)*(Ввод!$G$12:$G$31&gt;=A3550))&gt;0,1,0))</f>
        <v/>
      </c>
      <c r="G3550">
        <f>IF(A3550="","",IF(OR(B3550&lt;&gt;B3549,C3550&lt;&gt;C3549,E3550&lt;&gt;E3549),G3549+1,G3549))</f>
        <v/>
      </c>
    </row>
    <row r="3551">
      <c r="A3551" s="20">
        <f>IF(A3550="","",IF(A3550+1&gt;Ввод!$B$4,"",A3550+1))</f>
        <v/>
      </c>
      <c r="B3551">
        <f>IF(A3551="","",IFERROR(INDEX(Ввод!$B$12:$B$71,MATCH(A3551,Ввод!$D$12:$D$71,1)),""))</f>
        <v/>
      </c>
      <c r="C3551">
        <f>IF(A3551="","",DATE(YEAR(A3551),12,31)-DATE(YEAR(A3551),1,1)+1)</f>
        <v/>
      </c>
      <c r="D3551">
        <f>IF(A3551="","",SUMIFS(Акты!$D$5:$D$16,Акты!$E$5:$E$16,"&lt;="&amp;A3551)-SUMIFS(Оплаты!$B$6:$B$505,Оплаты!$A$6:$A$505,"&lt;"&amp;A3551,Оплаты!$D$6:$D$505,"&lt;&gt;"))</f>
        <v/>
      </c>
      <c r="E3551">
        <f>IF(A3551="","",IF(SUMPRODUCT((Ввод!$F$12:$F$31&lt;&gt;"")*(Ввод!$F$12:$F$31&lt;=A3551)*(Ввод!$G$12:$G$31&gt;=A3551))&gt;0,1,0))</f>
        <v/>
      </c>
      <c r="G3551">
        <f>IF(A3551="","",IF(OR(B3551&lt;&gt;B3550,C3551&lt;&gt;C3550,E3551&lt;&gt;E3550),G3550+1,G3550))</f>
        <v/>
      </c>
    </row>
    <row r="3552">
      <c r="A3552" s="20">
        <f>IF(A3551="","",IF(A3551+1&gt;Ввод!$B$4,"",A3551+1))</f>
        <v/>
      </c>
      <c r="B3552">
        <f>IF(A3552="","",IFERROR(INDEX(Ввод!$B$12:$B$71,MATCH(A3552,Ввод!$D$12:$D$71,1)),""))</f>
        <v/>
      </c>
      <c r="C3552">
        <f>IF(A3552="","",DATE(YEAR(A3552),12,31)-DATE(YEAR(A3552),1,1)+1)</f>
        <v/>
      </c>
      <c r="D3552">
        <f>IF(A3552="","",SUMIFS(Акты!$D$5:$D$16,Акты!$E$5:$E$16,"&lt;="&amp;A3552)-SUMIFS(Оплаты!$B$6:$B$505,Оплаты!$A$6:$A$505,"&lt;"&amp;A3552,Оплаты!$D$6:$D$505,"&lt;&gt;"))</f>
        <v/>
      </c>
      <c r="E3552">
        <f>IF(A3552="","",IF(SUMPRODUCT((Ввод!$F$12:$F$31&lt;&gt;"")*(Ввод!$F$12:$F$31&lt;=A3552)*(Ввод!$G$12:$G$31&gt;=A3552))&gt;0,1,0))</f>
        <v/>
      </c>
      <c r="G3552">
        <f>IF(A3552="","",IF(OR(B3552&lt;&gt;B3551,C3552&lt;&gt;C3551,E3552&lt;&gt;E3551),G3551+1,G3551))</f>
        <v/>
      </c>
    </row>
    <row r="3553">
      <c r="A3553" s="20">
        <f>IF(A3552="","",IF(A3552+1&gt;Ввод!$B$4,"",A3552+1))</f>
        <v/>
      </c>
      <c r="B3553">
        <f>IF(A3553="","",IFERROR(INDEX(Ввод!$B$12:$B$71,MATCH(A3553,Ввод!$D$12:$D$71,1)),""))</f>
        <v/>
      </c>
      <c r="C3553">
        <f>IF(A3553="","",DATE(YEAR(A3553),12,31)-DATE(YEAR(A3553),1,1)+1)</f>
        <v/>
      </c>
      <c r="D3553">
        <f>IF(A3553="","",SUMIFS(Акты!$D$5:$D$16,Акты!$E$5:$E$16,"&lt;="&amp;A3553)-SUMIFS(Оплаты!$B$6:$B$505,Оплаты!$A$6:$A$505,"&lt;"&amp;A3553,Оплаты!$D$6:$D$505,"&lt;&gt;"))</f>
        <v/>
      </c>
      <c r="E3553">
        <f>IF(A3553="","",IF(SUMPRODUCT((Ввод!$F$12:$F$31&lt;&gt;"")*(Ввод!$F$12:$F$31&lt;=A3553)*(Ввод!$G$12:$G$31&gt;=A3553))&gt;0,1,0))</f>
        <v/>
      </c>
      <c r="G3553">
        <f>IF(A3553="","",IF(OR(B3553&lt;&gt;B3552,C3553&lt;&gt;C3552,E3553&lt;&gt;E3552),G3552+1,G3552))</f>
        <v/>
      </c>
    </row>
    <row r="3554">
      <c r="A3554" s="20">
        <f>IF(A3553="","",IF(A3553+1&gt;Ввод!$B$4,"",A3553+1))</f>
        <v/>
      </c>
      <c r="B3554">
        <f>IF(A3554="","",IFERROR(INDEX(Ввод!$B$12:$B$71,MATCH(A3554,Ввод!$D$12:$D$71,1)),""))</f>
        <v/>
      </c>
      <c r="C3554">
        <f>IF(A3554="","",DATE(YEAR(A3554),12,31)-DATE(YEAR(A3554),1,1)+1)</f>
        <v/>
      </c>
      <c r="D3554">
        <f>IF(A3554="","",SUMIFS(Акты!$D$5:$D$16,Акты!$E$5:$E$16,"&lt;="&amp;A3554)-SUMIFS(Оплаты!$B$6:$B$505,Оплаты!$A$6:$A$505,"&lt;"&amp;A3554,Оплаты!$D$6:$D$505,"&lt;&gt;"))</f>
        <v/>
      </c>
      <c r="E3554">
        <f>IF(A3554="","",IF(SUMPRODUCT((Ввод!$F$12:$F$31&lt;&gt;"")*(Ввод!$F$12:$F$31&lt;=A3554)*(Ввод!$G$12:$G$31&gt;=A3554))&gt;0,1,0))</f>
        <v/>
      </c>
      <c r="G3554">
        <f>IF(A3554="","",IF(OR(B3554&lt;&gt;B3553,C3554&lt;&gt;C3553,E3554&lt;&gt;E3553),G3553+1,G3553))</f>
        <v/>
      </c>
    </row>
    <row r="3555">
      <c r="A3555" s="20">
        <f>IF(A3554="","",IF(A3554+1&gt;Ввод!$B$4,"",A3554+1))</f>
        <v/>
      </c>
      <c r="B3555">
        <f>IF(A3555="","",IFERROR(INDEX(Ввод!$B$12:$B$71,MATCH(A3555,Ввод!$D$12:$D$71,1)),""))</f>
        <v/>
      </c>
      <c r="C3555">
        <f>IF(A3555="","",DATE(YEAR(A3555),12,31)-DATE(YEAR(A3555),1,1)+1)</f>
        <v/>
      </c>
      <c r="D3555">
        <f>IF(A3555="","",SUMIFS(Акты!$D$5:$D$16,Акты!$E$5:$E$16,"&lt;="&amp;A3555)-SUMIFS(Оплаты!$B$6:$B$505,Оплаты!$A$6:$A$505,"&lt;"&amp;A3555,Оплаты!$D$6:$D$505,"&lt;&gt;"))</f>
        <v/>
      </c>
      <c r="E3555">
        <f>IF(A3555="","",IF(SUMPRODUCT((Ввод!$F$12:$F$31&lt;&gt;"")*(Ввод!$F$12:$F$31&lt;=A3555)*(Ввод!$G$12:$G$31&gt;=A3555))&gt;0,1,0))</f>
        <v/>
      </c>
      <c r="G3555">
        <f>IF(A3555="","",IF(OR(B3555&lt;&gt;B3554,C3555&lt;&gt;C3554,E3555&lt;&gt;E3554),G3554+1,G3554))</f>
        <v/>
      </c>
    </row>
    <row r="3556">
      <c r="A3556" s="20">
        <f>IF(A3555="","",IF(A3555+1&gt;Ввод!$B$4,"",A3555+1))</f>
        <v/>
      </c>
      <c r="B3556">
        <f>IF(A3556="","",IFERROR(INDEX(Ввод!$B$12:$B$71,MATCH(A3556,Ввод!$D$12:$D$71,1)),""))</f>
        <v/>
      </c>
      <c r="C3556">
        <f>IF(A3556="","",DATE(YEAR(A3556),12,31)-DATE(YEAR(A3556),1,1)+1)</f>
        <v/>
      </c>
      <c r="D3556">
        <f>IF(A3556="","",SUMIFS(Акты!$D$5:$D$16,Акты!$E$5:$E$16,"&lt;="&amp;A3556)-SUMIFS(Оплаты!$B$6:$B$505,Оплаты!$A$6:$A$505,"&lt;"&amp;A3556,Оплаты!$D$6:$D$505,"&lt;&gt;"))</f>
        <v/>
      </c>
      <c r="E3556">
        <f>IF(A3556="","",IF(SUMPRODUCT((Ввод!$F$12:$F$31&lt;&gt;"")*(Ввод!$F$12:$F$31&lt;=A3556)*(Ввод!$G$12:$G$31&gt;=A3556))&gt;0,1,0))</f>
        <v/>
      </c>
      <c r="G3556">
        <f>IF(A3556="","",IF(OR(B3556&lt;&gt;B3555,C3556&lt;&gt;C3555,E3556&lt;&gt;E3555),G3555+1,G3555))</f>
        <v/>
      </c>
    </row>
    <row r="3557">
      <c r="A3557" s="20">
        <f>IF(A3556="","",IF(A3556+1&gt;Ввод!$B$4,"",A3556+1))</f>
        <v/>
      </c>
      <c r="B3557">
        <f>IF(A3557="","",IFERROR(INDEX(Ввод!$B$12:$B$71,MATCH(A3557,Ввод!$D$12:$D$71,1)),""))</f>
        <v/>
      </c>
      <c r="C3557">
        <f>IF(A3557="","",DATE(YEAR(A3557),12,31)-DATE(YEAR(A3557),1,1)+1)</f>
        <v/>
      </c>
      <c r="D3557">
        <f>IF(A3557="","",SUMIFS(Акты!$D$5:$D$16,Акты!$E$5:$E$16,"&lt;="&amp;A3557)-SUMIFS(Оплаты!$B$6:$B$505,Оплаты!$A$6:$A$505,"&lt;"&amp;A3557,Оплаты!$D$6:$D$505,"&lt;&gt;"))</f>
        <v/>
      </c>
      <c r="E3557">
        <f>IF(A3557="","",IF(SUMPRODUCT((Ввод!$F$12:$F$31&lt;&gt;"")*(Ввод!$F$12:$F$31&lt;=A3557)*(Ввод!$G$12:$G$31&gt;=A3557))&gt;0,1,0))</f>
        <v/>
      </c>
      <c r="G3557">
        <f>IF(A3557="","",IF(OR(B3557&lt;&gt;B3556,C3557&lt;&gt;C3556,E3557&lt;&gt;E3556),G3556+1,G3556))</f>
        <v/>
      </c>
    </row>
    <row r="3558">
      <c r="A3558" s="20">
        <f>IF(A3557="","",IF(A3557+1&gt;Ввод!$B$4,"",A3557+1))</f>
        <v/>
      </c>
      <c r="B3558">
        <f>IF(A3558="","",IFERROR(INDEX(Ввод!$B$12:$B$71,MATCH(A3558,Ввод!$D$12:$D$71,1)),""))</f>
        <v/>
      </c>
      <c r="C3558">
        <f>IF(A3558="","",DATE(YEAR(A3558),12,31)-DATE(YEAR(A3558),1,1)+1)</f>
        <v/>
      </c>
      <c r="D3558">
        <f>IF(A3558="","",SUMIFS(Акты!$D$5:$D$16,Акты!$E$5:$E$16,"&lt;="&amp;A3558)-SUMIFS(Оплаты!$B$6:$B$505,Оплаты!$A$6:$A$505,"&lt;"&amp;A3558,Оплаты!$D$6:$D$505,"&lt;&gt;"))</f>
        <v/>
      </c>
      <c r="E3558">
        <f>IF(A3558="","",IF(SUMPRODUCT((Ввод!$F$12:$F$31&lt;&gt;"")*(Ввод!$F$12:$F$31&lt;=A3558)*(Ввод!$G$12:$G$31&gt;=A3558))&gt;0,1,0))</f>
        <v/>
      </c>
      <c r="G3558">
        <f>IF(A3558="","",IF(OR(B3558&lt;&gt;B3557,C3558&lt;&gt;C3557,E3558&lt;&gt;E3557),G3557+1,G3557))</f>
        <v/>
      </c>
    </row>
    <row r="3559">
      <c r="A3559" s="20">
        <f>IF(A3558="","",IF(A3558+1&gt;Ввод!$B$4,"",A3558+1))</f>
        <v/>
      </c>
      <c r="B3559">
        <f>IF(A3559="","",IFERROR(INDEX(Ввод!$B$12:$B$71,MATCH(A3559,Ввод!$D$12:$D$71,1)),""))</f>
        <v/>
      </c>
      <c r="C3559">
        <f>IF(A3559="","",DATE(YEAR(A3559),12,31)-DATE(YEAR(A3559),1,1)+1)</f>
        <v/>
      </c>
      <c r="D3559">
        <f>IF(A3559="","",SUMIFS(Акты!$D$5:$D$16,Акты!$E$5:$E$16,"&lt;="&amp;A3559)-SUMIFS(Оплаты!$B$6:$B$505,Оплаты!$A$6:$A$505,"&lt;"&amp;A3559,Оплаты!$D$6:$D$505,"&lt;&gt;"))</f>
        <v/>
      </c>
      <c r="E3559">
        <f>IF(A3559="","",IF(SUMPRODUCT((Ввод!$F$12:$F$31&lt;&gt;"")*(Ввод!$F$12:$F$31&lt;=A3559)*(Ввод!$G$12:$G$31&gt;=A3559))&gt;0,1,0))</f>
        <v/>
      </c>
      <c r="G3559">
        <f>IF(A3559="","",IF(OR(B3559&lt;&gt;B3558,C3559&lt;&gt;C3558,E3559&lt;&gt;E3558),G3558+1,G3558))</f>
        <v/>
      </c>
    </row>
    <row r="3560">
      <c r="A3560" s="20">
        <f>IF(A3559="","",IF(A3559+1&gt;Ввод!$B$4,"",A3559+1))</f>
        <v/>
      </c>
      <c r="B3560">
        <f>IF(A3560="","",IFERROR(INDEX(Ввод!$B$12:$B$71,MATCH(A3560,Ввод!$D$12:$D$71,1)),""))</f>
        <v/>
      </c>
      <c r="C3560">
        <f>IF(A3560="","",DATE(YEAR(A3560),12,31)-DATE(YEAR(A3560),1,1)+1)</f>
        <v/>
      </c>
      <c r="D3560">
        <f>IF(A3560="","",SUMIFS(Акты!$D$5:$D$16,Акты!$E$5:$E$16,"&lt;="&amp;A3560)-SUMIFS(Оплаты!$B$6:$B$505,Оплаты!$A$6:$A$505,"&lt;"&amp;A3560,Оплаты!$D$6:$D$505,"&lt;&gt;"))</f>
        <v/>
      </c>
      <c r="E3560">
        <f>IF(A3560="","",IF(SUMPRODUCT((Ввод!$F$12:$F$31&lt;&gt;"")*(Ввод!$F$12:$F$31&lt;=A3560)*(Ввод!$G$12:$G$31&gt;=A3560))&gt;0,1,0))</f>
        <v/>
      </c>
      <c r="G3560">
        <f>IF(A3560="","",IF(OR(B3560&lt;&gt;B3559,C3560&lt;&gt;C3559,E3560&lt;&gt;E3559),G3559+1,G3559))</f>
        <v/>
      </c>
    </row>
    <row r="3561">
      <c r="A3561" s="20">
        <f>IF(A3560="","",IF(A3560+1&gt;Ввод!$B$4,"",A3560+1))</f>
        <v/>
      </c>
      <c r="B3561">
        <f>IF(A3561="","",IFERROR(INDEX(Ввод!$B$12:$B$71,MATCH(A3561,Ввод!$D$12:$D$71,1)),""))</f>
        <v/>
      </c>
      <c r="C3561">
        <f>IF(A3561="","",DATE(YEAR(A3561),12,31)-DATE(YEAR(A3561),1,1)+1)</f>
        <v/>
      </c>
      <c r="D3561">
        <f>IF(A3561="","",SUMIFS(Акты!$D$5:$D$16,Акты!$E$5:$E$16,"&lt;="&amp;A3561)-SUMIFS(Оплаты!$B$6:$B$505,Оплаты!$A$6:$A$505,"&lt;"&amp;A3561,Оплаты!$D$6:$D$505,"&lt;&gt;"))</f>
        <v/>
      </c>
      <c r="E3561">
        <f>IF(A3561="","",IF(SUMPRODUCT((Ввод!$F$12:$F$31&lt;&gt;"")*(Ввод!$F$12:$F$31&lt;=A3561)*(Ввод!$G$12:$G$31&gt;=A3561))&gt;0,1,0))</f>
        <v/>
      </c>
      <c r="G3561">
        <f>IF(A3561="","",IF(OR(B3561&lt;&gt;B3560,C3561&lt;&gt;C3560,E3561&lt;&gt;E3560),G3560+1,G3560))</f>
        <v/>
      </c>
    </row>
    <row r="3562">
      <c r="A3562" s="20">
        <f>IF(A3561="","",IF(A3561+1&gt;Ввод!$B$4,"",A3561+1))</f>
        <v/>
      </c>
      <c r="B3562">
        <f>IF(A3562="","",IFERROR(INDEX(Ввод!$B$12:$B$71,MATCH(A3562,Ввод!$D$12:$D$71,1)),""))</f>
        <v/>
      </c>
      <c r="C3562">
        <f>IF(A3562="","",DATE(YEAR(A3562),12,31)-DATE(YEAR(A3562),1,1)+1)</f>
        <v/>
      </c>
      <c r="D3562">
        <f>IF(A3562="","",SUMIFS(Акты!$D$5:$D$16,Акты!$E$5:$E$16,"&lt;="&amp;A3562)-SUMIFS(Оплаты!$B$6:$B$505,Оплаты!$A$6:$A$505,"&lt;"&amp;A3562,Оплаты!$D$6:$D$505,"&lt;&gt;"))</f>
        <v/>
      </c>
      <c r="E3562">
        <f>IF(A3562="","",IF(SUMPRODUCT((Ввод!$F$12:$F$31&lt;&gt;"")*(Ввод!$F$12:$F$31&lt;=A3562)*(Ввод!$G$12:$G$31&gt;=A3562))&gt;0,1,0))</f>
        <v/>
      </c>
      <c r="G3562">
        <f>IF(A3562="","",IF(OR(B3562&lt;&gt;B3561,C3562&lt;&gt;C3561,E3562&lt;&gt;E3561),G3561+1,G3561))</f>
        <v/>
      </c>
    </row>
    <row r="3563">
      <c r="A3563" s="20">
        <f>IF(A3562="","",IF(A3562+1&gt;Ввод!$B$4,"",A3562+1))</f>
        <v/>
      </c>
      <c r="B3563">
        <f>IF(A3563="","",IFERROR(INDEX(Ввод!$B$12:$B$71,MATCH(A3563,Ввод!$D$12:$D$71,1)),""))</f>
        <v/>
      </c>
      <c r="C3563">
        <f>IF(A3563="","",DATE(YEAR(A3563),12,31)-DATE(YEAR(A3563),1,1)+1)</f>
        <v/>
      </c>
      <c r="D3563">
        <f>IF(A3563="","",SUMIFS(Акты!$D$5:$D$16,Акты!$E$5:$E$16,"&lt;="&amp;A3563)-SUMIFS(Оплаты!$B$6:$B$505,Оплаты!$A$6:$A$505,"&lt;"&amp;A3563,Оплаты!$D$6:$D$505,"&lt;&gt;"))</f>
        <v/>
      </c>
      <c r="E3563">
        <f>IF(A3563="","",IF(SUMPRODUCT((Ввод!$F$12:$F$31&lt;&gt;"")*(Ввод!$F$12:$F$31&lt;=A3563)*(Ввод!$G$12:$G$31&gt;=A3563))&gt;0,1,0))</f>
        <v/>
      </c>
      <c r="G3563">
        <f>IF(A3563="","",IF(OR(B3563&lt;&gt;B3562,C3563&lt;&gt;C3562,E3563&lt;&gt;E3562),G3562+1,G3562))</f>
        <v/>
      </c>
    </row>
    <row r="3564">
      <c r="A3564" s="20">
        <f>IF(A3563="","",IF(A3563+1&gt;Ввод!$B$4,"",A3563+1))</f>
        <v/>
      </c>
      <c r="B3564">
        <f>IF(A3564="","",IFERROR(INDEX(Ввод!$B$12:$B$71,MATCH(A3564,Ввод!$D$12:$D$71,1)),""))</f>
        <v/>
      </c>
      <c r="C3564">
        <f>IF(A3564="","",DATE(YEAR(A3564),12,31)-DATE(YEAR(A3564),1,1)+1)</f>
        <v/>
      </c>
      <c r="D3564">
        <f>IF(A3564="","",SUMIFS(Акты!$D$5:$D$16,Акты!$E$5:$E$16,"&lt;="&amp;A3564)-SUMIFS(Оплаты!$B$6:$B$505,Оплаты!$A$6:$A$505,"&lt;"&amp;A3564,Оплаты!$D$6:$D$505,"&lt;&gt;"))</f>
        <v/>
      </c>
      <c r="E3564">
        <f>IF(A3564="","",IF(SUMPRODUCT((Ввод!$F$12:$F$31&lt;&gt;"")*(Ввод!$F$12:$F$31&lt;=A3564)*(Ввод!$G$12:$G$31&gt;=A3564))&gt;0,1,0))</f>
        <v/>
      </c>
      <c r="G3564">
        <f>IF(A3564="","",IF(OR(B3564&lt;&gt;B3563,C3564&lt;&gt;C3563,E3564&lt;&gt;E3563),G3563+1,G3563))</f>
        <v/>
      </c>
    </row>
    <row r="3565">
      <c r="A3565" s="20">
        <f>IF(A3564="","",IF(A3564+1&gt;Ввод!$B$4,"",A3564+1))</f>
        <v/>
      </c>
      <c r="B3565">
        <f>IF(A3565="","",IFERROR(INDEX(Ввод!$B$12:$B$71,MATCH(A3565,Ввод!$D$12:$D$71,1)),""))</f>
        <v/>
      </c>
      <c r="C3565">
        <f>IF(A3565="","",DATE(YEAR(A3565),12,31)-DATE(YEAR(A3565),1,1)+1)</f>
        <v/>
      </c>
      <c r="D3565">
        <f>IF(A3565="","",SUMIFS(Акты!$D$5:$D$16,Акты!$E$5:$E$16,"&lt;="&amp;A3565)-SUMIFS(Оплаты!$B$6:$B$505,Оплаты!$A$6:$A$505,"&lt;"&amp;A3565,Оплаты!$D$6:$D$505,"&lt;&gt;"))</f>
        <v/>
      </c>
      <c r="E3565">
        <f>IF(A3565="","",IF(SUMPRODUCT((Ввод!$F$12:$F$31&lt;&gt;"")*(Ввод!$F$12:$F$31&lt;=A3565)*(Ввод!$G$12:$G$31&gt;=A3565))&gt;0,1,0))</f>
        <v/>
      </c>
      <c r="G3565">
        <f>IF(A3565="","",IF(OR(B3565&lt;&gt;B3564,C3565&lt;&gt;C3564,E3565&lt;&gt;E3564),G3564+1,G3564))</f>
        <v/>
      </c>
    </row>
    <row r="3566">
      <c r="A3566" s="20">
        <f>IF(A3565="","",IF(A3565+1&gt;Ввод!$B$4,"",A3565+1))</f>
        <v/>
      </c>
      <c r="B3566">
        <f>IF(A3566="","",IFERROR(INDEX(Ввод!$B$12:$B$71,MATCH(A3566,Ввод!$D$12:$D$71,1)),""))</f>
        <v/>
      </c>
      <c r="C3566">
        <f>IF(A3566="","",DATE(YEAR(A3566),12,31)-DATE(YEAR(A3566),1,1)+1)</f>
        <v/>
      </c>
      <c r="D3566">
        <f>IF(A3566="","",SUMIFS(Акты!$D$5:$D$16,Акты!$E$5:$E$16,"&lt;="&amp;A3566)-SUMIFS(Оплаты!$B$6:$B$505,Оплаты!$A$6:$A$505,"&lt;"&amp;A3566,Оплаты!$D$6:$D$505,"&lt;&gt;"))</f>
        <v/>
      </c>
      <c r="E3566">
        <f>IF(A3566="","",IF(SUMPRODUCT((Ввод!$F$12:$F$31&lt;&gt;"")*(Ввод!$F$12:$F$31&lt;=A3566)*(Ввод!$G$12:$G$31&gt;=A3566))&gt;0,1,0))</f>
        <v/>
      </c>
      <c r="G3566">
        <f>IF(A3566="","",IF(OR(B3566&lt;&gt;B3565,C3566&lt;&gt;C3565,E3566&lt;&gt;E3565),G3565+1,G3565))</f>
        <v/>
      </c>
    </row>
    <row r="3567">
      <c r="A3567" s="20">
        <f>IF(A3566="","",IF(A3566+1&gt;Ввод!$B$4,"",A3566+1))</f>
        <v/>
      </c>
      <c r="B3567">
        <f>IF(A3567="","",IFERROR(INDEX(Ввод!$B$12:$B$71,MATCH(A3567,Ввод!$D$12:$D$71,1)),""))</f>
        <v/>
      </c>
      <c r="C3567">
        <f>IF(A3567="","",DATE(YEAR(A3567),12,31)-DATE(YEAR(A3567),1,1)+1)</f>
        <v/>
      </c>
      <c r="D3567">
        <f>IF(A3567="","",SUMIFS(Акты!$D$5:$D$16,Акты!$E$5:$E$16,"&lt;="&amp;A3567)-SUMIFS(Оплаты!$B$6:$B$505,Оплаты!$A$6:$A$505,"&lt;"&amp;A3567,Оплаты!$D$6:$D$505,"&lt;&gt;"))</f>
        <v/>
      </c>
      <c r="E3567">
        <f>IF(A3567="","",IF(SUMPRODUCT((Ввод!$F$12:$F$31&lt;&gt;"")*(Ввод!$F$12:$F$31&lt;=A3567)*(Ввод!$G$12:$G$31&gt;=A3567))&gt;0,1,0))</f>
        <v/>
      </c>
      <c r="G3567">
        <f>IF(A3567="","",IF(OR(B3567&lt;&gt;B3566,C3567&lt;&gt;C3566,E3567&lt;&gt;E3566),G3566+1,G3566))</f>
        <v/>
      </c>
    </row>
    <row r="3568">
      <c r="A3568" s="20">
        <f>IF(A3567="","",IF(A3567+1&gt;Ввод!$B$4,"",A3567+1))</f>
        <v/>
      </c>
      <c r="B3568">
        <f>IF(A3568="","",IFERROR(INDEX(Ввод!$B$12:$B$71,MATCH(A3568,Ввод!$D$12:$D$71,1)),""))</f>
        <v/>
      </c>
      <c r="C3568">
        <f>IF(A3568="","",DATE(YEAR(A3568),12,31)-DATE(YEAR(A3568),1,1)+1)</f>
        <v/>
      </c>
      <c r="D3568">
        <f>IF(A3568="","",SUMIFS(Акты!$D$5:$D$16,Акты!$E$5:$E$16,"&lt;="&amp;A3568)-SUMIFS(Оплаты!$B$6:$B$505,Оплаты!$A$6:$A$505,"&lt;"&amp;A3568,Оплаты!$D$6:$D$505,"&lt;&gt;"))</f>
        <v/>
      </c>
      <c r="E3568">
        <f>IF(A3568="","",IF(SUMPRODUCT((Ввод!$F$12:$F$31&lt;&gt;"")*(Ввод!$F$12:$F$31&lt;=A3568)*(Ввод!$G$12:$G$31&gt;=A3568))&gt;0,1,0))</f>
        <v/>
      </c>
      <c r="G3568">
        <f>IF(A3568="","",IF(OR(B3568&lt;&gt;B3567,C3568&lt;&gt;C3567,E3568&lt;&gt;E3567),G3567+1,G3567))</f>
        <v/>
      </c>
    </row>
    <row r="3569">
      <c r="A3569" s="20">
        <f>IF(A3568="","",IF(A3568+1&gt;Ввод!$B$4,"",A3568+1))</f>
        <v/>
      </c>
      <c r="B3569">
        <f>IF(A3569="","",IFERROR(INDEX(Ввод!$B$12:$B$71,MATCH(A3569,Ввод!$D$12:$D$71,1)),""))</f>
        <v/>
      </c>
      <c r="C3569">
        <f>IF(A3569="","",DATE(YEAR(A3569),12,31)-DATE(YEAR(A3569),1,1)+1)</f>
        <v/>
      </c>
      <c r="D3569">
        <f>IF(A3569="","",SUMIFS(Акты!$D$5:$D$16,Акты!$E$5:$E$16,"&lt;="&amp;A3569)-SUMIFS(Оплаты!$B$6:$B$505,Оплаты!$A$6:$A$505,"&lt;"&amp;A3569,Оплаты!$D$6:$D$505,"&lt;&gt;"))</f>
        <v/>
      </c>
      <c r="E3569">
        <f>IF(A3569="","",IF(SUMPRODUCT((Ввод!$F$12:$F$31&lt;&gt;"")*(Ввод!$F$12:$F$31&lt;=A3569)*(Ввод!$G$12:$G$31&gt;=A3569))&gt;0,1,0))</f>
        <v/>
      </c>
      <c r="G3569">
        <f>IF(A3569="","",IF(OR(B3569&lt;&gt;B3568,C3569&lt;&gt;C3568,E3569&lt;&gt;E3568),G3568+1,G3568))</f>
        <v/>
      </c>
    </row>
    <row r="3570">
      <c r="A3570" s="20">
        <f>IF(A3569="","",IF(A3569+1&gt;Ввод!$B$4,"",A3569+1))</f>
        <v/>
      </c>
      <c r="B3570">
        <f>IF(A3570="","",IFERROR(INDEX(Ввод!$B$12:$B$71,MATCH(A3570,Ввод!$D$12:$D$71,1)),""))</f>
        <v/>
      </c>
      <c r="C3570">
        <f>IF(A3570="","",DATE(YEAR(A3570),12,31)-DATE(YEAR(A3570),1,1)+1)</f>
        <v/>
      </c>
      <c r="D3570">
        <f>IF(A3570="","",SUMIFS(Акты!$D$5:$D$16,Акты!$E$5:$E$16,"&lt;="&amp;A3570)-SUMIFS(Оплаты!$B$6:$B$505,Оплаты!$A$6:$A$505,"&lt;"&amp;A3570,Оплаты!$D$6:$D$505,"&lt;&gt;"))</f>
        <v/>
      </c>
      <c r="E3570">
        <f>IF(A3570="","",IF(SUMPRODUCT((Ввод!$F$12:$F$31&lt;&gt;"")*(Ввод!$F$12:$F$31&lt;=A3570)*(Ввод!$G$12:$G$31&gt;=A3570))&gt;0,1,0))</f>
        <v/>
      </c>
      <c r="G3570">
        <f>IF(A3570="","",IF(OR(B3570&lt;&gt;B3569,C3570&lt;&gt;C3569,E3570&lt;&gt;E3569),G3569+1,G3569))</f>
        <v/>
      </c>
    </row>
    <row r="3571">
      <c r="A3571" s="20">
        <f>IF(A3570="","",IF(A3570+1&gt;Ввод!$B$4,"",A3570+1))</f>
        <v/>
      </c>
      <c r="B3571">
        <f>IF(A3571="","",IFERROR(INDEX(Ввод!$B$12:$B$71,MATCH(A3571,Ввод!$D$12:$D$71,1)),""))</f>
        <v/>
      </c>
      <c r="C3571">
        <f>IF(A3571="","",DATE(YEAR(A3571),12,31)-DATE(YEAR(A3571),1,1)+1)</f>
        <v/>
      </c>
      <c r="D3571">
        <f>IF(A3571="","",SUMIFS(Акты!$D$5:$D$16,Акты!$E$5:$E$16,"&lt;="&amp;A3571)-SUMIFS(Оплаты!$B$6:$B$505,Оплаты!$A$6:$A$505,"&lt;"&amp;A3571,Оплаты!$D$6:$D$505,"&lt;&gt;"))</f>
        <v/>
      </c>
      <c r="E3571">
        <f>IF(A3571="","",IF(SUMPRODUCT((Ввод!$F$12:$F$31&lt;&gt;"")*(Ввод!$F$12:$F$31&lt;=A3571)*(Ввод!$G$12:$G$31&gt;=A3571))&gt;0,1,0))</f>
        <v/>
      </c>
      <c r="G3571">
        <f>IF(A3571="","",IF(OR(B3571&lt;&gt;B3570,C3571&lt;&gt;C3570,E3571&lt;&gt;E3570),G3570+1,G3570))</f>
        <v/>
      </c>
    </row>
    <row r="3572">
      <c r="A3572" s="20">
        <f>IF(A3571="","",IF(A3571+1&gt;Ввод!$B$4,"",A3571+1))</f>
        <v/>
      </c>
      <c r="B3572">
        <f>IF(A3572="","",IFERROR(INDEX(Ввод!$B$12:$B$71,MATCH(A3572,Ввод!$D$12:$D$71,1)),""))</f>
        <v/>
      </c>
      <c r="C3572">
        <f>IF(A3572="","",DATE(YEAR(A3572),12,31)-DATE(YEAR(A3572),1,1)+1)</f>
        <v/>
      </c>
      <c r="D3572">
        <f>IF(A3572="","",SUMIFS(Акты!$D$5:$D$16,Акты!$E$5:$E$16,"&lt;="&amp;A3572)-SUMIFS(Оплаты!$B$6:$B$505,Оплаты!$A$6:$A$505,"&lt;"&amp;A3572,Оплаты!$D$6:$D$505,"&lt;&gt;"))</f>
        <v/>
      </c>
      <c r="E3572">
        <f>IF(A3572="","",IF(SUMPRODUCT((Ввод!$F$12:$F$31&lt;&gt;"")*(Ввод!$F$12:$F$31&lt;=A3572)*(Ввод!$G$12:$G$31&gt;=A3572))&gt;0,1,0))</f>
        <v/>
      </c>
      <c r="G3572">
        <f>IF(A3572="","",IF(OR(B3572&lt;&gt;B3571,C3572&lt;&gt;C3571,E3572&lt;&gt;E3571),G3571+1,G3571))</f>
        <v/>
      </c>
    </row>
    <row r="3573">
      <c r="A3573" s="20">
        <f>IF(A3572="","",IF(A3572+1&gt;Ввод!$B$4,"",A3572+1))</f>
        <v/>
      </c>
      <c r="B3573">
        <f>IF(A3573="","",IFERROR(INDEX(Ввод!$B$12:$B$71,MATCH(A3573,Ввод!$D$12:$D$71,1)),""))</f>
        <v/>
      </c>
      <c r="C3573">
        <f>IF(A3573="","",DATE(YEAR(A3573),12,31)-DATE(YEAR(A3573),1,1)+1)</f>
        <v/>
      </c>
      <c r="D3573">
        <f>IF(A3573="","",SUMIFS(Акты!$D$5:$D$16,Акты!$E$5:$E$16,"&lt;="&amp;A3573)-SUMIFS(Оплаты!$B$6:$B$505,Оплаты!$A$6:$A$505,"&lt;"&amp;A3573,Оплаты!$D$6:$D$505,"&lt;&gt;"))</f>
        <v/>
      </c>
      <c r="E3573">
        <f>IF(A3573="","",IF(SUMPRODUCT((Ввод!$F$12:$F$31&lt;&gt;"")*(Ввод!$F$12:$F$31&lt;=A3573)*(Ввод!$G$12:$G$31&gt;=A3573))&gt;0,1,0))</f>
        <v/>
      </c>
      <c r="G3573">
        <f>IF(A3573="","",IF(OR(B3573&lt;&gt;B3572,C3573&lt;&gt;C3572,E3573&lt;&gt;E3572),G3572+1,G3572))</f>
        <v/>
      </c>
    </row>
    <row r="3574">
      <c r="A3574" s="20">
        <f>IF(A3573="","",IF(A3573+1&gt;Ввод!$B$4,"",A3573+1))</f>
        <v/>
      </c>
      <c r="B3574">
        <f>IF(A3574="","",IFERROR(INDEX(Ввод!$B$12:$B$71,MATCH(A3574,Ввод!$D$12:$D$71,1)),""))</f>
        <v/>
      </c>
      <c r="C3574">
        <f>IF(A3574="","",DATE(YEAR(A3574),12,31)-DATE(YEAR(A3574),1,1)+1)</f>
        <v/>
      </c>
      <c r="D3574">
        <f>IF(A3574="","",SUMIFS(Акты!$D$5:$D$16,Акты!$E$5:$E$16,"&lt;="&amp;A3574)-SUMIFS(Оплаты!$B$6:$B$505,Оплаты!$A$6:$A$505,"&lt;"&amp;A3574,Оплаты!$D$6:$D$505,"&lt;&gt;"))</f>
        <v/>
      </c>
      <c r="E3574">
        <f>IF(A3574="","",IF(SUMPRODUCT((Ввод!$F$12:$F$31&lt;&gt;"")*(Ввод!$F$12:$F$31&lt;=A3574)*(Ввод!$G$12:$G$31&gt;=A3574))&gt;0,1,0))</f>
        <v/>
      </c>
      <c r="G3574">
        <f>IF(A3574="","",IF(OR(B3574&lt;&gt;B3573,C3574&lt;&gt;C3573,E3574&lt;&gt;E3573),G3573+1,G3573))</f>
        <v/>
      </c>
    </row>
    <row r="3575">
      <c r="A3575" s="20">
        <f>IF(A3574="","",IF(A3574+1&gt;Ввод!$B$4,"",A3574+1))</f>
        <v/>
      </c>
      <c r="B3575">
        <f>IF(A3575="","",IFERROR(INDEX(Ввод!$B$12:$B$71,MATCH(A3575,Ввод!$D$12:$D$71,1)),""))</f>
        <v/>
      </c>
      <c r="C3575">
        <f>IF(A3575="","",DATE(YEAR(A3575),12,31)-DATE(YEAR(A3575),1,1)+1)</f>
        <v/>
      </c>
      <c r="D3575">
        <f>IF(A3575="","",SUMIFS(Акты!$D$5:$D$16,Акты!$E$5:$E$16,"&lt;="&amp;A3575)-SUMIFS(Оплаты!$B$6:$B$505,Оплаты!$A$6:$A$505,"&lt;"&amp;A3575,Оплаты!$D$6:$D$505,"&lt;&gt;"))</f>
        <v/>
      </c>
      <c r="E3575">
        <f>IF(A3575="","",IF(SUMPRODUCT((Ввод!$F$12:$F$31&lt;&gt;"")*(Ввод!$F$12:$F$31&lt;=A3575)*(Ввод!$G$12:$G$31&gt;=A3575))&gt;0,1,0))</f>
        <v/>
      </c>
      <c r="G3575">
        <f>IF(A3575="","",IF(OR(B3575&lt;&gt;B3574,C3575&lt;&gt;C3574,E3575&lt;&gt;E3574),G3574+1,G3574))</f>
        <v/>
      </c>
    </row>
    <row r="3576">
      <c r="A3576" s="20">
        <f>IF(A3575="","",IF(A3575+1&gt;Ввод!$B$4,"",A3575+1))</f>
        <v/>
      </c>
      <c r="B3576">
        <f>IF(A3576="","",IFERROR(INDEX(Ввод!$B$12:$B$71,MATCH(A3576,Ввод!$D$12:$D$71,1)),""))</f>
        <v/>
      </c>
      <c r="C3576">
        <f>IF(A3576="","",DATE(YEAR(A3576),12,31)-DATE(YEAR(A3576),1,1)+1)</f>
        <v/>
      </c>
      <c r="D3576">
        <f>IF(A3576="","",SUMIFS(Акты!$D$5:$D$16,Акты!$E$5:$E$16,"&lt;="&amp;A3576)-SUMIFS(Оплаты!$B$6:$B$505,Оплаты!$A$6:$A$505,"&lt;"&amp;A3576,Оплаты!$D$6:$D$505,"&lt;&gt;"))</f>
        <v/>
      </c>
      <c r="E3576">
        <f>IF(A3576="","",IF(SUMPRODUCT((Ввод!$F$12:$F$31&lt;&gt;"")*(Ввод!$F$12:$F$31&lt;=A3576)*(Ввод!$G$12:$G$31&gt;=A3576))&gt;0,1,0))</f>
        <v/>
      </c>
      <c r="G3576">
        <f>IF(A3576="","",IF(OR(B3576&lt;&gt;B3575,C3576&lt;&gt;C3575,E3576&lt;&gt;E3575),G3575+1,G3575))</f>
        <v/>
      </c>
    </row>
    <row r="3577">
      <c r="A3577" s="20">
        <f>IF(A3576="","",IF(A3576+1&gt;Ввод!$B$4,"",A3576+1))</f>
        <v/>
      </c>
      <c r="B3577">
        <f>IF(A3577="","",IFERROR(INDEX(Ввод!$B$12:$B$71,MATCH(A3577,Ввод!$D$12:$D$71,1)),""))</f>
        <v/>
      </c>
      <c r="C3577">
        <f>IF(A3577="","",DATE(YEAR(A3577),12,31)-DATE(YEAR(A3577),1,1)+1)</f>
        <v/>
      </c>
      <c r="D3577">
        <f>IF(A3577="","",SUMIFS(Акты!$D$5:$D$16,Акты!$E$5:$E$16,"&lt;="&amp;A3577)-SUMIFS(Оплаты!$B$6:$B$505,Оплаты!$A$6:$A$505,"&lt;"&amp;A3577,Оплаты!$D$6:$D$505,"&lt;&gt;"))</f>
        <v/>
      </c>
      <c r="E3577">
        <f>IF(A3577="","",IF(SUMPRODUCT((Ввод!$F$12:$F$31&lt;&gt;"")*(Ввод!$F$12:$F$31&lt;=A3577)*(Ввод!$G$12:$G$31&gt;=A3577))&gt;0,1,0))</f>
        <v/>
      </c>
      <c r="G3577">
        <f>IF(A3577="","",IF(OR(B3577&lt;&gt;B3576,C3577&lt;&gt;C3576,E3577&lt;&gt;E3576),G3576+1,G3576))</f>
        <v/>
      </c>
    </row>
    <row r="3578">
      <c r="A3578" s="20">
        <f>IF(A3577="","",IF(A3577+1&gt;Ввод!$B$4,"",A3577+1))</f>
        <v/>
      </c>
      <c r="B3578">
        <f>IF(A3578="","",IFERROR(INDEX(Ввод!$B$12:$B$71,MATCH(A3578,Ввод!$D$12:$D$71,1)),""))</f>
        <v/>
      </c>
      <c r="C3578">
        <f>IF(A3578="","",DATE(YEAR(A3578),12,31)-DATE(YEAR(A3578),1,1)+1)</f>
        <v/>
      </c>
      <c r="D3578">
        <f>IF(A3578="","",SUMIFS(Акты!$D$5:$D$16,Акты!$E$5:$E$16,"&lt;="&amp;A3578)-SUMIFS(Оплаты!$B$6:$B$505,Оплаты!$A$6:$A$505,"&lt;"&amp;A3578,Оплаты!$D$6:$D$505,"&lt;&gt;"))</f>
        <v/>
      </c>
      <c r="E3578">
        <f>IF(A3578="","",IF(SUMPRODUCT((Ввод!$F$12:$F$31&lt;&gt;"")*(Ввод!$F$12:$F$31&lt;=A3578)*(Ввод!$G$12:$G$31&gt;=A3578))&gt;0,1,0))</f>
        <v/>
      </c>
      <c r="G3578">
        <f>IF(A3578="","",IF(OR(B3578&lt;&gt;B3577,C3578&lt;&gt;C3577,E3578&lt;&gt;E3577),G3577+1,G3577))</f>
        <v/>
      </c>
    </row>
    <row r="3579">
      <c r="A3579" s="20">
        <f>IF(A3578="","",IF(A3578+1&gt;Ввод!$B$4,"",A3578+1))</f>
        <v/>
      </c>
      <c r="B3579">
        <f>IF(A3579="","",IFERROR(INDEX(Ввод!$B$12:$B$71,MATCH(A3579,Ввод!$D$12:$D$71,1)),""))</f>
        <v/>
      </c>
      <c r="C3579">
        <f>IF(A3579="","",DATE(YEAR(A3579),12,31)-DATE(YEAR(A3579),1,1)+1)</f>
        <v/>
      </c>
      <c r="D3579">
        <f>IF(A3579="","",SUMIFS(Акты!$D$5:$D$16,Акты!$E$5:$E$16,"&lt;="&amp;A3579)-SUMIFS(Оплаты!$B$6:$B$505,Оплаты!$A$6:$A$505,"&lt;"&amp;A3579,Оплаты!$D$6:$D$505,"&lt;&gt;"))</f>
        <v/>
      </c>
      <c r="E3579">
        <f>IF(A3579="","",IF(SUMPRODUCT((Ввод!$F$12:$F$31&lt;&gt;"")*(Ввод!$F$12:$F$31&lt;=A3579)*(Ввод!$G$12:$G$31&gt;=A3579))&gt;0,1,0))</f>
        <v/>
      </c>
      <c r="G3579">
        <f>IF(A3579="","",IF(OR(B3579&lt;&gt;B3578,C3579&lt;&gt;C3578,E3579&lt;&gt;E3578),G3578+1,G3578))</f>
        <v/>
      </c>
    </row>
    <row r="3580">
      <c r="A3580" s="20">
        <f>IF(A3579="","",IF(A3579+1&gt;Ввод!$B$4,"",A3579+1))</f>
        <v/>
      </c>
      <c r="B3580">
        <f>IF(A3580="","",IFERROR(INDEX(Ввод!$B$12:$B$71,MATCH(A3580,Ввод!$D$12:$D$71,1)),""))</f>
        <v/>
      </c>
      <c r="C3580">
        <f>IF(A3580="","",DATE(YEAR(A3580),12,31)-DATE(YEAR(A3580),1,1)+1)</f>
        <v/>
      </c>
      <c r="D3580">
        <f>IF(A3580="","",SUMIFS(Акты!$D$5:$D$16,Акты!$E$5:$E$16,"&lt;="&amp;A3580)-SUMIFS(Оплаты!$B$6:$B$505,Оплаты!$A$6:$A$505,"&lt;"&amp;A3580,Оплаты!$D$6:$D$505,"&lt;&gt;"))</f>
        <v/>
      </c>
      <c r="E3580">
        <f>IF(A3580="","",IF(SUMPRODUCT((Ввод!$F$12:$F$31&lt;&gt;"")*(Ввод!$F$12:$F$31&lt;=A3580)*(Ввод!$G$12:$G$31&gt;=A3580))&gt;0,1,0))</f>
        <v/>
      </c>
      <c r="G3580">
        <f>IF(A3580="","",IF(OR(B3580&lt;&gt;B3579,C3580&lt;&gt;C3579,E3580&lt;&gt;E3579),G3579+1,G3579))</f>
        <v/>
      </c>
    </row>
    <row r="3581">
      <c r="A3581" s="20">
        <f>IF(A3580="","",IF(A3580+1&gt;Ввод!$B$4,"",A3580+1))</f>
        <v/>
      </c>
      <c r="B3581">
        <f>IF(A3581="","",IFERROR(INDEX(Ввод!$B$12:$B$71,MATCH(A3581,Ввод!$D$12:$D$71,1)),""))</f>
        <v/>
      </c>
      <c r="C3581">
        <f>IF(A3581="","",DATE(YEAR(A3581),12,31)-DATE(YEAR(A3581),1,1)+1)</f>
        <v/>
      </c>
      <c r="D3581">
        <f>IF(A3581="","",SUMIFS(Акты!$D$5:$D$16,Акты!$E$5:$E$16,"&lt;="&amp;A3581)-SUMIFS(Оплаты!$B$6:$B$505,Оплаты!$A$6:$A$505,"&lt;"&amp;A3581,Оплаты!$D$6:$D$505,"&lt;&gt;"))</f>
        <v/>
      </c>
      <c r="E3581">
        <f>IF(A3581="","",IF(SUMPRODUCT((Ввод!$F$12:$F$31&lt;&gt;"")*(Ввод!$F$12:$F$31&lt;=A3581)*(Ввод!$G$12:$G$31&gt;=A3581))&gt;0,1,0))</f>
        <v/>
      </c>
      <c r="G3581">
        <f>IF(A3581="","",IF(OR(B3581&lt;&gt;B3580,C3581&lt;&gt;C3580,E3581&lt;&gt;E3580),G3580+1,G3580))</f>
        <v/>
      </c>
    </row>
    <row r="3582">
      <c r="A3582" s="20">
        <f>IF(A3581="","",IF(A3581+1&gt;Ввод!$B$4,"",A3581+1))</f>
        <v/>
      </c>
      <c r="B3582">
        <f>IF(A3582="","",IFERROR(INDEX(Ввод!$B$12:$B$71,MATCH(A3582,Ввод!$D$12:$D$71,1)),""))</f>
        <v/>
      </c>
      <c r="C3582">
        <f>IF(A3582="","",DATE(YEAR(A3582),12,31)-DATE(YEAR(A3582),1,1)+1)</f>
        <v/>
      </c>
      <c r="D3582">
        <f>IF(A3582="","",SUMIFS(Акты!$D$5:$D$16,Акты!$E$5:$E$16,"&lt;="&amp;A3582)-SUMIFS(Оплаты!$B$6:$B$505,Оплаты!$A$6:$A$505,"&lt;"&amp;A3582,Оплаты!$D$6:$D$505,"&lt;&gt;"))</f>
        <v/>
      </c>
      <c r="E3582">
        <f>IF(A3582="","",IF(SUMPRODUCT((Ввод!$F$12:$F$31&lt;&gt;"")*(Ввод!$F$12:$F$31&lt;=A3582)*(Ввод!$G$12:$G$31&gt;=A3582))&gt;0,1,0))</f>
        <v/>
      </c>
      <c r="G3582">
        <f>IF(A3582="","",IF(OR(B3582&lt;&gt;B3581,C3582&lt;&gt;C3581,E3582&lt;&gt;E3581),G3581+1,G3581))</f>
        <v/>
      </c>
    </row>
    <row r="3583">
      <c r="A3583" s="20">
        <f>IF(A3582="","",IF(A3582+1&gt;Ввод!$B$4,"",A3582+1))</f>
        <v/>
      </c>
      <c r="B3583">
        <f>IF(A3583="","",IFERROR(INDEX(Ввод!$B$12:$B$71,MATCH(A3583,Ввод!$D$12:$D$71,1)),""))</f>
        <v/>
      </c>
      <c r="C3583">
        <f>IF(A3583="","",DATE(YEAR(A3583),12,31)-DATE(YEAR(A3583),1,1)+1)</f>
        <v/>
      </c>
      <c r="D3583">
        <f>IF(A3583="","",SUMIFS(Акты!$D$5:$D$16,Акты!$E$5:$E$16,"&lt;="&amp;A3583)-SUMIFS(Оплаты!$B$6:$B$505,Оплаты!$A$6:$A$505,"&lt;"&amp;A3583,Оплаты!$D$6:$D$505,"&lt;&gt;"))</f>
        <v/>
      </c>
      <c r="E3583">
        <f>IF(A3583="","",IF(SUMPRODUCT((Ввод!$F$12:$F$31&lt;&gt;"")*(Ввод!$F$12:$F$31&lt;=A3583)*(Ввод!$G$12:$G$31&gt;=A3583))&gt;0,1,0))</f>
        <v/>
      </c>
      <c r="G3583">
        <f>IF(A3583="","",IF(OR(B3583&lt;&gt;B3582,C3583&lt;&gt;C3582,E3583&lt;&gt;E3582),G3582+1,G3582))</f>
        <v/>
      </c>
    </row>
    <row r="3584">
      <c r="A3584" s="20">
        <f>IF(A3583="","",IF(A3583+1&gt;Ввод!$B$4,"",A3583+1))</f>
        <v/>
      </c>
      <c r="B3584">
        <f>IF(A3584="","",IFERROR(INDEX(Ввод!$B$12:$B$71,MATCH(A3584,Ввод!$D$12:$D$71,1)),""))</f>
        <v/>
      </c>
      <c r="C3584">
        <f>IF(A3584="","",DATE(YEAR(A3584),12,31)-DATE(YEAR(A3584),1,1)+1)</f>
        <v/>
      </c>
      <c r="D3584">
        <f>IF(A3584="","",SUMIFS(Акты!$D$5:$D$16,Акты!$E$5:$E$16,"&lt;="&amp;A3584)-SUMIFS(Оплаты!$B$6:$B$505,Оплаты!$A$6:$A$505,"&lt;"&amp;A3584,Оплаты!$D$6:$D$505,"&lt;&gt;"))</f>
        <v/>
      </c>
      <c r="E3584">
        <f>IF(A3584="","",IF(SUMPRODUCT((Ввод!$F$12:$F$31&lt;&gt;"")*(Ввод!$F$12:$F$31&lt;=A3584)*(Ввод!$G$12:$G$31&gt;=A3584))&gt;0,1,0))</f>
        <v/>
      </c>
      <c r="G3584">
        <f>IF(A3584="","",IF(OR(B3584&lt;&gt;B3583,C3584&lt;&gt;C3583,E3584&lt;&gt;E3583),G3583+1,G3583))</f>
        <v/>
      </c>
    </row>
    <row r="3585">
      <c r="A3585" s="20">
        <f>IF(A3584="","",IF(A3584+1&gt;Ввод!$B$4,"",A3584+1))</f>
        <v/>
      </c>
      <c r="B3585">
        <f>IF(A3585="","",IFERROR(INDEX(Ввод!$B$12:$B$71,MATCH(A3585,Ввод!$D$12:$D$71,1)),""))</f>
        <v/>
      </c>
      <c r="C3585">
        <f>IF(A3585="","",DATE(YEAR(A3585),12,31)-DATE(YEAR(A3585),1,1)+1)</f>
        <v/>
      </c>
      <c r="D3585">
        <f>IF(A3585="","",SUMIFS(Акты!$D$5:$D$16,Акты!$E$5:$E$16,"&lt;="&amp;A3585)-SUMIFS(Оплаты!$B$6:$B$505,Оплаты!$A$6:$A$505,"&lt;"&amp;A3585,Оплаты!$D$6:$D$505,"&lt;&gt;"))</f>
        <v/>
      </c>
      <c r="E3585">
        <f>IF(A3585="","",IF(SUMPRODUCT((Ввод!$F$12:$F$31&lt;&gt;"")*(Ввод!$F$12:$F$31&lt;=A3585)*(Ввод!$G$12:$G$31&gt;=A3585))&gt;0,1,0))</f>
        <v/>
      </c>
      <c r="G3585">
        <f>IF(A3585="","",IF(OR(B3585&lt;&gt;B3584,C3585&lt;&gt;C3584,E3585&lt;&gt;E3584),G3584+1,G3584))</f>
        <v/>
      </c>
    </row>
    <row r="3586">
      <c r="A3586" s="20">
        <f>IF(A3585="","",IF(A3585+1&gt;Ввод!$B$4,"",A3585+1))</f>
        <v/>
      </c>
      <c r="B3586">
        <f>IF(A3586="","",IFERROR(INDEX(Ввод!$B$12:$B$71,MATCH(A3586,Ввод!$D$12:$D$71,1)),""))</f>
        <v/>
      </c>
      <c r="C3586">
        <f>IF(A3586="","",DATE(YEAR(A3586),12,31)-DATE(YEAR(A3586),1,1)+1)</f>
        <v/>
      </c>
      <c r="D3586">
        <f>IF(A3586="","",SUMIFS(Акты!$D$5:$D$16,Акты!$E$5:$E$16,"&lt;="&amp;A3586)-SUMIFS(Оплаты!$B$6:$B$505,Оплаты!$A$6:$A$505,"&lt;"&amp;A3586,Оплаты!$D$6:$D$505,"&lt;&gt;"))</f>
        <v/>
      </c>
      <c r="E3586">
        <f>IF(A3586="","",IF(SUMPRODUCT((Ввод!$F$12:$F$31&lt;&gt;"")*(Ввод!$F$12:$F$31&lt;=A3586)*(Ввод!$G$12:$G$31&gt;=A3586))&gt;0,1,0))</f>
        <v/>
      </c>
      <c r="G3586">
        <f>IF(A3586="","",IF(OR(B3586&lt;&gt;B3585,C3586&lt;&gt;C3585,E3586&lt;&gt;E3585),G3585+1,G3585))</f>
        <v/>
      </c>
    </row>
    <row r="3587">
      <c r="A3587" s="20">
        <f>IF(A3586="","",IF(A3586+1&gt;Ввод!$B$4,"",A3586+1))</f>
        <v/>
      </c>
      <c r="B3587">
        <f>IF(A3587="","",IFERROR(INDEX(Ввод!$B$12:$B$71,MATCH(A3587,Ввод!$D$12:$D$71,1)),""))</f>
        <v/>
      </c>
      <c r="C3587">
        <f>IF(A3587="","",DATE(YEAR(A3587),12,31)-DATE(YEAR(A3587),1,1)+1)</f>
        <v/>
      </c>
      <c r="D3587">
        <f>IF(A3587="","",SUMIFS(Акты!$D$5:$D$16,Акты!$E$5:$E$16,"&lt;="&amp;A3587)-SUMIFS(Оплаты!$B$6:$B$505,Оплаты!$A$6:$A$505,"&lt;"&amp;A3587,Оплаты!$D$6:$D$505,"&lt;&gt;"))</f>
        <v/>
      </c>
      <c r="E3587">
        <f>IF(A3587="","",IF(SUMPRODUCT((Ввод!$F$12:$F$31&lt;&gt;"")*(Ввод!$F$12:$F$31&lt;=A3587)*(Ввод!$G$12:$G$31&gt;=A3587))&gt;0,1,0))</f>
        <v/>
      </c>
      <c r="G3587">
        <f>IF(A3587="","",IF(OR(B3587&lt;&gt;B3586,C3587&lt;&gt;C3586,E3587&lt;&gt;E3586),G3586+1,G3586))</f>
        <v/>
      </c>
    </row>
    <row r="3588">
      <c r="A3588" s="20">
        <f>IF(A3587="","",IF(A3587+1&gt;Ввод!$B$4,"",A3587+1))</f>
        <v/>
      </c>
      <c r="B3588">
        <f>IF(A3588="","",IFERROR(INDEX(Ввод!$B$12:$B$71,MATCH(A3588,Ввод!$D$12:$D$71,1)),""))</f>
        <v/>
      </c>
      <c r="C3588">
        <f>IF(A3588="","",DATE(YEAR(A3588),12,31)-DATE(YEAR(A3588),1,1)+1)</f>
        <v/>
      </c>
      <c r="D3588">
        <f>IF(A3588="","",SUMIFS(Акты!$D$5:$D$16,Акты!$E$5:$E$16,"&lt;="&amp;A3588)-SUMIFS(Оплаты!$B$6:$B$505,Оплаты!$A$6:$A$505,"&lt;"&amp;A3588,Оплаты!$D$6:$D$505,"&lt;&gt;"))</f>
        <v/>
      </c>
      <c r="E3588">
        <f>IF(A3588="","",IF(SUMPRODUCT((Ввод!$F$12:$F$31&lt;&gt;"")*(Ввод!$F$12:$F$31&lt;=A3588)*(Ввод!$G$12:$G$31&gt;=A3588))&gt;0,1,0))</f>
        <v/>
      </c>
      <c r="G3588">
        <f>IF(A3588="","",IF(OR(B3588&lt;&gt;B3587,C3588&lt;&gt;C3587,E3588&lt;&gt;E3587),G3587+1,G3587))</f>
        <v/>
      </c>
    </row>
    <row r="3589">
      <c r="A3589" s="20">
        <f>IF(A3588="","",IF(A3588+1&gt;Ввод!$B$4,"",A3588+1))</f>
        <v/>
      </c>
      <c r="B3589">
        <f>IF(A3589="","",IFERROR(INDEX(Ввод!$B$12:$B$71,MATCH(A3589,Ввод!$D$12:$D$71,1)),""))</f>
        <v/>
      </c>
      <c r="C3589">
        <f>IF(A3589="","",DATE(YEAR(A3589),12,31)-DATE(YEAR(A3589),1,1)+1)</f>
        <v/>
      </c>
      <c r="D3589">
        <f>IF(A3589="","",SUMIFS(Акты!$D$5:$D$16,Акты!$E$5:$E$16,"&lt;="&amp;A3589)-SUMIFS(Оплаты!$B$6:$B$505,Оплаты!$A$6:$A$505,"&lt;"&amp;A3589,Оплаты!$D$6:$D$505,"&lt;&gt;"))</f>
        <v/>
      </c>
      <c r="E3589">
        <f>IF(A3589="","",IF(SUMPRODUCT((Ввод!$F$12:$F$31&lt;&gt;"")*(Ввод!$F$12:$F$31&lt;=A3589)*(Ввод!$G$12:$G$31&gt;=A3589))&gt;0,1,0))</f>
        <v/>
      </c>
      <c r="G3589">
        <f>IF(A3589="","",IF(OR(B3589&lt;&gt;B3588,C3589&lt;&gt;C3588,E3589&lt;&gt;E3588),G3588+1,G3588))</f>
        <v/>
      </c>
    </row>
    <row r="3590">
      <c r="A3590" s="20">
        <f>IF(A3589="","",IF(A3589+1&gt;Ввод!$B$4,"",A3589+1))</f>
        <v/>
      </c>
      <c r="B3590">
        <f>IF(A3590="","",IFERROR(INDEX(Ввод!$B$12:$B$71,MATCH(A3590,Ввод!$D$12:$D$71,1)),""))</f>
        <v/>
      </c>
      <c r="C3590">
        <f>IF(A3590="","",DATE(YEAR(A3590),12,31)-DATE(YEAR(A3590),1,1)+1)</f>
        <v/>
      </c>
      <c r="D3590">
        <f>IF(A3590="","",SUMIFS(Акты!$D$5:$D$16,Акты!$E$5:$E$16,"&lt;="&amp;A3590)-SUMIFS(Оплаты!$B$6:$B$505,Оплаты!$A$6:$A$505,"&lt;"&amp;A3590,Оплаты!$D$6:$D$505,"&lt;&gt;"))</f>
        <v/>
      </c>
      <c r="E3590">
        <f>IF(A3590="","",IF(SUMPRODUCT((Ввод!$F$12:$F$31&lt;&gt;"")*(Ввод!$F$12:$F$31&lt;=A3590)*(Ввод!$G$12:$G$31&gt;=A3590))&gt;0,1,0))</f>
        <v/>
      </c>
      <c r="G3590">
        <f>IF(A3590="","",IF(OR(B3590&lt;&gt;B3589,C3590&lt;&gt;C3589,E3590&lt;&gt;E3589),G3589+1,G3589))</f>
        <v/>
      </c>
    </row>
    <row r="3591">
      <c r="A3591" s="20">
        <f>IF(A3590="","",IF(A3590+1&gt;Ввод!$B$4,"",A3590+1))</f>
        <v/>
      </c>
      <c r="B3591">
        <f>IF(A3591="","",IFERROR(INDEX(Ввод!$B$12:$B$71,MATCH(A3591,Ввод!$D$12:$D$71,1)),""))</f>
        <v/>
      </c>
      <c r="C3591">
        <f>IF(A3591="","",DATE(YEAR(A3591),12,31)-DATE(YEAR(A3591),1,1)+1)</f>
        <v/>
      </c>
      <c r="D3591">
        <f>IF(A3591="","",SUMIFS(Акты!$D$5:$D$16,Акты!$E$5:$E$16,"&lt;="&amp;A3591)-SUMIFS(Оплаты!$B$6:$B$505,Оплаты!$A$6:$A$505,"&lt;"&amp;A3591,Оплаты!$D$6:$D$505,"&lt;&gt;"))</f>
        <v/>
      </c>
      <c r="E3591">
        <f>IF(A3591="","",IF(SUMPRODUCT((Ввод!$F$12:$F$31&lt;&gt;"")*(Ввод!$F$12:$F$31&lt;=A3591)*(Ввод!$G$12:$G$31&gt;=A3591))&gt;0,1,0))</f>
        <v/>
      </c>
      <c r="G3591">
        <f>IF(A3591="","",IF(OR(B3591&lt;&gt;B3590,C3591&lt;&gt;C3590,E3591&lt;&gt;E3590),G3590+1,G3590))</f>
        <v/>
      </c>
    </row>
    <row r="3592">
      <c r="A3592" s="20">
        <f>IF(A3591="","",IF(A3591+1&gt;Ввод!$B$4,"",A3591+1))</f>
        <v/>
      </c>
      <c r="B3592">
        <f>IF(A3592="","",IFERROR(INDEX(Ввод!$B$12:$B$71,MATCH(A3592,Ввод!$D$12:$D$71,1)),""))</f>
        <v/>
      </c>
      <c r="C3592">
        <f>IF(A3592="","",DATE(YEAR(A3592),12,31)-DATE(YEAR(A3592),1,1)+1)</f>
        <v/>
      </c>
      <c r="D3592">
        <f>IF(A3592="","",SUMIFS(Акты!$D$5:$D$16,Акты!$E$5:$E$16,"&lt;="&amp;A3592)-SUMIFS(Оплаты!$B$6:$B$505,Оплаты!$A$6:$A$505,"&lt;"&amp;A3592,Оплаты!$D$6:$D$505,"&lt;&gt;"))</f>
        <v/>
      </c>
      <c r="E3592">
        <f>IF(A3592="","",IF(SUMPRODUCT((Ввод!$F$12:$F$31&lt;&gt;"")*(Ввод!$F$12:$F$31&lt;=A3592)*(Ввод!$G$12:$G$31&gt;=A3592))&gt;0,1,0))</f>
        <v/>
      </c>
      <c r="G3592">
        <f>IF(A3592="","",IF(OR(B3592&lt;&gt;B3591,C3592&lt;&gt;C3591,E3592&lt;&gt;E3591),G3591+1,G3591))</f>
        <v/>
      </c>
    </row>
    <row r="3593">
      <c r="A3593" s="20">
        <f>IF(A3592="","",IF(A3592+1&gt;Ввод!$B$4,"",A3592+1))</f>
        <v/>
      </c>
      <c r="B3593">
        <f>IF(A3593="","",IFERROR(INDEX(Ввод!$B$12:$B$71,MATCH(A3593,Ввод!$D$12:$D$71,1)),""))</f>
        <v/>
      </c>
      <c r="C3593">
        <f>IF(A3593="","",DATE(YEAR(A3593),12,31)-DATE(YEAR(A3593),1,1)+1)</f>
        <v/>
      </c>
      <c r="D3593">
        <f>IF(A3593="","",SUMIFS(Акты!$D$5:$D$16,Акты!$E$5:$E$16,"&lt;="&amp;A3593)-SUMIFS(Оплаты!$B$6:$B$505,Оплаты!$A$6:$A$505,"&lt;"&amp;A3593,Оплаты!$D$6:$D$505,"&lt;&gt;"))</f>
        <v/>
      </c>
      <c r="E3593">
        <f>IF(A3593="","",IF(SUMPRODUCT((Ввод!$F$12:$F$31&lt;&gt;"")*(Ввод!$F$12:$F$31&lt;=A3593)*(Ввод!$G$12:$G$31&gt;=A3593))&gt;0,1,0))</f>
        <v/>
      </c>
      <c r="G3593">
        <f>IF(A3593="","",IF(OR(B3593&lt;&gt;B3592,C3593&lt;&gt;C3592,E3593&lt;&gt;E3592),G3592+1,G3592))</f>
        <v/>
      </c>
    </row>
    <row r="3594">
      <c r="A3594" s="20">
        <f>IF(A3593="","",IF(A3593+1&gt;Ввод!$B$4,"",A3593+1))</f>
        <v/>
      </c>
      <c r="B3594">
        <f>IF(A3594="","",IFERROR(INDEX(Ввод!$B$12:$B$71,MATCH(A3594,Ввод!$D$12:$D$71,1)),""))</f>
        <v/>
      </c>
      <c r="C3594">
        <f>IF(A3594="","",DATE(YEAR(A3594),12,31)-DATE(YEAR(A3594),1,1)+1)</f>
        <v/>
      </c>
      <c r="D3594">
        <f>IF(A3594="","",SUMIFS(Акты!$D$5:$D$16,Акты!$E$5:$E$16,"&lt;="&amp;A3594)-SUMIFS(Оплаты!$B$6:$B$505,Оплаты!$A$6:$A$505,"&lt;"&amp;A3594,Оплаты!$D$6:$D$505,"&lt;&gt;"))</f>
        <v/>
      </c>
      <c r="E3594">
        <f>IF(A3594="","",IF(SUMPRODUCT((Ввод!$F$12:$F$31&lt;&gt;"")*(Ввод!$F$12:$F$31&lt;=A3594)*(Ввод!$G$12:$G$31&gt;=A3594))&gt;0,1,0))</f>
        <v/>
      </c>
      <c r="G3594">
        <f>IF(A3594="","",IF(OR(B3594&lt;&gt;B3593,C3594&lt;&gt;C3593,E3594&lt;&gt;E3593),G3593+1,G3593))</f>
        <v/>
      </c>
    </row>
    <row r="3595">
      <c r="A3595" s="20">
        <f>IF(A3594="","",IF(A3594+1&gt;Ввод!$B$4,"",A3594+1))</f>
        <v/>
      </c>
      <c r="B3595">
        <f>IF(A3595="","",IFERROR(INDEX(Ввод!$B$12:$B$71,MATCH(A3595,Ввод!$D$12:$D$71,1)),""))</f>
        <v/>
      </c>
      <c r="C3595">
        <f>IF(A3595="","",DATE(YEAR(A3595),12,31)-DATE(YEAR(A3595),1,1)+1)</f>
        <v/>
      </c>
      <c r="D3595">
        <f>IF(A3595="","",SUMIFS(Акты!$D$5:$D$16,Акты!$E$5:$E$16,"&lt;="&amp;A3595)-SUMIFS(Оплаты!$B$6:$B$505,Оплаты!$A$6:$A$505,"&lt;"&amp;A3595,Оплаты!$D$6:$D$505,"&lt;&gt;"))</f>
        <v/>
      </c>
      <c r="E3595">
        <f>IF(A3595="","",IF(SUMPRODUCT((Ввод!$F$12:$F$31&lt;&gt;"")*(Ввод!$F$12:$F$31&lt;=A3595)*(Ввод!$G$12:$G$31&gt;=A3595))&gt;0,1,0))</f>
        <v/>
      </c>
      <c r="G3595">
        <f>IF(A3595="","",IF(OR(B3595&lt;&gt;B3594,C3595&lt;&gt;C3594,E3595&lt;&gt;E3594),G3594+1,G3594))</f>
        <v/>
      </c>
    </row>
    <row r="3596">
      <c r="A3596" s="20">
        <f>IF(A3595="","",IF(A3595+1&gt;Ввод!$B$4,"",A3595+1))</f>
        <v/>
      </c>
      <c r="B3596">
        <f>IF(A3596="","",IFERROR(INDEX(Ввод!$B$12:$B$71,MATCH(A3596,Ввод!$D$12:$D$71,1)),""))</f>
        <v/>
      </c>
      <c r="C3596">
        <f>IF(A3596="","",DATE(YEAR(A3596),12,31)-DATE(YEAR(A3596),1,1)+1)</f>
        <v/>
      </c>
      <c r="D3596">
        <f>IF(A3596="","",SUMIFS(Акты!$D$5:$D$16,Акты!$E$5:$E$16,"&lt;="&amp;A3596)-SUMIFS(Оплаты!$B$6:$B$505,Оплаты!$A$6:$A$505,"&lt;"&amp;A3596,Оплаты!$D$6:$D$505,"&lt;&gt;"))</f>
        <v/>
      </c>
      <c r="E3596">
        <f>IF(A3596="","",IF(SUMPRODUCT((Ввод!$F$12:$F$31&lt;&gt;"")*(Ввод!$F$12:$F$31&lt;=A3596)*(Ввод!$G$12:$G$31&gt;=A3596))&gt;0,1,0))</f>
        <v/>
      </c>
      <c r="G3596">
        <f>IF(A3596="","",IF(OR(B3596&lt;&gt;B3595,C3596&lt;&gt;C3595,E3596&lt;&gt;E3595),G3595+1,G3595))</f>
        <v/>
      </c>
    </row>
    <row r="3597">
      <c r="A3597" s="20">
        <f>IF(A3596="","",IF(A3596+1&gt;Ввод!$B$4,"",A3596+1))</f>
        <v/>
      </c>
      <c r="B3597">
        <f>IF(A3597="","",IFERROR(INDEX(Ввод!$B$12:$B$71,MATCH(A3597,Ввод!$D$12:$D$71,1)),""))</f>
        <v/>
      </c>
      <c r="C3597">
        <f>IF(A3597="","",DATE(YEAR(A3597),12,31)-DATE(YEAR(A3597),1,1)+1)</f>
        <v/>
      </c>
      <c r="D3597">
        <f>IF(A3597="","",SUMIFS(Акты!$D$5:$D$16,Акты!$E$5:$E$16,"&lt;="&amp;A3597)-SUMIFS(Оплаты!$B$6:$B$505,Оплаты!$A$6:$A$505,"&lt;"&amp;A3597,Оплаты!$D$6:$D$505,"&lt;&gt;"))</f>
        <v/>
      </c>
      <c r="E3597">
        <f>IF(A3597="","",IF(SUMPRODUCT((Ввод!$F$12:$F$31&lt;&gt;"")*(Ввод!$F$12:$F$31&lt;=A3597)*(Ввод!$G$12:$G$31&gt;=A3597))&gt;0,1,0))</f>
        <v/>
      </c>
      <c r="G3597">
        <f>IF(A3597="","",IF(OR(B3597&lt;&gt;B3596,C3597&lt;&gt;C3596,E3597&lt;&gt;E3596),G3596+1,G3596))</f>
        <v/>
      </c>
    </row>
    <row r="3598">
      <c r="A3598" s="20">
        <f>IF(A3597="","",IF(A3597+1&gt;Ввод!$B$4,"",A3597+1))</f>
        <v/>
      </c>
      <c r="B3598">
        <f>IF(A3598="","",IFERROR(INDEX(Ввод!$B$12:$B$71,MATCH(A3598,Ввод!$D$12:$D$71,1)),""))</f>
        <v/>
      </c>
      <c r="C3598">
        <f>IF(A3598="","",DATE(YEAR(A3598),12,31)-DATE(YEAR(A3598),1,1)+1)</f>
        <v/>
      </c>
      <c r="D3598">
        <f>IF(A3598="","",SUMIFS(Акты!$D$5:$D$16,Акты!$E$5:$E$16,"&lt;="&amp;A3598)-SUMIFS(Оплаты!$B$6:$B$505,Оплаты!$A$6:$A$505,"&lt;"&amp;A3598,Оплаты!$D$6:$D$505,"&lt;&gt;"))</f>
        <v/>
      </c>
      <c r="E3598">
        <f>IF(A3598="","",IF(SUMPRODUCT((Ввод!$F$12:$F$31&lt;&gt;"")*(Ввод!$F$12:$F$31&lt;=A3598)*(Ввод!$G$12:$G$31&gt;=A3598))&gt;0,1,0))</f>
        <v/>
      </c>
      <c r="G3598">
        <f>IF(A3598="","",IF(OR(B3598&lt;&gt;B3597,C3598&lt;&gt;C3597,E3598&lt;&gt;E3597),G3597+1,G3597))</f>
        <v/>
      </c>
    </row>
    <row r="3599">
      <c r="A3599" s="20">
        <f>IF(A3598="","",IF(A3598+1&gt;Ввод!$B$4,"",A3598+1))</f>
        <v/>
      </c>
      <c r="B3599">
        <f>IF(A3599="","",IFERROR(INDEX(Ввод!$B$12:$B$71,MATCH(A3599,Ввод!$D$12:$D$71,1)),""))</f>
        <v/>
      </c>
      <c r="C3599">
        <f>IF(A3599="","",DATE(YEAR(A3599),12,31)-DATE(YEAR(A3599),1,1)+1)</f>
        <v/>
      </c>
      <c r="D3599">
        <f>IF(A3599="","",SUMIFS(Акты!$D$5:$D$16,Акты!$E$5:$E$16,"&lt;="&amp;A3599)-SUMIFS(Оплаты!$B$6:$B$505,Оплаты!$A$6:$A$505,"&lt;"&amp;A3599,Оплаты!$D$6:$D$505,"&lt;&gt;"))</f>
        <v/>
      </c>
      <c r="E3599">
        <f>IF(A3599="","",IF(SUMPRODUCT((Ввод!$F$12:$F$31&lt;&gt;"")*(Ввод!$F$12:$F$31&lt;=A3599)*(Ввод!$G$12:$G$31&gt;=A3599))&gt;0,1,0))</f>
        <v/>
      </c>
      <c r="G3599">
        <f>IF(A3599="","",IF(OR(B3599&lt;&gt;B3598,C3599&lt;&gt;C3598,E3599&lt;&gt;E3598),G3598+1,G3598))</f>
        <v/>
      </c>
    </row>
    <row r="3600">
      <c r="A3600" s="20">
        <f>IF(A3599="","",IF(A3599+1&gt;Ввод!$B$4,"",A3599+1))</f>
        <v/>
      </c>
      <c r="B3600">
        <f>IF(A3600="","",IFERROR(INDEX(Ввод!$B$12:$B$71,MATCH(A3600,Ввод!$D$12:$D$71,1)),""))</f>
        <v/>
      </c>
      <c r="C3600">
        <f>IF(A3600="","",DATE(YEAR(A3600),12,31)-DATE(YEAR(A3600),1,1)+1)</f>
        <v/>
      </c>
      <c r="D3600">
        <f>IF(A3600="","",SUMIFS(Акты!$D$5:$D$16,Акты!$E$5:$E$16,"&lt;="&amp;A3600)-SUMIFS(Оплаты!$B$6:$B$505,Оплаты!$A$6:$A$505,"&lt;"&amp;A3600,Оплаты!$D$6:$D$505,"&lt;&gt;"))</f>
        <v/>
      </c>
      <c r="E3600">
        <f>IF(A3600="","",IF(SUMPRODUCT((Ввод!$F$12:$F$31&lt;&gt;"")*(Ввод!$F$12:$F$31&lt;=A3600)*(Ввод!$G$12:$G$31&gt;=A3600))&gt;0,1,0))</f>
        <v/>
      </c>
      <c r="G3600">
        <f>IF(A3600="","",IF(OR(B3600&lt;&gt;B3599,C3600&lt;&gt;C3599,E3600&lt;&gt;E3599),G3599+1,G3599))</f>
        <v/>
      </c>
    </row>
    <row r="3601">
      <c r="A3601" s="20">
        <f>IF(A3600="","",IF(A3600+1&gt;Ввод!$B$4,"",A3600+1))</f>
        <v/>
      </c>
      <c r="B3601">
        <f>IF(A3601="","",IFERROR(INDEX(Ввод!$B$12:$B$71,MATCH(A3601,Ввод!$D$12:$D$71,1)),""))</f>
        <v/>
      </c>
      <c r="C3601">
        <f>IF(A3601="","",DATE(YEAR(A3601),12,31)-DATE(YEAR(A3601),1,1)+1)</f>
        <v/>
      </c>
      <c r="D3601">
        <f>IF(A3601="","",SUMIFS(Акты!$D$5:$D$16,Акты!$E$5:$E$16,"&lt;="&amp;A3601)-SUMIFS(Оплаты!$B$6:$B$505,Оплаты!$A$6:$A$505,"&lt;"&amp;A3601,Оплаты!$D$6:$D$505,"&lt;&gt;"))</f>
        <v/>
      </c>
      <c r="E3601">
        <f>IF(A3601="","",IF(SUMPRODUCT((Ввод!$F$12:$F$31&lt;&gt;"")*(Ввод!$F$12:$F$31&lt;=A3601)*(Ввод!$G$12:$G$31&gt;=A3601))&gt;0,1,0))</f>
        <v/>
      </c>
      <c r="G3601">
        <f>IF(A3601="","",IF(OR(B3601&lt;&gt;B3600,C3601&lt;&gt;C3600,E3601&lt;&gt;E3600),G3600+1,G3600))</f>
        <v/>
      </c>
    </row>
    <row r="3602">
      <c r="A3602" s="20">
        <f>IF(A3601="","",IF(A3601+1&gt;Ввод!$B$4,"",A3601+1))</f>
        <v/>
      </c>
      <c r="B3602">
        <f>IF(A3602="","",IFERROR(INDEX(Ввод!$B$12:$B$71,MATCH(A3602,Ввод!$D$12:$D$71,1)),""))</f>
        <v/>
      </c>
      <c r="C3602">
        <f>IF(A3602="","",DATE(YEAR(A3602),12,31)-DATE(YEAR(A3602),1,1)+1)</f>
        <v/>
      </c>
      <c r="D3602">
        <f>IF(A3602="","",SUMIFS(Акты!$D$5:$D$16,Акты!$E$5:$E$16,"&lt;="&amp;A3602)-SUMIFS(Оплаты!$B$6:$B$505,Оплаты!$A$6:$A$505,"&lt;"&amp;A3602,Оплаты!$D$6:$D$505,"&lt;&gt;"))</f>
        <v/>
      </c>
      <c r="E3602">
        <f>IF(A3602="","",IF(SUMPRODUCT((Ввод!$F$12:$F$31&lt;&gt;"")*(Ввод!$F$12:$F$31&lt;=A3602)*(Ввод!$G$12:$G$31&gt;=A3602))&gt;0,1,0))</f>
        <v/>
      </c>
      <c r="G3602">
        <f>IF(A3602="","",IF(OR(B3602&lt;&gt;B3601,C3602&lt;&gt;C3601,E3602&lt;&gt;E3601),G3601+1,G3601))</f>
        <v/>
      </c>
    </row>
    <row r="3603">
      <c r="A3603" s="20">
        <f>IF(A3602="","",IF(A3602+1&gt;Ввод!$B$4,"",A3602+1))</f>
        <v/>
      </c>
      <c r="B3603">
        <f>IF(A3603="","",IFERROR(INDEX(Ввод!$B$12:$B$71,MATCH(A3603,Ввод!$D$12:$D$71,1)),""))</f>
        <v/>
      </c>
      <c r="C3603">
        <f>IF(A3603="","",DATE(YEAR(A3603),12,31)-DATE(YEAR(A3603),1,1)+1)</f>
        <v/>
      </c>
      <c r="D3603">
        <f>IF(A3603="","",SUMIFS(Акты!$D$5:$D$16,Акты!$E$5:$E$16,"&lt;="&amp;A3603)-SUMIFS(Оплаты!$B$6:$B$505,Оплаты!$A$6:$A$505,"&lt;"&amp;A3603,Оплаты!$D$6:$D$505,"&lt;&gt;"))</f>
        <v/>
      </c>
      <c r="E3603">
        <f>IF(A3603="","",IF(SUMPRODUCT((Ввод!$F$12:$F$31&lt;&gt;"")*(Ввод!$F$12:$F$31&lt;=A3603)*(Ввод!$G$12:$G$31&gt;=A3603))&gt;0,1,0))</f>
        <v/>
      </c>
      <c r="G3603">
        <f>IF(A3603="","",IF(OR(B3603&lt;&gt;B3602,C3603&lt;&gt;C3602,E3603&lt;&gt;E3602),G3602+1,G3602))</f>
        <v/>
      </c>
    </row>
    <row r="3604">
      <c r="A3604" s="20">
        <f>IF(A3603="","",IF(A3603+1&gt;Ввод!$B$4,"",A3603+1))</f>
        <v/>
      </c>
      <c r="B3604">
        <f>IF(A3604="","",IFERROR(INDEX(Ввод!$B$12:$B$71,MATCH(A3604,Ввод!$D$12:$D$71,1)),""))</f>
        <v/>
      </c>
      <c r="C3604">
        <f>IF(A3604="","",DATE(YEAR(A3604),12,31)-DATE(YEAR(A3604),1,1)+1)</f>
        <v/>
      </c>
      <c r="D3604">
        <f>IF(A3604="","",SUMIFS(Акты!$D$5:$D$16,Акты!$E$5:$E$16,"&lt;="&amp;A3604)-SUMIFS(Оплаты!$B$6:$B$505,Оплаты!$A$6:$A$505,"&lt;"&amp;A3604,Оплаты!$D$6:$D$505,"&lt;&gt;"))</f>
        <v/>
      </c>
      <c r="E3604">
        <f>IF(A3604="","",IF(SUMPRODUCT((Ввод!$F$12:$F$31&lt;&gt;"")*(Ввод!$F$12:$F$31&lt;=A3604)*(Ввод!$G$12:$G$31&gt;=A3604))&gt;0,1,0))</f>
        <v/>
      </c>
      <c r="G3604">
        <f>IF(A3604="","",IF(OR(B3604&lt;&gt;B3603,C3604&lt;&gt;C3603,E3604&lt;&gt;E3603),G3603+1,G3603))</f>
        <v/>
      </c>
    </row>
    <row r="3605">
      <c r="A3605" s="20">
        <f>IF(A3604="","",IF(A3604+1&gt;Ввод!$B$4,"",A3604+1))</f>
        <v/>
      </c>
      <c r="B3605">
        <f>IF(A3605="","",IFERROR(INDEX(Ввод!$B$12:$B$71,MATCH(A3605,Ввод!$D$12:$D$71,1)),""))</f>
        <v/>
      </c>
      <c r="C3605">
        <f>IF(A3605="","",DATE(YEAR(A3605),12,31)-DATE(YEAR(A3605),1,1)+1)</f>
        <v/>
      </c>
      <c r="D3605">
        <f>IF(A3605="","",SUMIFS(Акты!$D$5:$D$16,Акты!$E$5:$E$16,"&lt;="&amp;A3605)-SUMIFS(Оплаты!$B$6:$B$505,Оплаты!$A$6:$A$505,"&lt;"&amp;A3605,Оплаты!$D$6:$D$505,"&lt;&gt;"))</f>
        <v/>
      </c>
      <c r="E3605">
        <f>IF(A3605="","",IF(SUMPRODUCT((Ввод!$F$12:$F$31&lt;&gt;"")*(Ввод!$F$12:$F$31&lt;=A3605)*(Ввод!$G$12:$G$31&gt;=A3605))&gt;0,1,0))</f>
        <v/>
      </c>
      <c r="G3605">
        <f>IF(A3605="","",IF(OR(B3605&lt;&gt;B3604,C3605&lt;&gt;C3604,E3605&lt;&gt;E3604),G3604+1,G3604))</f>
        <v/>
      </c>
    </row>
    <row r="3606">
      <c r="A3606" s="20">
        <f>IF(A3605="","",IF(A3605+1&gt;Ввод!$B$4,"",A3605+1))</f>
        <v/>
      </c>
      <c r="B3606">
        <f>IF(A3606="","",IFERROR(INDEX(Ввод!$B$12:$B$71,MATCH(A3606,Ввод!$D$12:$D$71,1)),""))</f>
        <v/>
      </c>
      <c r="C3606">
        <f>IF(A3606="","",DATE(YEAR(A3606),12,31)-DATE(YEAR(A3606),1,1)+1)</f>
        <v/>
      </c>
      <c r="D3606">
        <f>IF(A3606="","",SUMIFS(Акты!$D$5:$D$16,Акты!$E$5:$E$16,"&lt;="&amp;A3606)-SUMIFS(Оплаты!$B$6:$B$505,Оплаты!$A$6:$A$505,"&lt;"&amp;A3606,Оплаты!$D$6:$D$505,"&lt;&gt;"))</f>
        <v/>
      </c>
      <c r="E3606">
        <f>IF(A3606="","",IF(SUMPRODUCT((Ввод!$F$12:$F$31&lt;&gt;"")*(Ввод!$F$12:$F$31&lt;=A3606)*(Ввод!$G$12:$G$31&gt;=A3606))&gt;0,1,0))</f>
        <v/>
      </c>
      <c r="G3606">
        <f>IF(A3606="","",IF(OR(B3606&lt;&gt;B3605,C3606&lt;&gt;C3605,E3606&lt;&gt;E3605),G3605+1,G3605))</f>
        <v/>
      </c>
    </row>
    <row r="3607">
      <c r="A3607" s="20">
        <f>IF(A3606="","",IF(A3606+1&gt;Ввод!$B$4,"",A3606+1))</f>
        <v/>
      </c>
      <c r="B3607">
        <f>IF(A3607="","",IFERROR(INDEX(Ввод!$B$12:$B$71,MATCH(A3607,Ввод!$D$12:$D$71,1)),""))</f>
        <v/>
      </c>
      <c r="C3607">
        <f>IF(A3607="","",DATE(YEAR(A3607),12,31)-DATE(YEAR(A3607),1,1)+1)</f>
        <v/>
      </c>
      <c r="D3607">
        <f>IF(A3607="","",SUMIFS(Акты!$D$5:$D$16,Акты!$E$5:$E$16,"&lt;="&amp;A3607)-SUMIFS(Оплаты!$B$6:$B$505,Оплаты!$A$6:$A$505,"&lt;"&amp;A3607,Оплаты!$D$6:$D$505,"&lt;&gt;"))</f>
        <v/>
      </c>
      <c r="E3607">
        <f>IF(A3607="","",IF(SUMPRODUCT((Ввод!$F$12:$F$31&lt;&gt;"")*(Ввод!$F$12:$F$31&lt;=A3607)*(Ввод!$G$12:$G$31&gt;=A3607))&gt;0,1,0))</f>
        <v/>
      </c>
      <c r="G3607">
        <f>IF(A3607="","",IF(OR(B3607&lt;&gt;B3606,C3607&lt;&gt;C3606,E3607&lt;&gt;E3606),G3606+1,G3606))</f>
        <v/>
      </c>
    </row>
    <row r="3608">
      <c r="A3608" s="20">
        <f>IF(A3607="","",IF(A3607+1&gt;Ввод!$B$4,"",A3607+1))</f>
        <v/>
      </c>
      <c r="B3608">
        <f>IF(A3608="","",IFERROR(INDEX(Ввод!$B$12:$B$71,MATCH(A3608,Ввод!$D$12:$D$71,1)),""))</f>
        <v/>
      </c>
      <c r="C3608">
        <f>IF(A3608="","",DATE(YEAR(A3608),12,31)-DATE(YEAR(A3608),1,1)+1)</f>
        <v/>
      </c>
      <c r="D3608">
        <f>IF(A3608="","",SUMIFS(Акты!$D$5:$D$16,Акты!$E$5:$E$16,"&lt;="&amp;A3608)-SUMIFS(Оплаты!$B$6:$B$505,Оплаты!$A$6:$A$505,"&lt;"&amp;A3608,Оплаты!$D$6:$D$505,"&lt;&gt;"))</f>
        <v/>
      </c>
      <c r="E3608">
        <f>IF(A3608="","",IF(SUMPRODUCT((Ввод!$F$12:$F$31&lt;&gt;"")*(Ввод!$F$12:$F$31&lt;=A3608)*(Ввод!$G$12:$G$31&gt;=A3608))&gt;0,1,0))</f>
        <v/>
      </c>
      <c r="G3608">
        <f>IF(A3608="","",IF(OR(B3608&lt;&gt;B3607,C3608&lt;&gt;C3607,E3608&lt;&gt;E3607),G3607+1,G3607))</f>
        <v/>
      </c>
    </row>
    <row r="3609">
      <c r="A3609" s="20">
        <f>IF(A3608="","",IF(A3608+1&gt;Ввод!$B$4,"",A3608+1))</f>
        <v/>
      </c>
      <c r="B3609">
        <f>IF(A3609="","",IFERROR(INDEX(Ввод!$B$12:$B$71,MATCH(A3609,Ввод!$D$12:$D$71,1)),""))</f>
        <v/>
      </c>
      <c r="C3609">
        <f>IF(A3609="","",DATE(YEAR(A3609),12,31)-DATE(YEAR(A3609),1,1)+1)</f>
        <v/>
      </c>
      <c r="D3609">
        <f>IF(A3609="","",SUMIFS(Акты!$D$5:$D$16,Акты!$E$5:$E$16,"&lt;="&amp;A3609)-SUMIFS(Оплаты!$B$6:$B$505,Оплаты!$A$6:$A$505,"&lt;"&amp;A3609,Оплаты!$D$6:$D$505,"&lt;&gt;"))</f>
        <v/>
      </c>
      <c r="E3609">
        <f>IF(A3609="","",IF(SUMPRODUCT((Ввод!$F$12:$F$31&lt;&gt;"")*(Ввод!$F$12:$F$31&lt;=A3609)*(Ввод!$G$12:$G$31&gt;=A3609))&gt;0,1,0))</f>
        <v/>
      </c>
      <c r="G3609">
        <f>IF(A3609="","",IF(OR(B3609&lt;&gt;B3608,C3609&lt;&gt;C3608,E3609&lt;&gt;E3608),G3608+1,G3608))</f>
        <v/>
      </c>
    </row>
    <row r="3610">
      <c r="A3610" s="20">
        <f>IF(A3609="","",IF(A3609+1&gt;Ввод!$B$4,"",A3609+1))</f>
        <v/>
      </c>
      <c r="B3610">
        <f>IF(A3610="","",IFERROR(INDEX(Ввод!$B$12:$B$71,MATCH(A3610,Ввод!$D$12:$D$71,1)),""))</f>
        <v/>
      </c>
      <c r="C3610">
        <f>IF(A3610="","",DATE(YEAR(A3610),12,31)-DATE(YEAR(A3610),1,1)+1)</f>
        <v/>
      </c>
      <c r="D3610">
        <f>IF(A3610="","",SUMIFS(Акты!$D$5:$D$16,Акты!$E$5:$E$16,"&lt;="&amp;A3610)-SUMIFS(Оплаты!$B$6:$B$505,Оплаты!$A$6:$A$505,"&lt;"&amp;A3610,Оплаты!$D$6:$D$505,"&lt;&gt;"))</f>
        <v/>
      </c>
      <c r="E3610">
        <f>IF(A3610="","",IF(SUMPRODUCT((Ввод!$F$12:$F$31&lt;&gt;"")*(Ввод!$F$12:$F$31&lt;=A3610)*(Ввод!$G$12:$G$31&gt;=A3610))&gt;0,1,0))</f>
        <v/>
      </c>
      <c r="G3610">
        <f>IF(A3610="","",IF(OR(B3610&lt;&gt;B3609,C3610&lt;&gt;C3609,E3610&lt;&gt;E3609),G3609+1,G3609))</f>
        <v/>
      </c>
    </row>
    <row r="3611">
      <c r="A3611" s="20">
        <f>IF(A3610="","",IF(A3610+1&gt;Ввод!$B$4,"",A3610+1))</f>
        <v/>
      </c>
      <c r="B3611">
        <f>IF(A3611="","",IFERROR(INDEX(Ввод!$B$12:$B$71,MATCH(A3611,Ввод!$D$12:$D$71,1)),""))</f>
        <v/>
      </c>
      <c r="C3611">
        <f>IF(A3611="","",DATE(YEAR(A3611),12,31)-DATE(YEAR(A3611),1,1)+1)</f>
        <v/>
      </c>
      <c r="D3611">
        <f>IF(A3611="","",SUMIFS(Акты!$D$5:$D$16,Акты!$E$5:$E$16,"&lt;="&amp;A3611)-SUMIFS(Оплаты!$B$6:$B$505,Оплаты!$A$6:$A$505,"&lt;"&amp;A3611,Оплаты!$D$6:$D$505,"&lt;&gt;"))</f>
        <v/>
      </c>
      <c r="E3611">
        <f>IF(A3611="","",IF(SUMPRODUCT((Ввод!$F$12:$F$31&lt;&gt;"")*(Ввод!$F$12:$F$31&lt;=A3611)*(Ввод!$G$12:$G$31&gt;=A3611))&gt;0,1,0))</f>
        <v/>
      </c>
      <c r="G3611">
        <f>IF(A3611="","",IF(OR(B3611&lt;&gt;B3610,C3611&lt;&gt;C3610,E3611&lt;&gt;E3610),G3610+1,G3610))</f>
        <v/>
      </c>
    </row>
    <row r="3612">
      <c r="A3612" s="20">
        <f>IF(A3611="","",IF(A3611+1&gt;Ввод!$B$4,"",A3611+1))</f>
        <v/>
      </c>
      <c r="B3612">
        <f>IF(A3612="","",IFERROR(INDEX(Ввод!$B$12:$B$71,MATCH(A3612,Ввод!$D$12:$D$71,1)),""))</f>
        <v/>
      </c>
      <c r="C3612">
        <f>IF(A3612="","",DATE(YEAR(A3612),12,31)-DATE(YEAR(A3612),1,1)+1)</f>
        <v/>
      </c>
      <c r="D3612">
        <f>IF(A3612="","",SUMIFS(Акты!$D$5:$D$16,Акты!$E$5:$E$16,"&lt;="&amp;A3612)-SUMIFS(Оплаты!$B$6:$B$505,Оплаты!$A$6:$A$505,"&lt;"&amp;A3612,Оплаты!$D$6:$D$505,"&lt;&gt;"))</f>
        <v/>
      </c>
      <c r="E3612">
        <f>IF(A3612="","",IF(SUMPRODUCT((Ввод!$F$12:$F$31&lt;&gt;"")*(Ввод!$F$12:$F$31&lt;=A3612)*(Ввод!$G$12:$G$31&gt;=A3612))&gt;0,1,0))</f>
        <v/>
      </c>
      <c r="G3612">
        <f>IF(A3612="","",IF(OR(B3612&lt;&gt;B3611,C3612&lt;&gt;C3611,E3612&lt;&gt;E3611),G3611+1,G3611))</f>
        <v/>
      </c>
    </row>
    <row r="3613">
      <c r="A3613" s="20">
        <f>IF(A3612="","",IF(A3612+1&gt;Ввод!$B$4,"",A3612+1))</f>
        <v/>
      </c>
      <c r="B3613">
        <f>IF(A3613="","",IFERROR(INDEX(Ввод!$B$12:$B$71,MATCH(A3613,Ввод!$D$12:$D$71,1)),""))</f>
        <v/>
      </c>
      <c r="C3613">
        <f>IF(A3613="","",DATE(YEAR(A3613),12,31)-DATE(YEAR(A3613),1,1)+1)</f>
        <v/>
      </c>
      <c r="D3613">
        <f>IF(A3613="","",SUMIFS(Акты!$D$5:$D$16,Акты!$E$5:$E$16,"&lt;="&amp;A3613)-SUMIFS(Оплаты!$B$6:$B$505,Оплаты!$A$6:$A$505,"&lt;"&amp;A3613,Оплаты!$D$6:$D$505,"&lt;&gt;"))</f>
        <v/>
      </c>
      <c r="E3613">
        <f>IF(A3613="","",IF(SUMPRODUCT((Ввод!$F$12:$F$31&lt;&gt;"")*(Ввод!$F$12:$F$31&lt;=A3613)*(Ввод!$G$12:$G$31&gt;=A3613))&gt;0,1,0))</f>
        <v/>
      </c>
      <c r="G3613">
        <f>IF(A3613="","",IF(OR(B3613&lt;&gt;B3612,C3613&lt;&gt;C3612,E3613&lt;&gt;E3612),G3612+1,G3612))</f>
        <v/>
      </c>
    </row>
    <row r="3614">
      <c r="A3614" s="20">
        <f>IF(A3613="","",IF(A3613+1&gt;Ввод!$B$4,"",A3613+1))</f>
        <v/>
      </c>
      <c r="B3614">
        <f>IF(A3614="","",IFERROR(INDEX(Ввод!$B$12:$B$71,MATCH(A3614,Ввод!$D$12:$D$71,1)),""))</f>
        <v/>
      </c>
      <c r="C3614">
        <f>IF(A3614="","",DATE(YEAR(A3614),12,31)-DATE(YEAR(A3614),1,1)+1)</f>
        <v/>
      </c>
      <c r="D3614">
        <f>IF(A3614="","",SUMIFS(Акты!$D$5:$D$16,Акты!$E$5:$E$16,"&lt;="&amp;A3614)-SUMIFS(Оплаты!$B$6:$B$505,Оплаты!$A$6:$A$505,"&lt;"&amp;A3614,Оплаты!$D$6:$D$505,"&lt;&gt;"))</f>
        <v/>
      </c>
      <c r="E3614">
        <f>IF(A3614="","",IF(SUMPRODUCT((Ввод!$F$12:$F$31&lt;&gt;"")*(Ввод!$F$12:$F$31&lt;=A3614)*(Ввод!$G$12:$G$31&gt;=A3614))&gt;0,1,0))</f>
        <v/>
      </c>
      <c r="G3614">
        <f>IF(A3614="","",IF(OR(B3614&lt;&gt;B3613,C3614&lt;&gt;C3613,E3614&lt;&gt;E3613),G3613+1,G3613))</f>
        <v/>
      </c>
    </row>
    <row r="3615">
      <c r="A3615" s="20">
        <f>IF(A3614="","",IF(A3614+1&gt;Ввод!$B$4,"",A3614+1))</f>
        <v/>
      </c>
      <c r="B3615">
        <f>IF(A3615="","",IFERROR(INDEX(Ввод!$B$12:$B$71,MATCH(A3615,Ввод!$D$12:$D$71,1)),""))</f>
        <v/>
      </c>
      <c r="C3615">
        <f>IF(A3615="","",DATE(YEAR(A3615),12,31)-DATE(YEAR(A3615),1,1)+1)</f>
        <v/>
      </c>
      <c r="D3615">
        <f>IF(A3615="","",SUMIFS(Акты!$D$5:$D$16,Акты!$E$5:$E$16,"&lt;="&amp;A3615)-SUMIFS(Оплаты!$B$6:$B$505,Оплаты!$A$6:$A$505,"&lt;"&amp;A3615,Оплаты!$D$6:$D$505,"&lt;&gt;"))</f>
        <v/>
      </c>
      <c r="E3615">
        <f>IF(A3615="","",IF(SUMPRODUCT((Ввод!$F$12:$F$31&lt;&gt;"")*(Ввод!$F$12:$F$31&lt;=A3615)*(Ввод!$G$12:$G$31&gt;=A3615))&gt;0,1,0))</f>
        <v/>
      </c>
      <c r="G3615">
        <f>IF(A3615="","",IF(OR(B3615&lt;&gt;B3614,C3615&lt;&gt;C3614,E3615&lt;&gt;E3614),G3614+1,G3614))</f>
        <v/>
      </c>
    </row>
    <row r="3616">
      <c r="A3616" s="20">
        <f>IF(A3615="","",IF(A3615+1&gt;Ввод!$B$4,"",A3615+1))</f>
        <v/>
      </c>
      <c r="B3616">
        <f>IF(A3616="","",IFERROR(INDEX(Ввод!$B$12:$B$71,MATCH(A3616,Ввод!$D$12:$D$71,1)),""))</f>
        <v/>
      </c>
      <c r="C3616">
        <f>IF(A3616="","",DATE(YEAR(A3616),12,31)-DATE(YEAR(A3616),1,1)+1)</f>
        <v/>
      </c>
      <c r="D3616">
        <f>IF(A3616="","",SUMIFS(Акты!$D$5:$D$16,Акты!$E$5:$E$16,"&lt;="&amp;A3616)-SUMIFS(Оплаты!$B$6:$B$505,Оплаты!$A$6:$A$505,"&lt;"&amp;A3616,Оплаты!$D$6:$D$505,"&lt;&gt;"))</f>
        <v/>
      </c>
      <c r="E3616">
        <f>IF(A3616="","",IF(SUMPRODUCT((Ввод!$F$12:$F$31&lt;&gt;"")*(Ввод!$F$12:$F$31&lt;=A3616)*(Ввод!$G$12:$G$31&gt;=A3616))&gt;0,1,0))</f>
        <v/>
      </c>
      <c r="G3616">
        <f>IF(A3616="","",IF(OR(B3616&lt;&gt;B3615,C3616&lt;&gt;C3615,E3616&lt;&gt;E3615),G3615+1,G3615))</f>
        <v/>
      </c>
    </row>
    <row r="3617">
      <c r="A3617" s="20">
        <f>IF(A3616="","",IF(A3616+1&gt;Ввод!$B$4,"",A3616+1))</f>
        <v/>
      </c>
      <c r="B3617">
        <f>IF(A3617="","",IFERROR(INDEX(Ввод!$B$12:$B$71,MATCH(A3617,Ввод!$D$12:$D$71,1)),""))</f>
        <v/>
      </c>
      <c r="C3617">
        <f>IF(A3617="","",DATE(YEAR(A3617),12,31)-DATE(YEAR(A3617),1,1)+1)</f>
        <v/>
      </c>
      <c r="D3617">
        <f>IF(A3617="","",SUMIFS(Акты!$D$5:$D$16,Акты!$E$5:$E$16,"&lt;="&amp;A3617)-SUMIFS(Оплаты!$B$6:$B$505,Оплаты!$A$6:$A$505,"&lt;"&amp;A3617,Оплаты!$D$6:$D$505,"&lt;&gt;"))</f>
        <v/>
      </c>
      <c r="E3617">
        <f>IF(A3617="","",IF(SUMPRODUCT((Ввод!$F$12:$F$31&lt;&gt;"")*(Ввод!$F$12:$F$31&lt;=A3617)*(Ввод!$G$12:$G$31&gt;=A3617))&gt;0,1,0))</f>
        <v/>
      </c>
      <c r="G3617">
        <f>IF(A3617="","",IF(OR(B3617&lt;&gt;B3616,C3617&lt;&gt;C3616,E3617&lt;&gt;E3616),G3616+1,G3616))</f>
        <v/>
      </c>
    </row>
    <row r="3618">
      <c r="A3618" s="20">
        <f>IF(A3617="","",IF(A3617+1&gt;Ввод!$B$4,"",A3617+1))</f>
        <v/>
      </c>
      <c r="B3618">
        <f>IF(A3618="","",IFERROR(INDEX(Ввод!$B$12:$B$71,MATCH(A3618,Ввод!$D$12:$D$71,1)),""))</f>
        <v/>
      </c>
      <c r="C3618">
        <f>IF(A3618="","",DATE(YEAR(A3618),12,31)-DATE(YEAR(A3618),1,1)+1)</f>
        <v/>
      </c>
      <c r="D3618">
        <f>IF(A3618="","",SUMIFS(Акты!$D$5:$D$16,Акты!$E$5:$E$16,"&lt;="&amp;A3618)-SUMIFS(Оплаты!$B$6:$B$505,Оплаты!$A$6:$A$505,"&lt;"&amp;A3618,Оплаты!$D$6:$D$505,"&lt;&gt;"))</f>
        <v/>
      </c>
      <c r="E3618">
        <f>IF(A3618="","",IF(SUMPRODUCT((Ввод!$F$12:$F$31&lt;&gt;"")*(Ввод!$F$12:$F$31&lt;=A3618)*(Ввод!$G$12:$G$31&gt;=A3618))&gt;0,1,0))</f>
        <v/>
      </c>
      <c r="G3618">
        <f>IF(A3618="","",IF(OR(B3618&lt;&gt;B3617,C3618&lt;&gt;C3617,E3618&lt;&gt;E3617),G3617+1,G3617))</f>
        <v/>
      </c>
    </row>
    <row r="3619">
      <c r="A3619" s="20">
        <f>IF(A3618="","",IF(A3618+1&gt;Ввод!$B$4,"",A3618+1))</f>
        <v/>
      </c>
      <c r="B3619">
        <f>IF(A3619="","",IFERROR(INDEX(Ввод!$B$12:$B$71,MATCH(A3619,Ввод!$D$12:$D$71,1)),""))</f>
        <v/>
      </c>
      <c r="C3619">
        <f>IF(A3619="","",DATE(YEAR(A3619),12,31)-DATE(YEAR(A3619),1,1)+1)</f>
        <v/>
      </c>
      <c r="D3619">
        <f>IF(A3619="","",SUMIFS(Акты!$D$5:$D$16,Акты!$E$5:$E$16,"&lt;="&amp;A3619)-SUMIFS(Оплаты!$B$6:$B$505,Оплаты!$A$6:$A$505,"&lt;"&amp;A3619,Оплаты!$D$6:$D$505,"&lt;&gt;"))</f>
        <v/>
      </c>
      <c r="E3619">
        <f>IF(A3619="","",IF(SUMPRODUCT((Ввод!$F$12:$F$31&lt;&gt;"")*(Ввод!$F$12:$F$31&lt;=A3619)*(Ввод!$G$12:$G$31&gt;=A3619))&gt;0,1,0))</f>
        <v/>
      </c>
      <c r="G3619">
        <f>IF(A3619="","",IF(OR(B3619&lt;&gt;B3618,C3619&lt;&gt;C3618,E3619&lt;&gt;E3618),G3618+1,G3618))</f>
        <v/>
      </c>
    </row>
    <row r="3620">
      <c r="A3620" s="20">
        <f>IF(A3619="","",IF(A3619+1&gt;Ввод!$B$4,"",A3619+1))</f>
        <v/>
      </c>
      <c r="B3620">
        <f>IF(A3620="","",IFERROR(INDEX(Ввод!$B$12:$B$71,MATCH(A3620,Ввод!$D$12:$D$71,1)),""))</f>
        <v/>
      </c>
      <c r="C3620">
        <f>IF(A3620="","",DATE(YEAR(A3620),12,31)-DATE(YEAR(A3620),1,1)+1)</f>
        <v/>
      </c>
      <c r="D3620">
        <f>IF(A3620="","",SUMIFS(Акты!$D$5:$D$16,Акты!$E$5:$E$16,"&lt;="&amp;A3620)-SUMIFS(Оплаты!$B$6:$B$505,Оплаты!$A$6:$A$505,"&lt;"&amp;A3620,Оплаты!$D$6:$D$505,"&lt;&gt;"))</f>
        <v/>
      </c>
      <c r="E3620">
        <f>IF(A3620="","",IF(SUMPRODUCT((Ввод!$F$12:$F$31&lt;&gt;"")*(Ввод!$F$12:$F$31&lt;=A3620)*(Ввод!$G$12:$G$31&gt;=A3620))&gt;0,1,0))</f>
        <v/>
      </c>
      <c r="G3620">
        <f>IF(A3620="","",IF(OR(B3620&lt;&gt;B3619,C3620&lt;&gt;C3619,E3620&lt;&gt;E3619),G3619+1,G3619))</f>
        <v/>
      </c>
    </row>
    <row r="3621">
      <c r="A3621" s="20">
        <f>IF(A3620="","",IF(A3620+1&gt;Ввод!$B$4,"",A3620+1))</f>
        <v/>
      </c>
      <c r="B3621">
        <f>IF(A3621="","",IFERROR(INDEX(Ввод!$B$12:$B$71,MATCH(A3621,Ввод!$D$12:$D$71,1)),""))</f>
        <v/>
      </c>
      <c r="C3621">
        <f>IF(A3621="","",DATE(YEAR(A3621),12,31)-DATE(YEAR(A3621),1,1)+1)</f>
        <v/>
      </c>
      <c r="D3621">
        <f>IF(A3621="","",SUMIFS(Акты!$D$5:$D$16,Акты!$E$5:$E$16,"&lt;="&amp;A3621)-SUMIFS(Оплаты!$B$6:$B$505,Оплаты!$A$6:$A$505,"&lt;"&amp;A3621,Оплаты!$D$6:$D$505,"&lt;&gt;"))</f>
        <v/>
      </c>
      <c r="E3621">
        <f>IF(A3621="","",IF(SUMPRODUCT((Ввод!$F$12:$F$31&lt;&gt;"")*(Ввод!$F$12:$F$31&lt;=A3621)*(Ввод!$G$12:$G$31&gt;=A3621))&gt;0,1,0))</f>
        <v/>
      </c>
      <c r="G3621">
        <f>IF(A3621="","",IF(OR(B3621&lt;&gt;B3620,C3621&lt;&gt;C3620,E3621&lt;&gt;E3620),G3620+1,G3620))</f>
        <v/>
      </c>
    </row>
    <row r="3622">
      <c r="A3622" s="20">
        <f>IF(A3621="","",IF(A3621+1&gt;Ввод!$B$4,"",A3621+1))</f>
        <v/>
      </c>
      <c r="B3622">
        <f>IF(A3622="","",IFERROR(INDEX(Ввод!$B$12:$B$71,MATCH(A3622,Ввод!$D$12:$D$71,1)),""))</f>
        <v/>
      </c>
      <c r="C3622">
        <f>IF(A3622="","",DATE(YEAR(A3622),12,31)-DATE(YEAR(A3622),1,1)+1)</f>
        <v/>
      </c>
      <c r="D3622">
        <f>IF(A3622="","",SUMIFS(Акты!$D$5:$D$16,Акты!$E$5:$E$16,"&lt;="&amp;A3622)-SUMIFS(Оплаты!$B$6:$B$505,Оплаты!$A$6:$A$505,"&lt;"&amp;A3622,Оплаты!$D$6:$D$505,"&lt;&gt;"))</f>
        <v/>
      </c>
      <c r="E3622">
        <f>IF(A3622="","",IF(SUMPRODUCT((Ввод!$F$12:$F$31&lt;&gt;"")*(Ввод!$F$12:$F$31&lt;=A3622)*(Ввод!$G$12:$G$31&gt;=A3622))&gt;0,1,0))</f>
        <v/>
      </c>
      <c r="G3622">
        <f>IF(A3622="","",IF(OR(B3622&lt;&gt;B3621,C3622&lt;&gt;C3621,E3622&lt;&gt;E3621),G3621+1,G3621))</f>
        <v/>
      </c>
    </row>
    <row r="3623">
      <c r="A3623" s="20">
        <f>IF(A3622="","",IF(A3622+1&gt;Ввод!$B$4,"",A3622+1))</f>
        <v/>
      </c>
      <c r="B3623">
        <f>IF(A3623="","",IFERROR(INDEX(Ввод!$B$12:$B$71,MATCH(A3623,Ввод!$D$12:$D$71,1)),""))</f>
        <v/>
      </c>
      <c r="C3623">
        <f>IF(A3623="","",DATE(YEAR(A3623),12,31)-DATE(YEAR(A3623),1,1)+1)</f>
        <v/>
      </c>
      <c r="D3623">
        <f>IF(A3623="","",SUMIFS(Акты!$D$5:$D$16,Акты!$E$5:$E$16,"&lt;="&amp;A3623)-SUMIFS(Оплаты!$B$6:$B$505,Оплаты!$A$6:$A$505,"&lt;"&amp;A3623,Оплаты!$D$6:$D$505,"&lt;&gt;"))</f>
        <v/>
      </c>
      <c r="E3623">
        <f>IF(A3623="","",IF(SUMPRODUCT((Ввод!$F$12:$F$31&lt;&gt;"")*(Ввод!$F$12:$F$31&lt;=A3623)*(Ввод!$G$12:$G$31&gt;=A3623))&gt;0,1,0))</f>
        <v/>
      </c>
      <c r="G3623">
        <f>IF(A3623="","",IF(OR(B3623&lt;&gt;B3622,C3623&lt;&gt;C3622,E3623&lt;&gt;E3622),G3622+1,G3622))</f>
        <v/>
      </c>
    </row>
    <row r="3624">
      <c r="A3624" s="20">
        <f>IF(A3623="","",IF(A3623+1&gt;Ввод!$B$4,"",A3623+1))</f>
        <v/>
      </c>
      <c r="B3624">
        <f>IF(A3624="","",IFERROR(INDEX(Ввод!$B$12:$B$71,MATCH(A3624,Ввод!$D$12:$D$71,1)),""))</f>
        <v/>
      </c>
      <c r="C3624">
        <f>IF(A3624="","",DATE(YEAR(A3624),12,31)-DATE(YEAR(A3624),1,1)+1)</f>
        <v/>
      </c>
      <c r="D3624">
        <f>IF(A3624="","",SUMIFS(Акты!$D$5:$D$16,Акты!$E$5:$E$16,"&lt;="&amp;A3624)-SUMIFS(Оплаты!$B$6:$B$505,Оплаты!$A$6:$A$505,"&lt;"&amp;A3624,Оплаты!$D$6:$D$505,"&lt;&gt;"))</f>
        <v/>
      </c>
      <c r="E3624">
        <f>IF(A3624="","",IF(SUMPRODUCT((Ввод!$F$12:$F$31&lt;&gt;"")*(Ввод!$F$12:$F$31&lt;=A3624)*(Ввод!$G$12:$G$31&gt;=A3624))&gt;0,1,0))</f>
        <v/>
      </c>
      <c r="G3624">
        <f>IF(A3624="","",IF(OR(B3624&lt;&gt;B3623,C3624&lt;&gt;C3623,E3624&lt;&gt;E3623),G3623+1,G3623))</f>
        <v/>
      </c>
    </row>
    <row r="3625">
      <c r="A3625" s="20">
        <f>IF(A3624="","",IF(A3624+1&gt;Ввод!$B$4,"",A3624+1))</f>
        <v/>
      </c>
      <c r="B3625">
        <f>IF(A3625="","",IFERROR(INDEX(Ввод!$B$12:$B$71,MATCH(A3625,Ввод!$D$12:$D$71,1)),""))</f>
        <v/>
      </c>
      <c r="C3625">
        <f>IF(A3625="","",DATE(YEAR(A3625),12,31)-DATE(YEAR(A3625),1,1)+1)</f>
        <v/>
      </c>
      <c r="D3625">
        <f>IF(A3625="","",SUMIFS(Акты!$D$5:$D$16,Акты!$E$5:$E$16,"&lt;="&amp;A3625)-SUMIFS(Оплаты!$B$6:$B$505,Оплаты!$A$6:$A$505,"&lt;"&amp;A3625,Оплаты!$D$6:$D$505,"&lt;&gt;"))</f>
        <v/>
      </c>
      <c r="E3625">
        <f>IF(A3625="","",IF(SUMPRODUCT((Ввод!$F$12:$F$31&lt;&gt;"")*(Ввод!$F$12:$F$31&lt;=A3625)*(Ввод!$G$12:$G$31&gt;=A3625))&gt;0,1,0))</f>
        <v/>
      </c>
      <c r="G3625">
        <f>IF(A3625="","",IF(OR(B3625&lt;&gt;B3624,C3625&lt;&gt;C3624,E3625&lt;&gt;E3624),G3624+1,G3624))</f>
        <v/>
      </c>
    </row>
    <row r="3626">
      <c r="A3626" s="20">
        <f>IF(A3625="","",IF(A3625+1&gt;Ввод!$B$4,"",A3625+1))</f>
        <v/>
      </c>
      <c r="B3626">
        <f>IF(A3626="","",IFERROR(INDEX(Ввод!$B$12:$B$71,MATCH(A3626,Ввод!$D$12:$D$71,1)),""))</f>
        <v/>
      </c>
      <c r="C3626">
        <f>IF(A3626="","",DATE(YEAR(A3626),12,31)-DATE(YEAR(A3626),1,1)+1)</f>
        <v/>
      </c>
      <c r="D3626">
        <f>IF(A3626="","",SUMIFS(Акты!$D$5:$D$16,Акты!$E$5:$E$16,"&lt;="&amp;A3626)-SUMIFS(Оплаты!$B$6:$B$505,Оплаты!$A$6:$A$505,"&lt;"&amp;A3626,Оплаты!$D$6:$D$505,"&lt;&gt;"))</f>
        <v/>
      </c>
      <c r="E3626">
        <f>IF(A3626="","",IF(SUMPRODUCT((Ввод!$F$12:$F$31&lt;&gt;"")*(Ввод!$F$12:$F$31&lt;=A3626)*(Ввод!$G$12:$G$31&gt;=A3626))&gt;0,1,0))</f>
        <v/>
      </c>
      <c r="G3626">
        <f>IF(A3626="","",IF(OR(B3626&lt;&gt;B3625,C3626&lt;&gt;C3625,E3626&lt;&gt;E3625),G3625+1,G3625))</f>
        <v/>
      </c>
    </row>
    <row r="3627">
      <c r="A3627" s="20">
        <f>IF(A3626="","",IF(A3626+1&gt;Ввод!$B$4,"",A3626+1))</f>
        <v/>
      </c>
      <c r="B3627">
        <f>IF(A3627="","",IFERROR(INDEX(Ввод!$B$12:$B$71,MATCH(A3627,Ввод!$D$12:$D$71,1)),""))</f>
        <v/>
      </c>
      <c r="C3627">
        <f>IF(A3627="","",DATE(YEAR(A3627),12,31)-DATE(YEAR(A3627),1,1)+1)</f>
        <v/>
      </c>
      <c r="D3627">
        <f>IF(A3627="","",SUMIFS(Акты!$D$5:$D$16,Акты!$E$5:$E$16,"&lt;="&amp;A3627)-SUMIFS(Оплаты!$B$6:$B$505,Оплаты!$A$6:$A$505,"&lt;"&amp;A3627,Оплаты!$D$6:$D$505,"&lt;&gt;"))</f>
        <v/>
      </c>
      <c r="E3627">
        <f>IF(A3627="","",IF(SUMPRODUCT((Ввод!$F$12:$F$31&lt;&gt;"")*(Ввод!$F$12:$F$31&lt;=A3627)*(Ввод!$G$12:$G$31&gt;=A3627))&gt;0,1,0))</f>
        <v/>
      </c>
      <c r="G3627">
        <f>IF(A3627="","",IF(OR(B3627&lt;&gt;B3626,C3627&lt;&gt;C3626,E3627&lt;&gt;E3626),G3626+1,G3626))</f>
        <v/>
      </c>
    </row>
    <row r="3628">
      <c r="A3628" s="20">
        <f>IF(A3627="","",IF(A3627+1&gt;Ввод!$B$4,"",A3627+1))</f>
        <v/>
      </c>
      <c r="B3628">
        <f>IF(A3628="","",IFERROR(INDEX(Ввод!$B$12:$B$71,MATCH(A3628,Ввод!$D$12:$D$71,1)),""))</f>
        <v/>
      </c>
      <c r="C3628">
        <f>IF(A3628="","",DATE(YEAR(A3628),12,31)-DATE(YEAR(A3628),1,1)+1)</f>
        <v/>
      </c>
      <c r="D3628">
        <f>IF(A3628="","",SUMIFS(Акты!$D$5:$D$16,Акты!$E$5:$E$16,"&lt;="&amp;A3628)-SUMIFS(Оплаты!$B$6:$B$505,Оплаты!$A$6:$A$505,"&lt;"&amp;A3628,Оплаты!$D$6:$D$505,"&lt;&gt;"))</f>
        <v/>
      </c>
      <c r="E3628">
        <f>IF(A3628="","",IF(SUMPRODUCT((Ввод!$F$12:$F$31&lt;&gt;"")*(Ввод!$F$12:$F$31&lt;=A3628)*(Ввод!$G$12:$G$31&gt;=A3628))&gt;0,1,0))</f>
        <v/>
      </c>
      <c r="G3628">
        <f>IF(A3628="","",IF(OR(B3628&lt;&gt;B3627,C3628&lt;&gt;C3627,E3628&lt;&gt;E3627),G3627+1,G3627))</f>
        <v/>
      </c>
    </row>
    <row r="3629">
      <c r="A3629" s="20">
        <f>IF(A3628="","",IF(A3628+1&gt;Ввод!$B$4,"",A3628+1))</f>
        <v/>
      </c>
      <c r="B3629">
        <f>IF(A3629="","",IFERROR(INDEX(Ввод!$B$12:$B$71,MATCH(A3629,Ввод!$D$12:$D$71,1)),""))</f>
        <v/>
      </c>
      <c r="C3629">
        <f>IF(A3629="","",DATE(YEAR(A3629),12,31)-DATE(YEAR(A3629),1,1)+1)</f>
        <v/>
      </c>
      <c r="D3629">
        <f>IF(A3629="","",SUMIFS(Акты!$D$5:$D$16,Акты!$E$5:$E$16,"&lt;="&amp;A3629)-SUMIFS(Оплаты!$B$6:$B$505,Оплаты!$A$6:$A$505,"&lt;"&amp;A3629,Оплаты!$D$6:$D$505,"&lt;&gt;"))</f>
        <v/>
      </c>
      <c r="E3629">
        <f>IF(A3629="","",IF(SUMPRODUCT((Ввод!$F$12:$F$31&lt;&gt;"")*(Ввод!$F$12:$F$31&lt;=A3629)*(Ввод!$G$12:$G$31&gt;=A3629))&gt;0,1,0))</f>
        <v/>
      </c>
      <c r="G3629">
        <f>IF(A3629="","",IF(OR(B3629&lt;&gt;B3628,C3629&lt;&gt;C3628,E3629&lt;&gt;E3628),G3628+1,G3628))</f>
        <v/>
      </c>
    </row>
    <row r="3630">
      <c r="A3630" s="20">
        <f>IF(A3629="","",IF(A3629+1&gt;Ввод!$B$4,"",A3629+1))</f>
        <v/>
      </c>
      <c r="B3630">
        <f>IF(A3630="","",IFERROR(INDEX(Ввод!$B$12:$B$71,MATCH(A3630,Ввод!$D$12:$D$71,1)),""))</f>
        <v/>
      </c>
      <c r="C3630">
        <f>IF(A3630="","",DATE(YEAR(A3630),12,31)-DATE(YEAR(A3630),1,1)+1)</f>
        <v/>
      </c>
      <c r="D3630">
        <f>IF(A3630="","",SUMIFS(Акты!$D$5:$D$16,Акты!$E$5:$E$16,"&lt;="&amp;A3630)-SUMIFS(Оплаты!$B$6:$B$505,Оплаты!$A$6:$A$505,"&lt;"&amp;A3630,Оплаты!$D$6:$D$505,"&lt;&gt;"))</f>
        <v/>
      </c>
      <c r="E3630">
        <f>IF(A3630="","",IF(SUMPRODUCT((Ввод!$F$12:$F$31&lt;&gt;"")*(Ввод!$F$12:$F$31&lt;=A3630)*(Ввод!$G$12:$G$31&gt;=A3630))&gt;0,1,0))</f>
        <v/>
      </c>
      <c r="G3630">
        <f>IF(A3630="","",IF(OR(B3630&lt;&gt;B3629,C3630&lt;&gt;C3629,E3630&lt;&gt;E3629),G3629+1,G3629))</f>
        <v/>
      </c>
    </row>
    <row r="3631">
      <c r="A3631" s="20">
        <f>IF(A3630="","",IF(A3630+1&gt;Ввод!$B$4,"",A3630+1))</f>
        <v/>
      </c>
      <c r="B3631">
        <f>IF(A3631="","",IFERROR(INDEX(Ввод!$B$12:$B$71,MATCH(A3631,Ввод!$D$12:$D$71,1)),""))</f>
        <v/>
      </c>
      <c r="C3631">
        <f>IF(A3631="","",DATE(YEAR(A3631),12,31)-DATE(YEAR(A3631),1,1)+1)</f>
        <v/>
      </c>
      <c r="D3631">
        <f>IF(A3631="","",SUMIFS(Акты!$D$5:$D$16,Акты!$E$5:$E$16,"&lt;="&amp;A3631)-SUMIFS(Оплаты!$B$6:$B$505,Оплаты!$A$6:$A$505,"&lt;"&amp;A3631,Оплаты!$D$6:$D$505,"&lt;&gt;"))</f>
        <v/>
      </c>
      <c r="E3631">
        <f>IF(A3631="","",IF(SUMPRODUCT((Ввод!$F$12:$F$31&lt;&gt;"")*(Ввод!$F$12:$F$31&lt;=A3631)*(Ввод!$G$12:$G$31&gt;=A3631))&gt;0,1,0))</f>
        <v/>
      </c>
      <c r="G3631">
        <f>IF(A3631="","",IF(OR(B3631&lt;&gt;B3630,C3631&lt;&gt;C3630,E3631&lt;&gt;E3630),G3630+1,G3630))</f>
        <v/>
      </c>
    </row>
    <row r="3632">
      <c r="A3632" s="20">
        <f>IF(A3631="","",IF(A3631+1&gt;Ввод!$B$4,"",A3631+1))</f>
        <v/>
      </c>
      <c r="B3632">
        <f>IF(A3632="","",IFERROR(INDEX(Ввод!$B$12:$B$71,MATCH(A3632,Ввод!$D$12:$D$71,1)),""))</f>
        <v/>
      </c>
      <c r="C3632">
        <f>IF(A3632="","",DATE(YEAR(A3632),12,31)-DATE(YEAR(A3632),1,1)+1)</f>
        <v/>
      </c>
      <c r="D3632">
        <f>IF(A3632="","",SUMIFS(Акты!$D$5:$D$16,Акты!$E$5:$E$16,"&lt;="&amp;A3632)-SUMIFS(Оплаты!$B$6:$B$505,Оплаты!$A$6:$A$505,"&lt;"&amp;A3632,Оплаты!$D$6:$D$505,"&lt;&gt;"))</f>
        <v/>
      </c>
      <c r="E3632">
        <f>IF(A3632="","",IF(SUMPRODUCT((Ввод!$F$12:$F$31&lt;&gt;"")*(Ввод!$F$12:$F$31&lt;=A3632)*(Ввод!$G$12:$G$31&gt;=A3632))&gt;0,1,0))</f>
        <v/>
      </c>
      <c r="G3632">
        <f>IF(A3632="","",IF(OR(B3632&lt;&gt;B3631,C3632&lt;&gt;C3631,E3632&lt;&gt;E3631),G3631+1,G3631))</f>
        <v/>
      </c>
    </row>
    <row r="3633">
      <c r="A3633" s="20">
        <f>IF(A3632="","",IF(A3632+1&gt;Ввод!$B$4,"",A3632+1))</f>
        <v/>
      </c>
      <c r="B3633">
        <f>IF(A3633="","",IFERROR(INDEX(Ввод!$B$12:$B$71,MATCH(A3633,Ввод!$D$12:$D$71,1)),""))</f>
        <v/>
      </c>
      <c r="C3633">
        <f>IF(A3633="","",DATE(YEAR(A3633),12,31)-DATE(YEAR(A3633),1,1)+1)</f>
        <v/>
      </c>
      <c r="D3633">
        <f>IF(A3633="","",SUMIFS(Акты!$D$5:$D$16,Акты!$E$5:$E$16,"&lt;="&amp;A3633)-SUMIFS(Оплаты!$B$6:$B$505,Оплаты!$A$6:$A$505,"&lt;"&amp;A3633,Оплаты!$D$6:$D$505,"&lt;&gt;"))</f>
        <v/>
      </c>
      <c r="E3633">
        <f>IF(A3633="","",IF(SUMPRODUCT((Ввод!$F$12:$F$31&lt;&gt;"")*(Ввод!$F$12:$F$31&lt;=A3633)*(Ввод!$G$12:$G$31&gt;=A3633))&gt;0,1,0))</f>
        <v/>
      </c>
      <c r="G3633">
        <f>IF(A3633="","",IF(OR(B3633&lt;&gt;B3632,C3633&lt;&gt;C3632,E3633&lt;&gt;E3632),G3632+1,G3632))</f>
        <v/>
      </c>
    </row>
    <row r="3634">
      <c r="A3634" s="20">
        <f>IF(A3633="","",IF(A3633+1&gt;Ввод!$B$4,"",A3633+1))</f>
        <v/>
      </c>
      <c r="B3634">
        <f>IF(A3634="","",IFERROR(INDEX(Ввод!$B$12:$B$71,MATCH(A3634,Ввод!$D$12:$D$71,1)),""))</f>
        <v/>
      </c>
      <c r="C3634">
        <f>IF(A3634="","",DATE(YEAR(A3634),12,31)-DATE(YEAR(A3634),1,1)+1)</f>
        <v/>
      </c>
      <c r="D3634">
        <f>IF(A3634="","",SUMIFS(Акты!$D$5:$D$16,Акты!$E$5:$E$16,"&lt;="&amp;A3634)-SUMIFS(Оплаты!$B$6:$B$505,Оплаты!$A$6:$A$505,"&lt;"&amp;A3634,Оплаты!$D$6:$D$505,"&lt;&gt;"))</f>
        <v/>
      </c>
      <c r="E3634">
        <f>IF(A3634="","",IF(SUMPRODUCT((Ввод!$F$12:$F$31&lt;&gt;"")*(Ввод!$F$12:$F$31&lt;=A3634)*(Ввод!$G$12:$G$31&gt;=A3634))&gt;0,1,0))</f>
        <v/>
      </c>
      <c r="G3634">
        <f>IF(A3634="","",IF(OR(B3634&lt;&gt;B3633,C3634&lt;&gt;C3633,E3634&lt;&gt;E3633),G3633+1,G3633))</f>
        <v/>
      </c>
    </row>
    <row r="3635">
      <c r="A3635" s="20">
        <f>IF(A3634="","",IF(A3634+1&gt;Ввод!$B$4,"",A3634+1))</f>
        <v/>
      </c>
      <c r="B3635">
        <f>IF(A3635="","",IFERROR(INDEX(Ввод!$B$12:$B$71,MATCH(A3635,Ввод!$D$12:$D$71,1)),""))</f>
        <v/>
      </c>
      <c r="C3635">
        <f>IF(A3635="","",DATE(YEAR(A3635),12,31)-DATE(YEAR(A3635),1,1)+1)</f>
        <v/>
      </c>
      <c r="D3635">
        <f>IF(A3635="","",SUMIFS(Акты!$D$5:$D$16,Акты!$E$5:$E$16,"&lt;="&amp;A3635)-SUMIFS(Оплаты!$B$6:$B$505,Оплаты!$A$6:$A$505,"&lt;"&amp;A3635,Оплаты!$D$6:$D$505,"&lt;&gt;"))</f>
        <v/>
      </c>
      <c r="E3635">
        <f>IF(A3635="","",IF(SUMPRODUCT((Ввод!$F$12:$F$31&lt;&gt;"")*(Ввод!$F$12:$F$31&lt;=A3635)*(Ввод!$G$12:$G$31&gt;=A3635))&gt;0,1,0))</f>
        <v/>
      </c>
      <c r="G3635">
        <f>IF(A3635="","",IF(OR(B3635&lt;&gt;B3634,C3635&lt;&gt;C3634,E3635&lt;&gt;E3634),G3634+1,G3634))</f>
        <v/>
      </c>
    </row>
    <row r="3636">
      <c r="A3636" s="20">
        <f>IF(A3635="","",IF(A3635+1&gt;Ввод!$B$4,"",A3635+1))</f>
        <v/>
      </c>
      <c r="B3636">
        <f>IF(A3636="","",IFERROR(INDEX(Ввод!$B$12:$B$71,MATCH(A3636,Ввод!$D$12:$D$71,1)),""))</f>
        <v/>
      </c>
      <c r="C3636">
        <f>IF(A3636="","",DATE(YEAR(A3636),12,31)-DATE(YEAR(A3636),1,1)+1)</f>
        <v/>
      </c>
      <c r="D3636">
        <f>IF(A3636="","",SUMIFS(Акты!$D$5:$D$16,Акты!$E$5:$E$16,"&lt;="&amp;A3636)-SUMIFS(Оплаты!$B$6:$B$505,Оплаты!$A$6:$A$505,"&lt;"&amp;A3636,Оплаты!$D$6:$D$505,"&lt;&gt;"))</f>
        <v/>
      </c>
      <c r="E3636">
        <f>IF(A3636="","",IF(SUMPRODUCT((Ввод!$F$12:$F$31&lt;&gt;"")*(Ввод!$F$12:$F$31&lt;=A3636)*(Ввод!$G$12:$G$31&gt;=A3636))&gt;0,1,0))</f>
        <v/>
      </c>
      <c r="G3636">
        <f>IF(A3636="","",IF(OR(B3636&lt;&gt;B3635,C3636&lt;&gt;C3635,E3636&lt;&gt;E3635),G3635+1,G3635))</f>
        <v/>
      </c>
    </row>
    <row r="3637">
      <c r="A3637" s="20">
        <f>IF(A3636="","",IF(A3636+1&gt;Ввод!$B$4,"",A3636+1))</f>
        <v/>
      </c>
      <c r="B3637">
        <f>IF(A3637="","",IFERROR(INDEX(Ввод!$B$12:$B$71,MATCH(A3637,Ввод!$D$12:$D$71,1)),""))</f>
        <v/>
      </c>
      <c r="C3637">
        <f>IF(A3637="","",DATE(YEAR(A3637),12,31)-DATE(YEAR(A3637),1,1)+1)</f>
        <v/>
      </c>
      <c r="D3637">
        <f>IF(A3637="","",SUMIFS(Акты!$D$5:$D$16,Акты!$E$5:$E$16,"&lt;="&amp;A3637)-SUMIFS(Оплаты!$B$6:$B$505,Оплаты!$A$6:$A$505,"&lt;"&amp;A3637,Оплаты!$D$6:$D$505,"&lt;&gt;"))</f>
        <v/>
      </c>
      <c r="E3637">
        <f>IF(A3637="","",IF(SUMPRODUCT((Ввод!$F$12:$F$31&lt;&gt;"")*(Ввод!$F$12:$F$31&lt;=A3637)*(Ввод!$G$12:$G$31&gt;=A3637))&gt;0,1,0))</f>
        <v/>
      </c>
      <c r="G3637">
        <f>IF(A3637="","",IF(OR(B3637&lt;&gt;B3636,C3637&lt;&gt;C3636,E3637&lt;&gt;E3636),G3636+1,G3636))</f>
        <v/>
      </c>
    </row>
    <row r="3638">
      <c r="A3638" s="20">
        <f>IF(A3637="","",IF(A3637+1&gt;Ввод!$B$4,"",A3637+1))</f>
        <v/>
      </c>
      <c r="B3638">
        <f>IF(A3638="","",IFERROR(INDEX(Ввод!$B$12:$B$71,MATCH(A3638,Ввод!$D$12:$D$71,1)),""))</f>
        <v/>
      </c>
      <c r="C3638">
        <f>IF(A3638="","",DATE(YEAR(A3638),12,31)-DATE(YEAR(A3638),1,1)+1)</f>
        <v/>
      </c>
      <c r="D3638">
        <f>IF(A3638="","",SUMIFS(Акты!$D$5:$D$16,Акты!$E$5:$E$16,"&lt;="&amp;A3638)-SUMIFS(Оплаты!$B$6:$B$505,Оплаты!$A$6:$A$505,"&lt;"&amp;A3638,Оплаты!$D$6:$D$505,"&lt;&gt;"))</f>
        <v/>
      </c>
      <c r="E3638">
        <f>IF(A3638="","",IF(SUMPRODUCT((Ввод!$F$12:$F$31&lt;&gt;"")*(Ввод!$F$12:$F$31&lt;=A3638)*(Ввод!$G$12:$G$31&gt;=A3638))&gt;0,1,0))</f>
        <v/>
      </c>
      <c r="G3638">
        <f>IF(A3638="","",IF(OR(B3638&lt;&gt;B3637,C3638&lt;&gt;C3637,E3638&lt;&gt;E3637),G3637+1,G3637))</f>
        <v/>
      </c>
    </row>
    <row r="3639">
      <c r="A3639" s="20">
        <f>IF(A3638="","",IF(A3638+1&gt;Ввод!$B$4,"",A3638+1))</f>
        <v/>
      </c>
      <c r="B3639">
        <f>IF(A3639="","",IFERROR(INDEX(Ввод!$B$12:$B$71,MATCH(A3639,Ввод!$D$12:$D$71,1)),""))</f>
        <v/>
      </c>
      <c r="C3639">
        <f>IF(A3639="","",DATE(YEAR(A3639),12,31)-DATE(YEAR(A3639),1,1)+1)</f>
        <v/>
      </c>
      <c r="D3639">
        <f>IF(A3639="","",SUMIFS(Акты!$D$5:$D$16,Акты!$E$5:$E$16,"&lt;="&amp;A3639)-SUMIFS(Оплаты!$B$6:$B$505,Оплаты!$A$6:$A$505,"&lt;"&amp;A3639,Оплаты!$D$6:$D$505,"&lt;&gt;"))</f>
        <v/>
      </c>
      <c r="E3639">
        <f>IF(A3639="","",IF(SUMPRODUCT((Ввод!$F$12:$F$31&lt;&gt;"")*(Ввод!$F$12:$F$31&lt;=A3639)*(Ввод!$G$12:$G$31&gt;=A3639))&gt;0,1,0))</f>
        <v/>
      </c>
      <c r="G3639">
        <f>IF(A3639="","",IF(OR(B3639&lt;&gt;B3638,C3639&lt;&gt;C3638,E3639&lt;&gt;E3638),G3638+1,G3638))</f>
        <v/>
      </c>
    </row>
    <row r="3640">
      <c r="A3640" s="20">
        <f>IF(A3639="","",IF(A3639+1&gt;Ввод!$B$4,"",A3639+1))</f>
        <v/>
      </c>
      <c r="B3640">
        <f>IF(A3640="","",IFERROR(INDEX(Ввод!$B$12:$B$71,MATCH(A3640,Ввод!$D$12:$D$71,1)),""))</f>
        <v/>
      </c>
      <c r="C3640">
        <f>IF(A3640="","",DATE(YEAR(A3640),12,31)-DATE(YEAR(A3640),1,1)+1)</f>
        <v/>
      </c>
      <c r="D3640">
        <f>IF(A3640="","",SUMIFS(Акты!$D$5:$D$16,Акты!$E$5:$E$16,"&lt;="&amp;A3640)-SUMIFS(Оплаты!$B$6:$B$505,Оплаты!$A$6:$A$505,"&lt;"&amp;A3640,Оплаты!$D$6:$D$505,"&lt;&gt;"))</f>
        <v/>
      </c>
      <c r="E3640">
        <f>IF(A3640="","",IF(SUMPRODUCT((Ввод!$F$12:$F$31&lt;&gt;"")*(Ввод!$F$12:$F$31&lt;=A3640)*(Ввод!$G$12:$G$31&gt;=A3640))&gt;0,1,0))</f>
        <v/>
      </c>
      <c r="G3640">
        <f>IF(A3640="","",IF(OR(B3640&lt;&gt;B3639,C3640&lt;&gt;C3639,E3640&lt;&gt;E3639),G3639+1,G3639))</f>
        <v/>
      </c>
    </row>
    <row r="3641">
      <c r="A3641" s="20">
        <f>IF(A3640="","",IF(A3640+1&gt;Ввод!$B$4,"",A3640+1))</f>
        <v/>
      </c>
      <c r="B3641">
        <f>IF(A3641="","",IFERROR(INDEX(Ввод!$B$12:$B$71,MATCH(A3641,Ввод!$D$12:$D$71,1)),""))</f>
        <v/>
      </c>
      <c r="C3641">
        <f>IF(A3641="","",DATE(YEAR(A3641),12,31)-DATE(YEAR(A3641),1,1)+1)</f>
        <v/>
      </c>
      <c r="D3641">
        <f>IF(A3641="","",SUMIFS(Акты!$D$5:$D$16,Акты!$E$5:$E$16,"&lt;="&amp;A3641)-SUMIFS(Оплаты!$B$6:$B$505,Оплаты!$A$6:$A$505,"&lt;"&amp;A3641,Оплаты!$D$6:$D$505,"&lt;&gt;"))</f>
        <v/>
      </c>
      <c r="E3641">
        <f>IF(A3641="","",IF(SUMPRODUCT((Ввод!$F$12:$F$31&lt;&gt;"")*(Ввод!$F$12:$F$31&lt;=A3641)*(Ввод!$G$12:$G$31&gt;=A3641))&gt;0,1,0))</f>
        <v/>
      </c>
      <c r="G3641">
        <f>IF(A3641="","",IF(OR(B3641&lt;&gt;B3640,C3641&lt;&gt;C3640,E3641&lt;&gt;E3640),G3640+1,G3640))</f>
        <v/>
      </c>
    </row>
    <row r="3642">
      <c r="A3642" s="20">
        <f>IF(A3641="","",IF(A3641+1&gt;Ввод!$B$4,"",A3641+1))</f>
        <v/>
      </c>
      <c r="B3642">
        <f>IF(A3642="","",IFERROR(INDEX(Ввод!$B$12:$B$71,MATCH(A3642,Ввод!$D$12:$D$71,1)),""))</f>
        <v/>
      </c>
      <c r="C3642">
        <f>IF(A3642="","",DATE(YEAR(A3642),12,31)-DATE(YEAR(A3642),1,1)+1)</f>
        <v/>
      </c>
      <c r="D3642">
        <f>IF(A3642="","",SUMIFS(Акты!$D$5:$D$16,Акты!$E$5:$E$16,"&lt;="&amp;A3642)-SUMIFS(Оплаты!$B$6:$B$505,Оплаты!$A$6:$A$505,"&lt;"&amp;A3642,Оплаты!$D$6:$D$505,"&lt;&gt;"))</f>
        <v/>
      </c>
      <c r="E3642">
        <f>IF(A3642="","",IF(SUMPRODUCT((Ввод!$F$12:$F$31&lt;&gt;"")*(Ввод!$F$12:$F$31&lt;=A3642)*(Ввод!$G$12:$G$31&gt;=A3642))&gt;0,1,0))</f>
        <v/>
      </c>
      <c r="G3642">
        <f>IF(A3642="","",IF(OR(B3642&lt;&gt;B3641,C3642&lt;&gt;C3641,E3642&lt;&gt;E3641),G3641+1,G3641))</f>
        <v/>
      </c>
    </row>
    <row r="3643">
      <c r="A3643" s="20">
        <f>IF(A3642="","",IF(A3642+1&gt;Ввод!$B$4,"",A3642+1))</f>
        <v/>
      </c>
      <c r="B3643">
        <f>IF(A3643="","",IFERROR(INDEX(Ввод!$B$12:$B$71,MATCH(A3643,Ввод!$D$12:$D$71,1)),""))</f>
        <v/>
      </c>
      <c r="C3643">
        <f>IF(A3643="","",DATE(YEAR(A3643),12,31)-DATE(YEAR(A3643),1,1)+1)</f>
        <v/>
      </c>
      <c r="D3643">
        <f>IF(A3643="","",SUMIFS(Акты!$D$5:$D$16,Акты!$E$5:$E$16,"&lt;="&amp;A3643)-SUMIFS(Оплаты!$B$6:$B$505,Оплаты!$A$6:$A$505,"&lt;"&amp;A3643,Оплаты!$D$6:$D$505,"&lt;&gt;"))</f>
        <v/>
      </c>
      <c r="E3643">
        <f>IF(A3643="","",IF(SUMPRODUCT((Ввод!$F$12:$F$31&lt;&gt;"")*(Ввод!$F$12:$F$31&lt;=A3643)*(Ввод!$G$12:$G$31&gt;=A3643))&gt;0,1,0))</f>
        <v/>
      </c>
      <c r="G3643">
        <f>IF(A3643="","",IF(OR(B3643&lt;&gt;B3642,C3643&lt;&gt;C3642,E3643&lt;&gt;E3642),G3642+1,G3642))</f>
        <v/>
      </c>
    </row>
    <row r="3644">
      <c r="A3644" s="20">
        <f>IF(A3643="","",IF(A3643+1&gt;Ввод!$B$4,"",A3643+1))</f>
        <v/>
      </c>
      <c r="B3644">
        <f>IF(A3644="","",IFERROR(INDEX(Ввод!$B$12:$B$71,MATCH(A3644,Ввод!$D$12:$D$71,1)),""))</f>
        <v/>
      </c>
      <c r="C3644">
        <f>IF(A3644="","",DATE(YEAR(A3644),12,31)-DATE(YEAR(A3644),1,1)+1)</f>
        <v/>
      </c>
      <c r="D3644">
        <f>IF(A3644="","",SUMIFS(Акты!$D$5:$D$16,Акты!$E$5:$E$16,"&lt;="&amp;A3644)-SUMIFS(Оплаты!$B$6:$B$505,Оплаты!$A$6:$A$505,"&lt;"&amp;A3644,Оплаты!$D$6:$D$505,"&lt;&gt;"))</f>
        <v/>
      </c>
      <c r="E3644">
        <f>IF(A3644="","",IF(SUMPRODUCT((Ввод!$F$12:$F$31&lt;&gt;"")*(Ввод!$F$12:$F$31&lt;=A3644)*(Ввод!$G$12:$G$31&gt;=A3644))&gt;0,1,0))</f>
        <v/>
      </c>
      <c r="G3644">
        <f>IF(A3644="","",IF(OR(B3644&lt;&gt;B3643,C3644&lt;&gt;C3643,E3644&lt;&gt;E3643),G3643+1,G3643))</f>
        <v/>
      </c>
    </row>
    <row r="3645">
      <c r="A3645" s="20">
        <f>IF(A3644="","",IF(A3644+1&gt;Ввод!$B$4,"",A3644+1))</f>
        <v/>
      </c>
      <c r="B3645">
        <f>IF(A3645="","",IFERROR(INDEX(Ввод!$B$12:$B$71,MATCH(A3645,Ввод!$D$12:$D$71,1)),""))</f>
        <v/>
      </c>
      <c r="C3645">
        <f>IF(A3645="","",DATE(YEAR(A3645),12,31)-DATE(YEAR(A3645),1,1)+1)</f>
        <v/>
      </c>
      <c r="D3645">
        <f>IF(A3645="","",SUMIFS(Акты!$D$5:$D$16,Акты!$E$5:$E$16,"&lt;="&amp;A3645)-SUMIFS(Оплаты!$B$6:$B$505,Оплаты!$A$6:$A$505,"&lt;"&amp;A3645,Оплаты!$D$6:$D$505,"&lt;&gt;"))</f>
        <v/>
      </c>
      <c r="E3645">
        <f>IF(A3645="","",IF(SUMPRODUCT((Ввод!$F$12:$F$31&lt;&gt;"")*(Ввод!$F$12:$F$31&lt;=A3645)*(Ввод!$G$12:$G$31&gt;=A3645))&gt;0,1,0))</f>
        <v/>
      </c>
      <c r="G3645">
        <f>IF(A3645="","",IF(OR(B3645&lt;&gt;B3644,C3645&lt;&gt;C3644,E3645&lt;&gt;E3644),G3644+1,G3644))</f>
        <v/>
      </c>
    </row>
    <row r="3646">
      <c r="A3646" s="20">
        <f>IF(A3645="","",IF(A3645+1&gt;Ввод!$B$4,"",A3645+1))</f>
        <v/>
      </c>
      <c r="B3646">
        <f>IF(A3646="","",IFERROR(INDEX(Ввод!$B$12:$B$71,MATCH(A3646,Ввод!$D$12:$D$71,1)),""))</f>
        <v/>
      </c>
      <c r="C3646">
        <f>IF(A3646="","",DATE(YEAR(A3646),12,31)-DATE(YEAR(A3646),1,1)+1)</f>
        <v/>
      </c>
      <c r="D3646">
        <f>IF(A3646="","",SUMIFS(Акты!$D$5:$D$16,Акты!$E$5:$E$16,"&lt;="&amp;A3646)-SUMIFS(Оплаты!$B$6:$B$505,Оплаты!$A$6:$A$505,"&lt;"&amp;A3646,Оплаты!$D$6:$D$505,"&lt;&gt;"))</f>
        <v/>
      </c>
      <c r="E3646">
        <f>IF(A3646="","",IF(SUMPRODUCT((Ввод!$F$12:$F$31&lt;&gt;"")*(Ввод!$F$12:$F$31&lt;=A3646)*(Ввод!$G$12:$G$31&gt;=A3646))&gt;0,1,0))</f>
        <v/>
      </c>
      <c r="G3646">
        <f>IF(A3646="","",IF(OR(B3646&lt;&gt;B3645,C3646&lt;&gt;C3645,E3646&lt;&gt;E3645),G3645+1,G3645))</f>
        <v/>
      </c>
    </row>
    <row r="3647">
      <c r="A3647" s="20">
        <f>IF(A3646="","",IF(A3646+1&gt;Ввод!$B$4,"",A3646+1))</f>
        <v/>
      </c>
      <c r="B3647">
        <f>IF(A3647="","",IFERROR(INDEX(Ввод!$B$12:$B$71,MATCH(A3647,Ввод!$D$12:$D$71,1)),""))</f>
        <v/>
      </c>
      <c r="C3647">
        <f>IF(A3647="","",DATE(YEAR(A3647),12,31)-DATE(YEAR(A3647),1,1)+1)</f>
        <v/>
      </c>
      <c r="D3647">
        <f>IF(A3647="","",SUMIFS(Акты!$D$5:$D$16,Акты!$E$5:$E$16,"&lt;="&amp;A3647)-SUMIFS(Оплаты!$B$6:$B$505,Оплаты!$A$6:$A$505,"&lt;"&amp;A3647,Оплаты!$D$6:$D$505,"&lt;&gt;"))</f>
        <v/>
      </c>
      <c r="E3647">
        <f>IF(A3647="","",IF(SUMPRODUCT((Ввод!$F$12:$F$31&lt;&gt;"")*(Ввод!$F$12:$F$31&lt;=A3647)*(Ввод!$G$12:$G$31&gt;=A3647))&gt;0,1,0))</f>
        <v/>
      </c>
      <c r="G3647">
        <f>IF(A3647="","",IF(OR(B3647&lt;&gt;B3646,C3647&lt;&gt;C3646,E3647&lt;&gt;E3646),G3646+1,G3646))</f>
        <v/>
      </c>
    </row>
    <row r="3648">
      <c r="A3648" s="20">
        <f>IF(A3647="","",IF(A3647+1&gt;Ввод!$B$4,"",A3647+1))</f>
        <v/>
      </c>
      <c r="B3648">
        <f>IF(A3648="","",IFERROR(INDEX(Ввод!$B$12:$B$71,MATCH(A3648,Ввод!$D$12:$D$71,1)),""))</f>
        <v/>
      </c>
      <c r="C3648">
        <f>IF(A3648="","",DATE(YEAR(A3648),12,31)-DATE(YEAR(A3648),1,1)+1)</f>
        <v/>
      </c>
      <c r="D3648">
        <f>IF(A3648="","",SUMIFS(Акты!$D$5:$D$16,Акты!$E$5:$E$16,"&lt;="&amp;A3648)-SUMIFS(Оплаты!$B$6:$B$505,Оплаты!$A$6:$A$505,"&lt;"&amp;A3648,Оплаты!$D$6:$D$505,"&lt;&gt;"))</f>
        <v/>
      </c>
      <c r="E3648">
        <f>IF(A3648="","",IF(SUMPRODUCT((Ввод!$F$12:$F$31&lt;&gt;"")*(Ввод!$F$12:$F$31&lt;=A3648)*(Ввод!$G$12:$G$31&gt;=A3648))&gt;0,1,0))</f>
        <v/>
      </c>
      <c r="G3648">
        <f>IF(A3648="","",IF(OR(B3648&lt;&gt;B3647,C3648&lt;&gt;C3647,E3648&lt;&gt;E3647),G3647+1,G3647))</f>
        <v/>
      </c>
    </row>
    <row r="3649">
      <c r="A3649" s="20">
        <f>IF(A3648="","",IF(A3648+1&gt;Ввод!$B$4,"",A3648+1))</f>
        <v/>
      </c>
      <c r="B3649">
        <f>IF(A3649="","",IFERROR(INDEX(Ввод!$B$12:$B$71,MATCH(A3649,Ввод!$D$12:$D$71,1)),""))</f>
        <v/>
      </c>
      <c r="C3649">
        <f>IF(A3649="","",DATE(YEAR(A3649),12,31)-DATE(YEAR(A3649),1,1)+1)</f>
        <v/>
      </c>
      <c r="D3649">
        <f>IF(A3649="","",SUMIFS(Акты!$D$5:$D$16,Акты!$E$5:$E$16,"&lt;="&amp;A3649)-SUMIFS(Оплаты!$B$6:$B$505,Оплаты!$A$6:$A$505,"&lt;"&amp;A3649,Оплаты!$D$6:$D$505,"&lt;&gt;"))</f>
        <v/>
      </c>
      <c r="E3649">
        <f>IF(A3649="","",IF(SUMPRODUCT((Ввод!$F$12:$F$31&lt;&gt;"")*(Ввод!$F$12:$F$31&lt;=A3649)*(Ввод!$G$12:$G$31&gt;=A3649))&gt;0,1,0))</f>
        <v/>
      </c>
      <c r="G3649">
        <f>IF(A3649="","",IF(OR(B3649&lt;&gt;B3648,C3649&lt;&gt;C3648,E3649&lt;&gt;E3648),G3648+1,G3648))</f>
        <v/>
      </c>
    </row>
    <row r="3650">
      <c r="A3650" s="20">
        <f>IF(A3649="","",IF(A3649+1&gt;Ввод!$B$4,"",A3649+1))</f>
        <v/>
      </c>
      <c r="B3650">
        <f>IF(A3650="","",IFERROR(INDEX(Ввод!$B$12:$B$71,MATCH(A3650,Ввод!$D$12:$D$71,1)),""))</f>
        <v/>
      </c>
      <c r="C3650">
        <f>IF(A3650="","",DATE(YEAR(A3650),12,31)-DATE(YEAR(A3650),1,1)+1)</f>
        <v/>
      </c>
      <c r="D3650">
        <f>IF(A3650="","",SUMIFS(Акты!$D$5:$D$16,Акты!$E$5:$E$16,"&lt;="&amp;A3650)-SUMIFS(Оплаты!$B$6:$B$505,Оплаты!$A$6:$A$505,"&lt;"&amp;A3650,Оплаты!$D$6:$D$505,"&lt;&gt;"))</f>
        <v/>
      </c>
      <c r="E3650">
        <f>IF(A3650="","",IF(SUMPRODUCT((Ввод!$F$12:$F$31&lt;&gt;"")*(Ввод!$F$12:$F$31&lt;=A3650)*(Ввод!$G$12:$G$31&gt;=A3650))&gt;0,1,0))</f>
        <v/>
      </c>
      <c r="G3650">
        <f>IF(A3650="","",IF(OR(B3650&lt;&gt;B3649,C3650&lt;&gt;C3649,E3650&lt;&gt;E3649),G3649+1,G3649))</f>
        <v/>
      </c>
    </row>
    <row r="3651">
      <c r="A3651" s="20">
        <f>IF(A3650="","",IF(A3650+1&gt;Ввод!$B$4,"",A3650+1))</f>
        <v/>
      </c>
      <c r="B3651">
        <f>IF(A3651="","",IFERROR(INDEX(Ввод!$B$12:$B$71,MATCH(A3651,Ввод!$D$12:$D$71,1)),""))</f>
        <v/>
      </c>
      <c r="C3651">
        <f>IF(A3651="","",DATE(YEAR(A3651),12,31)-DATE(YEAR(A3651),1,1)+1)</f>
        <v/>
      </c>
      <c r="D3651">
        <f>IF(A3651="","",SUMIFS(Акты!$D$5:$D$16,Акты!$E$5:$E$16,"&lt;="&amp;A3651)-SUMIFS(Оплаты!$B$6:$B$505,Оплаты!$A$6:$A$505,"&lt;"&amp;A3651,Оплаты!$D$6:$D$505,"&lt;&gt;"))</f>
        <v/>
      </c>
      <c r="E3651">
        <f>IF(A3651="","",IF(SUMPRODUCT((Ввод!$F$12:$F$31&lt;&gt;"")*(Ввод!$F$12:$F$31&lt;=A3651)*(Ввод!$G$12:$G$31&gt;=A3651))&gt;0,1,0))</f>
        <v/>
      </c>
      <c r="G3651">
        <f>IF(A3651="","",IF(OR(B3651&lt;&gt;B3650,C3651&lt;&gt;C3650,E3651&lt;&gt;E3650),G3650+1,G3650))</f>
        <v/>
      </c>
    </row>
    <row r="3652">
      <c r="A3652" s="20">
        <f>IF(A3651="","",IF(A3651+1&gt;Ввод!$B$4,"",A3651+1))</f>
        <v/>
      </c>
      <c r="B3652">
        <f>IF(A3652="","",IFERROR(INDEX(Ввод!$B$12:$B$71,MATCH(A3652,Ввод!$D$12:$D$71,1)),""))</f>
        <v/>
      </c>
      <c r="C3652">
        <f>IF(A3652="","",DATE(YEAR(A3652),12,31)-DATE(YEAR(A3652),1,1)+1)</f>
        <v/>
      </c>
      <c r="D3652">
        <f>IF(A3652="","",SUMIFS(Акты!$D$5:$D$16,Акты!$E$5:$E$16,"&lt;="&amp;A3652)-SUMIFS(Оплаты!$B$6:$B$505,Оплаты!$A$6:$A$505,"&lt;"&amp;A3652,Оплаты!$D$6:$D$505,"&lt;&gt;"))</f>
        <v/>
      </c>
      <c r="E3652">
        <f>IF(A3652="","",IF(SUMPRODUCT((Ввод!$F$12:$F$31&lt;&gt;"")*(Ввод!$F$12:$F$31&lt;=A3652)*(Ввод!$G$12:$G$31&gt;=A3652))&gt;0,1,0))</f>
        <v/>
      </c>
      <c r="G3652">
        <f>IF(A3652="","",IF(OR(B3652&lt;&gt;B3651,C3652&lt;&gt;C3651,E3652&lt;&gt;E3651),G3651+1,G3651))</f>
        <v/>
      </c>
    </row>
    <row r="3653">
      <c r="A3653" s="20">
        <f>IF(A3652="","",IF(A3652+1&gt;Ввод!$B$4,"",A3652+1))</f>
        <v/>
      </c>
      <c r="B3653">
        <f>IF(A3653="","",IFERROR(INDEX(Ввод!$B$12:$B$71,MATCH(A3653,Ввод!$D$12:$D$71,1)),""))</f>
        <v/>
      </c>
      <c r="C3653">
        <f>IF(A3653="","",DATE(YEAR(A3653),12,31)-DATE(YEAR(A3653),1,1)+1)</f>
        <v/>
      </c>
      <c r="D3653">
        <f>IF(A3653="","",SUMIFS(Акты!$D$5:$D$16,Акты!$E$5:$E$16,"&lt;="&amp;A3653)-SUMIFS(Оплаты!$B$6:$B$505,Оплаты!$A$6:$A$505,"&lt;"&amp;A3653,Оплаты!$D$6:$D$505,"&lt;&gt;"))</f>
        <v/>
      </c>
      <c r="E3653">
        <f>IF(A3653="","",IF(SUMPRODUCT((Ввод!$F$12:$F$31&lt;&gt;"")*(Ввод!$F$12:$F$31&lt;=A3653)*(Ввод!$G$12:$G$31&gt;=A3653))&gt;0,1,0))</f>
        <v/>
      </c>
      <c r="G3653">
        <f>IF(A3653="","",IF(OR(B3653&lt;&gt;B3652,C3653&lt;&gt;C3652,E3653&lt;&gt;E3652),G3652+1,G3652))</f>
        <v/>
      </c>
    </row>
    <row r="3654">
      <c r="A3654" s="20">
        <f>IF(A3653="","",IF(A3653+1&gt;Ввод!$B$4,"",A3653+1))</f>
        <v/>
      </c>
      <c r="B3654">
        <f>IF(A3654="","",IFERROR(INDEX(Ввод!$B$12:$B$71,MATCH(A3654,Ввод!$D$12:$D$71,1)),""))</f>
        <v/>
      </c>
      <c r="C3654">
        <f>IF(A3654="","",DATE(YEAR(A3654),12,31)-DATE(YEAR(A3654),1,1)+1)</f>
        <v/>
      </c>
      <c r="D3654">
        <f>IF(A3654="","",SUMIFS(Акты!$D$5:$D$16,Акты!$E$5:$E$16,"&lt;="&amp;A3654)-SUMIFS(Оплаты!$B$6:$B$505,Оплаты!$A$6:$A$505,"&lt;"&amp;A3654,Оплаты!$D$6:$D$505,"&lt;&gt;"))</f>
        <v/>
      </c>
      <c r="E3654">
        <f>IF(A3654="","",IF(SUMPRODUCT((Ввод!$F$12:$F$31&lt;&gt;"")*(Ввод!$F$12:$F$31&lt;=A3654)*(Ввод!$G$12:$G$31&gt;=A3654))&gt;0,1,0))</f>
        <v/>
      </c>
      <c r="G3654">
        <f>IF(A3654="","",IF(OR(B3654&lt;&gt;B3653,C3654&lt;&gt;C3653,E3654&lt;&gt;E3653),G3653+1,G3653))</f>
        <v/>
      </c>
    </row>
    <row r="3655">
      <c r="A3655" s="20">
        <f>IF(A3654="","",IF(A3654+1&gt;Ввод!$B$4,"",A3654+1))</f>
        <v/>
      </c>
      <c r="B3655">
        <f>IF(A3655="","",IFERROR(INDEX(Ввод!$B$12:$B$71,MATCH(A3655,Ввод!$D$12:$D$71,1)),""))</f>
        <v/>
      </c>
      <c r="C3655">
        <f>IF(A3655="","",DATE(YEAR(A3655),12,31)-DATE(YEAR(A3655),1,1)+1)</f>
        <v/>
      </c>
      <c r="D3655">
        <f>IF(A3655="","",SUMIFS(Акты!$D$5:$D$16,Акты!$E$5:$E$16,"&lt;="&amp;A3655)-SUMIFS(Оплаты!$B$6:$B$505,Оплаты!$A$6:$A$505,"&lt;"&amp;A3655,Оплаты!$D$6:$D$505,"&lt;&gt;"))</f>
        <v/>
      </c>
      <c r="E3655">
        <f>IF(A3655="","",IF(SUMPRODUCT((Ввод!$F$12:$F$31&lt;&gt;"")*(Ввод!$F$12:$F$31&lt;=A3655)*(Ввод!$G$12:$G$31&gt;=A3655))&gt;0,1,0))</f>
        <v/>
      </c>
      <c r="G3655">
        <f>IF(A3655="","",IF(OR(B3655&lt;&gt;B3654,C3655&lt;&gt;C3654,E3655&lt;&gt;E3654),G3654+1,G3654))</f>
        <v/>
      </c>
    </row>
    <row r="3656">
      <c r="A3656" s="20">
        <f>IF(A3655="","",IF(A3655+1&gt;Ввод!$B$4,"",A3655+1))</f>
        <v/>
      </c>
      <c r="B3656">
        <f>IF(A3656="","",IFERROR(INDEX(Ввод!$B$12:$B$71,MATCH(A3656,Ввод!$D$12:$D$71,1)),""))</f>
        <v/>
      </c>
      <c r="C3656">
        <f>IF(A3656="","",DATE(YEAR(A3656),12,31)-DATE(YEAR(A3656),1,1)+1)</f>
        <v/>
      </c>
      <c r="D3656">
        <f>IF(A3656="","",SUMIFS(Акты!$D$5:$D$16,Акты!$E$5:$E$16,"&lt;="&amp;A3656)-SUMIFS(Оплаты!$B$6:$B$505,Оплаты!$A$6:$A$505,"&lt;"&amp;A3656,Оплаты!$D$6:$D$505,"&lt;&gt;"))</f>
        <v/>
      </c>
      <c r="E3656">
        <f>IF(A3656="","",IF(SUMPRODUCT((Ввод!$F$12:$F$31&lt;&gt;"")*(Ввод!$F$12:$F$31&lt;=A3656)*(Ввод!$G$12:$G$31&gt;=A3656))&gt;0,1,0))</f>
        <v/>
      </c>
      <c r="G3656">
        <f>IF(A3656="","",IF(OR(B3656&lt;&gt;B3655,C3656&lt;&gt;C3655,E3656&lt;&gt;E3655),G3655+1,G3655))</f>
        <v/>
      </c>
    </row>
    <row r="3657">
      <c r="A3657" s="20">
        <f>IF(A3656="","",IF(A3656+1&gt;Ввод!$B$4,"",A3656+1))</f>
        <v/>
      </c>
      <c r="B3657">
        <f>IF(A3657="","",IFERROR(INDEX(Ввод!$B$12:$B$71,MATCH(A3657,Ввод!$D$12:$D$71,1)),""))</f>
        <v/>
      </c>
      <c r="C3657">
        <f>IF(A3657="","",DATE(YEAR(A3657),12,31)-DATE(YEAR(A3657),1,1)+1)</f>
        <v/>
      </c>
      <c r="D3657">
        <f>IF(A3657="","",SUMIFS(Акты!$D$5:$D$16,Акты!$E$5:$E$16,"&lt;="&amp;A3657)-SUMIFS(Оплаты!$B$6:$B$505,Оплаты!$A$6:$A$505,"&lt;"&amp;A3657,Оплаты!$D$6:$D$505,"&lt;&gt;"))</f>
        <v/>
      </c>
      <c r="E3657">
        <f>IF(A3657="","",IF(SUMPRODUCT((Ввод!$F$12:$F$31&lt;&gt;"")*(Ввод!$F$12:$F$31&lt;=A3657)*(Ввод!$G$12:$G$31&gt;=A3657))&gt;0,1,0))</f>
        <v/>
      </c>
      <c r="G3657">
        <f>IF(A3657="","",IF(OR(B3657&lt;&gt;B3656,C3657&lt;&gt;C3656,E3657&lt;&gt;E3656),G3656+1,G3656))</f>
        <v/>
      </c>
    </row>
    <row r="3658">
      <c r="A3658" s="20">
        <f>IF(A3657="","",IF(A3657+1&gt;Ввод!$B$4,"",A3657+1))</f>
        <v/>
      </c>
      <c r="B3658">
        <f>IF(A3658="","",IFERROR(INDEX(Ввод!$B$12:$B$71,MATCH(A3658,Ввод!$D$12:$D$71,1)),""))</f>
        <v/>
      </c>
      <c r="C3658">
        <f>IF(A3658="","",DATE(YEAR(A3658),12,31)-DATE(YEAR(A3658),1,1)+1)</f>
        <v/>
      </c>
      <c r="D3658">
        <f>IF(A3658="","",SUMIFS(Акты!$D$5:$D$16,Акты!$E$5:$E$16,"&lt;="&amp;A3658)-SUMIFS(Оплаты!$B$6:$B$505,Оплаты!$A$6:$A$505,"&lt;"&amp;A3658,Оплаты!$D$6:$D$505,"&lt;&gt;"))</f>
        <v/>
      </c>
      <c r="E3658">
        <f>IF(A3658="","",IF(SUMPRODUCT((Ввод!$F$12:$F$31&lt;&gt;"")*(Ввод!$F$12:$F$31&lt;=A3658)*(Ввод!$G$12:$G$31&gt;=A3658))&gt;0,1,0))</f>
        <v/>
      </c>
      <c r="G3658">
        <f>IF(A3658="","",IF(OR(B3658&lt;&gt;B3657,C3658&lt;&gt;C3657,E3658&lt;&gt;E3657),G3657+1,G3657))</f>
        <v/>
      </c>
    </row>
    <row r="3659">
      <c r="A3659" s="20">
        <f>IF(A3658="","",IF(A3658+1&gt;Ввод!$B$4,"",A3658+1))</f>
        <v/>
      </c>
      <c r="B3659">
        <f>IF(A3659="","",IFERROR(INDEX(Ввод!$B$12:$B$71,MATCH(A3659,Ввод!$D$12:$D$71,1)),""))</f>
        <v/>
      </c>
      <c r="C3659">
        <f>IF(A3659="","",DATE(YEAR(A3659),12,31)-DATE(YEAR(A3659),1,1)+1)</f>
        <v/>
      </c>
      <c r="D3659">
        <f>IF(A3659="","",SUMIFS(Акты!$D$5:$D$16,Акты!$E$5:$E$16,"&lt;="&amp;A3659)-SUMIFS(Оплаты!$B$6:$B$505,Оплаты!$A$6:$A$505,"&lt;"&amp;A3659,Оплаты!$D$6:$D$505,"&lt;&gt;"))</f>
        <v/>
      </c>
      <c r="E3659">
        <f>IF(A3659="","",IF(SUMPRODUCT((Ввод!$F$12:$F$31&lt;&gt;"")*(Ввод!$F$12:$F$31&lt;=A3659)*(Ввод!$G$12:$G$31&gt;=A3659))&gt;0,1,0))</f>
        <v/>
      </c>
      <c r="G3659">
        <f>IF(A3659="","",IF(OR(B3659&lt;&gt;B3658,C3659&lt;&gt;C3658,E3659&lt;&gt;E3658),G3658+1,G3658))</f>
        <v/>
      </c>
    </row>
    <row r="3660">
      <c r="A3660" s="20">
        <f>IF(A3659="","",IF(A3659+1&gt;Ввод!$B$4,"",A3659+1))</f>
        <v/>
      </c>
      <c r="B3660">
        <f>IF(A3660="","",IFERROR(INDEX(Ввод!$B$12:$B$71,MATCH(A3660,Ввод!$D$12:$D$71,1)),""))</f>
        <v/>
      </c>
      <c r="C3660">
        <f>IF(A3660="","",DATE(YEAR(A3660),12,31)-DATE(YEAR(A3660),1,1)+1)</f>
        <v/>
      </c>
      <c r="D3660">
        <f>IF(A3660="","",SUMIFS(Акты!$D$5:$D$16,Акты!$E$5:$E$16,"&lt;="&amp;A3660)-SUMIFS(Оплаты!$B$6:$B$505,Оплаты!$A$6:$A$505,"&lt;"&amp;A3660,Оплаты!$D$6:$D$505,"&lt;&gt;"))</f>
        <v/>
      </c>
      <c r="E3660">
        <f>IF(A3660="","",IF(SUMPRODUCT((Ввод!$F$12:$F$31&lt;&gt;"")*(Ввод!$F$12:$F$31&lt;=A3660)*(Ввод!$G$12:$G$31&gt;=A3660))&gt;0,1,0))</f>
        <v/>
      </c>
      <c r="G3660">
        <f>IF(A3660="","",IF(OR(B3660&lt;&gt;B3659,C3660&lt;&gt;C3659,E3660&lt;&gt;E3659),G3659+1,G3659))</f>
        <v/>
      </c>
    </row>
    <row r="3661">
      <c r="A3661" s="20">
        <f>IF(A3660="","",IF(A3660+1&gt;Ввод!$B$4,"",A3660+1))</f>
        <v/>
      </c>
      <c r="B3661">
        <f>IF(A3661="","",IFERROR(INDEX(Ввод!$B$12:$B$71,MATCH(A3661,Ввод!$D$12:$D$71,1)),""))</f>
        <v/>
      </c>
      <c r="C3661">
        <f>IF(A3661="","",DATE(YEAR(A3661),12,31)-DATE(YEAR(A3661),1,1)+1)</f>
        <v/>
      </c>
      <c r="D3661">
        <f>IF(A3661="","",SUMIFS(Акты!$D$5:$D$16,Акты!$E$5:$E$16,"&lt;="&amp;A3661)-SUMIFS(Оплаты!$B$6:$B$505,Оплаты!$A$6:$A$505,"&lt;"&amp;A3661,Оплаты!$D$6:$D$505,"&lt;&gt;"))</f>
        <v/>
      </c>
      <c r="E3661">
        <f>IF(A3661="","",IF(SUMPRODUCT((Ввод!$F$12:$F$31&lt;&gt;"")*(Ввод!$F$12:$F$31&lt;=A3661)*(Ввод!$G$12:$G$31&gt;=A3661))&gt;0,1,0))</f>
        <v/>
      </c>
      <c r="G3661">
        <f>IF(A3661="","",IF(OR(B3661&lt;&gt;B3660,C3661&lt;&gt;C3660,E3661&lt;&gt;E3660),G3660+1,G3660))</f>
        <v/>
      </c>
    </row>
    <row r="3662">
      <c r="A3662" s="20">
        <f>IF(A3661="","",IF(A3661+1&gt;Ввод!$B$4,"",A3661+1))</f>
        <v/>
      </c>
      <c r="B3662">
        <f>IF(A3662="","",IFERROR(INDEX(Ввод!$B$12:$B$71,MATCH(A3662,Ввод!$D$12:$D$71,1)),""))</f>
        <v/>
      </c>
      <c r="C3662">
        <f>IF(A3662="","",DATE(YEAR(A3662),12,31)-DATE(YEAR(A3662),1,1)+1)</f>
        <v/>
      </c>
      <c r="D3662">
        <f>IF(A3662="","",SUMIFS(Акты!$D$5:$D$16,Акты!$E$5:$E$16,"&lt;="&amp;A3662)-SUMIFS(Оплаты!$B$6:$B$505,Оплаты!$A$6:$A$505,"&lt;"&amp;A3662,Оплаты!$D$6:$D$505,"&lt;&gt;"))</f>
        <v/>
      </c>
      <c r="E3662">
        <f>IF(A3662="","",IF(SUMPRODUCT((Ввод!$F$12:$F$31&lt;&gt;"")*(Ввод!$F$12:$F$31&lt;=A3662)*(Ввод!$G$12:$G$31&gt;=A3662))&gt;0,1,0))</f>
        <v/>
      </c>
      <c r="G3662">
        <f>IF(A3662="","",IF(OR(B3662&lt;&gt;B3661,C3662&lt;&gt;C3661,E3662&lt;&gt;E3661),G3661+1,G3661))</f>
        <v/>
      </c>
    </row>
    <row r="3663">
      <c r="A3663" s="20">
        <f>IF(A3662="","",IF(A3662+1&gt;Ввод!$B$4,"",A3662+1))</f>
        <v/>
      </c>
      <c r="B3663">
        <f>IF(A3663="","",IFERROR(INDEX(Ввод!$B$12:$B$71,MATCH(A3663,Ввод!$D$12:$D$71,1)),""))</f>
        <v/>
      </c>
      <c r="C3663">
        <f>IF(A3663="","",DATE(YEAR(A3663),12,31)-DATE(YEAR(A3663),1,1)+1)</f>
        <v/>
      </c>
      <c r="D3663">
        <f>IF(A3663="","",SUMIFS(Акты!$D$5:$D$16,Акты!$E$5:$E$16,"&lt;="&amp;A3663)-SUMIFS(Оплаты!$B$6:$B$505,Оплаты!$A$6:$A$505,"&lt;"&amp;A3663,Оплаты!$D$6:$D$505,"&lt;&gt;"))</f>
        <v/>
      </c>
      <c r="E3663">
        <f>IF(A3663="","",IF(SUMPRODUCT((Ввод!$F$12:$F$31&lt;&gt;"")*(Ввод!$F$12:$F$31&lt;=A3663)*(Ввод!$G$12:$G$31&gt;=A3663))&gt;0,1,0))</f>
        <v/>
      </c>
      <c r="G3663">
        <f>IF(A3663="","",IF(OR(B3663&lt;&gt;B3662,C3663&lt;&gt;C3662,E3663&lt;&gt;E3662),G3662+1,G3662))</f>
        <v/>
      </c>
    </row>
    <row r="3664">
      <c r="A3664" s="20">
        <f>IF(A3663="","",IF(A3663+1&gt;Ввод!$B$4,"",A3663+1))</f>
        <v/>
      </c>
      <c r="B3664">
        <f>IF(A3664="","",IFERROR(INDEX(Ввод!$B$12:$B$71,MATCH(A3664,Ввод!$D$12:$D$71,1)),""))</f>
        <v/>
      </c>
      <c r="C3664">
        <f>IF(A3664="","",DATE(YEAR(A3664),12,31)-DATE(YEAR(A3664),1,1)+1)</f>
        <v/>
      </c>
      <c r="D3664">
        <f>IF(A3664="","",SUMIFS(Акты!$D$5:$D$16,Акты!$E$5:$E$16,"&lt;="&amp;A3664)-SUMIFS(Оплаты!$B$6:$B$505,Оплаты!$A$6:$A$505,"&lt;"&amp;A3664,Оплаты!$D$6:$D$505,"&lt;&gt;"))</f>
        <v/>
      </c>
      <c r="E3664">
        <f>IF(A3664="","",IF(SUMPRODUCT((Ввод!$F$12:$F$31&lt;&gt;"")*(Ввод!$F$12:$F$31&lt;=A3664)*(Ввод!$G$12:$G$31&gt;=A3664))&gt;0,1,0))</f>
        <v/>
      </c>
      <c r="G3664">
        <f>IF(A3664="","",IF(OR(B3664&lt;&gt;B3663,C3664&lt;&gt;C3663,E3664&lt;&gt;E3663),G3663+1,G3663))</f>
        <v/>
      </c>
    </row>
    <row r="3665">
      <c r="A3665" s="20">
        <f>IF(A3664="","",IF(A3664+1&gt;Ввод!$B$4,"",A3664+1))</f>
        <v/>
      </c>
      <c r="B3665">
        <f>IF(A3665="","",IFERROR(INDEX(Ввод!$B$12:$B$71,MATCH(A3665,Ввод!$D$12:$D$71,1)),""))</f>
        <v/>
      </c>
      <c r="C3665">
        <f>IF(A3665="","",DATE(YEAR(A3665),12,31)-DATE(YEAR(A3665),1,1)+1)</f>
        <v/>
      </c>
      <c r="D3665">
        <f>IF(A3665="","",SUMIFS(Акты!$D$5:$D$16,Акты!$E$5:$E$16,"&lt;="&amp;A3665)-SUMIFS(Оплаты!$B$6:$B$505,Оплаты!$A$6:$A$505,"&lt;"&amp;A3665,Оплаты!$D$6:$D$505,"&lt;&gt;"))</f>
        <v/>
      </c>
      <c r="E3665">
        <f>IF(A3665="","",IF(SUMPRODUCT((Ввод!$F$12:$F$31&lt;&gt;"")*(Ввод!$F$12:$F$31&lt;=A3665)*(Ввод!$G$12:$G$31&gt;=A3665))&gt;0,1,0))</f>
        <v/>
      </c>
      <c r="G3665">
        <f>IF(A3665="","",IF(OR(B3665&lt;&gt;B3664,C3665&lt;&gt;C3664,E3665&lt;&gt;E3664),G3664+1,G3664))</f>
        <v/>
      </c>
    </row>
    <row r="3666">
      <c r="A3666" s="20">
        <f>IF(A3665="","",IF(A3665+1&gt;Ввод!$B$4,"",A3665+1))</f>
        <v/>
      </c>
      <c r="B3666">
        <f>IF(A3666="","",IFERROR(INDEX(Ввод!$B$12:$B$71,MATCH(A3666,Ввод!$D$12:$D$71,1)),""))</f>
        <v/>
      </c>
      <c r="C3666">
        <f>IF(A3666="","",DATE(YEAR(A3666),12,31)-DATE(YEAR(A3666),1,1)+1)</f>
        <v/>
      </c>
      <c r="D3666">
        <f>IF(A3666="","",SUMIFS(Акты!$D$5:$D$16,Акты!$E$5:$E$16,"&lt;="&amp;A3666)-SUMIFS(Оплаты!$B$6:$B$505,Оплаты!$A$6:$A$505,"&lt;"&amp;A3666,Оплаты!$D$6:$D$505,"&lt;&gt;"))</f>
        <v/>
      </c>
      <c r="E3666">
        <f>IF(A3666="","",IF(SUMPRODUCT((Ввод!$F$12:$F$31&lt;&gt;"")*(Ввод!$F$12:$F$31&lt;=A3666)*(Ввод!$G$12:$G$31&gt;=A3666))&gt;0,1,0))</f>
        <v/>
      </c>
      <c r="G3666">
        <f>IF(A3666="","",IF(OR(B3666&lt;&gt;B3665,C3666&lt;&gt;C3665,E3666&lt;&gt;E3665),G3665+1,G3665))</f>
        <v/>
      </c>
    </row>
    <row r="3667">
      <c r="A3667" s="20">
        <f>IF(A3666="","",IF(A3666+1&gt;Ввод!$B$4,"",A3666+1))</f>
        <v/>
      </c>
      <c r="B3667">
        <f>IF(A3667="","",IFERROR(INDEX(Ввод!$B$12:$B$71,MATCH(A3667,Ввод!$D$12:$D$71,1)),""))</f>
        <v/>
      </c>
      <c r="C3667">
        <f>IF(A3667="","",DATE(YEAR(A3667),12,31)-DATE(YEAR(A3667),1,1)+1)</f>
        <v/>
      </c>
      <c r="D3667">
        <f>IF(A3667="","",SUMIFS(Акты!$D$5:$D$16,Акты!$E$5:$E$16,"&lt;="&amp;A3667)-SUMIFS(Оплаты!$B$6:$B$505,Оплаты!$A$6:$A$505,"&lt;"&amp;A3667,Оплаты!$D$6:$D$505,"&lt;&gt;"))</f>
        <v/>
      </c>
      <c r="E3667">
        <f>IF(A3667="","",IF(SUMPRODUCT((Ввод!$F$12:$F$31&lt;&gt;"")*(Ввод!$F$12:$F$31&lt;=A3667)*(Ввод!$G$12:$G$31&gt;=A3667))&gt;0,1,0))</f>
        <v/>
      </c>
      <c r="G3667">
        <f>IF(A3667="","",IF(OR(B3667&lt;&gt;B3666,C3667&lt;&gt;C3666,E3667&lt;&gt;E3666),G3666+1,G3666))</f>
        <v/>
      </c>
    </row>
    <row r="3668">
      <c r="A3668" s="20">
        <f>IF(A3667="","",IF(A3667+1&gt;Ввод!$B$4,"",A3667+1))</f>
        <v/>
      </c>
      <c r="B3668">
        <f>IF(A3668="","",IFERROR(INDEX(Ввод!$B$12:$B$71,MATCH(A3668,Ввод!$D$12:$D$71,1)),""))</f>
        <v/>
      </c>
      <c r="C3668">
        <f>IF(A3668="","",DATE(YEAR(A3668),12,31)-DATE(YEAR(A3668),1,1)+1)</f>
        <v/>
      </c>
      <c r="D3668">
        <f>IF(A3668="","",SUMIFS(Акты!$D$5:$D$16,Акты!$E$5:$E$16,"&lt;="&amp;A3668)-SUMIFS(Оплаты!$B$6:$B$505,Оплаты!$A$6:$A$505,"&lt;"&amp;A3668,Оплаты!$D$6:$D$505,"&lt;&gt;"))</f>
        <v/>
      </c>
      <c r="E3668">
        <f>IF(A3668="","",IF(SUMPRODUCT((Ввод!$F$12:$F$31&lt;&gt;"")*(Ввод!$F$12:$F$31&lt;=A3668)*(Ввод!$G$12:$G$31&gt;=A3668))&gt;0,1,0))</f>
        <v/>
      </c>
      <c r="G3668">
        <f>IF(A3668="","",IF(OR(B3668&lt;&gt;B3667,C3668&lt;&gt;C3667,E3668&lt;&gt;E3667),G3667+1,G3667))</f>
        <v/>
      </c>
    </row>
    <row r="3669">
      <c r="A3669" s="20">
        <f>IF(A3668="","",IF(A3668+1&gt;Ввод!$B$4,"",A3668+1))</f>
        <v/>
      </c>
      <c r="B3669">
        <f>IF(A3669="","",IFERROR(INDEX(Ввод!$B$12:$B$71,MATCH(A3669,Ввод!$D$12:$D$71,1)),""))</f>
        <v/>
      </c>
      <c r="C3669">
        <f>IF(A3669="","",DATE(YEAR(A3669),12,31)-DATE(YEAR(A3669),1,1)+1)</f>
        <v/>
      </c>
      <c r="D3669">
        <f>IF(A3669="","",SUMIFS(Акты!$D$5:$D$16,Акты!$E$5:$E$16,"&lt;="&amp;A3669)-SUMIFS(Оплаты!$B$6:$B$505,Оплаты!$A$6:$A$505,"&lt;"&amp;A3669,Оплаты!$D$6:$D$505,"&lt;&gt;"))</f>
        <v/>
      </c>
      <c r="E3669">
        <f>IF(A3669="","",IF(SUMPRODUCT((Ввод!$F$12:$F$31&lt;&gt;"")*(Ввод!$F$12:$F$31&lt;=A3669)*(Ввод!$G$12:$G$31&gt;=A3669))&gt;0,1,0))</f>
        <v/>
      </c>
      <c r="G3669">
        <f>IF(A3669="","",IF(OR(B3669&lt;&gt;B3668,C3669&lt;&gt;C3668,E3669&lt;&gt;E3668),G3668+1,G3668))</f>
        <v/>
      </c>
    </row>
    <row r="3670">
      <c r="A3670" s="20">
        <f>IF(A3669="","",IF(A3669+1&gt;Ввод!$B$4,"",A3669+1))</f>
        <v/>
      </c>
      <c r="B3670">
        <f>IF(A3670="","",IFERROR(INDEX(Ввод!$B$12:$B$71,MATCH(A3670,Ввод!$D$12:$D$71,1)),""))</f>
        <v/>
      </c>
      <c r="C3670">
        <f>IF(A3670="","",DATE(YEAR(A3670),12,31)-DATE(YEAR(A3670),1,1)+1)</f>
        <v/>
      </c>
      <c r="D3670">
        <f>IF(A3670="","",SUMIFS(Акты!$D$5:$D$16,Акты!$E$5:$E$16,"&lt;="&amp;A3670)-SUMIFS(Оплаты!$B$6:$B$505,Оплаты!$A$6:$A$505,"&lt;"&amp;A3670,Оплаты!$D$6:$D$505,"&lt;&gt;"))</f>
        <v/>
      </c>
      <c r="E3670">
        <f>IF(A3670="","",IF(SUMPRODUCT((Ввод!$F$12:$F$31&lt;&gt;"")*(Ввод!$F$12:$F$31&lt;=A3670)*(Ввод!$G$12:$G$31&gt;=A3670))&gt;0,1,0))</f>
        <v/>
      </c>
      <c r="G3670">
        <f>IF(A3670="","",IF(OR(B3670&lt;&gt;B3669,C3670&lt;&gt;C3669,E3670&lt;&gt;E3669),G3669+1,G3669))</f>
        <v/>
      </c>
    </row>
    <row r="3671">
      <c r="A3671" s="20">
        <f>IF(A3670="","",IF(A3670+1&gt;Ввод!$B$4,"",A3670+1))</f>
        <v/>
      </c>
      <c r="B3671">
        <f>IF(A3671="","",IFERROR(INDEX(Ввод!$B$12:$B$71,MATCH(A3671,Ввод!$D$12:$D$71,1)),""))</f>
        <v/>
      </c>
      <c r="C3671">
        <f>IF(A3671="","",DATE(YEAR(A3671),12,31)-DATE(YEAR(A3671),1,1)+1)</f>
        <v/>
      </c>
      <c r="D3671">
        <f>IF(A3671="","",SUMIFS(Акты!$D$5:$D$16,Акты!$E$5:$E$16,"&lt;="&amp;A3671)-SUMIFS(Оплаты!$B$6:$B$505,Оплаты!$A$6:$A$505,"&lt;"&amp;A3671,Оплаты!$D$6:$D$505,"&lt;&gt;"))</f>
        <v/>
      </c>
      <c r="E3671">
        <f>IF(A3671="","",IF(SUMPRODUCT((Ввод!$F$12:$F$31&lt;&gt;"")*(Ввод!$F$12:$F$31&lt;=A3671)*(Ввод!$G$12:$G$31&gt;=A3671))&gt;0,1,0))</f>
        <v/>
      </c>
      <c r="G3671">
        <f>IF(A3671="","",IF(OR(B3671&lt;&gt;B3670,C3671&lt;&gt;C3670,E3671&lt;&gt;E3670),G3670+1,G3670))</f>
        <v/>
      </c>
    </row>
    <row r="3672">
      <c r="A3672" s="20">
        <f>IF(A3671="","",IF(A3671+1&gt;Ввод!$B$4,"",A3671+1))</f>
        <v/>
      </c>
      <c r="B3672">
        <f>IF(A3672="","",IFERROR(INDEX(Ввод!$B$12:$B$71,MATCH(A3672,Ввод!$D$12:$D$71,1)),""))</f>
        <v/>
      </c>
      <c r="C3672">
        <f>IF(A3672="","",DATE(YEAR(A3672),12,31)-DATE(YEAR(A3672),1,1)+1)</f>
        <v/>
      </c>
      <c r="D3672">
        <f>IF(A3672="","",SUMIFS(Акты!$D$5:$D$16,Акты!$E$5:$E$16,"&lt;="&amp;A3672)-SUMIFS(Оплаты!$B$6:$B$505,Оплаты!$A$6:$A$505,"&lt;"&amp;A3672,Оплаты!$D$6:$D$505,"&lt;&gt;"))</f>
        <v/>
      </c>
      <c r="E3672">
        <f>IF(A3672="","",IF(SUMPRODUCT((Ввод!$F$12:$F$31&lt;&gt;"")*(Ввод!$F$12:$F$31&lt;=A3672)*(Ввод!$G$12:$G$31&gt;=A3672))&gt;0,1,0))</f>
        <v/>
      </c>
      <c r="G3672">
        <f>IF(A3672="","",IF(OR(B3672&lt;&gt;B3671,C3672&lt;&gt;C3671,E3672&lt;&gt;E3671),G3671+1,G3671))</f>
        <v/>
      </c>
    </row>
    <row r="3673">
      <c r="A3673" s="20">
        <f>IF(A3672="","",IF(A3672+1&gt;Ввод!$B$4,"",A3672+1))</f>
        <v/>
      </c>
      <c r="B3673">
        <f>IF(A3673="","",IFERROR(INDEX(Ввод!$B$12:$B$71,MATCH(A3673,Ввод!$D$12:$D$71,1)),""))</f>
        <v/>
      </c>
      <c r="C3673">
        <f>IF(A3673="","",DATE(YEAR(A3673),12,31)-DATE(YEAR(A3673),1,1)+1)</f>
        <v/>
      </c>
      <c r="D3673">
        <f>IF(A3673="","",SUMIFS(Акты!$D$5:$D$16,Акты!$E$5:$E$16,"&lt;="&amp;A3673)-SUMIFS(Оплаты!$B$6:$B$505,Оплаты!$A$6:$A$505,"&lt;"&amp;A3673,Оплаты!$D$6:$D$505,"&lt;&gt;"))</f>
        <v/>
      </c>
      <c r="E3673">
        <f>IF(A3673="","",IF(SUMPRODUCT((Ввод!$F$12:$F$31&lt;&gt;"")*(Ввод!$F$12:$F$31&lt;=A3673)*(Ввод!$G$12:$G$31&gt;=A3673))&gt;0,1,0))</f>
        <v/>
      </c>
      <c r="G3673">
        <f>IF(A3673="","",IF(OR(B3673&lt;&gt;B3672,C3673&lt;&gt;C3672,E3673&lt;&gt;E3672),G3672+1,G3672))</f>
        <v/>
      </c>
    </row>
    <row r="3674">
      <c r="A3674" s="20">
        <f>IF(A3673="","",IF(A3673+1&gt;Ввод!$B$4,"",A3673+1))</f>
        <v/>
      </c>
      <c r="B3674">
        <f>IF(A3674="","",IFERROR(INDEX(Ввод!$B$12:$B$71,MATCH(A3674,Ввод!$D$12:$D$71,1)),""))</f>
        <v/>
      </c>
      <c r="C3674">
        <f>IF(A3674="","",DATE(YEAR(A3674),12,31)-DATE(YEAR(A3674),1,1)+1)</f>
        <v/>
      </c>
      <c r="D3674">
        <f>IF(A3674="","",SUMIFS(Акты!$D$5:$D$16,Акты!$E$5:$E$16,"&lt;="&amp;A3674)-SUMIFS(Оплаты!$B$6:$B$505,Оплаты!$A$6:$A$505,"&lt;"&amp;A3674,Оплаты!$D$6:$D$505,"&lt;&gt;"))</f>
        <v/>
      </c>
      <c r="E3674">
        <f>IF(A3674="","",IF(SUMPRODUCT((Ввод!$F$12:$F$31&lt;&gt;"")*(Ввод!$F$12:$F$31&lt;=A3674)*(Ввод!$G$12:$G$31&gt;=A3674))&gt;0,1,0))</f>
        <v/>
      </c>
      <c r="G3674">
        <f>IF(A3674="","",IF(OR(B3674&lt;&gt;B3673,C3674&lt;&gt;C3673,E3674&lt;&gt;E3673),G3673+1,G3673))</f>
        <v/>
      </c>
    </row>
    <row r="3675">
      <c r="A3675" s="20">
        <f>IF(A3674="","",IF(A3674+1&gt;Ввод!$B$4,"",A3674+1))</f>
        <v/>
      </c>
      <c r="B3675">
        <f>IF(A3675="","",IFERROR(INDEX(Ввод!$B$12:$B$71,MATCH(A3675,Ввод!$D$12:$D$71,1)),""))</f>
        <v/>
      </c>
      <c r="C3675">
        <f>IF(A3675="","",DATE(YEAR(A3675),12,31)-DATE(YEAR(A3675),1,1)+1)</f>
        <v/>
      </c>
      <c r="D3675">
        <f>IF(A3675="","",SUMIFS(Акты!$D$5:$D$16,Акты!$E$5:$E$16,"&lt;="&amp;A3675)-SUMIFS(Оплаты!$B$6:$B$505,Оплаты!$A$6:$A$505,"&lt;"&amp;A3675,Оплаты!$D$6:$D$505,"&lt;&gt;"))</f>
        <v/>
      </c>
      <c r="E3675">
        <f>IF(A3675="","",IF(SUMPRODUCT((Ввод!$F$12:$F$31&lt;&gt;"")*(Ввод!$F$12:$F$31&lt;=A3675)*(Ввод!$G$12:$G$31&gt;=A3675))&gt;0,1,0))</f>
        <v/>
      </c>
      <c r="G3675">
        <f>IF(A3675="","",IF(OR(B3675&lt;&gt;B3674,C3675&lt;&gt;C3674,E3675&lt;&gt;E3674),G3674+1,G3674))</f>
        <v/>
      </c>
    </row>
    <row r="3676">
      <c r="A3676" s="20">
        <f>IF(A3675="","",IF(A3675+1&gt;Ввод!$B$4,"",A3675+1))</f>
        <v/>
      </c>
      <c r="B3676">
        <f>IF(A3676="","",IFERROR(INDEX(Ввод!$B$12:$B$71,MATCH(A3676,Ввод!$D$12:$D$71,1)),""))</f>
        <v/>
      </c>
      <c r="C3676">
        <f>IF(A3676="","",DATE(YEAR(A3676),12,31)-DATE(YEAR(A3676),1,1)+1)</f>
        <v/>
      </c>
      <c r="D3676">
        <f>IF(A3676="","",SUMIFS(Акты!$D$5:$D$16,Акты!$E$5:$E$16,"&lt;="&amp;A3676)-SUMIFS(Оплаты!$B$6:$B$505,Оплаты!$A$6:$A$505,"&lt;"&amp;A3676,Оплаты!$D$6:$D$505,"&lt;&gt;"))</f>
        <v/>
      </c>
      <c r="E3676">
        <f>IF(A3676="","",IF(SUMPRODUCT((Ввод!$F$12:$F$31&lt;&gt;"")*(Ввод!$F$12:$F$31&lt;=A3676)*(Ввод!$G$12:$G$31&gt;=A3676))&gt;0,1,0))</f>
        <v/>
      </c>
      <c r="G3676">
        <f>IF(A3676="","",IF(OR(B3676&lt;&gt;B3675,C3676&lt;&gt;C3675,E3676&lt;&gt;E3675),G3675+1,G3675))</f>
        <v/>
      </c>
    </row>
    <row r="3677">
      <c r="A3677" s="20">
        <f>IF(A3676="","",IF(A3676+1&gt;Ввод!$B$4,"",A3676+1))</f>
        <v/>
      </c>
      <c r="B3677">
        <f>IF(A3677="","",IFERROR(INDEX(Ввод!$B$12:$B$71,MATCH(A3677,Ввод!$D$12:$D$71,1)),""))</f>
        <v/>
      </c>
      <c r="C3677">
        <f>IF(A3677="","",DATE(YEAR(A3677),12,31)-DATE(YEAR(A3677),1,1)+1)</f>
        <v/>
      </c>
      <c r="D3677">
        <f>IF(A3677="","",SUMIFS(Акты!$D$5:$D$16,Акты!$E$5:$E$16,"&lt;="&amp;A3677)-SUMIFS(Оплаты!$B$6:$B$505,Оплаты!$A$6:$A$505,"&lt;"&amp;A3677,Оплаты!$D$6:$D$505,"&lt;&gt;"))</f>
        <v/>
      </c>
      <c r="E3677">
        <f>IF(A3677="","",IF(SUMPRODUCT((Ввод!$F$12:$F$31&lt;&gt;"")*(Ввод!$F$12:$F$31&lt;=A3677)*(Ввод!$G$12:$G$31&gt;=A3677))&gt;0,1,0))</f>
        <v/>
      </c>
      <c r="G3677">
        <f>IF(A3677="","",IF(OR(B3677&lt;&gt;B3676,C3677&lt;&gt;C3676,E3677&lt;&gt;E3676),G3676+1,G3676))</f>
        <v/>
      </c>
    </row>
    <row r="3678">
      <c r="A3678" s="20">
        <f>IF(A3677="","",IF(A3677+1&gt;Ввод!$B$4,"",A3677+1))</f>
        <v/>
      </c>
      <c r="B3678">
        <f>IF(A3678="","",IFERROR(INDEX(Ввод!$B$12:$B$71,MATCH(A3678,Ввод!$D$12:$D$71,1)),""))</f>
        <v/>
      </c>
      <c r="C3678">
        <f>IF(A3678="","",DATE(YEAR(A3678),12,31)-DATE(YEAR(A3678),1,1)+1)</f>
        <v/>
      </c>
      <c r="D3678">
        <f>IF(A3678="","",SUMIFS(Акты!$D$5:$D$16,Акты!$E$5:$E$16,"&lt;="&amp;A3678)-SUMIFS(Оплаты!$B$6:$B$505,Оплаты!$A$6:$A$505,"&lt;"&amp;A3678,Оплаты!$D$6:$D$505,"&lt;&gt;"))</f>
        <v/>
      </c>
      <c r="E3678">
        <f>IF(A3678="","",IF(SUMPRODUCT((Ввод!$F$12:$F$31&lt;&gt;"")*(Ввод!$F$12:$F$31&lt;=A3678)*(Ввод!$G$12:$G$31&gt;=A3678))&gt;0,1,0))</f>
        <v/>
      </c>
      <c r="G3678">
        <f>IF(A3678="","",IF(OR(B3678&lt;&gt;B3677,C3678&lt;&gt;C3677,E3678&lt;&gt;E3677),G3677+1,G3677))</f>
        <v/>
      </c>
    </row>
    <row r="3679">
      <c r="A3679" s="20">
        <f>IF(A3678="","",IF(A3678+1&gt;Ввод!$B$4,"",A3678+1))</f>
        <v/>
      </c>
      <c r="B3679">
        <f>IF(A3679="","",IFERROR(INDEX(Ввод!$B$12:$B$71,MATCH(A3679,Ввод!$D$12:$D$71,1)),""))</f>
        <v/>
      </c>
      <c r="C3679">
        <f>IF(A3679="","",DATE(YEAR(A3679),12,31)-DATE(YEAR(A3679),1,1)+1)</f>
        <v/>
      </c>
      <c r="D3679">
        <f>IF(A3679="","",SUMIFS(Акты!$D$5:$D$16,Акты!$E$5:$E$16,"&lt;="&amp;A3679)-SUMIFS(Оплаты!$B$6:$B$505,Оплаты!$A$6:$A$505,"&lt;"&amp;A3679,Оплаты!$D$6:$D$505,"&lt;&gt;"))</f>
        <v/>
      </c>
      <c r="E3679">
        <f>IF(A3679="","",IF(SUMPRODUCT((Ввод!$F$12:$F$31&lt;&gt;"")*(Ввод!$F$12:$F$31&lt;=A3679)*(Ввод!$G$12:$G$31&gt;=A3679))&gt;0,1,0))</f>
        <v/>
      </c>
      <c r="G3679">
        <f>IF(A3679="","",IF(OR(B3679&lt;&gt;B3678,C3679&lt;&gt;C3678,E3679&lt;&gt;E3678),G3678+1,G3678))</f>
        <v/>
      </c>
    </row>
    <row r="3680">
      <c r="A3680" s="20">
        <f>IF(A3679="","",IF(A3679+1&gt;Ввод!$B$4,"",A3679+1))</f>
        <v/>
      </c>
      <c r="B3680">
        <f>IF(A3680="","",IFERROR(INDEX(Ввод!$B$12:$B$71,MATCH(A3680,Ввод!$D$12:$D$71,1)),""))</f>
        <v/>
      </c>
      <c r="C3680">
        <f>IF(A3680="","",DATE(YEAR(A3680),12,31)-DATE(YEAR(A3680),1,1)+1)</f>
        <v/>
      </c>
      <c r="D3680">
        <f>IF(A3680="","",SUMIFS(Акты!$D$5:$D$16,Акты!$E$5:$E$16,"&lt;="&amp;A3680)-SUMIFS(Оплаты!$B$6:$B$505,Оплаты!$A$6:$A$505,"&lt;"&amp;A3680,Оплаты!$D$6:$D$505,"&lt;&gt;"))</f>
        <v/>
      </c>
      <c r="E3680">
        <f>IF(A3680="","",IF(SUMPRODUCT((Ввод!$F$12:$F$31&lt;&gt;"")*(Ввод!$F$12:$F$31&lt;=A3680)*(Ввод!$G$12:$G$31&gt;=A3680))&gt;0,1,0))</f>
        <v/>
      </c>
      <c r="G3680">
        <f>IF(A3680="","",IF(OR(B3680&lt;&gt;B3679,C3680&lt;&gt;C3679,E3680&lt;&gt;E3679),G3679+1,G3679))</f>
        <v/>
      </c>
    </row>
    <row r="3681">
      <c r="A3681" s="20">
        <f>IF(A3680="","",IF(A3680+1&gt;Ввод!$B$4,"",A3680+1))</f>
        <v/>
      </c>
      <c r="B3681">
        <f>IF(A3681="","",IFERROR(INDEX(Ввод!$B$12:$B$71,MATCH(A3681,Ввод!$D$12:$D$71,1)),""))</f>
        <v/>
      </c>
      <c r="C3681">
        <f>IF(A3681="","",DATE(YEAR(A3681),12,31)-DATE(YEAR(A3681),1,1)+1)</f>
        <v/>
      </c>
      <c r="D3681">
        <f>IF(A3681="","",SUMIFS(Акты!$D$5:$D$16,Акты!$E$5:$E$16,"&lt;="&amp;A3681)-SUMIFS(Оплаты!$B$6:$B$505,Оплаты!$A$6:$A$505,"&lt;"&amp;A3681,Оплаты!$D$6:$D$505,"&lt;&gt;"))</f>
        <v/>
      </c>
      <c r="E3681">
        <f>IF(A3681="","",IF(SUMPRODUCT((Ввод!$F$12:$F$31&lt;&gt;"")*(Ввод!$F$12:$F$31&lt;=A3681)*(Ввод!$G$12:$G$31&gt;=A3681))&gt;0,1,0))</f>
        <v/>
      </c>
      <c r="G3681">
        <f>IF(A3681="","",IF(OR(B3681&lt;&gt;B3680,C3681&lt;&gt;C3680,E3681&lt;&gt;E3680),G3680+1,G3680))</f>
        <v/>
      </c>
    </row>
    <row r="3682">
      <c r="A3682" s="20">
        <f>IF(A3681="","",IF(A3681+1&gt;Ввод!$B$4,"",A3681+1))</f>
        <v/>
      </c>
      <c r="B3682">
        <f>IF(A3682="","",IFERROR(INDEX(Ввод!$B$12:$B$71,MATCH(A3682,Ввод!$D$12:$D$71,1)),""))</f>
        <v/>
      </c>
      <c r="C3682">
        <f>IF(A3682="","",DATE(YEAR(A3682),12,31)-DATE(YEAR(A3682),1,1)+1)</f>
        <v/>
      </c>
      <c r="D3682">
        <f>IF(A3682="","",SUMIFS(Акты!$D$5:$D$16,Акты!$E$5:$E$16,"&lt;="&amp;A3682)-SUMIFS(Оплаты!$B$6:$B$505,Оплаты!$A$6:$A$505,"&lt;"&amp;A3682,Оплаты!$D$6:$D$505,"&lt;&gt;"))</f>
        <v/>
      </c>
      <c r="E3682">
        <f>IF(A3682="","",IF(SUMPRODUCT((Ввод!$F$12:$F$31&lt;&gt;"")*(Ввод!$F$12:$F$31&lt;=A3682)*(Ввод!$G$12:$G$31&gt;=A3682))&gt;0,1,0))</f>
        <v/>
      </c>
      <c r="G3682">
        <f>IF(A3682="","",IF(OR(B3682&lt;&gt;B3681,C3682&lt;&gt;C3681,E3682&lt;&gt;E3681),G3681+1,G3681))</f>
        <v/>
      </c>
    </row>
    <row r="3683">
      <c r="A3683" s="20">
        <f>IF(A3682="","",IF(A3682+1&gt;Ввод!$B$4,"",A3682+1))</f>
        <v/>
      </c>
      <c r="B3683">
        <f>IF(A3683="","",IFERROR(INDEX(Ввод!$B$12:$B$71,MATCH(A3683,Ввод!$D$12:$D$71,1)),""))</f>
        <v/>
      </c>
      <c r="C3683">
        <f>IF(A3683="","",DATE(YEAR(A3683),12,31)-DATE(YEAR(A3683),1,1)+1)</f>
        <v/>
      </c>
      <c r="D3683">
        <f>IF(A3683="","",SUMIFS(Акты!$D$5:$D$16,Акты!$E$5:$E$16,"&lt;="&amp;A3683)-SUMIFS(Оплаты!$B$6:$B$505,Оплаты!$A$6:$A$505,"&lt;"&amp;A3683,Оплаты!$D$6:$D$505,"&lt;&gt;"))</f>
        <v/>
      </c>
      <c r="E3683">
        <f>IF(A3683="","",IF(SUMPRODUCT((Ввод!$F$12:$F$31&lt;&gt;"")*(Ввод!$F$12:$F$31&lt;=A3683)*(Ввод!$G$12:$G$31&gt;=A3683))&gt;0,1,0))</f>
        <v/>
      </c>
      <c r="G3683">
        <f>IF(A3683="","",IF(OR(B3683&lt;&gt;B3682,C3683&lt;&gt;C3682,E3683&lt;&gt;E3682),G3682+1,G3682))</f>
        <v/>
      </c>
    </row>
    <row r="3684">
      <c r="A3684" s="20">
        <f>IF(A3683="","",IF(A3683+1&gt;Ввод!$B$4,"",A3683+1))</f>
        <v/>
      </c>
      <c r="B3684">
        <f>IF(A3684="","",IFERROR(INDEX(Ввод!$B$12:$B$71,MATCH(A3684,Ввод!$D$12:$D$71,1)),""))</f>
        <v/>
      </c>
      <c r="C3684">
        <f>IF(A3684="","",DATE(YEAR(A3684),12,31)-DATE(YEAR(A3684),1,1)+1)</f>
        <v/>
      </c>
      <c r="D3684">
        <f>IF(A3684="","",SUMIFS(Акты!$D$5:$D$16,Акты!$E$5:$E$16,"&lt;="&amp;A3684)-SUMIFS(Оплаты!$B$6:$B$505,Оплаты!$A$6:$A$505,"&lt;"&amp;A3684,Оплаты!$D$6:$D$505,"&lt;&gt;"))</f>
        <v/>
      </c>
      <c r="E3684">
        <f>IF(A3684="","",IF(SUMPRODUCT((Ввод!$F$12:$F$31&lt;&gt;"")*(Ввод!$F$12:$F$31&lt;=A3684)*(Ввод!$G$12:$G$31&gt;=A3684))&gt;0,1,0))</f>
        <v/>
      </c>
      <c r="G3684">
        <f>IF(A3684="","",IF(OR(B3684&lt;&gt;B3683,C3684&lt;&gt;C3683,E3684&lt;&gt;E3683),G3683+1,G3683))</f>
        <v/>
      </c>
    </row>
    <row r="3685">
      <c r="A3685" s="20">
        <f>IF(A3684="","",IF(A3684+1&gt;Ввод!$B$4,"",A3684+1))</f>
        <v/>
      </c>
      <c r="B3685">
        <f>IF(A3685="","",IFERROR(INDEX(Ввод!$B$12:$B$71,MATCH(A3685,Ввод!$D$12:$D$71,1)),""))</f>
        <v/>
      </c>
      <c r="C3685">
        <f>IF(A3685="","",DATE(YEAR(A3685),12,31)-DATE(YEAR(A3685),1,1)+1)</f>
        <v/>
      </c>
      <c r="D3685">
        <f>IF(A3685="","",SUMIFS(Акты!$D$5:$D$16,Акты!$E$5:$E$16,"&lt;="&amp;A3685)-SUMIFS(Оплаты!$B$6:$B$505,Оплаты!$A$6:$A$505,"&lt;"&amp;A3685,Оплаты!$D$6:$D$505,"&lt;&gt;"))</f>
        <v/>
      </c>
      <c r="E3685">
        <f>IF(A3685="","",IF(SUMPRODUCT((Ввод!$F$12:$F$31&lt;&gt;"")*(Ввод!$F$12:$F$31&lt;=A3685)*(Ввод!$G$12:$G$31&gt;=A3685))&gt;0,1,0))</f>
        <v/>
      </c>
      <c r="G3685">
        <f>IF(A3685="","",IF(OR(B3685&lt;&gt;B3684,C3685&lt;&gt;C3684,E3685&lt;&gt;E3684),G3684+1,G3684))</f>
        <v/>
      </c>
    </row>
    <row r="3686">
      <c r="A3686" s="20">
        <f>IF(A3685="","",IF(A3685+1&gt;Ввод!$B$4,"",A3685+1))</f>
        <v/>
      </c>
      <c r="B3686">
        <f>IF(A3686="","",IFERROR(INDEX(Ввод!$B$12:$B$71,MATCH(A3686,Ввод!$D$12:$D$71,1)),""))</f>
        <v/>
      </c>
      <c r="C3686">
        <f>IF(A3686="","",DATE(YEAR(A3686),12,31)-DATE(YEAR(A3686),1,1)+1)</f>
        <v/>
      </c>
      <c r="D3686">
        <f>IF(A3686="","",SUMIFS(Акты!$D$5:$D$16,Акты!$E$5:$E$16,"&lt;="&amp;A3686)-SUMIFS(Оплаты!$B$6:$B$505,Оплаты!$A$6:$A$505,"&lt;"&amp;A3686,Оплаты!$D$6:$D$505,"&lt;&gt;"))</f>
        <v/>
      </c>
      <c r="E3686">
        <f>IF(A3686="","",IF(SUMPRODUCT((Ввод!$F$12:$F$31&lt;&gt;"")*(Ввод!$F$12:$F$31&lt;=A3686)*(Ввод!$G$12:$G$31&gt;=A3686))&gt;0,1,0))</f>
        <v/>
      </c>
      <c r="G3686">
        <f>IF(A3686="","",IF(OR(B3686&lt;&gt;B3685,C3686&lt;&gt;C3685,E3686&lt;&gt;E3685),G3685+1,G3685))</f>
        <v/>
      </c>
    </row>
    <row r="3687">
      <c r="A3687" s="20">
        <f>IF(A3686="","",IF(A3686+1&gt;Ввод!$B$4,"",A3686+1))</f>
        <v/>
      </c>
      <c r="B3687">
        <f>IF(A3687="","",IFERROR(INDEX(Ввод!$B$12:$B$71,MATCH(A3687,Ввод!$D$12:$D$71,1)),""))</f>
        <v/>
      </c>
      <c r="C3687">
        <f>IF(A3687="","",DATE(YEAR(A3687),12,31)-DATE(YEAR(A3687),1,1)+1)</f>
        <v/>
      </c>
      <c r="D3687">
        <f>IF(A3687="","",SUMIFS(Акты!$D$5:$D$16,Акты!$E$5:$E$16,"&lt;="&amp;A3687)-SUMIFS(Оплаты!$B$6:$B$505,Оплаты!$A$6:$A$505,"&lt;"&amp;A3687,Оплаты!$D$6:$D$505,"&lt;&gt;"))</f>
        <v/>
      </c>
      <c r="E3687">
        <f>IF(A3687="","",IF(SUMPRODUCT((Ввод!$F$12:$F$31&lt;&gt;"")*(Ввод!$F$12:$F$31&lt;=A3687)*(Ввод!$G$12:$G$31&gt;=A3687))&gt;0,1,0))</f>
        <v/>
      </c>
      <c r="G3687">
        <f>IF(A3687="","",IF(OR(B3687&lt;&gt;B3686,C3687&lt;&gt;C3686,E3687&lt;&gt;E3686),G3686+1,G3686))</f>
        <v/>
      </c>
    </row>
    <row r="3688">
      <c r="A3688" s="20">
        <f>IF(A3687="","",IF(A3687+1&gt;Ввод!$B$4,"",A3687+1))</f>
        <v/>
      </c>
      <c r="B3688">
        <f>IF(A3688="","",IFERROR(INDEX(Ввод!$B$12:$B$71,MATCH(A3688,Ввод!$D$12:$D$71,1)),""))</f>
        <v/>
      </c>
      <c r="C3688">
        <f>IF(A3688="","",DATE(YEAR(A3688),12,31)-DATE(YEAR(A3688),1,1)+1)</f>
        <v/>
      </c>
      <c r="D3688">
        <f>IF(A3688="","",SUMIFS(Акты!$D$5:$D$16,Акты!$E$5:$E$16,"&lt;="&amp;A3688)-SUMIFS(Оплаты!$B$6:$B$505,Оплаты!$A$6:$A$505,"&lt;"&amp;A3688,Оплаты!$D$6:$D$505,"&lt;&gt;"))</f>
        <v/>
      </c>
      <c r="E3688">
        <f>IF(A3688="","",IF(SUMPRODUCT((Ввод!$F$12:$F$31&lt;&gt;"")*(Ввод!$F$12:$F$31&lt;=A3688)*(Ввод!$G$12:$G$31&gt;=A3688))&gt;0,1,0))</f>
        <v/>
      </c>
      <c r="G3688">
        <f>IF(A3688="","",IF(OR(B3688&lt;&gt;B3687,C3688&lt;&gt;C3687,E3688&lt;&gt;E3687),G3687+1,G3687))</f>
        <v/>
      </c>
    </row>
    <row r="3689">
      <c r="A3689" s="20">
        <f>IF(A3688="","",IF(A3688+1&gt;Ввод!$B$4,"",A3688+1))</f>
        <v/>
      </c>
      <c r="B3689">
        <f>IF(A3689="","",IFERROR(INDEX(Ввод!$B$12:$B$71,MATCH(A3689,Ввод!$D$12:$D$71,1)),""))</f>
        <v/>
      </c>
      <c r="C3689">
        <f>IF(A3689="","",DATE(YEAR(A3689),12,31)-DATE(YEAR(A3689),1,1)+1)</f>
        <v/>
      </c>
      <c r="D3689">
        <f>IF(A3689="","",SUMIFS(Акты!$D$5:$D$16,Акты!$E$5:$E$16,"&lt;="&amp;A3689)-SUMIFS(Оплаты!$B$6:$B$505,Оплаты!$A$6:$A$505,"&lt;"&amp;A3689,Оплаты!$D$6:$D$505,"&lt;&gt;"))</f>
        <v/>
      </c>
      <c r="E3689">
        <f>IF(A3689="","",IF(SUMPRODUCT((Ввод!$F$12:$F$31&lt;&gt;"")*(Ввод!$F$12:$F$31&lt;=A3689)*(Ввод!$G$12:$G$31&gt;=A3689))&gt;0,1,0))</f>
        <v/>
      </c>
      <c r="G3689">
        <f>IF(A3689="","",IF(OR(B3689&lt;&gt;B3688,C3689&lt;&gt;C3688,E3689&lt;&gt;E3688),G3688+1,G3688))</f>
        <v/>
      </c>
    </row>
    <row r="3690">
      <c r="A3690" s="20">
        <f>IF(A3689="","",IF(A3689+1&gt;Ввод!$B$4,"",A3689+1))</f>
        <v/>
      </c>
      <c r="B3690">
        <f>IF(A3690="","",IFERROR(INDEX(Ввод!$B$12:$B$71,MATCH(A3690,Ввод!$D$12:$D$71,1)),""))</f>
        <v/>
      </c>
      <c r="C3690">
        <f>IF(A3690="","",DATE(YEAR(A3690),12,31)-DATE(YEAR(A3690),1,1)+1)</f>
        <v/>
      </c>
      <c r="D3690">
        <f>IF(A3690="","",SUMIFS(Акты!$D$5:$D$16,Акты!$E$5:$E$16,"&lt;="&amp;A3690)-SUMIFS(Оплаты!$B$6:$B$505,Оплаты!$A$6:$A$505,"&lt;"&amp;A3690,Оплаты!$D$6:$D$505,"&lt;&gt;"))</f>
        <v/>
      </c>
      <c r="E3690">
        <f>IF(A3690="","",IF(SUMPRODUCT((Ввод!$F$12:$F$31&lt;&gt;"")*(Ввод!$F$12:$F$31&lt;=A3690)*(Ввод!$G$12:$G$31&gt;=A3690))&gt;0,1,0))</f>
        <v/>
      </c>
      <c r="G3690">
        <f>IF(A3690="","",IF(OR(B3690&lt;&gt;B3689,C3690&lt;&gt;C3689,E3690&lt;&gt;E3689),G3689+1,G3689))</f>
        <v/>
      </c>
    </row>
    <row r="3691">
      <c r="A3691" s="20">
        <f>IF(A3690="","",IF(A3690+1&gt;Ввод!$B$4,"",A3690+1))</f>
        <v/>
      </c>
      <c r="B3691">
        <f>IF(A3691="","",IFERROR(INDEX(Ввод!$B$12:$B$71,MATCH(A3691,Ввод!$D$12:$D$71,1)),""))</f>
        <v/>
      </c>
      <c r="C3691">
        <f>IF(A3691="","",DATE(YEAR(A3691),12,31)-DATE(YEAR(A3691),1,1)+1)</f>
        <v/>
      </c>
      <c r="D3691">
        <f>IF(A3691="","",SUMIFS(Акты!$D$5:$D$16,Акты!$E$5:$E$16,"&lt;="&amp;A3691)-SUMIFS(Оплаты!$B$6:$B$505,Оплаты!$A$6:$A$505,"&lt;"&amp;A3691,Оплаты!$D$6:$D$505,"&lt;&gt;"))</f>
        <v/>
      </c>
      <c r="E3691">
        <f>IF(A3691="","",IF(SUMPRODUCT((Ввод!$F$12:$F$31&lt;&gt;"")*(Ввод!$F$12:$F$31&lt;=A3691)*(Ввод!$G$12:$G$31&gt;=A3691))&gt;0,1,0))</f>
        <v/>
      </c>
      <c r="G3691">
        <f>IF(A3691="","",IF(OR(B3691&lt;&gt;B3690,C3691&lt;&gt;C3690,E3691&lt;&gt;E3690),G3690+1,G3690))</f>
        <v/>
      </c>
    </row>
    <row r="3692">
      <c r="A3692" s="20">
        <f>IF(A3691="","",IF(A3691+1&gt;Ввод!$B$4,"",A3691+1))</f>
        <v/>
      </c>
      <c r="B3692">
        <f>IF(A3692="","",IFERROR(INDEX(Ввод!$B$12:$B$71,MATCH(A3692,Ввод!$D$12:$D$71,1)),""))</f>
        <v/>
      </c>
      <c r="C3692">
        <f>IF(A3692="","",DATE(YEAR(A3692),12,31)-DATE(YEAR(A3692),1,1)+1)</f>
        <v/>
      </c>
      <c r="D3692">
        <f>IF(A3692="","",SUMIFS(Акты!$D$5:$D$16,Акты!$E$5:$E$16,"&lt;="&amp;A3692)-SUMIFS(Оплаты!$B$6:$B$505,Оплаты!$A$6:$A$505,"&lt;"&amp;A3692,Оплаты!$D$6:$D$505,"&lt;&gt;"))</f>
        <v/>
      </c>
      <c r="E3692">
        <f>IF(A3692="","",IF(SUMPRODUCT((Ввод!$F$12:$F$31&lt;&gt;"")*(Ввод!$F$12:$F$31&lt;=A3692)*(Ввод!$G$12:$G$31&gt;=A3692))&gt;0,1,0))</f>
        <v/>
      </c>
      <c r="G3692">
        <f>IF(A3692="","",IF(OR(B3692&lt;&gt;B3691,C3692&lt;&gt;C3691,E3692&lt;&gt;E3691),G3691+1,G3691))</f>
        <v/>
      </c>
    </row>
    <row r="3693">
      <c r="A3693" s="20">
        <f>IF(A3692="","",IF(A3692+1&gt;Ввод!$B$4,"",A3692+1))</f>
        <v/>
      </c>
      <c r="B3693">
        <f>IF(A3693="","",IFERROR(INDEX(Ввод!$B$12:$B$71,MATCH(A3693,Ввод!$D$12:$D$71,1)),""))</f>
        <v/>
      </c>
      <c r="C3693">
        <f>IF(A3693="","",DATE(YEAR(A3693),12,31)-DATE(YEAR(A3693),1,1)+1)</f>
        <v/>
      </c>
      <c r="D3693">
        <f>IF(A3693="","",SUMIFS(Акты!$D$5:$D$16,Акты!$E$5:$E$16,"&lt;="&amp;A3693)-SUMIFS(Оплаты!$B$6:$B$505,Оплаты!$A$6:$A$505,"&lt;"&amp;A3693,Оплаты!$D$6:$D$505,"&lt;&gt;"))</f>
        <v/>
      </c>
      <c r="E3693">
        <f>IF(A3693="","",IF(SUMPRODUCT((Ввод!$F$12:$F$31&lt;&gt;"")*(Ввод!$F$12:$F$31&lt;=A3693)*(Ввод!$G$12:$G$31&gt;=A3693))&gt;0,1,0))</f>
        <v/>
      </c>
      <c r="G3693">
        <f>IF(A3693="","",IF(OR(B3693&lt;&gt;B3692,C3693&lt;&gt;C3692,E3693&lt;&gt;E3692),G3692+1,G3692))</f>
        <v/>
      </c>
    </row>
    <row r="3694">
      <c r="A3694" s="20">
        <f>IF(A3693="","",IF(A3693+1&gt;Ввод!$B$4,"",A3693+1))</f>
        <v/>
      </c>
      <c r="B3694">
        <f>IF(A3694="","",IFERROR(INDEX(Ввод!$B$12:$B$71,MATCH(A3694,Ввод!$D$12:$D$71,1)),""))</f>
        <v/>
      </c>
      <c r="C3694">
        <f>IF(A3694="","",DATE(YEAR(A3694),12,31)-DATE(YEAR(A3694),1,1)+1)</f>
        <v/>
      </c>
      <c r="D3694">
        <f>IF(A3694="","",SUMIFS(Акты!$D$5:$D$16,Акты!$E$5:$E$16,"&lt;="&amp;A3694)-SUMIFS(Оплаты!$B$6:$B$505,Оплаты!$A$6:$A$505,"&lt;"&amp;A3694,Оплаты!$D$6:$D$505,"&lt;&gt;"))</f>
        <v/>
      </c>
      <c r="E3694">
        <f>IF(A3694="","",IF(SUMPRODUCT((Ввод!$F$12:$F$31&lt;&gt;"")*(Ввод!$F$12:$F$31&lt;=A3694)*(Ввод!$G$12:$G$31&gt;=A3694))&gt;0,1,0))</f>
        <v/>
      </c>
      <c r="G3694">
        <f>IF(A3694="","",IF(OR(B3694&lt;&gt;B3693,C3694&lt;&gt;C3693,E3694&lt;&gt;E3693),G3693+1,G3693))</f>
        <v/>
      </c>
    </row>
    <row r="3695">
      <c r="A3695" s="20">
        <f>IF(A3694="","",IF(A3694+1&gt;Ввод!$B$4,"",A3694+1))</f>
        <v/>
      </c>
      <c r="B3695">
        <f>IF(A3695="","",IFERROR(INDEX(Ввод!$B$12:$B$71,MATCH(A3695,Ввод!$D$12:$D$71,1)),""))</f>
        <v/>
      </c>
      <c r="C3695">
        <f>IF(A3695="","",DATE(YEAR(A3695),12,31)-DATE(YEAR(A3695),1,1)+1)</f>
        <v/>
      </c>
      <c r="D3695">
        <f>IF(A3695="","",SUMIFS(Акты!$D$5:$D$16,Акты!$E$5:$E$16,"&lt;="&amp;A3695)-SUMIFS(Оплаты!$B$6:$B$505,Оплаты!$A$6:$A$505,"&lt;"&amp;A3695,Оплаты!$D$6:$D$505,"&lt;&gt;"))</f>
        <v/>
      </c>
      <c r="E3695">
        <f>IF(A3695="","",IF(SUMPRODUCT((Ввод!$F$12:$F$31&lt;&gt;"")*(Ввод!$F$12:$F$31&lt;=A3695)*(Ввод!$G$12:$G$31&gt;=A3695))&gt;0,1,0))</f>
        <v/>
      </c>
      <c r="G3695">
        <f>IF(A3695="","",IF(OR(B3695&lt;&gt;B3694,C3695&lt;&gt;C3694,E3695&lt;&gt;E3694),G3694+1,G3694))</f>
        <v/>
      </c>
    </row>
    <row r="3696">
      <c r="A3696" s="20">
        <f>IF(A3695="","",IF(A3695+1&gt;Ввод!$B$4,"",A3695+1))</f>
        <v/>
      </c>
      <c r="B3696">
        <f>IF(A3696="","",IFERROR(INDEX(Ввод!$B$12:$B$71,MATCH(A3696,Ввод!$D$12:$D$71,1)),""))</f>
        <v/>
      </c>
      <c r="C3696">
        <f>IF(A3696="","",DATE(YEAR(A3696),12,31)-DATE(YEAR(A3696),1,1)+1)</f>
        <v/>
      </c>
      <c r="D3696">
        <f>IF(A3696="","",SUMIFS(Акты!$D$5:$D$16,Акты!$E$5:$E$16,"&lt;="&amp;A3696)-SUMIFS(Оплаты!$B$6:$B$505,Оплаты!$A$6:$A$505,"&lt;"&amp;A3696,Оплаты!$D$6:$D$505,"&lt;&gt;"))</f>
        <v/>
      </c>
      <c r="E3696">
        <f>IF(A3696="","",IF(SUMPRODUCT((Ввод!$F$12:$F$31&lt;&gt;"")*(Ввод!$F$12:$F$31&lt;=A3696)*(Ввод!$G$12:$G$31&gt;=A3696))&gt;0,1,0))</f>
        <v/>
      </c>
      <c r="G3696">
        <f>IF(A3696="","",IF(OR(B3696&lt;&gt;B3695,C3696&lt;&gt;C3695,E3696&lt;&gt;E3695),G3695+1,G3695))</f>
        <v/>
      </c>
    </row>
    <row r="3697">
      <c r="A3697" s="20">
        <f>IF(A3696="","",IF(A3696+1&gt;Ввод!$B$4,"",A3696+1))</f>
        <v/>
      </c>
      <c r="B3697">
        <f>IF(A3697="","",IFERROR(INDEX(Ввод!$B$12:$B$71,MATCH(A3697,Ввод!$D$12:$D$71,1)),""))</f>
        <v/>
      </c>
      <c r="C3697">
        <f>IF(A3697="","",DATE(YEAR(A3697),12,31)-DATE(YEAR(A3697),1,1)+1)</f>
        <v/>
      </c>
      <c r="D3697">
        <f>IF(A3697="","",SUMIFS(Акты!$D$5:$D$16,Акты!$E$5:$E$16,"&lt;="&amp;A3697)-SUMIFS(Оплаты!$B$6:$B$505,Оплаты!$A$6:$A$505,"&lt;"&amp;A3697,Оплаты!$D$6:$D$505,"&lt;&gt;"))</f>
        <v/>
      </c>
      <c r="E3697">
        <f>IF(A3697="","",IF(SUMPRODUCT((Ввод!$F$12:$F$31&lt;&gt;"")*(Ввод!$F$12:$F$31&lt;=A3697)*(Ввод!$G$12:$G$31&gt;=A3697))&gt;0,1,0))</f>
        <v/>
      </c>
      <c r="G3697">
        <f>IF(A3697="","",IF(OR(B3697&lt;&gt;B3696,C3697&lt;&gt;C3696,E3697&lt;&gt;E3696),G3696+1,G3696))</f>
        <v/>
      </c>
    </row>
    <row r="3698">
      <c r="A3698" s="20">
        <f>IF(A3697="","",IF(A3697+1&gt;Ввод!$B$4,"",A3697+1))</f>
        <v/>
      </c>
      <c r="B3698">
        <f>IF(A3698="","",IFERROR(INDEX(Ввод!$B$12:$B$71,MATCH(A3698,Ввод!$D$12:$D$71,1)),""))</f>
        <v/>
      </c>
      <c r="C3698">
        <f>IF(A3698="","",DATE(YEAR(A3698),12,31)-DATE(YEAR(A3698),1,1)+1)</f>
        <v/>
      </c>
      <c r="D3698">
        <f>IF(A3698="","",SUMIFS(Акты!$D$5:$D$16,Акты!$E$5:$E$16,"&lt;="&amp;A3698)-SUMIFS(Оплаты!$B$6:$B$505,Оплаты!$A$6:$A$505,"&lt;"&amp;A3698,Оплаты!$D$6:$D$505,"&lt;&gt;"))</f>
        <v/>
      </c>
      <c r="E3698">
        <f>IF(A3698="","",IF(SUMPRODUCT((Ввод!$F$12:$F$31&lt;&gt;"")*(Ввод!$F$12:$F$31&lt;=A3698)*(Ввод!$G$12:$G$31&gt;=A3698))&gt;0,1,0))</f>
        <v/>
      </c>
      <c r="G3698">
        <f>IF(A3698="","",IF(OR(B3698&lt;&gt;B3697,C3698&lt;&gt;C3697,E3698&lt;&gt;E3697),G3697+1,G3697))</f>
        <v/>
      </c>
    </row>
    <row r="3699">
      <c r="A3699" s="20">
        <f>IF(A3698="","",IF(A3698+1&gt;Ввод!$B$4,"",A3698+1))</f>
        <v/>
      </c>
      <c r="B3699">
        <f>IF(A3699="","",IFERROR(INDEX(Ввод!$B$12:$B$71,MATCH(A3699,Ввод!$D$12:$D$71,1)),""))</f>
        <v/>
      </c>
      <c r="C3699">
        <f>IF(A3699="","",DATE(YEAR(A3699),12,31)-DATE(YEAR(A3699),1,1)+1)</f>
        <v/>
      </c>
      <c r="D3699">
        <f>IF(A3699="","",SUMIFS(Акты!$D$5:$D$16,Акты!$E$5:$E$16,"&lt;="&amp;A3699)-SUMIFS(Оплаты!$B$6:$B$505,Оплаты!$A$6:$A$505,"&lt;"&amp;A3699,Оплаты!$D$6:$D$505,"&lt;&gt;"))</f>
        <v/>
      </c>
      <c r="E3699">
        <f>IF(A3699="","",IF(SUMPRODUCT((Ввод!$F$12:$F$31&lt;&gt;"")*(Ввод!$F$12:$F$31&lt;=A3699)*(Ввод!$G$12:$G$31&gt;=A3699))&gt;0,1,0))</f>
        <v/>
      </c>
      <c r="G3699">
        <f>IF(A3699="","",IF(OR(B3699&lt;&gt;B3698,C3699&lt;&gt;C3698,E3699&lt;&gt;E3698),G3698+1,G3698))</f>
        <v/>
      </c>
    </row>
    <row r="3700">
      <c r="A3700" s="20">
        <f>IF(A3699="","",IF(A3699+1&gt;Ввод!$B$4,"",A3699+1))</f>
        <v/>
      </c>
      <c r="B3700">
        <f>IF(A3700="","",IFERROR(INDEX(Ввод!$B$12:$B$71,MATCH(A3700,Ввод!$D$12:$D$71,1)),""))</f>
        <v/>
      </c>
      <c r="C3700">
        <f>IF(A3700="","",DATE(YEAR(A3700),12,31)-DATE(YEAR(A3700),1,1)+1)</f>
        <v/>
      </c>
      <c r="D3700">
        <f>IF(A3700="","",SUMIFS(Акты!$D$5:$D$16,Акты!$E$5:$E$16,"&lt;="&amp;A3700)-SUMIFS(Оплаты!$B$6:$B$505,Оплаты!$A$6:$A$505,"&lt;"&amp;A3700,Оплаты!$D$6:$D$505,"&lt;&gt;"))</f>
        <v/>
      </c>
      <c r="E3700">
        <f>IF(A3700="","",IF(SUMPRODUCT((Ввод!$F$12:$F$31&lt;&gt;"")*(Ввод!$F$12:$F$31&lt;=A3700)*(Ввод!$G$12:$G$31&gt;=A3700))&gt;0,1,0))</f>
        <v/>
      </c>
      <c r="G3700">
        <f>IF(A3700="","",IF(OR(B3700&lt;&gt;B3699,C3700&lt;&gt;C3699,E3700&lt;&gt;E3699),G3699+1,G3699))</f>
        <v/>
      </c>
    </row>
    <row r="3701">
      <c r="A3701" s="20">
        <f>IF(A3700="","",IF(A3700+1&gt;Ввод!$B$4,"",A3700+1))</f>
        <v/>
      </c>
      <c r="B3701">
        <f>IF(A3701="","",IFERROR(INDEX(Ввод!$B$12:$B$71,MATCH(A3701,Ввод!$D$12:$D$71,1)),""))</f>
        <v/>
      </c>
      <c r="C3701">
        <f>IF(A3701="","",DATE(YEAR(A3701),12,31)-DATE(YEAR(A3701),1,1)+1)</f>
        <v/>
      </c>
      <c r="D3701">
        <f>IF(A3701="","",SUMIFS(Акты!$D$5:$D$16,Акты!$E$5:$E$16,"&lt;="&amp;A3701)-SUMIFS(Оплаты!$B$6:$B$505,Оплаты!$A$6:$A$505,"&lt;"&amp;A3701,Оплаты!$D$6:$D$505,"&lt;&gt;"))</f>
        <v/>
      </c>
      <c r="E3701">
        <f>IF(A3701="","",IF(SUMPRODUCT((Ввод!$F$12:$F$31&lt;&gt;"")*(Ввод!$F$12:$F$31&lt;=A3701)*(Ввод!$G$12:$G$31&gt;=A3701))&gt;0,1,0))</f>
        <v/>
      </c>
      <c r="G3701">
        <f>IF(A3701="","",IF(OR(B3701&lt;&gt;B3700,C3701&lt;&gt;C3700,E3701&lt;&gt;E3700),G3700+1,G3700))</f>
        <v/>
      </c>
    </row>
    <row r="3702">
      <c r="A3702" s="20">
        <f>IF(A3701="","",IF(A3701+1&gt;Ввод!$B$4,"",A3701+1))</f>
        <v/>
      </c>
      <c r="B3702">
        <f>IF(A3702="","",IFERROR(INDEX(Ввод!$B$12:$B$71,MATCH(A3702,Ввод!$D$12:$D$71,1)),""))</f>
        <v/>
      </c>
      <c r="C3702">
        <f>IF(A3702="","",DATE(YEAR(A3702),12,31)-DATE(YEAR(A3702),1,1)+1)</f>
        <v/>
      </c>
      <c r="D3702">
        <f>IF(A3702="","",SUMIFS(Акты!$D$5:$D$16,Акты!$E$5:$E$16,"&lt;="&amp;A3702)-SUMIFS(Оплаты!$B$6:$B$505,Оплаты!$A$6:$A$505,"&lt;"&amp;A3702,Оплаты!$D$6:$D$505,"&lt;&gt;"))</f>
        <v/>
      </c>
      <c r="E3702">
        <f>IF(A3702="","",IF(SUMPRODUCT((Ввод!$F$12:$F$31&lt;&gt;"")*(Ввод!$F$12:$F$31&lt;=A3702)*(Ввод!$G$12:$G$31&gt;=A3702))&gt;0,1,0))</f>
        <v/>
      </c>
      <c r="G3702">
        <f>IF(A3702="","",IF(OR(B3702&lt;&gt;B3701,C3702&lt;&gt;C3701,E3702&lt;&gt;E3701),G3701+1,G3701))</f>
        <v/>
      </c>
    </row>
    <row r="3703">
      <c r="A3703" s="20">
        <f>IF(A3702="","",IF(A3702+1&gt;Ввод!$B$4,"",A3702+1))</f>
        <v/>
      </c>
      <c r="B3703">
        <f>IF(A3703="","",IFERROR(INDEX(Ввод!$B$12:$B$71,MATCH(A3703,Ввод!$D$12:$D$71,1)),""))</f>
        <v/>
      </c>
      <c r="C3703">
        <f>IF(A3703="","",DATE(YEAR(A3703),12,31)-DATE(YEAR(A3703),1,1)+1)</f>
        <v/>
      </c>
      <c r="D3703">
        <f>IF(A3703="","",SUMIFS(Акты!$D$5:$D$16,Акты!$E$5:$E$16,"&lt;="&amp;A3703)-SUMIFS(Оплаты!$B$6:$B$505,Оплаты!$A$6:$A$505,"&lt;"&amp;A3703,Оплаты!$D$6:$D$505,"&lt;&gt;"))</f>
        <v/>
      </c>
      <c r="E3703">
        <f>IF(A3703="","",IF(SUMPRODUCT((Ввод!$F$12:$F$31&lt;&gt;"")*(Ввод!$F$12:$F$31&lt;=A3703)*(Ввод!$G$12:$G$31&gt;=A3703))&gt;0,1,0))</f>
        <v/>
      </c>
      <c r="G3703">
        <f>IF(A3703="","",IF(OR(B3703&lt;&gt;B3702,C3703&lt;&gt;C3702,E3703&lt;&gt;E3702),G3702+1,G3702))</f>
        <v/>
      </c>
    </row>
    <row r="3704">
      <c r="A3704" s="20">
        <f>IF(A3703="","",IF(A3703+1&gt;Ввод!$B$4,"",A3703+1))</f>
        <v/>
      </c>
      <c r="B3704">
        <f>IF(A3704="","",IFERROR(INDEX(Ввод!$B$12:$B$71,MATCH(A3704,Ввод!$D$12:$D$71,1)),""))</f>
        <v/>
      </c>
      <c r="C3704">
        <f>IF(A3704="","",DATE(YEAR(A3704),12,31)-DATE(YEAR(A3704),1,1)+1)</f>
        <v/>
      </c>
      <c r="D3704">
        <f>IF(A3704="","",SUMIFS(Акты!$D$5:$D$16,Акты!$E$5:$E$16,"&lt;="&amp;A3704)-SUMIFS(Оплаты!$B$6:$B$505,Оплаты!$A$6:$A$505,"&lt;"&amp;A3704,Оплаты!$D$6:$D$505,"&lt;&gt;"))</f>
        <v/>
      </c>
      <c r="E3704">
        <f>IF(A3704="","",IF(SUMPRODUCT((Ввод!$F$12:$F$31&lt;&gt;"")*(Ввод!$F$12:$F$31&lt;=A3704)*(Ввод!$G$12:$G$31&gt;=A3704))&gt;0,1,0))</f>
        <v/>
      </c>
      <c r="G3704">
        <f>IF(A3704="","",IF(OR(B3704&lt;&gt;B3703,C3704&lt;&gt;C3703,E3704&lt;&gt;E3703),G3703+1,G3703))</f>
        <v/>
      </c>
    </row>
    <row r="3705">
      <c r="A3705" s="20">
        <f>IF(A3704="","",IF(A3704+1&gt;Ввод!$B$4,"",A3704+1))</f>
        <v/>
      </c>
      <c r="B3705">
        <f>IF(A3705="","",IFERROR(INDEX(Ввод!$B$12:$B$71,MATCH(A3705,Ввод!$D$12:$D$71,1)),""))</f>
        <v/>
      </c>
      <c r="C3705">
        <f>IF(A3705="","",DATE(YEAR(A3705),12,31)-DATE(YEAR(A3705),1,1)+1)</f>
        <v/>
      </c>
      <c r="D3705">
        <f>IF(A3705="","",SUMIFS(Акты!$D$5:$D$16,Акты!$E$5:$E$16,"&lt;="&amp;A3705)-SUMIFS(Оплаты!$B$6:$B$505,Оплаты!$A$6:$A$505,"&lt;"&amp;A3705,Оплаты!$D$6:$D$505,"&lt;&gt;"))</f>
        <v/>
      </c>
      <c r="E3705">
        <f>IF(A3705="","",IF(SUMPRODUCT((Ввод!$F$12:$F$31&lt;&gt;"")*(Ввод!$F$12:$F$31&lt;=A3705)*(Ввод!$G$12:$G$31&gt;=A3705))&gt;0,1,0))</f>
        <v/>
      </c>
      <c r="G3705">
        <f>IF(A3705="","",IF(OR(B3705&lt;&gt;B3704,C3705&lt;&gt;C3704,E3705&lt;&gt;E3704),G3704+1,G3704))</f>
        <v/>
      </c>
    </row>
    <row r="3706">
      <c r="A3706" s="20">
        <f>IF(A3705="","",IF(A3705+1&gt;Ввод!$B$4,"",A3705+1))</f>
        <v/>
      </c>
      <c r="B3706">
        <f>IF(A3706="","",IFERROR(INDEX(Ввод!$B$12:$B$71,MATCH(A3706,Ввод!$D$12:$D$71,1)),""))</f>
        <v/>
      </c>
      <c r="C3706">
        <f>IF(A3706="","",DATE(YEAR(A3706),12,31)-DATE(YEAR(A3706),1,1)+1)</f>
        <v/>
      </c>
      <c r="D3706">
        <f>IF(A3706="","",SUMIFS(Акты!$D$5:$D$16,Акты!$E$5:$E$16,"&lt;="&amp;A3706)-SUMIFS(Оплаты!$B$6:$B$505,Оплаты!$A$6:$A$505,"&lt;"&amp;A3706,Оплаты!$D$6:$D$505,"&lt;&gt;"))</f>
        <v/>
      </c>
      <c r="E3706">
        <f>IF(A3706="","",IF(SUMPRODUCT((Ввод!$F$12:$F$31&lt;&gt;"")*(Ввод!$F$12:$F$31&lt;=A3706)*(Ввод!$G$12:$G$31&gt;=A3706))&gt;0,1,0))</f>
        <v/>
      </c>
      <c r="G3706">
        <f>IF(A3706="","",IF(OR(B3706&lt;&gt;B3705,C3706&lt;&gt;C3705,E3706&lt;&gt;E3705),G3705+1,G3705))</f>
        <v/>
      </c>
    </row>
    <row r="3707">
      <c r="A3707" s="20">
        <f>IF(A3706="","",IF(A3706+1&gt;Ввод!$B$4,"",A3706+1))</f>
        <v/>
      </c>
      <c r="B3707">
        <f>IF(A3707="","",IFERROR(INDEX(Ввод!$B$12:$B$71,MATCH(A3707,Ввод!$D$12:$D$71,1)),""))</f>
        <v/>
      </c>
      <c r="C3707">
        <f>IF(A3707="","",DATE(YEAR(A3707),12,31)-DATE(YEAR(A3707),1,1)+1)</f>
        <v/>
      </c>
      <c r="D3707">
        <f>IF(A3707="","",SUMIFS(Акты!$D$5:$D$16,Акты!$E$5:$E$16,"&lt;="&amp;A3707)-SUMIFS(Оплаты!$B$6:$B$505,Оплаты!$A$6:$A$505,"&lt;"&amp;A3707,Оплаты!$D$6:$D$505,"&lt;&gt;"))</f>
        <v/>
      </c>
      <c r="E3707">
        <f>IF(A3707="","",IF(SUMPRODUCT((Ввод!$F$12:$F$31&lt;&gt;"")*(Ввод!$F$12:$F$31&lt;=A3707)*(Ввод!$G$12:$G$31&gt;=A3707))&gt;0,1,0))</f>
        <v/>
      </c>
      <c r="G3707">
        <f>IF(A3707="","",IF(OR(B3707&lt;&gt;B3706,C3707&lt;&gt;C3706,E3707&lt;&gt;E3706),G3706+1,G3706))</f>
        <v/>
      </c>
    </row>
    <row r="3708">
      <c r="A3708" s="20">
        <f>IF(A3707="","",IF(A3707+1&gt;Ввод!$B$4,"",A3707+1))</f>
        <v/>
      </c>
      <c r="B3708">
        <f>IF(A3708="","",IFERROR(INDEX(Ввод!$B$12:$B$71,MATCH(A3708,Ввод!$D$12:$D$71,1)),""))</f>
        <v/>
      </c>
      <c r="C3708">
        <f>IF(A3708="","",DATE(YEAR(A3708),12,31)-DATE(YEAR(A3708),1,1)+1)</f>
        <v/>
      </c>
      <c r="D3708">
        <f>IF(A3708="","",SUMIFS(Акты!$D$5:$D$16,Акты!$E$5:$E$16,"&lt;="&amp;A3708)-SUMIFS(Оплаты!$B$6:$B$505,Оплаты!$A$6:$A$505,"&lt;"&amp;A3708,Оплаты!$D$6:$D$505,"&lt;&gt;"))</f>
        <v/>
      </c>
      <c r="E3708">
        <f>IF(A3708="","",IF(SUMPRODUCT((Ввод!$F$12:$F$31&lt;&gt;"")*(Ввод!$F$12:$F$31&lt;=A3708)*(Ввод!$G$12:$G$31&gt;=A3708))&gt;0,1,0))</f>
        <v/>
      </c>
      <c r="G3708">
        <f>IF(A3708="","",IF(OR(B3708&lt;&gt;B3707,C3708&lt;&gt;C3707,E3708&lt;&gt;E3707),G3707+1,G3707))</f>
        <v/>
      </c>
    </row>
    <row r="3709">
      <c r="A3709" s="20">
        <f>IF(A3708="","",IF(A3708+1&gt;Ввод!$B$4,"",A3708+1))</f>
        <v/>
      </c>
      <c r="B3709">
        <f>IF(A3709="","",IFERROR(INDEX(Ввод!$B$12:$B$71,MATCH(A3709,Ввод!$D$12:$D$71,1)),""))</f>
        <v/>
      </c>
      <c r="C3709">
        <f>IF(A3709="","",DATE(YEAR(A3709),12,31)-DATE(YEAR(A3709),1,1)+1)</f>
        <v/>
      </c>
      <c r="D3709">
        <f>IF(A3709="","",SUMIFS(Акты!$D$5:$D$16,Акты!$E$5:$E$16,"&lt;="&amp;A3709)-SUMIFS(Оплаты!$B$6:$B$505,Оплаты!$A$6:$A$505,"&lt;"&amp;A3709,Оплаты!$D$6:$D$505,"&lt;&gt;"))</f>
        <v/>
      </c>
      <c r="E3709">
        <f>IF(A3709="","",IF(SUMPRODUCT((Ввод!$F$12:$F$31&lt;&gt;"")*(Ввод!$F$12:$F$31&lt;=A3709)*(Ввод!$G$12:$G$31&gt;=A3709))&gt;0,1,0))</f>
        <v/>
      </c>
      <c r="G3709">
        <f>IF(A3709="","",IF(OR(B3709&lt;&gt;B3708,C3709&lt;&gt;C3708,E3709&lt;&gt;E3708),G3708+1,G3708))</f>
        <v/>
      </c>
    </row>
    <row r="3710">
      <c r="A3710" s="20">
        <f>IF(A3709="","",IF(A3709+1&gt;Ввод!$B$4,"",A3709+1))</f>
        <v/>
      </c>
      <c r="B3710">
        <f>IF(A3710="","",IFERROR(INDEX(Ввод!$B$12:$B$71,MATCH(A3710,Ввод!$D$12:$D$71,1)),""))</f>
        <v/>
      </c>
      <c r="C3710">
        <f>IF(A3710="","",DATE(YEAR(A3710),12,31)-DATE(YEAR(A3710),1,1)+1)</f>
        <v/>
      </c>
      <c r="D3710">
        <f>IF(A3710="","",SUMIFS(Акты!$D$5:$D$16,Акты!$E$5:$E$16,"&lt;="&amp;A3710)-SUMIFS(Оплаты!$B$6:$B$505,Оплаты!$A$6:$A$505,"&lt;"&amp;A3710,Оплаты!$D$6:$D$505,"&lt;&gt;"))</f>
        <v/>
      </c>
      <c r="E3710">
        <f>IF(A3710="","",IF(SUMPRODUCT((Ввод!$F$12:$F$31&lt;&gt;"")*(Ввод!$F$12:$F$31&lt;=A3710)*(Ввод!$G$12:$G$31&gt;=A3710))&gt;0,1,0))</f>
        <v/>
      </c>
      <c r="G3710">
        <f>IF(A3710="","",IF(OR(B3710&lt;&gt;B3709,C3710&lt;&gt;C3709,E3710&lt;&gt;E3709),G3709+1,G3709))</f>
        <v/>
      </c>
    </row>
    <row r="3711">
      <c r="A3711" s="20">
        <f>IF(A3710="","",IF(A3710+1&gt;Ввод!$B$4,"",A3710+1))</f>
        <v/>
      </c>
      <c r="B3711">
        <f>IF(A3711="","",IFERROR(INDEX(Ввод!$B$12:$B$71,MATCH(A3711,Ввод!$D$12:$D$71,1)),""))</f>
        <v/>
      </c>
      <c r="C3711">
        <f>IF(A3711="","",DATE(YEAR(A3711),12,31)-DATE(YEAR(A3711),1,1)+1)</f>
        <v/>
      </c>
      <c r="D3711">
        <f>IF(A3711="","",SUMIFS(Акты!$D$5:$D$16,Акты!$E$5:$E$16,"&lt;="&amp;A3711)-SUMIFS(Оплаты!$B$6:$B$505,Оплаты!$A$6:$A$505,"&lt;"&amp;A3711,Оплаты!$D$6:$D$505,"&lt;&gt;"))</f>
        <v/>
      </c>
      <c r="E3711">
        <f>IF(A3711="","",IF(SUMPRODUCT((Ввод!$F$12:$F$31&lt;&gt;"")*(Ввод!$F$12:$F$31&lt;=A3711)*(Ввод!$G$12:$G$31&gt;=A3711))&gt;0,1,0))</f>
        <v/>
      </c>
      <c r="G3711">
        <f>IF(A3711="","",IF(OR(B3711&lt;&gt;B3710,C3711&lt;&gt;C3710,E3711&lt;&gt;E3710),G3710+1,G3710))</f>
        <v/>
      </c>
    </row>
    <row r="3712">
      <c r="A3712" s="20">
        <f>IF(A3711="","",IF(A3711+1&gt;Ввод!$B$4,"",A3711+1))</f>
        <v/>
      </c>
      <c r="B3712">
        <f>IF(A3712="","",IFERROR(INDEX(Ввод!$B$12:$B$71,MATCH(A3712,Ввод!$D$12:$D$71,1)),""))</f>
        <v/>
      </c>
      <c r="C3712">
        <f>IF(A3712="","",DATE(YEAR(A3712),12,31)-DATE(YEAR(A3712),1,1)+1)</f>
        <v/>
      </c>
      <c r="D3712">
        <f>IF(A3712="","",SUMIFS(Акты!$D$5:$D$16,Акты!$E$5:$E$16,"&lt;="&amp;A3712)-SUMIFS(Оплаты!$B$6:$B$505,Оплаты!$A$6:$A$505,"&lt;"&amp;A3712,Оплаты!$D$6:$D$505,"&lt;&gt;"))</f>
        <v/>
      </c>
      <c r="E3712">
        <f>IF(A3712="","",IF(SUMPRODUCT((Ввод!$F$12:$F$31&lt;&gt;"")*(Ввод!$F$12:$F$31&lt;=A3712)*(Ввод!$G$12:$G$31&gt;=A3712))&gt;0,1,0))</f>
        <v/>
      </c>
      <c r="G3712">
        <f>IF(A3712="","",IF(OR(B3712&lt;&gt;B3711,C3712&lt;&gt;C3711,E3712&lt;&gt;E3711),G3711+1,G3711))</f>
        <v/>
      </c>
    </row>
    <row r="3713">
      <c r="A3713" s="20">
        <f>IF(A3712="","",IF(A3712+1&gt;Ввод!$B$4,"",A3712+1))</f>
        <v/>
      </c>
      <c r="B3713">
        <f>IF(A3713="","",IFERROR(INDEX(Ввод!$B$12:$B$71,MATCH(A3713,Ввод!$D$12:$D$71,1)),""))</f>
        <v/>
      </c>
      <c r="C3713">
        <f>IF(A3713="","",DATE(YEAR(A3713),12,31)-DATE(YEAR(A3713),1,1)+1)</f>
        <v/>
      </c>
      <c r="D3713">
        <f>IF(A3713="","",SUMIFS(Акты!$D$5:$D$16,Акты!$E$5:$E$16,"&lt;="&amp;A3713)-SUMIFS(Оплаты!$B$6:$B$505,Оплаты!$A$6:$A$505,"&lt;"&amp;A3713,Оплаты!$D$6:$D$505,"&lt;&gt;"))</f>
        <v/>
      </c>
      <c r="E3713">
        <f>IF(A3713="","",IF(SUMPRODUCT((Ввод!$F$12:$F$31&lt;&gt;"")*(Ввод!$F$12:$F$31&lt;=A3713)*(Ввод!$G$12:$G$31&gt;=A3713))&gt;0,1,0))</f>
        <v/>
      </c>
      <c r="G3713">
        <f>IF(A3713="","",IF(OR(B3713&lt;&gt;B3712,C3713&lt;&gt;C3712,E3713&lt;&gt;E3712),G3712+1,G3712))</f>
        <v/>
      </c>
    </row>
    <row r="3714">
      <c r="A3714" s="20">
        <f>IF(A3713="","",IF(A3713+1&gt;Ввод!$B$4,"",A3713+1))</f>
        <v/>
      </c>
      <c r="B3714">
        <f>IF(A3714="","",IFERROR(INDEX(Ввод!$B$12:$B$71,MATCH(A3714,Ввод!$D$12:$D$71,1)),""))</f>
        <v/>
      </c>
      <c r="C3714">
        <f>IF(A3714="","",DATE(YEAR(A3714),12,31)-DATE(YEAR(A3714),1,1)+1)</f>
        <v/>
      </c>
      <c r="D3714">
        <f>IF(A3714="","",SUMIFS(Акты!$D$5:$D$16,Акты!$E$5:$E$16,"&lt;="&amp;A3714)-SUMIFS(Оплаты!$B$6:$B$505,Оплаты!$A$6:$A$505,"&lt;"&amp;A3714,Оплаты!$D$6:$D$505,"&lt;&gt;"))</f>
        <v/>
      </c>
      <c r="E3714">
        <f>IF(A3714="","",IF(SUMPRODUCT((Ввод!$F$12:$F$31&lt;&gt;"")*(Ввод!$F$12:$F$31&lt;=A3714)*(Ввод!$G$12:$G$31&gt;=A3714))&gt;0,1,0))</f>
        <v/>
      </c>
      <c r="G3714">
        <f>IF(A3714="","",IF(OR(B3714&lt;&gt;B3713,C3714&lt;&gt;C3713,E3714&lt;&gt;E3713),G3713+1,G3713))</f>
        <v/>
      </c>
    </row>
    <row r="3715">
      <c r="A3715" s="20">
        <f>IF(A3714="","",IF(A3714+1&gt;Ввод!$B$4,"",A3714+1))</f>
        <v/>
      </c>
      <c r="B3715">
        <f>IF(A3715="","",IFERROR(INDEX(Ввод!$B$12:$B$71,MATCH(A3715,Ввод!$D$12:$D$71,1)),""))</f>
        <v/>
      </c>
      <c r="C3715">
        <f>IF(A3715="","",DATE(YEAR(A3715),12,31)-DATE(YEAR(A3715),1,1)+1)</f>
        <v/>
      </c>
      <c r="D3715">
        <f>IF(A3715="","",SUMIFS(Акты!$D$5:$D$16,Акты!$E$5:$E$16,"&lt;="&amp;A3715)-SUMIFS(Оплаты!$B$6:$B$505,Оплаты!$A$6:$A$505,"&lt;"&amp;A3715,Оплаты!$D$6:$D$505,"&lt;&gt;"))</f>
        <v/>
      </c>
      <c r="E3715">
        <f>IF(A3715="","",IF(SUMPRODUCT((Ввод!$F$12:$F$31&lt;&gt;"")*(Ввод!$F$12:$F$31&lt;=A3715)*(Ввод!$G$12:$G$31&gt;=A3715))&gt;0,1,0))</f>
        <v/>
      </c>
      <c r="G3715">
        <f>IF(A3715="","",IF(OR(B3715&lt;&gt;B3714,C3715&lt;&gt;C3714,E3715&lt;&gt;E3714),G3714+1,G3714))</f>
        <v/>
      </c>
    </row>
    <row r="3716">
      <c r="A3716" s="20">
        <f>IF(A3715="","",IF(A3715+1&gt;Ввод!$B$4,"",A3715+1))</f>
        <v/>
      </c>
      <c r="B3716">
        <f>IF(A3716="","",IFERROR(INDEX(Ввод!$B$12:$B$71,MATCH(A3716,Ввод!$D$12:$D$71,1)),""))</f>
        <v/>
      </c>
      <c r="C3716">
        <f>IF(A3716="","",DATE(YEAR(A3716),12,31)-DATE(YEAR(A3716),1,1)+1)</f>
        <v/>
      </c>
      <c r="D3716">
        <f>IF(A3716="","",SUMIFS(Акты!$D$5:$D$16,Акты!$E$5:$E$16,"&lt;="&amp;A3716)-SUMIFS(Оплаты!$B$6:$B$505,Оплаты!$A$6:$A$505,"&lt;"&amp;A3716,Оплаты!$D$6:$D$505,"&lt;&gt;"))</f>
        <v/>
      </c>
      <c r="E3716">
        <f>IF(A3716="","",IF(SUMPRODUCT((Ввод!$F$12:$F$31&lt;&gt;"")*(Ввод!$F$12:$F$31&lt;=A3716)*(Ввод!$G$12:$G$31&gt;=A3716))&gt;0,1,0))</f>
        <v/>
      </c>
      <c r="G3716">
        <f>IF(A3716="","",IF(OR(B3716&lt;&gt;B3715,C3716&lt;&gt;C3715,E3716&lt;&gt;E3715),G3715+1,G3715))</f>
        <v/>
      </c>
    </row>
    <row r="3717">
      <c r="A3717" s="20">
        <f>IF(A3716="","",IF(A3716+1&gt;Ввод!$B$4,"",A3716+1))</f>
        <v/>
      </c>
      <c r="B3717">
        <f>IF(A3717="","",IFERROR(INDEX(Ввод!$B$12:$B$71,MATCH(A3717,Ввод!$D$12:$D$71,1)),""))</f>
        <v/>
      </c>
      <c r="C3717">
        <f>IF(A3717="","",DATE(YEAR(A3717),12,31)-DATE(YEAR(A3717),1,1)+1)</f>
        <v/>
      </c>
      <c r="D3717">
        <f>IF(A3717="","",SUMIFS(Акты!$D$5:$D$16,Акты!$E$5:$E$16,"&lt;="&amp;A3717)-SUMIFS(Оплаты!$B$6:$B$505,Оплаты!$A$6:$A$505,"&lt;"&amp;A3717,Оплаты!$D$6:$D$505,"&lt;&gt;"))</f>
        <v/>
      </c>
      <c r="E3717">
        <f>IF(A3717="","",IF(SUMPRODUCT((Ввод!$F$12:$F$31&lt;&gt;"")*(Ввод!$F$12:$F$31&lt;=A3717)*(Ввод!$G$12:$G$31&gt;=A3717))&gt;0,1,0))</f>
        <v/>
      </c>
      <c r="G3717">
        <f>IF(A3717="","",IF(OR(B3717&lt;&gt;B3716,C3717&lt;&gt;C3716,E3717&lt;&gt;E3716),G3716+1,G3716))</f>
        <v/>
      </c>
    </row>
    <row r="3718">
      <c r="A3718" s="20">
        <f>IF(A3717="","",IF(A3717+1&gt;Ввод!$B$4,"",A3717+1))</f>
        <v/>
      </c>
      <c r="B3718">
        <f>IF(A3718="","",IFERROR(INDEX(Ввод!$B$12:$B$71,MATCH(A3718,Ввод!$D$12:$D$71,1)),""))</f>
        <v/>
      </c>
      <c r="C3718">
        <f>IF(A3718="","",DATE(YEAR(A3718),12,31)-DATE(YEAR(A3718),1,1)+1)</f>
        <v/>
      </c>
      <c r="D3718">
        <f>IF(A3718="","",SUMIFS(Акты!$D$5:$D$16,Акты!$E$5:$E$16,"&lt;="&amp;A3718)-SUMIFS(Оплаты!$B$6:$B$505,Оплаты!$A$6:$A$505,"&lt;"&amp;A3718,Оплаты!$D$6:$D$505,"&lt;&gt;"))</f>
        <v/>
      </c>
      <c r="E3718">
        <f>IF(A3718="","",IF(SUMPRODUCT((Ввод!$F$12:$F$31&lt;&gt;"")*(Ввод!$F$12:$F$31&lt;=A3718)*(Ввод!$G$12:$G$31&gt;=A3718))&gt;0,1,0))</f>
        <v/>
      </c>
      <c r="G3718">
        <f>IF(A3718="","",IF(OR(B3718&lt;&gt;B3717,C3718&lt;&gt;C3717,E3718&lt;&gt;E3717),G3717+1,G3717))</f>
        <v/>
      </c>
    </row>
    <row r="3719">
      <c r="A3719" s="20">
        <f>IF(A3718="","",IF(A3718+1&gt;Ввод!$B$4,"",A3718+1))</f>
        <v/>
      </c>
      <c r="B3719">
        <f>IF(A3719="","",IFERROR(INDEX(Ввод!$B$12:$B$71,MATCH(A3719,Ввод!$D$12:$D$71,1)),""))</f>
        <v/>
      </c>
      <c r="C3719">
        <f>IF(A3719="","",DATE(YEAR(A3719),12,31)-DATE(YEAR(A3719),1,1)+1)</f>
        <v/>
      </c>
      <c r="D3719">
        <f>IF(A3719="","",SUMIFS(Акты!$D$5:$D$16,Акты!$E$5:$E$16,"&lt;="&amp;A3719)-SUMIFS(Оплаты!$B$6:$B$505,Оплаты!$A$6:$A$505,"&lt;"&amp;A3719,Оплаты!$D$6:$D$505,"&lt;&gt;"))</f>
        <v/>
      </c>
      <c r="E3719">
        <f>IF(A3719="","",IF(SUMPRODUCT((Ввод!$F$12:$F$31&lt;&gt;"")*(Ввод!$F$12:$F$31&lt;=A3719)*(Ввод!$G$12:$G$31&gt;=A3719))&gt;0,1,0))</f>
        <v/>
      </c>
      <c r="G3719">
        <f>IF(A3719="","",IF(OR(B3719&lt;&gt;B3718,C3719&lt;&gt;C3718,E3719&lt;&gt;E3718),G3718+1,G3718))</f>
        <v/>
      </c>
    </row>
    <row r="3720">
      <c r="A3720" s="20">
        <f>IF(A3719="","",IF(A3719+1&gt;Ввод!$B$4,"",A3719+1))</f>
        <v/>
      </c>
      <c r="B3720">
        <f>IF(A3720="","",IFERROR(INDEX(Ввод!$B$12:$B$71,MATCH(A3720,Ввод!$D$12:$D$71,1)),""))</f>
        <v/>
      </c>
      <c r="C3720">
        <f>IF(A3720="","",DATE(YEAR(A3720),12,31)-DATE(YEAR(A3720),1,1)+1)</f>
        <v/>
      </c>
      <c r="D3720">
        <f>IF(A3720="","",SUMIFS(Акты!$D$5:$D$16,Акты!$E$5:$E$16,"&lt;="&amp;A3720)-SUMIFS(Оплаты!$B$6:$B$505,Оплаты!$A$6:$A$505,"&lt;"&amp;A3720,Оплаты!$D$6:$D$505,"&lt;&gt;"))</f>
        <v/>
      </c>
      <c r="E3720">
        <f>IF(A3720="","",IF(SUMPRODUCT((Ввод!$F$12:$F$31&lt;&gt;"")*(Ввод!$F$12:$F$31&lt;=A3720)*(Ввод!$G$12:$G$31&gt;=A3720))&gt;0,1,0))</f>
        <v/>
      </c>
      <c r="G3720">
        <f>IF(A3720="","",IF(OR(B3720&lt;&gt;B3719,C3720&lt;&gt;C3719,E3720&lt;&gt;E3719),G3719+1,G3719))</f>
        <v/>
      </c>
    </row>
    <row r="3721">
      <c r="A3721" s="20">
        <f>IF(A3720="","",IF(A3720+1&gt;Ввод!$B$4,"",A3720+1))</f>
        <v/>
      </c>
      <c r="B3721">
        <f>IF(A3721="","",IFERROR(INDEX(Ввод!$B$12:$B$71,MATCH(A3721,Ввод!$D$12:$D$71,1)),""))</f>
        <v/>
      </c>
      <c r="C3721">
        <f>IF(A3721="","",DATE(YEAR(A3721),12,31)-DATE(YEAR(A3721),1,1)+1)</f>
        <v/>
      </c>
      <c r="D3721">
        <f>IF(A3721="","",SUMIFS(Акты!$D$5:$D$16,Акты!$E$5:$E$16,"&lt;="&amp;A3721)-SUMIFS(Оплаты!$B$6:$B$505,Оплаты!$A$6:$A$505,"&lt;"&amp;A3721,Оплаты!$D$6:$D$505,"&lt;&gt;"))</f>
        <v/>
      </c>
      <c r="E3721">
        <f>IF(A3721="","",IF(SUMPRODUCT((Ввод!$F$12:$F$31&lt;&gt;"")*(Ввод!$F$12:$F$31&lt;=A3721)*(Ввод!$G$12:$G$31&gt;=A3721))&gt;0,1,0))</f>
        <v/>
      </c>
      <c r="G3721">
        <f>IF(A3721="","",IF(OR(B3721&lt;&gt;B3720,C3721&lt;&gt;C3720,E3721&lt;&gt;E3720),G3720+1,G3720))</f>
        <v/>
      </c>
    </row>
    <row r="3722">
      <c r="A3722" s="20">
        <f>IF(A3721="","",IF(A3721+1&gt;Ввод!$B$4,"",A3721+1))</f>
        <v/>
      </c>
      <c r="B3722">
        <f>IF(A3722="","",IFERROR(INDEX(Ввод!$B$12:$B$71,MATCH(A3722,Ввод!$D$12:$D$71,1)),""))</f>
        <v/>
      </c>
      <c r="C3722">
        <f>IF(A3722="","",DATE(YEAR(A3722),12,31)-DATE(YEAR(A3722),1,1)+1)</f>
        <v/>
      </c>
      <c r="D3722">
        <f>IF(A3722="","",SUMIFS(Акты!$D$5:$D$16,Акты!$E$5:$E$16,"&lt;="&amp;A3722)-SUMIFS(Оплаты!$B$6:$B$505,Оплаты!$A$6:$A$505,"&lt;"&amp;A3722,Оплаты!$D$6:$D$505,"&lt;&gt;"))</f>
        <v/>
      </c>
      <c r="E3722">
        <f>IF(A3722="","",IF(SUMPRODUCT((Ввод!$F$12:$F$31&lt;&gt;"")*(Ввод!$F$12:$F$31&lt;=A3722)*(Ввод!$G$12:$G$31&gt;=A3722))&gt;0,1,0))</f>
        <v/>
      </c>
      <c r="G3722">
        <f>IF(A3722="","",IF(OR(B3722&lt;&gt;B3721,C3722&lt;&gt;C3721,E3722&lt;&gt;E3721),G3721+1,G3721))</f>
        <v/>
      </c>
    </row>
    <row r="3723">
      <c r="A3723" s="20">
        <f>IF(A3722="","",IF(A3722+1&gt;Ввод!$B$4,"",A3722+1))</f>
        <v/>
      </c>
      <c r="B3723">
        <f>IF(A3723="","",IFERROR(INDEX(Ввод!$B$12:$B$71,MATCH(A3723,Ввод!$D$12:$D$71,1)),""))</f>
        <v/>
      </c>
      <c r="C3723">
        <f>IF(A3723="","",DATE(YEAR(A3723),12,31)-DATE(YEAR(A3723),1,1)+1)</f>
        <v/>
      </c>
      <c r="D3723">
        <f>IF(A3723="","",SUMIFS(Акты!$D$5:$D$16,Акты!$E$5:$E$16,"&lt;="&amp;A3723)-SUMIFS(Оплаты!$B$6:$B$505,Оплаты!$A$6:$A$505,"&lt;"&amp;A3723,Оплаты!$D$6:$D$505,"&lt;&gt;"))</f>
        <v/>
      </c>
      <c r="E3723">
        <f>IF(A3723="","",IF(SUMPRODUCT((Ввод!$F$12:$F$31&lt;&gt;"")*(Ввод!$F$12:$F$31&lt;=A3723)*(Ввод!$G$12:$G$31&gt;=A3723))&gt;0,1,0))</f>
        <v/>
      </c>
      <c r="G3723">
        <f>IF(A3723="","",IF(OR(B3723&lt;&gt;B3722,C3723&lt;&gt;C3722,E3723&lt;&gt;E3722),G3722+1,G3722))</f>
        <v/>
      </c>
    </row>
    <row r="3724">
      <c r="A3724" s="20">
        <f>IF(A3723="","",IF(A3723+1&gt;Ввод!$B$4,"",A3723+1))</f>
        <v/>
      </c>
      <c r="B3724">
        <f>IF(A3724="","",IFERROR(INDEX(Ввод!$B$12:$B$71,MATCH(A3724,Ввод!$D$12:$D$71,1)),""))</f>
        <v/>
      </c>
      <c r="C3724">
        <f>IF(A3724="","",DATE(YEAR(A3724),12,31)-DATE(YEAR(A3724),1,1)+1)</f>
        <v/>
      </c>
      <c r="D3724">
        <f>IF(A3724="","",SUMIFS(Акты!$D$5:$D$16,Акты!$E$5:$E$16,"&lt;="&amp;A3724)-SUMIFS(Оплаты!$B$6:$B$505,Оплаты!$A$6:$A$505,"&lt;"&amp;A3724,Оплаты!$D$6:$D$505,"&lt;&gt;"))</f>
        <v/>
      </c>
      <c r="E3724">
        <f>IF(A3724="","",IF(SUMPRODUCT((Ввод!$F$12:$F$31&lt;&gt;"")*(Ввод!$F$12:$F$31&lt;=A3724)*(Ввод!$G$12:$G$31&gt;=A3724))&gt;0,1,0))</f>
        <v/>
      </c>
      <c r="G3724">
        <f>IF(A3724="","",IF(OR(B3724&lt;&gt;B3723,C3724&lt;&gt;C3723,E3724&lt;&gt;E3723),G3723+1,G3723))</f>
        <v/>
      </c>
    </row>
    <row r="3725">
      <c r="A3725" s="20">
        <f>IF(A3724="","",IF(A3724+1&gt;Ввод!$B$4,"",A3724+1))</f>
        <v/>
      </c>
      <c r="B3725">
        <f>IF(A3725="","",IFERROR(INDEX(Ввод!$B$12:$B$71,MATCH(A3725,Ввод!$D$12:$D$71,1)),""))</f>
        <v/>
      </c>
      <c r="C3725">
        <f>IF(A3725="","",DATE(YEAR(A3725),12,31)-DATE(YEAR(A3725),1,1)+1)</f>
        <v/>
      </c>
      <c r="D3725">
        <f>IF(A3725="","",SUMIFS(Акты!$D$5:$D$16,Акты!$E$5:$E$16,"&lt;="&amp;A3725)-SUMIFS(Оплаты!$B$6:$B$505,Оплаты!$A$6:$A$505,"&lt;"&amp;A3725,Оплаты!$D$6:$D$505,"&lt;&gt;"))</f>
        <v/>
      </c>
      <c r="E3725">
        <f>IF(A3725="","",IF(SUMPRODUCT((Ввод!$F$12:$F$31&lt;&gt;"")*(Ввод!$F$12:$F$31&lt;=A3725)*(Ввод!$G$12:$G$31&gt;=A3725))&gt;0,1,0))</f>
        <v/>
      </c>
      <c r="G3725">
        <f>IF(A3725="","",IF(OR(B3725&lt;&gt;B3724,C3725&lt;&gt;C3724,E3725&lt;&gt;E3724),G3724+1,G3724))</f>
        <v/>
      </c>
    </row>
    <row r="3726">
      <c r="A3726" s="20">
        <f>IF(A3725="","",IF(A3725+1&gt;Ввод!$B$4,"",A3725+1))</f>
        <v/>
      </c>
      <c r="B3726">
        <f>IF(A3726="","",IFERROR(INDEX(Ввод!$B$12:$B$71,MATCH(A3726,Ввод!$D$12:$D$71,1)),""))</f>
        <v/>
      </c>
      <c r="C3726">
        <f>IF(A3726="","",DATE(YEAR(A3726),12,31)-DATE(YEAR(A3726),1,1)+1)</f>
        <v/>
      </c>
      <c r="D3726">
        <f>IF(A3726="","",SUMIFS(Акты!$D$5:$D$16,Акты!$E$5:$E$16,"&lt;="&amp;A3726)-SUMIFS(Оплаты!$B$6:$B$505,Оплаты!$A$6:$A$505,"&lt;"&amp;A3726,Оплаты!$D$6:$D$505,"&lt;&gt;"))</f>
        <v/>
      </c>
      <c r="E3726">
        <f>IF(A3726="","",IF(SUMPRODUCT((Ввод!$F$12:$F$31&lt;&gt;"")*(Ввод!$F$12:$F$31&lt;=A3726)*(Ввод!$G$12:$G$31&gt;=A3726))&gt;0,1,0))</f>
        <v/>
      </c>
      <c r="G3726">
        <f>IF(A3726="","",IF(OR(B3726&lt;&gt;B3725,C3726&lt;&gt;C3725,E3726&lt;&gt;E3725),G3725+1,G3725))</f>
        <v/>
      </c>
    </row>
    <row r="3727">
      <c r="A3727" s="20">
        <f>IF(A3726="","",IF(A3726+1&gt;Ввод!$B$4,"",A3726+1))</f>
        <v/>
      </c>
      <c r="B3727">
        <f>IF(A3727="","",IFERROR(INDEX(Ввод!$B$12:$B$71,MATCH(A3727,Ввод!$D$12:$D$71,1)),""))</f>
        <v/>
      </c>
      <c r="C3727">
        <f>IF(A3727="","",DATE(YEAR(A3727),12,31)-DATE(YEAR(A3727),1,1)+1)</f>
        <v/>
      </c>
      <c r="D3727">
        <f>IF(A3727="","",SUMIFS(Акты!$D$5:$D$16,Акты!$E$5:$E$16,"&lt;="&amp;A3727)-SUMIFS(Оплаты!$B$6:$B$505,Оплаты!$A$6:$A$505,"&lt;"&amp;A3727,Оплаты!$D$6:$D$505,"&lt;&gt;"))</f>
        <v/>
      </c>
      <c r="E3727">
        <f>IF(A3727="","",IF(SUMPRODUCT((Ввод!$F$12:$F$31&lt;&gt;"")*(Ввод!$F$12:$F$31&lt;=A3727)*(Ввод!$G$12:$G$31&gt;=A3727))&gt;0,1,0))</f>
        <v/>
      </c>
      <c r="G3727">
        <f>IF(A3727="","",IF(OR(B3727&lt;&gt;B3726,C3727&lt;&gt;C3726,E3727&lt;&gt;E3726),G3726+1,G3726))</f>
        <v/>
      </c>
    </row>
    <row r="3728">
      <c r="A3728" s="20">
        <f>IF(A3727="","",IF(A3727+1&gt;Ввод!$B$4,"",A3727+1))</f>
        <v/>
      </c>
      <c r="B3728">
        <f>IF(A3728="","",IFERROR(INDEX(Ввод!$B$12:$B$71,MATCH(A3728,Ввод!$D$12:$D$71,1)),""))</f>
        <v/>
      </c>
      <c r="C3728">
        <f>IF(A3728="","",DATE(YEAR(A3728),12,31)-DATE(YEAR(A3728),1,1)+1)</f>
        <v/>
      </c>
      <c r="D3728">
        <f>IF(A3728="","",SUMIFS(Акты!$D$5:$D$16,Акты!$E$5:$E$16,"&lt;="&amp;A3728)-SUMIFS(Оплаты!$B$6:$B$505,Оплаты!$A$6:$A$505,"&lt;"&amp;A3728,Оплаты!$D$6:$D$505,"&lt;&gt;"))</f>
        <v/>
      </c>
      <c r="E3728">
        <f>IF(A3728="","",IF(SUMPRODUCT((Ввод!$F$12:$F$31&lt;&gt;"")*(Ввод!$F$12:$F$31&lt;=A3728)*(Ввод!$G$12:$G$31&gt;=A3728))&gt;0,1,0))</f>
        <v/>
      </c>
      <c r="G3728">
        <f>IF(A3728="","",IF(OR(B3728&lt;&gt;B3727,C3728&lt;&gt;C3727,E3728&lt;&gt;E3727),G3727+1,G3727))</f>
        <v/>
      </c>
    </row>
    <row r="3729">
      <c r="A3729" s="20">
        <f>IF(A3728="","",IF(A3728+1&gt;Ввод!$B$4,"",A3728+1))</f>
        <v/>
      </c>
      <c r="B3729">
        <f>IF(A3729="","",IFERROR(INDEX(Ввод!$B$12:$B$71,MATCH(A3729,Ввод!$D$12:$D$71,1)),""))</f>
        <v/>
      </c>
      <c r="C3729">
        <f>IF(A3729="","",DATE(YEAR(A3729),12,31)-DATE(YEAR(A3729),1,1)+1)</f>
        <v/>
      </c>
      <c r="D3729">
        <f>IF(A3729="","",SUMIFS(Акты!$D$5:$D$16,Акты!$E$5:$E$16,"&lt;="&amp;A3729)-SUMIFS(Оплаты!$B$6:$B$505,Оплаты!$A$6:$A$505,"&lt;"&amp;A3729,Оплаты!$D$6:$D$505,"&lt;&gt;"))</f>
        <v/>
      </c>
      <c r="E3729">
        <f>IF(A3729="","",IF(SUMPRODUCT((Ввод!$F$12:$F$31&lt;&gt;"")*(Ввод!$F$12:$F$31&lt;=A3729)*(Ввод!$G$12:$G$31&gt;=A3729))&gt;0,1,0))</f>
        <v/>
      </c>
      <c r="G3729">
        <f>IF(A3729="","",IF(OR(B3729&lt;&gt;B3728,C3729&lt;&gt;C3728,E3729&lt;&gt;E3728),G3728+1,G3728))</f>
        <v/>
      </c>
    </row>
    <row r="3730">
      <c r="A3730" s="20">
        <f>IF(A3729="","",IF(A3729+1&gt;Ввод!$B$4,"",A3729+1))</f>
        <v/>
      </c>
      <c r="B3730">
        <f>IF(A3730="","",IFERROR(INDEX(Ввод!$B$12:$B$71,MATCH(A3730,Ввод!$D$12:$D$71,1)),""))</f>
        <v/>
      </c>
      <c r="C3730">
        <f>IF(A3730="","",DATE(YEAR(A3730),12,31)-DATE(YEAR(A3730),1,1)+1)</f>
        <v/>
      </c>
      <c r="D3730">
        <f>IF(A3730="","",SUMIFS(Акты!$D$5:$D$16,Акты!$E$5:$E$16,"&lt;="&amp;A3730)-SUMIFS(Оплаты!$B$6:$B$505,Оплаты!$A$6:$A$505,"&lt;"&amp;A3730,Оплаты!$D$6:$D$505,"&lt;&gt;"))</f>
        <v/>
      </c>
      <c r="E3730">
        <f>IF(A3730="","",IF(SUMPRODUCT((Ввод!$F$12:$F$31&lt;&gt;"")*(Ввод!$F$12:$F$31&lt;=A3730)*(Ввод!$G$12:$G$31&gt;=A3730))&gt;0,1,0))</f>
        <v/>
      </c>
      <c r="G3730">
        <f>IF(A3730="","",IF(OR(B3730&lt;&gt;B3729,C3730&lt;&gt;C3729,E3730&lt;&gt;E3729),G3729+1,G3729))</f>
        <v/>
      </c>
    </row>
    <row r="3731">
      <c r="A3731" s="20">
        <f>IF(A3730="","",IF(A3730+1&gt;Ввод!$B$4,"",A3730+1))</f>
        <v/>
      </c>
      <c r="B3731">
        <f>IF(A3731="","",IFERROR(INDEX(Ввод!$B$12:$B$71,MATCH(A3731,Ввод!$D$12:$D$71,1)),""))</f>
        <v/>
      </c>
      <c r="C3731">
        <f>IF(A3731="","",DATE(YEAR(A3731),12,31)-DATE(YEAR(A3731),1,1)+1)</f>
        <v/>
      </c>
      <c r="D3731">
        <f>IF(A3731="","",SUMIFS(Акты!$D$5:$D$16,Акты!$E$5:$E$16,"&lt;="&amp;A3731)-SUMIFS(Оплаты!$B$6:$B$505,Оплаты!$A$6:$A$505,"&lt;"&amp;A3731,Оплаты!$D$6:$D$505,"&lt;&gt;"))</f>
        <v/>
      </c>
      <c r="E3731">
        <f>IF(A3731="","",IF(SUMPRODUCT((Ввод!$F$12:$F$31&lt;&gt;"")*(Ввод!$F$12:$F$31&lt;=A3731)*(Ввод!$G$12:$G$31&gt;=A3731))&gt;0,1,0))</f>
        <v/>
      </c>
      <c r="G3731">
        <f>IF(A3731="","",IF(OR(B3731&lt;&gt;B3730,C3731&lt;&gt;C3730,E3731&lt;&gt;E3730),G3730+1,G3730))</f>
        <v/>
      </c>
    </row>
    <row r="3732">
      <c r="A3732" s="20">
        <f>IF(A3731="","",IF(A3731+1&gt;Ввод!$B$4,"",A3731+1))</f>
        <v/>
      </c>
      <c r="B3732">
        <f>IF(A3732="","",IFERROR(INDEX(Ввод!$B$12:$B$71,MATCH(A3732,Ввод!$D$12:$D$71,1)),""))</f>
        <v/>
      </c>
      <c r="C3732">
        <f>IF(A3732="","",DATE(YEAR(A3732),12,31)-DATE(YEAR(A3732),1,1)+1)</f>
        <v/>
      </c>
      <c r="D3732">
        <f>IF(A3732="","",SUMIFS(Акты!$D$5:$D$16,Акты!$E$5:$E$16,"&lt;="&amp;A3732)-SUMIFS(Оплаты!$B$6:$B$505,Оплаты!$A$6:$A$505,"&lt;"&amp;A3732,Оплаты!$D$6:$D$505,"&lt;&gt;"))</f>
        <v/>
      </c>
      <c r="E3732">
        <f>IF(A3732="","",IF(SUMPRODUCT((Ввод!$F$12:$F$31&lt;&gt;"")*(Ввод!$F$12:$F$31&lt;=A3732)*(Ввод!$G$12:$G$31&gt;=A3732))&gt;0,1,0))</f>
        <v/>
      </c>
      <c r="G3732">
        <f>IF(A3732="","",IF(OR(B3732&lt;&gt;B3731,C3732&lt;&gt;C3731,E3732&lt;&gt;E3731),G3731+1,G3731))</f>
        <v/>
      </c>
    </row>
    <row r="3733">
      <c r="A3733" s="20">
        <f>IF(A3732="","",IF(A3732+1&gt;Ввод!$B$4,"",A3732+1))</f>
        <v/>
      </c>
      <c r="B3733">
        <f>IF(A3733="","",IFERROR(INDEX(Ввод!$B$12:$B$71,MATCH(A3733,Ввод!$D$12:$D$71,1)),""))</f>
        <v/>
      </c>
      <c r="C3733">
        <f>IF(A3733="","",DATE(YEAR(A3733),12,31)-DATE(YEAR(A3733),1,1)+1)</f>
        <v/>
      </c>
      <c r="D3733">
        <f>IF(A3733="","",SUMIFS(Акты!$D$5:$D$16,Акты!$E$5:$E$16,"&lt;="&amp;A3733)-SUMIFS(Оплаты!$B$6:$B$505,Оплаты!$A$6:$A$505,"&lt;"&amp;A3733,Оплаты!$D$6:$D$505,"&lt;&gt;"))</f>
        <v/>
      </c>
      <c r="E3733">
        <f>IF(A3733="","",IF(SUMPRODUCT((Ввод!$F$12:$F$31&lt;&gt;"")*(Ввод!$F$12:$F$31&lt;=A3733)*(Ввод!$G$12:$G$31&gt;=A3733))&gt;0,1,0))</f>
        <v/>
      </c>
      <c r="G3733">
        <f>IF(A3733="","",IF(OR(B3733&lt;&gt;B3732,C3733&lt;&gt;C3732,E3733&lt;&gt;E3732),G3732+1,G3732))</f>
        <v/>
      </c>
    </row>
    <row r="3734">
      <c r="A3734" s="20">
        <f>IF(A3733="","",IF(A3733+1&gt;Ввод!$B$4,"",A3733+1))</f>
        <v/>
      </c>
      <c r="B3734">
        <f>IF(A3734="","",IFERROR(INDEX(Ввод!$B$12:$B$71,MATCH(A3734,Ввод!$D$12:$D$71,1)),""))</f>
        <v/>
      </c>
      <c r="C3734">
        <f>IF(A3734="","",DATE(YEAR(A3734),12,31)-DATE(YEAR(A3734),1,1)+1)</f>
        <v/>
      </c>
      <c r="D3734">
        <f>IF(A3734="","",SUMIFS(Акты!$D$5:$D$16,Акты!$E$5:$E$16,"&lt;="&amp;A3734)-SUMIFS(Оплаты!$B$6:$B$505,Оплаты!$A$6:$A$505,"&lt;"&amp;A3734,Оплаты!$D$6:$D$505,"&lt;&gt;"))</f>
        <v/>
      </c>
      <c r="E3734">
        <f>IF(A3734="","",IF(SUMPRODUCT((Ввод!$F$12:$F$31&lt;&gt;"")*(Ввод!$F$12:$F$31&lt;=A3734)*(Ввод!$G$12:$G$31&gt;=A3734))&gt;0,1,0))</f>
        <v/>
      </c>
      <c r="G3734">
        <f>IF(A3734="","",IF(OR(B3734&lt;&gt;B3733,C3734&lt;&gt;C3733,E3734&lt;&gt;E3733),G3733+1,G3733))</f>
        <v/>
      </c>
    </row>
    <row r="3735">
      <c r="A3735" s="20">
        <f>IF(A3734="","",IF(A3734+1&gt;Ввод!$B$4,"",A3734+1))</f>
        <v/>
      </c>
      <c r="B3735">
        <f>IF(A3735="","",IFERROR(INDEX(Ввод!$B$12:$B$71,MATCH(A3735,Ввод!$D$12:$D$71,1)),""))</f>
        <v/>
      </c>
      <c r="C3735">
        <f>IF(A3735="","",DATE(YEAR(A3735),12,31)-DATE(YEAR(A3735),1,1)+1)</f>
        <v/>
      </c>
      <c r="D3735">
        <f>IF(A3735="","",SUMIFS(Акты!$D$5:$D$16,Акты!$E$5:$E$16,"&lt;="&amp;A3735)-SUMIFS(Оплаты!$B$6:$B$505,Оплаты!$A$6:$A$505,"&lt;"&amp;A3735,Оплаты!$D$6:$D$505,"&lt;&gt;"))</f>
        <v/>
      </c>
      <c r="E3735">
        <f>IF(A3735="","",IF(SUMPRODUCT((Ввод!$F$12:$F$31&lt;&gt;"")*(Ввод!$F$12:$F$31&lt;=A3735)*(Ввод!$G$12:$G$31&gt;=A3735))&gt;0,1,0))</f>
        <v/>
      </c>
      <c r="G3735">
        <f>IF(A3735="","",IF(OR(B3735&lt;&gt;B3734,C3735&lt;&gt;C3734,E3735&lt;&gt;E3734),G3734+1,G3734))</f>
        <v/>
      </c>
    </row>
    <row r="3736">
      <c r="A3736" s="20">
        <f>IF(A3735="","",IF(A3735+1&gt;Ввод!$B$4,"",A3735+1))</f>
        <v/>
      </c>
      <c r="B3736">
        <f>IF(A3736="","",IFERROR(INDEX(Ввод!$B$12:$B$71,MATCH(A3736,Ввод!$D$12:$D$71,1)),""))</f>
        <v/>
      </c>
      <c r="C3736">
        <f>IF(A3736="","",DATE(YEAR(A3736),12,31)-DATE(YEAR(A3736),1,1)+1)</f>
        <v/>
      </c>
      <c r="D3736">
        <f>IF(A3736="","",SUMIFS(Акты!$D$5:$D$16,Акты!$E$5:$E$16,"&lt;="&amp;A3736)-SUMIFS(Оплаты!$B$6:$B$505,Оплаты!$A$6:$A$505,"&lt;"&amp;A3736,Оплаты!$D$6:$D$505,"&lt;&gt;"))</f>
        <v/>
      </c>
      <c r="E3736">
        <f>IF(A3736="","",IF(SUMPRODUCT((Ввод!$F$12:$F$31&lt;&gt;"")*(Ввод!$F$12:$F$31&lt;=A3736)*(Ввод!$G$12:$G$31&gt;=A3736))&gt;0,1,0))</f>
        <v/>
      </c>
      <c r="G3736">
        <f>IF(A3736="","",IF(OR(B3736&lt;&gt;B3735,C3736&lt;&gt;C3735,E3736&lt;&gt;E3735),G3735+1,G3735))</f>
        <v/>
      </c>
    </row>
    <row r="3737">
      <c r="A3737" s="20">
        <f>IF(A3736="","",IF(A3736+1&gt;Ввод!$B$4,"",A3736+1))</f>
        <v/>
      </c>
      <c r="B3737">
        <f>IF(A3737="","",IFERROR(INDEX(Ввод!$B$12:$B$71,MATCH(A3737,Ввод!$D$12:$D$71,1)),""))</f>
        <v/>
      </c>
      <c r="C3737">
        <f>IF(A3737="","",DATE(YEAR(A3737),12,31)-DATE(YEAR(A3737),1,1)+1)</f>
        <v/>
      </c>
      <c r="D3737">
        <f>IF(A3737="","",SUMIFS(Акты!$D$5:$D$16,Акты!$E$5:$E$16,"&lt;="&amp;A3737)-SUMIFS(Оплаты!$B$6:$B$505,Оплаты!$A$6:$A$505,"&lt;"&amp;A3737,Оплаты!$D$6:$D$505,"&lt;&gt;"))</f>
        <v/>
      </c>
      <c r="E3737">
        <f>IF(A3737="","",IF(SUMPRODUCT((Ввод!$F$12:$F$31&lt;&gt;"")*(Ввод!$F$12:$F$31&lt;=A3737)*(Ввод!$G$12:$G$31&gt;=A3737))&gt;0,1,0))</f>
        <v/>
      </c>
      <c r="G3737">
        <f>IF(A3737="","",IF(OR(B3737&lt;&gt;B3736,C3737&lt;&gt;C3736,E3737&lt;&gt;E3736),G3736+1,G3736))</f>
        <v/>
      </c>
    </row>
    <row r="3738">
      <c r="A3738" s="20">
        <f>IF(A3737="","",IF(A3737+1&gt;Ввод!$B$4,"",A3737+1))</f>
        <v/>
      </c>
      <c r="B3738">
        <f>IF(A3738="","",IFERROR(INDEX(Ввод!$B$12:$B$71,MATCH(A3738,Ввод!$D$12:$D$71,1)),""))</f>
        <v/>
      </c>
      <c r="C3738">
        <f>IF(A3738="","",DATE(YEAR(A3738),12,31)-DATE(YEAR(A3738),1,1)+1)</f>
        <v/>
      </c>
      <c r="D3738">
        <f>IF(A3738="","",SUMIFS(Акты!$D$5:$D$16,Акты!$E$5:$E$16,"&lt;="&amp;A3738)-SUMIFS(Оплаты!$B$6:$B$505,Оплаты!$A$6:$A$505,"&lt;"&amp;A3738,Оплаты!$D$6:$D$505,"&lt;&gt;"))</f>
        <v/>
      </c>
      <c r="E3738">
        <f>IF(A3738="","",IF(SUMPRODUCT((Ввод!$F$12:$F$31&lt;&gt;"")*(Ввод!$F$12:$F$31&lt;=A3738)*(Ввод!$G$12:$G$31&gt;=A3738))&gt;0,1,0))</f>
        <v/>
      </c>
      <c r="G3738">
        <f>IF(A3738="","",IF(OR(B3738&lt;&gt;B3737,C3738&lt;&gt;C3737,E3738&lt;&gt;E3737),G3737+1,G3737))</f>
        <v/>
      </c>
    </row>
    <row r="3739">
      <c r="A3739" s="20">
        <f>IF(A3738="","",IF(A3738+1&gt;Ввод!$B$4,"",A3738+1))</f>
        <v/>
      </c>
      <c r="B3739">
        <f>IF(A3739="","",IFERROR(INDEX(Ввод!$B$12:$B$71,MATCH(A3739,Ввод!$D$12:$D$71,1)),""))</f>
        <v/>
      </c>
      <c r="C3739">
        <f>IF(A3739="","",DATE(YEAR(A3739),12,31)-DATE(YEAR(A3739),1,1)+1)</f>
        <v/>
      </c>
      <c r="D3739">
        <f>IF(A3739="","",SUMIFS(Акты!$D$5:$D$16,Акты!$E$5:$E$16,"&lt;="&amp;A3739)-SUMIFS(Оплаты!$B$6:$B$505,Оплаты!$A$6:$A$505,"&lt;"&amp;A3739,Оплаты!$D$6:$D$505,"&lt;&gt;"))</f>
        <v/>
      </c>
      <c r="E3739">
        <f>IF(A3739="","",IF(SUMPRODUCT((Ввод!$F$12:$F$31&lt;&gt;"")*(Ввод!$F$12:$F$31&lt;=A3739)*(Ввод!$G$12:$G$31&gt;=A3739))&gt;0,1,0))</f>
        <v/>
      </c>
      <c r="G3739">
        <f>IF(A3739="","",IF(OR(B3739&lt;&gt;B3738,C3739&lt;&gt;C3738,E3739&lt;&gt;E3738),G3738+1,G3738))</f>
        <v/>
      </c>
    </row>
    <row r="3740">
      <c r="A3740" s="20">
        <f>IF(A3739="","",IF(A3739+1&gt;Ввод!$B$4,"",A3739+1))</f>
        <v/>
      </c>
      <c r="B3740">
        <f>IF(A3740="","",IFERROR(INDEX(Ввод!$B$12:$B$71,MATCH(A3740,Ввод!$D$12:$D$71,1)),""))</f>
        <v/>
      </c>
      <c r="C3740">
        <f>IF(A3740="","",DATE(YEAR(A3740),12,31)-DATE(YEAR(A3740),1,1)+1)</f>
        <v/>
      </c>
      <c r="D3740">
        <f>IF(A3740="","",SUMIFS(Акты!$D$5:$D$16,Акты!$E$5:$E$16,"&lt;="&amp;A3740)-SUMIFS(Оплаты!$B$6:$B$505,Оплаты!$A$6:$A$505,"&lt;"&amp;A3740,Оплаты!$D$6:$D$505,"&lt;&gt;"))</f>
        <v/>
      </c>
      <c r="E3740">
        <f>IF(A3740="","",IF(SUMPRODUCT((Ввод!$F$12:$F$31&lt;&gt;"")*(Ввод!$F$12:$F$31&lt;=A3740)*(Ввод!$G$12:$G$31&gt;=A3740))&gt;0,1,0))</f>
        <v/>
      </c>
      <c r="G3740">
        <f>IF(A3740="","",IF(OR(B3740&lt;&gt;B3739,C3740&lt;&gt;C3739,E3740&lt;&gt;E3739),G3739+1,G3739))</f>
        <v/>
      </c>
    </row>
    <row r="3741">
      <c r="A3741" s="20">
        <f>IF(A3740="","",IF(A3740+1&gt;Ввод!$B$4,"",A3740+1))</f>
        <v/>
      </c>
      <c r="B3741">
        <f>IF(A3741="","",IFERROR(INDEX(Ввод!$B$12:$B$71,MATCH(A3741,Ввод!$D$12:$D$71,1)),""))</f>
        <v/>
      </c>
      <c r="C3741">
        <f>IF(A3741="","",DATE(YEAR(A3741),12,31)-DATE(YEAR(A3741),1,1)+1)</f>
        <v/>
      </c>
      <c r="D3741">
        <f>IF(A3741="","",SUMIFS(Акты!$D$5:$D$16,Акты!$E$5:$E$16,"&lt;="&amp;A3741)-SUMIFS(Оплаты!$B$6:$B$505,Оплаты!$A$6:$A$505,"&lt;"&amp;A3741,Оплаты!$D$6:$D$505,"&lt;&gt;"))</f>
        <v/>
      </c>
      <c r="E3741">
        <f>IF(A3741="","",IF(SUMPRODUCT((Ввод!$F$12:$F$31&lt;&gt;"")*(Ввод!$F$12:$F$31&lt;=A3741)*(Ввод!$G$12:$G$31&gt;=A3741))&gt;0,1,0))</f>
        <v/>
      </c>
      <c r="G3741">
        <f>IF(A3741="","",IF(OR(B3741&lt;&gt;B3740,C3741&lt;&gt;C3740,E3741&lt;&gt;E3740),G3740+1,G3740))</f>
        <v/>
      </c>
    </row>
    <row r="3742">
      <c r="A3742" s="20">
        <f>IF(A3741="","",IF(A3741+1&gt;Ввод!$B$4,"",A3741+1))</f>
        <v/>
      </c>
      <c r="B3742">
        <f>IF(A3742="","",IFERROR(INDEX(Ввод!$B$12:$B$71,MATCH(A3742,Ввод!$D$12:$D$71,1)),""))</f>
        <v/>
      </c>
      <c r="C3742">
        <f>IF(A3742="","",DATE(YEAR(A3742),12,31)-DATE(YEAR(A3742),1,1)+1)</f>
        <v/>
      </c>
      <c r="D3742">
        <f>IF(A3742="","",SUMIFS(Акты!$D$5:$D$16,Акты!$E$5:$E$16,"&lt;="&amp;A3742)-SUMIFS(Оплаты!$B$6:$B$505,Оплаты!$A$6:$A$505,"&lt;"&amp;A3742,Оплаты!$D$6:$D$505,"&lt;&gt;"))</f>
        <v/>
      </c>
      <c r="E3742">
        <f>IF(A3742="","",IF(SUMPRODUCT((Ввод!$F$12:$F$31&lt;&gt;"")*(Ввод!$F$12:$F$31&lt;=A3742)*(Ввод!$G$12:$G$31&gt;=A3742))&gt;0,1,0))</f>
        <v/>
      </c>
      <c r="G3742">
        <f>IF(A3742="","",IF(OR(B3742&lt;&gt;B3741,C3742&lt;&gt;C3741,E3742&lt;&gt;E3741),G3741+1,G3741))</f>
        <v/>
      </c>
    </row>
    <row r="3743">
      <c r="A3743" s="20">
        <f>IF(A3742="","",IF(A3742+1&gt;Ввод!$B$4,"",A3742+1))</f>
        <v/>
      </c>
      <c r="B3743">
        <f>IF(A3743="","",IFERROR(INDEX(Ввод!$B$12:$B$71,MATCH(A3743,Ввод!$D$12:$D$71,1)),""))</f>
        <v/>
      </c>
      <c r="C3743">
        <f>IF(A3743="","",DATE(YEAR(A3743),12,31)-DATE(YEAR(A3743),1,1)+1)</f>
        <v/>
      </c>
      <c r="D3743">
        <f>IF(A3743="","",SUMIFS(Акты!$D$5:$D$16,Акты!$E$5:$E$16,"&lt;="&amp;A3743)-SUMIFS(Оплаты!$B$6:$B$505,Оплаты!$A$6:$A$505,"&lt;"&amp;A3743,Оплаты!$D$6:$D$505,"&lt;&gt;"))</f>
        <v/>
      </c>
      <c r="E3743">
        <f>IF(A3743="","",IF(SUMPRODUCT((Ввод!$F$12:$F$31&lt;&gt;"")*(Ввод!$F$12:$F$31&lt;=A3743)*(Ввод!$G$12:$G$31&gt;=A3743))&gt;0,1,0))</f>
        <v/>
      </c>
      <c r="G3743">
        <f>IF(A3743="","",IF(OR(B3743&lt;&gt;B3742,C3743&lt;&gt;C3742,E3743&lt;&gt;E3742),G3742+1,G3742))</f>
        <v/>
      </c>
    </row>
    <row r="3744">
      <c r="A3744" s="20">
        <f>IF(A3743="","",IF(A3743+1&gt;Ввод!$B$4,"",A3743+1))</f>
        <v/>
      </c>
      <c r="B3744">
        <f>IF(A3744="","",IFERROR(INDEX(Ввод!$B$12:$B$71,MATCH(A3744,Ввод!$D$12:$D$71,1)),""))</f>
        <v/>
      </c>
      <c r="C3744">
        <f>IF(A3744="","",DATE(YEAR(A3744),12,31)-DATE(YEAR(A3744),1,1)+1)</f>
        <v/>
      </c>
      <c r="D3744">
        <f>IF(A3744="","",SUMIFS(Акты!$D$5:$D$16,Акты!$E$5:$E$16,"&lt;="&amp;A3744)-SUMIFS(Оплаты!$B$6:$B$505,Оплаты!$A$6:$A$505,"&lt;"&amp;A3744,Оплаты!$D$6:$D$505,"&lt;&gt;"))</f>
        <v/>
      </c>
      <c r="E3744">
        <f>IF(A3744="","",IF(SUMPRODUCT((Ввод!$F$12:$F$31&lt;&gt;"")*(Ввод!$F$12:$F$31&lt;=A3744)*(Ввод!$G$12:$G$31&gt;=A3744))&gt;0,1,0))</f>
        <v/>
      </c>
      <c r="G3744">
        <f>IF(A3744="","",IF(OR(B3744&lt;&gt;B3743,C3744&lt;&gt;C3743,E3744&lt;&gt;E3743),G3743+1,G3743))</f>
        <v/>
      </c>
    </row>
    <row r="3745">
      <c r="A3745" s="20">
        <f>IF(A3744="","",IF(A3744+1&gt;Ввод!$B$4,"",A3744+1))</f>
        <v/>
      </c>
      <c r="B3745">
        <f>IF(A3745="","",IFERROR(INDEX(Ввод!$B$12:$B$71,MATCH(A3745,Ввод!$D$12:$D$71,1)),""))</f>
        <v/>
      </c>
      <c r="C3745">
        <f>IF(A3745="","",DATE(YEAR(A3745),12,31)-DATE(YEAR(A3745),1,1)+1)</f>
        <v/>
      </c>
      <c r="D3745">
        <f>IF(A3745="","",SUMIFS(Акты!$D$5:$D$16,Акты!$E$5:$E$16,"&lt;="&amp;A3745)-SUMIFS(Оплаты!$B$6:$B$505,Оплаты!$A$6:$A$505,"&lt;"&amp;A3745,Оплаты!$D$6:$D$505,"&lt;&gt;"))</f>
        <v/>
      </c>
      <c r="E3745">
        <f>IF(A3745="","",IF(SUMPRODUCT((Ввод!$F$12:$F$31&lt;&gt;"")*(Ввод!$F$12:$F$31&lt;=A3745)*(Ввод!$G$12:$G$31&gt;=A3745))&gt;0,1,0))</f>
        <v/>
      </c>
      <c r="G3745">
        <f>IF(A3745="","",IF(OR(B3745&lt;&gt;B3744,C3745&lt;&gt;C3744,E3745&lt;&gt;E3744),G3744+1,G3744))</f>
        <v/>
      </c>
    </row>
    <row r="3746">
      <c r="A3746" s="20">
        <f>IF(A3745="","",IF(A3745+1&gt;Ввод!$B$4,"",A3745+1))</f>
        <v/>
      </c>
      <c r="B3746">
        <f>IF(A3746="","",IFERROR(INDEX(Ввод!$B$12:$B$71,MATCH(A3746,Ввод!$D$12:$D$71,1)),""))</f>
        <v/>
      </c>
      <c r="C3746">
        <f>IF(A3746="","",DATE(YEAR(A3746),12,31)-DATE(YEAR(A3746),1,1)+1)</f>
        <v/>
      </c>
      <c r="D3746">
        <f>IF(A3746="","",SUMIFS(Акты!$D$5:$D$16,Акты!$E$5:$E$16,"&lt;="&amp;A3746)-SUMIFS(Оплаты!$B$6:$B$505,Оплаты!$A$6:$A$505,"&lt;"&amp;A3746,Оплаты!$D$6:$D$505,"&lt;&gt;"))</f>
        <v/>
      </c>
      <c r="E3746">
        <f>IF(A3746="","",IF(SUMPRODUCT((Ввод!$F$12:$F$31&lt;&gt;"")*(Ввод!$F$12:$F$31&lt;=A3746)*(Ввод!$G$12:$G$31&gt;=A3746))&gt;0,1,0))</f>
        <v/>
      </c>
      <c r="G3746">
        <f>IF(A3746="","",IF(OR(B3746&lt;&gt;B3745,C3746&lt;&gt;C3745,E3746&lt;&gt;E3745),G3745+1,G3745))</f>
        <v/>
      </c>
    </row>
    <row r="3747">
      <c r="A3747" s="20">
        <f>IF(A3746="","",IF(A3746+1&gt;Ввод!$B$4,"",A3746+1))</f>
        <v/>
      </c>
      <c r="B3747">
        <f>IF(A3747="","",IFERROR(INDEX(Ввод!$B$12:$B$71,MATCH(A3747,Ввод!$D$12:$D$71,1)),""))</f>
        <v/>
      </c>
      <c r="C3747">
        <f>IF(A3747="","",DATE(YEAR(A3747),12,31)-DATE(YEAR(A3747),1,1)+1)</f>
        <v/>
      </c>
      <c r="D3747">
        <f>IF(A3747="","",SUMIFS(Акты!$D$5:$D$16,Акты!$E$5:$E$16,"&lt;="&amp;A3747)-SUMIFS(Оплаты!$B$6:$B$505,Оплаты!$A$6:$A$505,"&lt;"&amp;A3747,Оплаты!$D$6:$D$505,"&lt;&gt;"))</f>
        <v/>
      </c>
      <c r="E3747">
        <f>IF(A3747="","",IF(SUMPRODUCT((Ввод!$F$12:$F$31&lt;&gt;"")*(Ввод!$F$12:$F$31&lt;=A3747)*(Ввод!$G$12:$G$31&gt;=A3747))&gt;0,1,0))</f>
        <v/>
      </c>
      <c r="G3747">
        <f>IF(A3747="","",IF(OR(B3747&lt;&gt;B3746,C3747&lt;&gt;C3746,E3747&lt;&gt;E3746),G3746+1,G3746))</f>
        <v/>
      </c>
    </row>
    <row r="3748">
      <c r="A3748" s="20">
        <f>IF(A3747="","",IF(A3747+1&gt;Ввод!$B$4,"",A3747+1))</f>
        <v/>
      </c>
      <c r="B3748">
        <f>IF(A3748="","",IFERROR(INDEX(Ввод!$B$12:$B$71,MATCH(A3748,Ввод!$D$12:$D$71,1)),""))</f>
        <v/>
      </c>
      <c r="C3748">
        <f>IF(A3748="","",DATE(YEAR(A3748),12,31)-DATE(YEAR(A3748),1,1)+1)</f>
        <v/>
      </c>
      <c r="D3748">
        <f>IF(A3748="","",SUMIFS(Акты!$D$5:$D$16,Акты!$E$5:$E$16,"&lt;="&amp;A3748)-SUMIFS(Оплаты!$B$6:$B$505,Оплаты!$A$6:$A$505,"&lt;"&amp;A3748,Оплаты!$D$6:$D$505,"&lt;&gt;"))</f>
        <v/>
      </c>
      <c r="E3748">
        <f>IF(A3748="","",IF(SUMPRODUCT((Ввод!$F$12:$F$31&lt;&gt;"")*(Ввод!$F$12:$F$31&lt;=A3748)*(Ввод!$G$12:$G$31&gt;=A3748))&gt;0,1,0))</f>
        <v/>
      </c>
      <c r="G3748">
        <f>IF(A3748="","",IF(OR(B3748&lt;&gt;B3747,C3748&lt;&gt;C3747,E3748&lt;&gt;E3747),G3747+1,G3747))</f>
        <v/>
      </c>
    </row>
    <row r="3749">
      <c r="A3749" s="20">
        <f>IF(A3748="","",IF(A3748+1&gt;Ввод!$B$4,"",A3748+1))</f>
        <v/>
      </c>
      <c r="B3749">
        <f>IF(A3749="","",IFERROR(INDEX(Ввод!$B$12:$B$71,MATCH(A3749,Ввод!$D$12:$D$71,1)),""))</f>
        <v/>
      </c>
      <c r="C3749">
        <f>IF(A3749="","",DATE(YEAR(A3749),12,31)-DATE(YEAR(A3749),1,1)+1)</f>
        <v/>
      </c>
      <c r="D3749">
        <f>IF(A3749="","",SUMIFS(Акты!$D$5:$D$16,Акты!$E$5:$E$16,"&lt;="&amp;A3749)-SUMIFS(Оплаты!$B$6:$B$505,Оплаты!$A$6:$A$505,"&lt;"&amp;A3749,Оплаты!$D$6:$D$505,"&lt;&gt;"))</f>
        <v/>
      </c>
      <c r="E3749">
        <f>IF(A3749="","",IF(SUMPRODUCT((Ввод!$F$12:$F$31&lt;&gt;"")*(Ввод!$F$12:$F$31&lt;=A3749)*(Ввод!$G$12:$G$31&gt;=A3749))&gt;0,1,0))</f>
        <v/>
      </c>
      <c r="G3749">
        <f>IF(A3749="","",IF(OR(B3749&lt;&gt;B3748,C3749&lt;&gt;C3748,E3749&lt;&gt;E3748),G3748+1,G3748))</f>
        <v/>
      </c>
    </row>
    <row r="3750">
      <c r="A3750" s="20">
        <f>IF(A3749="","",IF(A3749+1&gt;Ввод!$B$4,"",A3749+1))</f>
        <v/>
      </c>
      <c r="B3750">
        <f>IF(A3750="","",IFERROR(INDEX(Ввод!$B$12:$B$71,MATCH(A3750,Ввод!$D$12:$D$71,1)),""))</f>
        <v/>
      </c>
      <c r="C3750">
        <f>IF(A3750="","",DATE(YEAR(A3750),12,31)-DATE(YEAR(A3750),1,1)+1)</f>
        <v/>
      </c>
      <c r="D3750">
        <f>IF(A3750="","",SUMIFS(Акты!$D$5:$D$16,Акты!$E$5:$E$16,"&lt;="&amp;A3750)-SUMIFS(Оплаты!$B$6:$B$505,Оплаты!$A$6:$A$505,"&lt;"&amp;A3750,Оплаты!$D$6:$D$505,"&lt;&gt;"))</f>
        <v/>
      </c>
      <c r="E3750">
        <f>IF(A3750="","",IF(SUMPRODUCT((Ввод!$F$12:$F$31&lt;&gt;"")*(Ввод!$F$12:$F$31&lt;=A3750)*(Ввод!$G$12:$G$31&gt;=A3750))&gt;0,1,0))</f>
        <v/>
      </c>
      <c r="G3750">
        <f>IF(A3750="","",IF(OR(B3750&lt;&gt;B3749,C3750&lt;&gt;C3749,E3750&lt;&gt;E3749),G3749+1,G3749))</f>
        <v/>
      </c>
    </row>
    <row r="3751">
      <c r="A3751" s="20">
        <f>IF(A3750="","",IF(A3750+1&gt;Ввод!$B$4,"",A3750+1))</f>
        <v/>
      </c>
      <c r="B3751">
        <f>IF(A3751="","",IFERROR(INDEX(Ввод!$B$12:$B$71,MATCH(A3751,Ввод!$D$12:$D$71,1)),""))</f>
        <v/>
      </c>
      <c r="C3751">
        <f>IF(A3751="","",DATE(YEAR(A3751),12,31)-DATE(YEAR(A3751),1,1)+1)</f>
        <v/>
      </c>
      <c r="D3751">
        <f>IF(A3751="","",SUMIFS(Акты!$D$5:$D$16,Акты!$E$5:$E$16,"&lt;="&amp;A3751)-SUMIFS(Оплаты!$B$6:$B$505,Оплаты!$A$6:$A$505,"&lt;"&amp;A3751,Оплаты!$D$6:$D$505,"&lt;&gt;"))</f>
        <v/>
      </c>
      <c r="E3751">
        <f>IF(A3751="","",IF(SUMPRODUCT((Ввод!$F$12:$F$31&lt;&gt;"")*(Ввод!$F$12:$F$31&lt;=A3751)*(Ввод!$G$12:$G$31&gt;=A3751))&gt;0,1,0))</f>
        <v/>
      </c>
      <c r="G3751">
        <f>IF(A3751="","",IF(OR(B3751&lt;&gt;B3750,C3751&lt;&gt;C3750,E3751&lt;&gt;E3750),G3750+1,G3750))</f>
        <v/>
      </c>
    </row>
    <row r="3752">
      <c r="A3752" s="20">
        <f>IF(A3751="","",IF(A3751+1&gt;Ввод!$B$4,"",A3751+1))</f>
        <v/>
      </c>
      <c r="B3752">
        <f>IF(A3752="","",IFERROR(INDEX(Ввод!$B$12:$B$71,MATCH(A3752,Ввод!$D$12:$D$71,1)),""))</f>
        <v/>
      </c>
      <c r="C3752">
        <f>IF(A3752="","",DATE(YEAR(A3752),12,31)-DATE(YEAR(A3752),1,1)+1)</f>
        <v/>
      </c>
      <c r="D3752">
        <f>IF(A3752="","",SUMIFS(Акты!$D$5:$D$16,Акты!$E$5:$E$16,"&lt;="&amp;A3752)-SUMIFS(Оплаты!$B$6:$B$505,Оплаты!$A$6:$A$505,"&lt;"&amp;A3752,Оплаты!$D$6:$D$505,"&lt;&gt;"))</f>
        <v/>
      </c>
      <c r="E3752">
        <f>IF(A3752="","",IF(SUMPRODUCT((Ввод!$F$12:$F$31&lt;&gt;"")*(Ввод!$F$12:$F$31&lt;=A3752)*(Ввод!$G$12:$G$31&gt;=A3752))&gt;0,1,0))</f>
        <v/>
      </c>
      <c r="G3752">
        <f>IF(A3752="","",IF(OR(B3752&lt;&gt;B3751,C3752&lt;&gt;C3751,E3752&lt;&gt;E3751),G3751+1,G3751))</f>
        <v/>
      </c>
    </row>
    <row r="3753">
      <c r="A3753" s="20">
        <f>IF(A3752="","",IF(A3752+1&gt;Ввод!$B$4,"",A3752+1))</f>
        <v/>
      </c>
      <c r="B3753">
        <f>IF(A3753="","",IFERROR(INDEX(Ввод!$B$12:$B$71,MATCH(A3753,Ввод!$D$12:$D$71,1)),""))</f>
        <v/>
      </c>
      <c r="C3753">
        <f>IF(A3753="","",DATE(YEAR(A3753),12,31)-DATE(YEAR(A3753),1,1)+1)</f>
        <v/>
      </c>
      <c r="D3753">
        <f>IF(A3753="","",SUMIFS(Акты!$D$5:$D$16,Акты!$E$5:$E$16,"&lt;="&amp;A3753)-SUMIFS(Оплаты!$B$6:$B$505,Оплаты!$A$6:$A$505,"&lt;"&amp;A3753,Оплаты!$D$6:$D$505,"&lt;&gt;"))</f>
        <v/>
      </c>
      <c r="E3753">
        <f>IF(A3753="","",IF(SUMPRODUCT((Ввод!$F$12:$F$31&lt;&gt;"")*(Ввод!$F$12:$F$31&lt;=A3753)*(Ввод!$G$12:$G$31&gt;=A3753))&gt;0,1,0))</f>
        <v/>
      </c>
      <c r="G3753">
        <f>IF(A3753="","",IF(OR(B3753&lt;&gt;B3752,C3753&lt;&gt;C3752,E3753&lt;&gt;E3752),G3752+1,G3752))</f>
        <v/>
      </c>
    </row>
    <row r="3754">
      <c r="A3754" s="20">
        <f>IF(A3753="","",IF(A3753+1&gt;Ввод!$B$4,"",A3753+1))</f>
        <v/>
      </c>
      <c r="B3754">
        <f>IF(A3754="","",IFERROR(INDEX(Ввод!$B$12:$B$71,MATCH(A3754,Ввод!$D$12:$D$71,1)),""))</f>
        <v/>
      </c>
      <c r="C3754">
        <f>IF(A3754="","",DATE(YEAR(A3754),12,31)-DATE(YEAR(A3754),1,1)+1)</f>
        <v/>
      </c>
      <c r="D3754">
        <f>IF(A3754="","",SUMIFS(Акты!$D$5:$D$16,Акты!$E$5:$E$16,"&lt;="&amp;A3754)-SUMIFS(Оплаты!$B$6:$B$505,Оплаты!$A$6:$A$505,"&lt;"&amp;A3754,Оплаты!$D$6:$D$505,"&lt;&gt;"))</f>
        <v/>
      </c>
      <c r="E3754">
        <f>IF(A3754="","",IF(SUMPRODUCT((Ввод!$F$12:$F$31&lt;&gt;"")*(Ввод!$F$12:$F$31&lt;=A3754)*(Ввод!$G$12:$G$31&gt;=A3754))&gt;0,1,0))</f>
        <v/>
      </c>
      <c r="G3754">
        <f>IF(A3754="","",IF(OR(B3754&lt;&gt;B3753,C3754&lt;&gt;C3753,E3754&lt;&gt;E3753),G3753+1,G3753))</f>
        <v/>
      </c>
    </row>
    <row r="3755">
      <c r="A3755" s="20">
        <f>IF(A3754="","",IF(A3754+1&gt;Ввод!$B$4,"",A3754+1))</f>
        <v/>
      </c>
      <c r="B3755">
        <f>IF(A3755="","",IFERROR(INDEX(Ввод!$B$12:$B$71,MATCH(A3755,Ввод!$D$12:$D$71,1)),""))</f>
        <v/>
      </c>
      <c r="C3755">
        <f>IF(A3755="","",DATE(YEAR(A3755),12,31)-DATE(YEAR(A3755),1,1)+1)</f>
        <v/>
      </c>
      <c r="D3755">
        <f>IF(A3755="","",SUMIFS(Акты!$D$5:$D$16,Акты!$E$5:$E$16,"&lt;="&amp;A3755)-SUMIFS(Оплаты!$B$6:$B$505,Оплаты!$A$6:$A$505,"&lt;"&amp;A3755,Оплаты!$D$6:$D$505,"&lt;&gt;"))</f>
        <v/>
      </c>
      <c r="E3755">
        <f>IF(A3755="","",IF(SUMPRODUCT((Ввод!$F$12:$F$31&lt;&gt;"")*(Ввод!$F$12:$F$31&lt;=A3755)*(Ввод!$G$12:$G$31&gt;=A3755))&gt;0,1,0))</f>
        <v/>
      </c>
      <c r="G3755">
        <f>IF(A3755="","",IF(OR(B3755&lt;&gt;B3754,C3755&lt;&gt;C3754,E3755&lt;&gt;E3754),G3754+1,G3754))</f>
        <v/>
      </c>
    </row>
    <row r="3756">
      <c r="A3756" s="20">
        <f>IF(A3755="","",IF(A3755+1&gt;Ввод!$B$4,"",A3755+1))</f>
        <v/>
      </c>
      <c r="B3756">
        <f>IF(A3756="","",IFERROR(INDEX(Ввод!$B$12:$B$71,MATCH(A3756,Ввод!$D$12:$D$71,1)),""))</f>
        <v/>
      </c>
      <c r="C3756">
        <f>IF(A3756="","",DATE(YEAR(A3756),12,31)-DATE(YEAR(A3756),1,1)+1)</f>
        <v/>
      </c>
      <c r="D3756">
        <f>IF(A3756="","",SUMIFS(Акты!$D$5:$D$16,Акты!$E$5:$E$16,"&lt;="&amp;A3756)-SUMIFS(Оплаты!$B$6:$B$505,Оплаты!$A$6:$A$505,"&lt;"&amp;A3756,Оплаты!$D$6:$D$505,"&lt;&gt;"))</f>
        <v/>
      </c>
      <c r="E3756">
        <f>IF(A3756="","",IF(SUMPRODUCT((Ввод!$F$12:$F$31&lt;&gt;"")*(Ввод!$F$12:$F$31&lt;=A3756)*(Ввод!$G$12:$G$31&gt;=A3756))&gt;0,1,0))</f>
        <v/>
      </c>
      <c r="G3756">
        <f>IF(A3756="","",IF(OR(B3756&lt;&gt;B3755,C3756&lt;&gt;C3755,E3756&lt;&gt;E3755),G3755+1,G3755))</f>
        <v/>
      </c>
    </row>
    <row r="3757">
      <c r="A3757" s="20">
        <f>IF(A3756="","",IF(A3756+1&gt;Ввод!$B$4,"",A3756+1))</f>
        <v/>
      </c>
      <c r="B3757">
        <f>IF(A3757="","",IFERROR(INDEX(Ввод!$B$12:$B$71,MATCH(A3757,Ввод!$D$12:$D$71,1)),""))</f>
        <v/>
      </c>
      <c r="C3757">
        <f>IF(A3757="","",DATE(YEAR(A3757),12,31)-DATE(YEAR(A3757),1,1)+1)</f>
        <v/>
      </c>
      <c r="D3757">
        <f>IF(A3757="","",SUMIFS(Акты!$D$5:$D$16,Акты!$E$5:$E$16,"&lt;="&amp;A3757)-SUMIFS(Оплаты!$B$6:$B$505,Оплаты!$A$6:$A$505,"&lt;"&amp;A3757,Оплаты!$D$6:$D$505,"&lt;&gt;"))</f>
        <v/>
      </c>
      <c r="E3757">
        <f>IF(A3757="","",IF(SUMPRODUCT((Ввод!$F$12:$F$31&lt;&gt;"")*(Ввод!$F$12:$F$31&lt;=A3757)*(Ввод!$G$12:$G$31&gt;=A3757))&gt;0,1,0))</f>
        <v/>
      </c>
      <c r="G3757">
        <f>IF(A3757="","",IF(OR(B3757&lt;&gt;B3756,C3757&lt;&gt;C3756,E3757&lt;&gt;E3756),G3756+1,G3756))</f>
        <v/>
      </c>
    </row>
    <row r="3758">
      <c r="A3758" s="20">
        <f>IF(A3757="","",IF(A3757+1&gt;Ввод!$B$4,"",A3757+1))</f>
        <v/>
      </c>
      <c r="B3758">
        <f>IF(A3758="","",IFERROR(INDEX(Ввод!$B$12:$B$71,MATCH(A3758,Ввод!$D$12:$D$71,1)),""))</f>
        <v/>
      </c>
      <c r="C3758">
        <f>IF(A3758="","",DATE(YEAR(A3758),12,31)-DATE(YEAR(A3758),1,1)+1)</f>
        <v/>
      </c>
      <c r="D3758">
        <f>IF(A3758="","",SUMIFS(Акты!$D$5:$D$16,Акты!$E$5:$E$16,"&lt;="&amp;A3758)-SUMIFS(Оплаты!$B$6:$B$505,Оплаты!$A$6:$A$505,"&lt;"&amp;A3758,Оплаты!$D$6:$D$505,"&lt;&gt;"))</f>
        <v/>
      </c>
      <c r="E3758">
        <f>IF(A3758="","",IF(SUMPRODUCT((Ввод!$F$12:$F$31&lt;&gt;"")*(Ввод!$F$12:$F$31&lt;=A3758)*(Ввод!$G$12:$G$31&gt;=A3758))&gt;0,1,0))</f>
        <v/>
      </c>
      <c r="G3758">
        <f>IF(A3758="","",IF(OR(B3758&lt;&gt;B3757,C3758&lt;&gt;C3757,E3758&lt;&gt;E3757),G3757+1,G3757))</f>
        <v/>
      </c>
    </row>
    <row r="3759">
      <c r="A3759" s="20">
        <f>IF(A3758="","",IF(A3758+1&gt;Ввод!$B$4,"",A3758+1))</f>
        <v/>
      </c>
      <c r="B3759">
        <f>IF(A3759="","",IFERROR(INDEX(Ввод!$B$12:$B$71,MATCH(A3759,Ввод!$D$12:$D$71,1)),""))</f>
        <v/>
      </c>
      <c r="C3759">
        <f>IF(A3759="","",DATE(YEAR(A3759),12,31)-DATE(YEAR(A3759),1,1)+1)</f>
        <v/>
      </c>
      <c r="D3759">
        <f>IF(A3759="","",SUMIFS(Акты!$D$5:$D$16,Акты!$E$5:$E$16,"&lt;="&amp;A3759)-SUMIFS(Оплаты!$B$6:$B$505,Оплаты!$A$6:$A$505,"&lt;"&amp;A3759,Оплаты!$D$6:$D$505,"&lt;&gt;"))</f>
        <v/>
      </c>
      <c r="E3759">
        <f>IF(A3759="","",IF(SUMPRODUCT((Ввод!$F$12:$F$31&lt;&gt;"")*(Ввод!$F$12:$F$31&lt;=A3759)*(Ввод!$G$12:$G$31&gt;=A3759))&gt;0,1,0))</f>
        <v/>
      </c>
      <c r="G3759">
        <f>IF(A3759="","",IF(OR(B3759&lt;&gt;B3758,C3759&lt;&gt;C3758,E3759&lt;&gt;E3758),G3758+1,G3758))</f>
        <v/>
      </c>
    </row>
    <row r="3760">
      <c r="A3760" s="20">
        <f>IF(A3759="","",IF(A3759+1&gt;Ввод!$B$4,"",A3759+1))</f>
        <v/>
      </c>
      <c r="B3760">
        <f>IF(A3760="","",IFERROR(INDEX(Ввод!$B$12:$B$71,MATCH(A3760,Ввод!$D$12:$D$71,1)),""))</f>
        <v/>
      </c>
      <c r="C3760">
        <f>IF(A3760="","",DATE(YEAR(A3760),12,31)-DATE(YEAR(A3760),1,1)+1)</f>
        <v/>
      </c>
      <c r="D3760">
        <f>IF(A3760="","",SUMIFS(Акты!$D$5:$D$16,Акты!$E$5:$E$16,"&lt;="&amp;A3760)-SUMIFS(Оплаты!$B$6:$B$505,Оплаты!$A$6:$A$505,"&lt;"&amp;A3760,Оплаты!$D$6:$D$505,"&lt;&gt;"))</f>
        <v/>
      </c>
      <c r="E3760">
        <f>IF(A3760="","",IF(SUMPRODUCT((Ввод!$F$12:$F$31&lt;&gt;"")*(Ввод!$F$12:$F$31&lt;=A3760)*(Ввод!$G$12:$G$31&gt;=A3760))&gt;0,1,0))</f>
        <v/>
      </c>
      <c r="G3760">
        <f>IF(A3760="","",IF(OR(B3760&lt;&gt;B3759,C3760&lt;&gt;C3759,E3760&lt;&gt;E3759),G3759+1,G3759))</f>
        <v/>
      </c>
    </row>
    <row r="3761">
      <c r="A3761" s="20">
        <f>IF(A3760="","",IF(A3760+1&gt;Ввод!$B$4,"",A3760+1))</f>
        <v/>
      </c>
      <c r="B3761">
        <f>IF(A3761="","",IFERROR(INDEX(Ввод!$B$12:$B$71,MATCH(A3761,Ввод!$D$12:$D$71,1)),""))</f>
        <v/>
      </c>
      <c r="C3761">
        <f>IF(A3761="","",DATE(YEAR(A3761),12,31)-DATE(YEAR(A3761),1,1)+1)</f>
        <v/>
      </c>
      <c r="D3761">
        <f>IF(A3761="","",SUMIFS(Акты!$D$5:$D$16,Акты!$E$5:$E$16,"&lt;="&amp;A3761)-SUMIFS(Оплаты!$B$6:$B$505,Оплаты!$A$6:$A$505,"&lt;"&amp;A3761,Оплаты!$D$6:$D$505,"&lt;&gt;"))</f>
        <v/>
      </c>
      <c r="E3761">
        <f>IF(A3761="","",IF(SUMPRODUCT((Ввод!$F$12:$F$31&lt;&gt;"")*(Ввод!$F$12:$F$31&lt;=A3761)*(Ввод!$G$12:$G$31&gt;=A3761))&gt;0,1,0))</f>
        <v/>
      </c>
      <c r="G3761">
        <f>IF(A3761="","",IF(OR(B3761&lt;&gt;B3760,C3761&lt;&gt;C3760,E3761&lt;&gt;E3760),G3760+1,G3760))</f>
        <v/>
      </c>
    </row>
    <row r="3762">
      <c r="A3762" s="20">
        <f>IF(A3761="","",IF(A3761+1&gt;Ввод!$B$4,"",A3761+1))</f>
        <v/>
      </c>
      <c r="B3762">
        <f>IF(A3762="","",IFERROR(INDEX(Ввод!$B$12:$B$71,MATCH(A3762,Ввод!$D$12:$D$71,1)),""))</f>
        <v/>
      </c>
      <c r="C3762">
        <f>IF(A3762="","",DATE(YEAR(A3762),12,31)-DATE(YEAR(A3762),1,1)+1)</f>
        <v/>
      </c>
      <c r="D3762">
        <f>IF(A3762="","",SUMIFS(Акты!$D$5:$D$16,Акты!$E$5:$E$16,"&lt;="&amp;A3762)-SUMIFS(Оплаты!$B$6:$B$505,Оплаты!$A$6:$A$505,"&lt;"&amp;A3762,Оплаты!$D$6:$D$505,"&lt;&gt;"))</f>
        <v/>
      </c>
      <c r="E3762">
        <f>IF(A3762="","",IF(SUMPRODUCT((Ввод!$F$12:$F$31&lt;&gt;"")*(Ввод!$F$12:$F$31&lt;=A3762)*(Ввод!$G$12:$G$31&gt;=A3762))&gt;0,1,0))</f>
        <v/>
      </c>
      <c r="G3762">
        <f>IF(A3762="","",IF(OR(B3762&lt;&gt;B3761,C3762&lt;&gt;C3761,E3762&lt;&gt;E3761),G3761+1,G3761))</f>
        <v/>
      </c>
    </row>
    <row r="3763">
      <c r="A3763" s="20">
        <f>IF(A3762="","",IF(A3762+1&gt;Ввод!$B$4,"",A3762+1))</f>
        <v/>
      </c>
      <c r="B3763">
        <f>IF(A3763="","",IFERROR(INDEX(Ввод!$B$12:$B$71,MATCH(A3763,Ввод!$D$12:$D$71,1)),""))</f>
        <v/>
      </c>
      <c r="C3763">
        <f>IF(A3763="","",DATE(YEAR(A3763),12,31)-DATE(YEAR(A3763),1,1)+1)</f>
        <v/>
      </c>
      <c r="D3763">
        <f>IF(A3763="","",SUMIFS(Акты!$D$5:$D$16,Акты!$E$5:$E$16,"&lt;="&amp;A3763)-SUMIFS(Оплаты!$B$6:$B$505,Оплаты!$A$6:$A$505,"&lt;"&amp;A3763,Оплаты!$D$6:$D$505,"&lt;&gt;"))</f>
        <v/>
      </c>
      <c r="E3763">
        <f>IF(A3763="","",IF(SUMPRODUCT((Ввод!$F$12:$F$31&lt;&gt;"")*(Ввод!$F$12:$F$31&lt;=A3763)*(Ввод!$G$12:$G$31&gt;=A3763))&gt;0,1,0))</f>
        <v/>
      </c>
      <c r="G3763">
        <f>IF(A3763="","",IF(OR(B3763&lt;&gt;B3762,C3763&lt;&gt;C3762,E3763&lt;&gt;E3762),G3762+1,G3762))</f>
        <v/>
      </c>
    </row>
    <row r="3764">
      <c r="A3764" s="20">
        <f>IF(A3763="","",IF(A3763+1&gt;Ввод!$B$4,"",A3763+1))</f>
        <v/>
      </c>
      <c r="B3764">
        <f>IF(A3764="","",IFERROR(INDEX(Ввод!$B$12:$B$71,MATCH(A3764,Ввод!$D$12:$D$71,1)),""))</f>
        <v/>
      </c>
      <c r="C3764">
        <f>IF(A3764="","",DATE(YEAR(A3764),12,31)-DATE(YEAR(A3764),1,1)+1)</f>
        <v/>
      </c>
      <c r="D3764">
        <f>IF(A3764="","",SUMIFS(Акты!$D$5:$D$16,Акты!$E$5:$E$16,"&lt;="&amp;A3764)-SUMIFS(Оплаты!$B$6:$B$505,Оплаты!$A$6:$A$505,"&lt;"&amp;A3764,Оплаты!$D$6:$D$505,"&lt;&gt;"))</f>
        <v/>
      </c>
      <c r="E3764">
        <f>IF(A3764="","",IF(SUMPRODUCT((Ввод!$F$12:$F$31&lt;&gt;"")*(Ввод!$F$12:$F$31&lt;=A3764)*(Ввод!$G$12:$G$31&gt;=A3764))&gt;0,1,0))</f>
        <v/>
      </c>
      <c r="G3764">
        <f>IF(A3764="","",IF(OR(B3764&lt;&gt;B3763,C3764&lt;&gt;C3763,E3764&lt;&gt;E3763),G3763+1,G3763))</f>
        <v/>
      </c>
    </row>
    <row r="3765">
      <c r="A3765" s="20">
        <f>IF(A3764="","",IF(A3764+1&gt;Ввод!$B$4,"",A3764+1))</f>
        <v/>
      </c>
      <c r="B3765">
        <f>IF(A3765="","",IFERROR(INDEX(Ввод!$B$12:$B$71,MATCH(A3765,Ввод!$D$12:$D$71,1)),""))</f>
        <v/>
      </c>
      <c r="C3765">
        <f>IF(A3765="","",DATE(YEAR(A3765),12,31)-DATE(YEAR(A3765),1,1)+1)</f>
        <v/>
      </c>
      <c r="D3765">
        <f>IF(A3765="","",SUMIFS(Акты!$D$5:$D$16,Акты!$E$5:$E$16,"&lt;="&amp;A3765)-SUMIFS(Оплаты!$B$6:$B$505,Оплаты!$A$6:$A$505,"&lt;"&amp;A3765,Оплаты!$D$6:$D$505,"&lt;&gt;"))</f>
        <v/>
      </c>
      <c r="E3765">
        <f>IF(A3765="","",IF(SUMPRODUCT((Ввод!$F$12:$F$31&lt;&gt;"")*(Ввод!$F$12:$F$31&lt;=A3765)*(Ввод!$G$12:$G$31&gt;=A3765))&gt;0,1,0))</f>
        <v/>
      </c>
      <c r="G3765">
        <f>IF(A3765="","",IF(OR(B3765&lt;&gt;B3764,C3765&lt;&gt;C3764,E3765&lt;&gt;E3764),G3764+1,G3764))</f>
        <v/>
      </c>
    </row>
    <row r="3766">
      <c r="A3766" s="20">
        <f>IF(A3765="","",IF(A3765+1&gt;Ввод!$B$4,"",A3765+1))</f>
        <v/>
      </c>
      <c r="B3766">
        <f>IF(A3766="","",IFERROR(INDEX(Ввод!$B$12:$B$71,MATCH(A3766,Ввод!$D$12:$D$71,1)),""))</f>
        <v/>
      </c>
      <c r="C3766">
        <f>IF(A3766="","",DATE(YEAR(A3766),12,31)-DATE(YEAR(A3766),1,1)+1)</f>
        <v/>
      </c>
      <c r="D3766">
        <f>IF(A3766="","",SUMIFS(Акты!$D$5:$D$16,Акты!$E$5:$E$16,"&lt;="&amp;A3766)-SUMIFS(Оплаты!$B$6:$B$505,Оплаты!$A$6:$A$505,"&lt;"&amp;A3766,Оплаты!$D$6:$D$505,"&lt;&gt;"))</f>
        <v/>
      </c>
      <c r="E3766">
        <f>IF(A3766="","",IF(SUMPRODUCT((Ввод!$F$12:$F$31&lt;&gt;"")*(Ввод!$F$12:$F$31&lt;=A3766)*(Ввод!$G$12:$G$31&gt;=A3766))&gt;0,1,0))</f>
        <v/>
      </c>
      <c r="G3766">
        <f>IF(A3766="","",IF(OR(B3766&lt;&gt;B3765,C3766&lt;&gt;C3765,E3766&lt;&gt;E3765),G3765+1,G3765))</f>
        <v/>
      </c>
    </row>
    <row r="3767">
      <c r="A3767" s="20">
        <f>IF(A3766="","",IF(A3766+1&gt;Ввод!$B$4,"",A3766+1))</f>
        <v/>
      </c>
      <c r="B3767">
        <f>IF(A3767="","",IFERROR(INDEX(Ввод!$B$12:$B$71,MATCH(A3767,Ввод!$D$12:$D$71,1)),""))</f>
        <v/>
      </c>
      <c r="C3767">
        <f>IF(A3767="","",DATE(YEAR(A3767),12,31)-DATE(YEAR(A3767),1,1)+1)</f>
        <v/>
      </c>
      <c r="D3767">
        <f>IF(A3767="","",SUMIFS(Акты!$D$5:$D$16,Акты!$E$5:$E$16,"&lt;="&amp;A3767)-SUMIFS(Оплаты!$B$6:$B$505,Оплаты!$A$6:$A$505,"&lt;"&amp;A3767,Оплаты!$D$6:$D$505,"&lt;&gt;"))</f>
        <v/>
      </c>
      <c r="E3767">
        <f>IF(A3767="","",IF(SUMPRODUCT((Ввод!$F$12:$F$31&lt;&gt;"")*(Ввод!$F$12:$F$31&lt;=A3767)*(Ввод!$G$12:$G$31&gt;=A3767))&gt;0,1,0))</f>
        <v/>
      </c>
      <c r="G3767">
        <f>IF(A3767="","",IF(OR(B3767&lt;&gt;B3766,C3767&lt;&gt;C3766,E3767&lt;&gt;E3766),G3766+1,G3766))</f>
        <v/>
      </c>
    </row>
    <row r="3768">
      <c r="A3768" s="20">
        <f>IF(A3767="","",IF(A3767+1&gt;Ввод!$B$4,"",A3767+1))</f>
        <v/>
      </c>
      <c r="B3768">
        <f>IF(A3768="","",IFERROR(INDEX(Ввод!$B$12:$B$71,MATCH(A3768,Ввод!$D$12:$D$71,1)),""))</f>
        <v/>
      </c>
      <c r="C3768">
        <f>IF(A3768="","",DATE(YEAR(A3768),12,31)-DATE(YEAR(A3768),1,1)+1)</f>
        <v/>
      </c>
      <c r="D3768">
        <f>IF(A3768="","",SUMIFS(Акты!$D$5:$D$16,Акты!$E$5:$E$16,"&lt;="&amp;A3768)-SUMIFS(Оплаты!$B$6:$B$505,Оплаты!$A$6:$A$505,"&lt;"&amp;A3768,Оплаты!$D$6:$D$505,"&lt;&gt;"))</f>
        <v/>
      </c>
      <c r="E3768">
        <f>IF(A3768="","",IF(SUMPRODUCT((Ввод!$F$12:$F$31&lt;&gt;"")*(Ввод!$F$12:$F$31&lt;=A3768)*(Ввод!$G$12:$G$31&gt;=A3768))&gt;0,1,0))</f>
        <v/>
      </c>
      <c r="G3768">
        <f>IF(A3768="","",IF(OR(B3768&lt;&gt;B3767,C3768&lt;&gt;C3767,E3768&lt;&gt;E3767),G3767+1,G3767))</f>
        <v/>
      </c>
    </row>
    <row r="3769">
      <c r="A3769" s="20">
        <f>IF(A3768="","",IF(A3768+1&gt;Ввод!$B$4,"",A3768+1))</f>
        <v/>
      </c>
      <c r="B3769">
        <f>IF(A3769="","",IFERROR(INDEX(Ввод!$B$12:$B$71,MATCH(A3769,Ввод!$D$12:$D$71,1)),""))</f>
        <v/>
      </c>
      <c r="C3769">
        <f>IF(A3769="","",DATE(YEAR(A3769),12,31)-DATE(YEAR(A3769),1,1)+1)</f>
        <v/>
      </c>
      <c r="D3769">
        <f>IF(A3769="","",SUMIFS(Акты!$D$5:$D$16,Акты!$E$5:$E$16,"&lt;="&amp;A3769)-SUMIFS(Оплаты!$B$6:$B$505,Оплаты!$A$6:$A$505,"&lt;"&amp;A3769,Оплаты!$D$6:$D$505,"&lt;&gt;"))</f>
        <v/>
      </c>
      <c r="E3769">
        <f>IF(A3769="","",IF(SUMPRODUCT((Ввод!$F$12:$F$31&lt;&gt;"")*(Ввод!$F$12:$F$31&lt;=A3769)*(Ввод!$G$12:$G$31&gt;=A3769))&gt;0,1,0))</f>
        <v/>
      </c>
      <c r="G3769">
        <f>IF(A3769="","",IF(OR(B3769&lt;&gt;B3768,C3769&lt;&gt;C3768,E3769&lt;&gt;E3768),G3768+1,G3768))</f>
        <v/>
      </c>
    </row>
    <row r="3770">
      <c r="A3770" s="20">
        <f>IF(A3769="","",IF(A3769+1&gt;Ввод!$B$4,"",A3769+1))</f>
        <v/>
      </c>
      <c r="B3770">
        <f>IF(A3770="","",IFERROR(INDEX(Ввод!$B$12:$B$71,MATCH(A3770,Ввод!$D$12:$D$71,1)),""))</f>
        <v/>
      </c>
      <c r="C3770">
        <f>IF(A3770="","",DATE(YEAR(A3770),12,31)-DATE(YEAR(A3770),1,1)+1)</f>
        <v/>
      </c>
      <c r="D3770">
        <f>IF(A3770="","",SUMIFS(Акты!$D$5:$D$16,Акты!$E$5:$E$16,"&lt;="&amp;A3770)-SUMIFS(Оплаты!$B$6:$B$505,Оплаты!$A$6:$A$505,"&lt;"&amp;A3770,Оплаты!$D$6:$D$505,"&lt;&gt;"))</f>
        <v/>
      </c>
      <c r="E3770">
        <f>IF(A3770="","",IF(SUMPRODUCT((Ввод!$F$12:$F$31&lt;&gt;"")*(Ввод!$F$12:$F$31&lt;=A3770)*(Ввод!$G$12:$G$31&gt;=A3770))&gt;0,1,0))</f>
        <v/>
      </c>
      <c r="G3770">
        <f>IF(A3770="","",IF(OR(B3770&lt;&gt;B3769,C3770&lt;&gt;C3769,E3770&lt;&gt;E3769),G3769+1,G3769))</f>
        <v/>
      </c>
    </row>
    <row r="3771">
      <c r="A3771" s="20">
        <f>IF(A3770="","",IF(A3770+1&gt;Ввод!$B$4,"",A3770+1))</f>
        <v/>
      </c>
      <c r="B3771">
        <f>IF(A3771="","",IFERROR(INDEX(Ввод!$B$12:$B$71,MATCH(A3771,Ввод!$D$12:$D$71,1)),""))</f>
        <v/>
      </c>
      <c r="C3771">
        <f>IF(A3771="","",DATE(YEAR(A3771),12,31)-DATE(YEAR(A3771),1,1)+1)</f>
        <v/>
      </c>
      <c r="D3771">
        <f>IF(A3771="","",SUMIFS(Акты!$D$5:$D$16,Акты!$E$5:$E$16,"&lt;="&amp;A3771)-SUMIFS(Оплаты!$B$6:$B$505,Оплаты!$A$6:$A$505,"&lt;"&amp;A3771,Оплаты!$D$6:$D$505,"&lt;&gt;"))</f>
        <v/>
      </c>
      <c r="E3771">
        <f>IF(A3771="","",IF(SUMPRODUCT((Ввод!$F$12:$F$31&lt;&gt;"")*(Ввод!$F$12:$F$31&lt;=A3771)*(Ввод!$G$12:$G$31&gt;=A3771))&gt;0,1,0))</f>
        <v/>
      </c>
      <c r="G3771">
        <f>IF(A3771="","",IF(OR(B3771&lt;&gt;B3770,C3771&lt;&gt;C3770,E3771&lt;&gt;E3770),G3770+1,G3770))</f>
        <v/>
      </c>
    </row>
    <row r="3772">
      <c r="A3772" s="20">
        <f>IF(A3771="","",IF(A3771+1&gt;Ввод!$B$4,"",A3771+1))</f>
        <v/>
      </c>
      <c r="B3772">
        <f>IF(A3772="","",IFERROR(INDEX(Ввод!$B$12:$B$71,MATCH(A3772,Ввод!$D$12:$D$71,1)),""))</f>
        <v/>
      </c>
      <c r="C3772">
        <f>IF(A3772="","",DATE(YEAR(A3772),12,31)-DATE(YEAR(A3772),1,1)+1)</f>
        <v/>
      </c>
      <c r="D3772">
        <f>IF(A3772="","",SUMIFS(Акты!$D$5:$D$16,Акты!$E$5:$E$16,"&lt;="&amp;A3772)-SUMIFS(Оплаты!$B$6:$B$505,Оплаты!$A$6:$A$505,"&lt;"&amp;A3772,Оплаты!$D$6:$D$505,"&lt;&gt;"))</f>
        <v/>
      </c>
      <c r="E3772">
        <f>IF(A3772="","",IF(SUMPRODUCT((Ввод!$F$12:$F$31&lt;&gt;"")*(Ввод!$F$12:$F$31&lt;=A3772)*(Ввод!$G$12:$G$31&gt;=A3772))&gt;0,1,0))</f>
        <v/>
      </c>
      <c r="G3772">
        <f>IF(A3772="","",IF(OR(B3772&lt;&gt;B3771,C3772&lt;&gt;C3771,E3772&lt;&gt;E3771),G3771+1,G3771))</f>
        <v/>
      </c>
    </row>
    <row r="3773">
      <c r="A3773" s="20">
        <f>IF(A3772="","",IF(A3772+1&gt;Ввод!$B$4,"",A3772+1))</f>
        <v/>
      </c>
      <c r="B3773">
        <f>IF(A3773="","",IFERROR(INDEX(Ввод!$B$12:$B$71,MATCH(A3773,Ввод!$D$12:$D$71,1)),""))</f>
        <v/>
      </c>
      <c r="C3773">
        <f>IF(A3773="","",DATE(YEAR(A3773),12,31)-DATE(YEAR(A3773),1,1)+1)</f>
        <v/>
      </c>
      <c r="D3773">
        <f>IF(A3773="","",SUMIFS(Акты!$D$5:$D$16,Акты!$E$5:$E$16,"&lt;="&amp;A3773)-SUMIFS(Оплаты!$B$6:$B$505,Оплаты!$A$6:$A$505,"&lt;"&amp;A3773,Оплаты!$D$6:$D$505,"&lt;&gt;"))</f>
        <v/>
      </c>
      <c r="E3773">
        <f>IF(A3773="","",IF(SUMPRODUCT((Ввод!$F$12:$F$31&lt;&gt;"")*(Ввод!$F$12:$F$31&lt;=A3773)*(Ввод!$G$12:$G$31&gt;=A3773))&gt;0,1,0))</f>
        <v/>
      </c>
      <c r="G3773">
        <f>IF(A3773="","",IF(OR(B3773&lt;&gt;B3772,C3773&lt;&gt;C3772,E3773&lt;&gt;E3772),G3772+1,G3772))</f>
        <v/>
      </c>
    </row>
    <row r="3774">
      <c r="A3774" s="20">
        <f>IF(A3773="","",IF(A3773+1&gt;Ввод!$B$4,"",A3773+1))</f>
        <v/>
      </c>
      <c r="B3774">
        <f>IF(A3774="","",IFERROR(INDEX(Ввод!$B$12:$B$71,MATCH(A3774,Ввод!$D$12:$D$71,1)),""))</f>
        <v/>
      </c>
      <c r="C3774">
        <f>IF(A3774="","",DATE(YEAR(A3774),12,31)-DATE(YEAR(A3774),1,1)+1)</f>
        <v/>
      </c>
      <c r="D3774">
        <f>IF(A3774="","",SUMIFS(Акты!$D$5:$D$16,Акты!$E$5:$E$16,"&lt;="&amp;A3774)-SUMIFS(Оплаты!$B$6:$B$505,Оплаты!$A$6:$A$505,"&lt;"&amp;A3774,Оплаты!$D$6:$D$505,"&lt;&gt;"))</f>
        <v/>
      </c>
      <c r="E3774">
        <f>IF(A3774="","",IF(SUMPRODUCT((Ввод!$F$12:$F$31&lt;&gt;"")*(Ввод!$F$12:$F$31&lt;=A3774)*(Ввод!$G$12:$G$31&gt;=A3774))&gt;0,1,0))</f>
        <v/>
      </c>
      <c r="G3774">
        <f>IF(A3774="","",IF(OR(B3774&lt;&gt;B3773,C3774&lt;&gt;C3773,E3774&lt;&gt;E3773),G3773+1,G3773))</f>
        <v/>
      </c>
    </row>
    <row r="3775">
      <c r="A3775" s="20">
        <f>IF(A3774="","",IF(A3774+1&gt;Ввод!$B$4,"",A3774+1))</f>
        <v/>
      </c>
      <c r="B3775">
        <f>IF(A3775="","",IFERROR(INDEX(Ввод!$B$12:$B$71,MATCH(A3775,Ввод!$D$12:$D$71,1)),""))</f>
        <v/>
      </c>
      <c r="C3775">
        <f>IF(A3775="","",DATE(YEAR(A3775),12,31)-DATE(YEAR(A3775),1,1)+1)</f>
        <v/>
      </c>
      <c r="D3775">
        <f>IF(A3775="","",SUMIFS(Акты!$D$5:$D$16,Акты!$E$5:$E$16,"&lt;="&amp;A3775)-SUMIFS(Оплаты!$B$6:$B$505,Оплаты!$A$6:$A$505,"&lt;"&amp;A3775,Оплаты!$D$6:$D$505,"&lt;&gt;"))</f>
        <v/>
      </c>
      <c r="E3775">
        <f>IF(A3775="","",IF(SUMPRODUCT((Ввод!$F$12:$F$31&lt;&gt;"")*(Ввод!$F$12:$F$31&lt;=A3775)*(Ввод!$G$12:$G$31&gt;=A3775))&gt;0,1,0))</f>
        <v/>
      </c>
      <c r="G3775">
        <f>IF(A3775="","",IF(OR(B3775&lt;&gt;B3774,C3775&lt;&gt;C3774,E3775&lt;&gt;E3774),G3774+1,G3774))</f>
        <v/>
      </c>
    </row>
    <row r="3776">
      <c r="A3776" s="20">
        <f>IF(A3775="","",IF(A3775+1&gt;Ввод!$B$4,"",A3775+1))</f>
        <v/>
      </c>
      <c r="B3776">
        <f>IF(A3776="","",IFERROR(INDEX(Ввод!$B$12:$B$71,MATCH(A3776,Ввод!$D$12:$D$71,1)),""))</f>
        <v/>
      </c>
      <c r="C3776">
        <f>IF(A3776="","",DATE(YEAR(A3776),12,31)-DATE(YEAR(A3776),1,1)+1)</f>
        <v/>
      </c>
      <c r="D3776">
        <f>IF(A3776="","",SUMIFS(Акты!$D$5:$D$16,Акты!$E$5:$E$16,"&lt;="&amp;A3776)-SUMIFS(Оплаты!$B$6:$B$505,Оплаты!$A$6:$A$505,"&lt;"&amp;A3776,Оплаты!$D$6:$D$505,"&lt;&gt;"))</f>
        <v/>
      </c>
      <c r="E3776">
        <f>IF(A3776="","",IF(SUMPRODUCT((Ввод!$F$12:$F$31&lt;&gt;"")*(Ввод!$F$12:$F$31&lt;=A3776)*(Ввод!$G$12:$G$31&gt;=A3776))&gt;0,1,0))</f>
        <v/>
      </c>
      <c r="G3776">
        <f>IF(A3776="","",IF(OR(B3776&lt;&gt;B3775,C3776&lt;&gt;C3775,E3776&lt;&gt;E3775),G3775+1,G3775))</f>
        <v/>
      </c>
    </row>
    <row r="3777">
      <c r="A3777" s="20">
        <f>IF(A3776="","",IF(A3776+1&gt;Ввод!$B$4,"",A3776+1))</f>
        <v/>
      </c>
      <c r="B3777">
        <f>IF(A3777="","",IFERROR(INDEX(Ввод!$B$12:$B$71,MATCH(A3777,Ввод!$D$12:$D$71,1)),""))</f>
        <v/>
      </c>
      <c r="C3777">
        <f>IF(A3777="","",DATE(YEAR(A3777),12,31)-DATE(YEAR(A3777),1,1)+1)</f>
        <v/>
      </c>
      <c r="D3777">
        <f>IF(A3777="","",SUMIFS(Акты!$D$5:$D$16,Акты!$E$5:$E$16,"&lt;="&amp;A3777)-SUMIFS(Оплаты!$B$6:$B$505,Оплаты!$A$6:$A$505,"&lt;"&amp;A3777,Оплаты!$D$6:$D$505,"&lt;&gt;"))</f>
        <v/>
      </c>
      <c r="E3777">
        <f>IF(A3777="","",IF(SUMPRODUCT((Ввод!$F$12:$F$31&lt;&gt;"")*(Ввод!$F$12:$F$31&lt;=A3777)*(Ввод!$G$12:$G$31&gt;=A3777))&gt;0,1,0))</f>
        <v/>
      </c>
      <c r="G3777">
        <f>IF(A3777="","",IF(OR(B3777&lt;&gt;B3776,C3777&lt;&gt;C3776,E3777&lt;&gt;E3776),G3776+1,G3776))</f>
        <v/>
      </c>
    </row>
    <row r="3778">
      <c r="A3778" s="20">
        <f>IF(A3777="","",IF(A3777+1&gt;Ввод!$B$4,"",A3777+1))</f>
        <v/>
      </c>
      <c r="B3778">
        <f>IF(A3778="","",IFERROR(INDEX(Ввод!$B$12:$B$71,MATCH(A3778,Ввод!$D$12:$D$71,1)),""))</f>
        <v/>
      </c>
      <c r="C3778">
        <f>IF(A3778="","",DATE(YEAR(A3778),12,31)-DATE(YEAR(A3778),1,1)+1)</f>
        <v/>
      </c>
      <c r="D3778">
        <f>IF(A3778="","",SUMIFS(Акты!$D$5:$D$16,Акты!$E$5:$E$16,"&lt;="&amp;A3778)-SUMIFS(Оплаты!$B$6:$B$505,Оплаты!$A$6:$A$505,"&lt;"&amp;A3778,Оплаты!$D$6:$D$505,"&lt;&gt;"))</f>
        <v/>
      </c>
      <c r="E3778">
        <f>IF(A3778="","",IF(SUMPRODUCT((Ввод!$F$12:$F$31&lt;&gt;"")*(Ввод!$F$12:$F$31&lt;=A3778)*(Ввод!$G$12:$G$31&gt;=A3778))&gt;0,1,0))</f>
        <v/>
      </c>
      <c r="G3778">
        <f>IF(A3778="","",IF(OR(B3778&lt;&gt;B3777,C3778&lt;&gt;C3777,E3778&lt;&gt;E3777),G3777+1,G3777))</f>
        <v/>
      </c>
    </row>
    <row r="3779">
      <c r="A3779" s="20">
        <f>IF(A3778="","",IF(A3778+1&gt;Ввод!$B$4,"",A3778+1))</f>
        <v/>
      </c>
      <c r="B3779">
        <f>IF(A3779="","",IFERROR(INDEX(Ввод!$B$12:$B$71,MATCH(A3779,Ввод!$D$12:$D$71,1)),""))</f>
        <v/>
      </c>
      <c r="C3779">
        <f>IF(A3779="","",DATE(YEAR(A3779),12,31)-DATE(YEAR(A3779),1,1)+1)</f>
        <v/>
      </c>
      <c r="D3779">
        <f>IF(A3779="","",SUMIFS(Акты!$D$5:$D$16,Акты!$E$5:$E$16,"&lt;="&amp;A3779)-SUMIFS(Оплаты!$B$6:$B$505,Оплаты!$A$6:$A$505,"&lt;"&amp;A3779,Оплаты!$D$6:$D$505,"&lt;&gt;"))</f>
        <v/>
      </c>
      <c r="E3779">
        <f>IF(A3779="","",IF(SUMPRODUCT((Ввод!$F$12:$F$31&lt;&gt;"")*(Ввод!$F$12:$F$31&lt;=A3779)*(Ввод!$G$12:$G$31&gt;=A3779))&gt;0,1,0))</f>
        <v/>
      </c>
      <c r="G3779">
        <f>IF(A3779="","",IF(OR(B3779&lt;&gt;B3778,C3779&lt;&gt;C3778,E3779&lt;&gt;E3778),G3778+1,G3778))</f>
        <v/>
      </c>
    </row>
    <row r="3780">
      <c r="A3780" s="20">
        <f>IF(A3779="","",IF(A3779+1&gt;Ввод!$B$4,"",A3779+1))</f>
        <v/>
      </c>
      <c r="B3780">
        <f>IF(A3780="","",IFERROR(INDEX(Ввод!$B$12:$B$71,MATCH(A3780,Ввод!$D$12:$D$71,1)),""))</f>
        <v/>
      </c>
      <c r="C3780">
        <f>IF(A3780="","",DATE(YEAR(A3780),12,31)-DATE(YEAR(A3780),1,1)+1)</f>
        <v/>
      </c>
      <c r="D3780">
        <f>IF(A3780="","",SUMIFS(Акты!$D$5:$D$16,Акты!$E$5:$E$16,"&lt;="&amp;A3780)-SUMIFS(Оплаты!$B$6:$B$505,Оплаты!$A$6:$A$505,"&lt;"&amp;A3780,Оплаты!$D$6:$D$505,"&lt;&gt;"))</f>
        <v/>
      </c>
      <c r="E3780">
        <f>IF(A3780="","",IF(SUMPRODUCT((Ввод!$F$12:$F$31&lt;&gt;"")*(Ввод!$F$12:$F$31&lt;=A3780)*(Ввод!$G$12:$G$31&gt;=A3780))&gt;0,1,0))</f>
        <v/>
      </c>
      <c r="G3780">
        <f>IF(A3780="","",IF(OR(B3780&lt;&gt;B3779,C3780&lt;&gt;C3779,E3780&lt;&gt;E3779),G3779+1,G3779))</f>
        <v/>
      </c>
    </row>
    <row r="3781">
      <c r="A3781" s="20">
        <f>IF(A3780="","",IF(A3780+1&gt;Ввод!$B$4,"",A3780+1))</f>
        <v/>
      </c>
      <c r="B3781">
        <f>IF(A3781="","",IFERROR(INDEX(Ввод!$B$12:$B$71,MATCH(A3781,Ввод!$D$12:$D$71,1)),""))</f>
        <v/>
      </c>
      <c r="C3781">
        <f>IF(A3781="","",DATE(YEAR(A3781),12,31)-DATE(YEAR(A3781),1,1)+1)</f>
        <v/>
      </c>
      <c r="D3781">
        <f>IF(A3781="","",SUMIFS(Акты!$D$5:$D$16,Акты!$E$5:$E$16,"&lt;="&amp;A3781)-SUMIFS(Оплаты!$B$6:$B$505,Оплаты!$A$6:$A$505,"&lt;"&amp;A3781,Оплаты!$D$6:$D$505,"&lt;&gt;"))</f>
        <v/>
      </c>
      <c r="E3781">
        <f>IF(A3781="","",IF(SUMPRODUCT((Ввод!$F$12:$F$31&lt;&gt;"")*(Ввод!$F$12:$F$31&lt;=A3781)*(Ввод!$G$12:$G$31&gt;=A3781))&gt;0,1,0))</f>
        <v/>
      </c>
      <c r="G3781">
        <f>IF(A3781="","",IF(OR(B3781&lt;&gt;B3780,C3781&lt;&gt;C3780,E3781&lt;&gt;E3780),G3780+1,G3780))</f>
        <v/>
      </c>
    </row>
    <row r="3782">
      <c r="A3782" s="20">
        <f>IF(A3781="","",IF(A3781+1&gt;Ввод!$B$4,"",A3781+1))</f>
        <v/>
      </c>
      <c r="B3782">
        <f>IF(A3782="","",IFERROR(INDEX(Ввод!$B$12:$B$71,MATCH(A3782,Ввод!$D$12:$D$71,1)),""))</f>
        <v/>
      </c>
      <c r="C3782">
        <f>IF(A3782="","",DATE(YEAR(A3782),12,31)-DATE(YEAR(A3782),1,1)+1)</f>
        <v/>
      </c>
      <c r="D3782">
        <f>IF(A3782="","",SUMIFS(Акты!$D$5:$D$16,Акты!$E$5:$E$16,"&lt;="&amp;A3782)-SUMIFS(Оплаты!$B$6:$B$505,Оплаты!$A$6:$A$505,"&lt;"&amp;A3782,Оплаты!$D$6:$D$505,"&lt;&gt;"))</f>
        <v/>
      </c>
      <c r="E3782">
        <f>IF(A3782="","",IF(SUMPRODUCT((Ввод!$F$12:$F$31&lt;&gt;"")*(Ввод!$F$12:$F$31&lt;=A3782)*(Ввод!$G$12:$G$31&gt;=A3782))&gt;0,1,0))</f>
        <v/>
      </c>
      <c r="G3782">
        <f>IF(A3782="","",IF(OR(B3782&lt;&gt;B3781,C3782&lt;&gt;C3781,E3782&lt;&gt;E3781),G3781+1,G3781))</f>
        <v/>
      </c>
    </row>
    <row r="3783">
      <c r="A3783" s="20">
        <f>IF(A3782="","",IF(A3782+1&gt;Ввод!$B$4,"",A3782+1))</f>
        <v/>
      </c>
      <c r="B3783">
        <f>IF(A3783="","",IFERROR(INDEX(Ввод!$B$12:$B$71,MATCH(A3783,Ввод!$D$12:$D$71,1)),""))</f>
        <v/>
      </c>
      <c r="C3783">
        <f>IF(A3783="","",DATE(YEAR(A3783),12,31)-DATE(YEAR(A3783),1,1)+1)</f>
        <v/>
      </c>
      <c r="D3783">
        <f>IF(A3783="","",SUMIFS(Акты!$D$5:$D$16,Акты!$E$5:$E$16,"&lt;="&amp;A3783)-SUMIFS(Оплаты!$B$6:$B$505,Оплаты!$A$6:$A$505,"&lt;"&amp;A3783,Оплаты!$D$6:$D$505,"&lt;&gt;"))</f>
        <v/>
      </c>
      <c r="E3783">
        <f>IF(A3783="","",IF(SUMPRODUCT((Ввод!$F$12:$F$31&lt;&gt;"")*(Ввод!$F$12:$F$31&lt;=A3783)*(Ввод!$G$12:$G$31&gt;=A3783))&gt;0,1,0))</f>
        <v/>
      </c>
      <c r="G3783">
        <f>IF(A3783="","",IF(OR(B3783&lt;&gt;B3782,C3783&lt;&gt;C3782,E3783&lt;&gt;E3782),G3782+1,G3782))</f>
        <v/>
      </c>
    </row>
    <row r="3784">
      <c r="A3784" s="20">
        <f>IF(A3783="","",IF(A3783+1&gt;Ввод!$B$4,"",A3783+1))</f>
        <v/>
      </c>
      <c r="B3784">
        <f>IF(A3784="","",IFERROR(INDEX(Ввод!$B$12:$B$71,MATCH(A3784,Ввод!$D$12:$D$71,1)),""))</f>
        <v/>
      </c>
      <c r="C3784">
        <f>IF(A3784="","",DATE(YEAR(A3784),12,31)-DATE(YEAR(A3784),1,1)+1)</f>
        <v/>
      </c>
      <c r="D3784">
        <f>IF(A3784="","",SUMIFS(Акты!$D$5:$D$16,Акты!$E$5:$E$16,"&lt;="&amp;A3784)-SUMIFS(Оплаты!$B$6:$B$505,Оплаты!$A$6:$A$505,"&lt;"&amp;A3784,Оплаты!$D$6:$D$505,"&lt;&gt;"))</f>
        <v/>
      </c>
      <c r="E3784">
        <f>IF(A3784="","",IF(SUMPRODUCT((Ввод!$F$12:$F$31&lt;&gt;"")*(Ввод!$F$12:$F$31&lt;=A3784)*(Ввод!$G$12:$G$31&gt;=A3784))&gt;0,1,0))</f>
        <v/>
      </c>
      <c r="G3784">
        <f>IF(A3784="","",IF(OR(B3784&lt;&gt;B3783,C3784&lt;&gt;C3783,E3784&lt;&gt;E3783),G3783+1,G3783))</f>
        <v/>
      </c>
    </row>
    <row r="3785">
      <c r="A3785" s="20">
        <f>IF(A3784="","",IF(A3784+1&gt;Ввод!$B$4,"",A3784+1))</f>
        <v/>
      </c>
      <c r="B3785">
        <f>IF(A3785="","",IFERROR(INDEX(Ввод!$B$12:$B$71,MATCH(A3785,Ввод!$D$12:$D$71,1)),""))</f>
        <v/>
      </c>
      <c r="C3785">
        <f>IF(A3785="","",DATE(YEAR(A3785),12,31)-DATE(YEAR(A3785),1,1)+1)</f>
        <v/>
      </c>
      <c r="D3785">
        <f>IF(A3785="","",SUMIFS(Акты!$D$5:$D$16,Акты!$E$5:$E$16,"&lt;="&amp;A3785)-SUMIFS(Оплаты!$B$6:$B$505,Оплаты!$A$6:$A$505,"&lt;"&amp;A3785,Оплаты!$D$6:$D$505,"&lt;&gt;"))</f>
        <v/>
      </c>
      <c r="E3785">
        <f>IF(A3785="","",IF(SUMPRODUCT((Ввод!$F$12:$F$31&lt;&gt;"")*(Ввод!$F$12:$F$31&lt;=A3785)*(Ввод!$G$12:$G$31&gt;=A3785))&gt;0,1,0))</f>
        <v/>
      </c>
      <c r="G3785">
        <f>IF(A3785="","",IF(OR(B3785&lt;&gt;B3784,C3785&lt;&gt;C3784,E3785&lt;&gt;E3784),G3784+1,G3784))</f>
        <v/>
      </c>
    </row>
    <row r="3786">
      <c r="A3786" s="20">
        <f>IF(A3785="","",IF(A3785+1&gt;Ввод!$B$4,"",A3785+1))</f>
        <v/>
      </c>
      <c r="B3786">
        <f>IF(A3786="","",IFERROR(INDEX(Ввод!$B$12:$B$71,MATCH(A3786,Ввод!$D$12:$D$71,1)),""))</f>
        <v/>
      </c>
      <c r="C3786">
        <f>IF(A3786="","",DATE(YEAR(A3786),12,31)-DATE(YEAR(A3786),1,1)+1)</f>
        <v/>
      </c>
      <c r="D3786">
        <f>IF(A3786="","",SUMIFS(Акты!$D$5:$D$16,Акты!$E$5:$E$16,"&lt;="&amp;A3786)-SUMIFS(Оплаты!$B$6:$B$505,Оплаты!$A$6:$A$505,"&lt;"&amp;A3786,Оплаты!$D$6:$D$505,"&lt;&gt;"))</f>
        <v/>
      </c>
      <c r="E3786">
        <f>IF(A3786="","",IF(SUMPRODUCT((Ввод!$F$12:$F$31&lt;&gt;"")*(Ввод!$F$12:$F$31&lt;=A3786)*(Ввод!$G$12:$G$31&gt;=A3786))&gt;0,1,0))</f>
        <v/>
      </c>
      <c r="G3786">
        <f>IF(A3786="","",IF(OR(B3786&lt;&gt;B3785,C3786&lt;&gt;C3785,E3786&lt;&gt;E3785),G3785+1,G3785))</f>
        <v/>
      </c>
    </row>
    <row r="3787">
      <c r="A3787" s="20">
        <f>IF(A3786="","",IF(A3786+1&gt;Ввод!$B$4,"",A3786+1))</f>
        <v/>
      </c>
      <c r="B3787">
        <f>IF(A3787="","",IFERROR(INDEX(Ввод!$B$12:$B$71,MATCH(A3787,Ввод!$D$12:$D$71,1)),""))</f>
        <v/>
      </c>
      <c r="C3787">
        <f>IF(A3787="","",DATE(YEAR(A3787),12,31)-DATE(YEAR(A3787),1,1)+1)</f>
        <v/>
      </c>
      <c r="D3787">
        <f>IF(A3787="","",SUMIFS(Акты!$D$5:$D$16,Акты!$E$5:$E$16,"&lt;="&amp;A3787)-SUMIFS(Оплаты!$B$6:$B$505,Оплаты!$A$6:$A$505,"&lt;"&amp;A3787,Оплаты!$D$6:$D$505,"&lt;&gt;"))</f>
        <v/>
      </c>
      <c r="E3787">
        <f>IF(A3787="","",IF(SUMPRODUCT((Ввод!$F$12:$F$31&lt;&gt;"")*(Ввод!$F$12:$F$31&lt;=A3787)*(Ввод!$G$12:$G$31&gt;=A3787))&gt;0,1,0))</f>
        <v/>
      </c>
      <c r="G3787">
        <f>IF(A3787="","",IF(OR(B3787&lt;&gt;B3786,C3787&lt;&gt;C3786,E3787&lt;&gt;E3786),G3786+1,G3786))</f>
        <v/>
      </c>
    </row>
    <row r="3788">
      <c r="A3788" s="20">
        <f>IF(A3787="","",IF(A3787+1&gt;Ввод!$B$4,"",A3787+1))</f>
        <v/>
      </c>
      <c r="B3788">
        <f>IF(A3788="","",IFERROR(INDEX(Ввод!$B$12:$B$71,MATCH(A3788,Ввод!$D$12:$D$71,1)),""))</f>
        <v/>
      </c>
      <c r="C3788">
        <f>IF(A3788="","",DATE(YEAR(A3788),12,31)-DATE(YEAR(A3788),1,1)+1)</f>
        <v/>
      </c>
      <c r="D3788">
        <f>IF(A3788="","",SUMIFS(Акты!$D$5:$D$16,Акты!$E$5:$E$16,"&lt;="&amp;A3788)-SUMIFS(Оплаты!$B$6:$B$505,Оплаты!$A$6:$A$505,"&lt;"&amp;A3788,Оплаты!$D$6:$D$505,"&lt;&gt;"))</f>
        <v/>
      </c>
      <c r="E3788">
        <f>IF(A3788="","",IF(SUMPRODUCT((Ввод!$F$12:$F$31&lt;&gt;"")*(Ввод!$F$12:$F$31&lt;=A3788)*(Ввод!$G$12:$G$31&gt;=A3788))&gt;0,1,0))</f>
        <v/>
      </c>
      <c r="G3788">
        <f>IF(A3788="","",IF(OR(B3788&lt;&gt;B3787,C3788&lt;&gt;C3787,E3788&lt;&gt;E3787),G3787+1,G3787))</f>
        <v/>
      </c>
    </row>
    <row r="3789">
      <c r="A3789" s="20">
        <f>IF(A3788="","",IF(A3788+1&gt;Ввод!$B$4,"",A3788+1))</f>
        <v/>
      </c>
      <c r="B3789">
        <f>IF(A3789="","",IFERROR(INDEX(Ввод!$B$12:$B$71,MATCH(A3789,Ввод!$D$12:$D$71,1)),""))</f>
        <v/>
      </c>
      <c r="C3789">
        <f>IF(A3789="","",DATE(YEAR(A3789),12,31)-DATE(YEAR(A3789),1,1)+1)</f>
        <v/>
      </c>
      <c r="D3789">
        <f>IF(A3789="","",SUMIFS(Акты!$D$5:$D$16,Акты!$E$5:$E$16,"&lt;="&amp;A3789)-SUMIFS(Оплаты!$B$6:$B$505,Оплаты!$A$6:$A$505,"&lt;"&amp;A3789,Оплаты!$D$6:$D$505,"&lt;&gt;"))</f>
        <v/>
      </c>
      <c r="E3789">
        <f>IF(A3789="","",IF(SUMPRODUCT((Ввод!$F$12:$F$31&lt;&gt;"")*(Ввод!$F$12:$F$31&lt;=A3789)*(Ввод!$G$12:$G$31&gt;=A3789))&gt;0,1,0))</f>
        <v/>
      </c>
      <c r="G3789">
        <f>IF(A3789="","",IF(OR(B3789&lt;&gt;B3788,C3789&lt;&gt;C3788,E3789&lt;&gt;E3788),G3788+1,G3788))</f>
        <v/>
      </c>
    </row>
    <row r="3790">
      <c r="A3790" s="20">
        <f>IF(A3789="","",IF(A3789+1&gt;Ввод!$B$4,"",A3789+1))</f>
        <v/>
      </c>
      <c r="B3790">
        <f>IF(A3790="","",IFERROR(INDEX(Ввод!$B$12:$B$71,MATCH(A3790,Ввод!$D$12:$D$71,1)),""))</f>
        <v/>
      </c>
      <c r="C3790">
        <f>IF(A3790="","",DATE(YEAR(A3790),12,31)-DATE(YEAR(A3790),1,1)+1)</f>
        <v/>
      </c>
      <c r="D3790">
        <f>IF(A3790="","",SUMIFS(Акты!$D$5:$D$16,Акты!$E$5:$E$16,"&lt;="&amp;A3790)-SUMIFS(Оплаты!$B$6:$B$505,Оплаты!$A$6:$A$505,"&lt;"&amp;A3790,Оплаты!$D$6:$D$505,"&lt;&gt;"))</f>
        <v/>
      </c>
      <c r="E3790">
        <f>IF(A3790="","",IF(SUMPRODUCT((Ввод!$F$12:$F$31&lt;&gt;"")*(Ввод!$F$12:$F$31&lt;=A3790)*(Ввод!$G$12:$G$31&gt;=A3790))&gt;0,1,0))</f>
        <v/>
      </c>
      <c r="G3790">
        <f>IF(A3790="","",IF(OR(B3790&lt;&gt;B3789,C3790&lt;&gt;C3789,E3790&lt;&gt;E3789),G3789+1,G3789))</f>
        <v/>
      </c>
    </row>
    <row r="3791">
      <c r="A3791" s="20">
        <f>IF(A3790="","",IF(A3790+1&gt;Ввод!$B$4,"",A3790+1))</f>
        <v/>
      </c>
      <c r="B3791">
        <f>IF(A3791="","",IFERROR(INDEX(Ввод!$B$12:$B$71,MATCH(A3791,Ввод!$D$12:$D$71,1)),""))</f>
        <v/>
      </c>
      <c r="C3791">
        <f>IF(A3791="","",DATE(YEAR(A3791),12,31)-DATE(YEAR(A3791),1,1)+1)</f>
        <v/>
      </c>
      <c r="D3791">
        <f>IF(A3791="","",SUMIFS(Акты!$D$5:$D$16,Акты!$E$5:$E$16,"&lt;="&amp;A3791)-SUMIFS(Оплаты!$B$6:$B$505,Оплаты!$A$6:$A$505,"&lt;"&amp;A3791,Оплаты!$D$6:$D$505,"&lt;&gt;"))</f>
        <v/>
      </c>
      <c r="E3791">
        <f>IF(A3791="","",IF(SUMPRODUCT((Ввод!$F$12:$F$31&lt;&gt;"")*(Ввод!$F$12:$F$31&lt;=A3791)*(Ввод!$G$12:$G$31&gt;=A3791))&gt;0,1,0))</f>
        <v/>
      </c>
      <c r="G3791">
        <f>IF(A3791="","",IF(OR(B3791&lt;&gt;B3790,C3791&lt;&gt;C3790,E3791&lt;&gt;E3790),G3790+1,G3790))</f>
        <v/>
      </c>
    </row>
    <row r="3792">
      <c r="A3792" s="20">
        <f>IF(A3791="","",IF(A3791+1&gt;Ввод!$B$4,"",A3791+1))</f>
        <v/>
      </c>
      <c r="B3792">
        <f>IF(A3792="","",IFERROR(INDEX(Ввод!$B$12:$B$71,MATCH(A3792,Ввод!$D$12:$D$71,1)),""))</f>
        <v/>
      </c>
      <c r="C3792">
        <f>IF(A3792="","",DATE(YEAR(A3792),12,31)-DATE(YEAR(A3792),1,1)+1)</f>
        <v/>
      </c>
      <c r="D3792">
        <f>IF(A3792="","",SUMIFS(Акты!$D$5:$D$16,Акты!$E$5:$E$16,"&lt;="&amp;A3792)-SUMIFS(Оплаты!$B$6:$B$505,Оплаты!$A$6:$A$505,"&lt;"&amp;A3792,Оплаты!$D$6:$D$505,"&lt;&gt;"))</f>
        <v/>
      </c>
      <c r="E3792">
        <f>IF(A3792="","",IF(SUMPRODUCT((Ввод!$F$12:$F$31&lt;&gt;"")*(Ввод!$F$12:$F$31&lt;=A3792)*(Ввод!$G$12:$G$31&gt;=A3792))&gt;0,1,0))</f>
        <v/>
      </c>
      <c r="G3792">
        <f>IF(A3792="","",IF(OR(B3792&lt;&gt;B3791,C3792&lt;&gt;C3791,E3792&lt;&gt;E3791),G3791+1,G3791))</f>
        <v/>
      </c>
    </row>
    <row r="3793">
      <c r="A3793" s="20">
        <f>IF(A3792="","",IF(A3792+1&gt;Ввод!$B$4,"",A3792+1))</f>
        <v/>
      </c>
      <c r="B3793">
        <f>IF(A3793="","",IFERROR(INDEX(Ввод!$B$12:$B$71,MATCH(A3793,Ввод!$D$12:$D$71,1)),""))</f>
        <v/>
      </c>
      <c r="C3793">
        <f>IF(A3793="","",DATE(YEAR(A3793),12,31)-DATE(YEAR(A3793),1,1)+1)</f>
        <v/>
      </c>
      <c r="D3793">
        <f>IF(A3793="","",SUMIFS(Акты!$D$5:$D$16,Акты!$E$5:$E$16,"&lt;="&amp;A3793)-SUMIFS(Оплаты!$B$6:$B$505,Оплаты!$A$6:$A$505,"&lt;"&amp;A3793,Оплаты!$D$6:$D$505,"&lt;&gt;"))</f>
        <v/>
      </c>
      <c r="E3793">
        <f>IF(A3793="","",IF(SUMPRODUCT((Ввод!$F$12:$F$31&lt;&gt;"")*(Ввод!$F$12:$F$31&lt;=A3793)*(Ввод!$G$12:$G$31&gt;=A3793))&gt;0,1,0))</f>
        <v/>
      </c>
      <c r="G3793">
        <f>IF(A3793="","",IF(OR(B3793&lt;&gt;B3792,C3793&lt;&gt;C3792,E3793&lt;&gt;E3792),G3792+1,G3792))</f>
        <v/>
      </c>
    </row>
    <row r="3794">
      <c r="A3794" s="20">
        <f>IF(A3793="","",IF(A3793+1&gt;Ввод!$B$4,"",A3793+1))</f>
        <v/>
      </c>
      <c r="B3794">
        <f>IF(A3794="","",IFERROR(INDEX(Ввод!$B$12:$B$71,MATCH(A3794,Ввод!$D$12:$D$71,1)),""))</f>
        <v/>
      </c>
      <c r="C3794">
        <f>IF(A3794="","",DATE(YEAR(A3794),12,31)-DATE(YEAR(A3794),1,1)+1)</f>
        <v/>
      </c>
      <c r="D3794">
        <f>IF(A3794="","",SUMIFS(Акты!$D$5:$D$16,Акты!$E$5:$E$16,"&lt;="&amp;A3794)-SUMIFS(Оплаты!$B$6:$B$505,Оплаты!$A$6:$A$505,"&lt;"&amp;A3794,Оплаты!$D$6:$D$505,"&lt;&gt;"))</f>
        <v/>
      </c>
      <c r="E3794">
        <f>IF(A3794="","",IF(SUMPRODUCT((Ввод!$F$12:$F$31&lt;&gt;"")*(Ввод!$F$12:$F$31&lt;=A3794)*(Ввод!$G$12:$G$31&gt;=A3794))&gt;0,1,0))</f>
        <v/>
      </c>
      <c r="G3794">
        <f>IF(A3794="","",IF(OR(B3794&lt;&gt;B3793,C3794&lt;&gt;C3793,E3794&lt;&gt;E3793),G3793+1,G3793))</f>
        <v/>
      </c>
    </row>
    <row r="3795">
      <c r="A3795" s="20">
        <f>IF(A3794="","",IF(A3794+1&gt;Ввод!$B$4,"",A3794+1))</f>
        <v/>
      </c>
      <c r="B3795">
        <f>IF(A3795="","",IFERROR(INDEX(Ввод!$B$12:$B$71,MATCH(A3795,Ввод!$D$12:$D$71,1)),""))</f>
        <v/>
      </c>
      <c r="C3795">
        <f>IF(A3795="","",DATE(YEAR(A3795),12,31)-DATE(YEAR(A3795),1,1)+1)</f>
        <v/>
      </c>
      <c r="D3795">
        <f>IF(A3795="","",SUMIFS(Акты!$D$5:$D$16,Акты!$E$5:$E$16,"&lt;="&amp;A3795)-SUMIFS(Оплаты!$B$6:$B$505,Оплаты!$A$6:$A$505,"&lt;"&amp;A3795,Оплаты!$D$6:$D$505,"&lt;&gt;"))</f>
        <v/>
      </c>
      <c r="E3795">
        <f>IF(A3795="","",IF(SUMPRODUCT((Ввод!$F$12:$F$31&lt;&gt;"")*(Ввод!$F$12:$F$31&lt;=A3795)*(Ввод!$G$12:$G$31&gt;=A3795))&gt;0,1,0))</f>
        <v/>
      </c>
      <c r="G3795">
        <f>IF(A3795="","",IF(OR(B3795&lt;&gt;B3794,C3795&lt;&gt;C3794,E3795&lt;&gt;E3794),G3794+1,G3794))</f>
        <v/>
      </c>
    </row>
    <row r="3796">
      <c r="A3796" s="20">
        <f>IF(A3795="","",IF(A3795+1&gt;Ввод!$B$4,"",A3795+1))</f>
        <v/>
      </c>
      <c r="B3796">
        <f>IF(A3796="","",IFERROR(INDEX(Ввод!$B$12:$B$71,MATCH(A3796,Ввод!$D$12:$D$71,1)),""))</f>
        <v/>
      </c>
      <c r="C3796">
        <f>IF(A3796="","",DATE(YEAR(A3796),12,31)-DATE(YEAR(A3796),1,1)+1)</f>
        <v/>
      </c>
      <c r="D3796">
        <f>IF(A3796="","",SUMIFS(Акты!$D$5:$D$16,Акты!$E$5:$E$16,"&lt;="&amp;A3796)-SUMIFS(Оплаты!$B$6:$B$505,Оплаты!$A$6:$A$505,"&lt;"&amp;A3796,Оплаты!$D$6:$D$505,"&lt;&gt;"))</f>
        <v/>
      </c>
      <c r="E3796">
        <f>IF(A3796="","",IF(SUMPRODUCT((Ввод!$F$12:$F$31&lt;&gt;"")*(Ввод!$F$12:$F$31&lt;=A3796)*(Ввод!$G$12:$G$31&gt;=A3796))&gt;0,1,0))</f>
        <v/>
      </c>
      <c r="G3796">
        <f>IF(A3796="","",IF(OR(B3796&lt;&gt;B3795,C3796&lt;&gt;C3795,E3796&lt;&gt;E3795),G3795+1,G3795))</f>
        <v/>
      </c>
    </row>
    <row r="3797">
      <c r="A3797" s="20">
        <f>IF(A3796="","",IF(A3796+1&gt;Ввод!$B$4,"",A3796+1))</f>
        <v/>
      </c>
      <c r="B3797">
        <f>IF(A3797="","",IFERROR(INDEX(Ввод!$B$12:$B$71,MATCH(A3797,Ввод!$D$12:$D$71,1)),""))</f>
        <v/>
      </c>
      <c r="C3797">
        <f>IF(A3797="","",DATE(YEAR(A3797),12,31)-DATE(YEAR(A3797),1,1)+1)</f>
        <v/>
      </c>
      <c r="D3797">
        <f>IF(A3797="","",SUMIFS(Акты!$D$5:$D$16,Акты!$E$5:$E$16,"&lt;="&amp;A3797)-SUMIFS(Оплаты!$B$6:$B$505,Оплаты!$A$6:$A$505,"&lt;"&amp;A3797,Оплаты!$D$6:$D$505,"&lt;&gt;"))</f>
        <v/>
      </c>
      <c r="E3797">
        <f>IF(A3797="","",IF(SUMPRODUCT((Ввод!$F$12:$F$31&lt;&gt;"")*(Ввод!$F$12:$F$31&lt;=A3797)*(Ввод!$G$12:$G$31&gt;=A3797))&gt;0,1,0))</f>
        <v/>
      </c>
      <c r="G3797">
        <f>IF(A3797="","",IF(OR(B3797&lt;&gt;B3796,C3797&lt;&gt;C3796,E3797&lt;&gt;E3796),G3796+1,G3796))</f>
        <v/>
      </c>
    </row>
    <row r="3798">
      <c r="A3798" s="20">
        <f>IF(A3797="","",IF(A3797+1&gt;Ввод!$B$4,"",A3797+1))</f>
        <v/>
      </c>
      <c r="B3798">
        <f>IF(A3798="","",IFERROR(INDEX(Ввод!$B$12:$B$71,MATCH(A3798,Ввод!$D$12:$D$71,1)),""))</f>
        <v/>
      </c>
      <c r="C3798">
        <f>IF(A3798="","",DATE(YEAR(A3798),12,31)-DATE(YEAR(A3798),1,1)+1)</f>
        <v/>
      </c>
      <c r="D3798">
        <f>IF(A3798="","",SUMIFS(Акты!$D$5:$D$16,Акты!$E$5:$E$16,"&lt;="&amp;A3798)-SUMIFS(Оплаты!$B$6:$B$505,Оплаты!$A$6:$A$505,"&lt;"&amp;A3798,Оплаты!$D$6:$D$505,"&lt;&gt;"))</f>
        <v/>
      </c>
      <c r="E3798">
        <f>IF(A3798="","",IF(SUMPRODUCT((Ввод!$F$12:$F$31&lt;&gt;"")*(Ввод!$F$12:$F$31&lt;=A3798)*(Ввод!$G$12:$G$31&gt;=A3798))&gt;0,1,0))</f>
        <v/>
      </c>
      <c r="G3798">
        <f>IF(A3798="","",IF(OR(B3798&lt;&gt;B3797,C3798&lt;&gt;C3797,E3798&lt;&gt;E3797),G3797+1,G3797))</f>
        <v/>
      </c>
    </row>
    <row r="3799">
      <c r="A3799" s="20">
        <f>IF(A3798="","",IF(A3798+1&gt;Ввод!$B$4,"",A3798+1))</f>
        <v/>
      </c>
      <c r="B3799">
        <f>IF(A3799="","",IFERROR(INDEX(Ввод!$B$12:$B$71,MATCH(A3799,Ввод!$D$12:$D$71,1)),""))</f>
        <v/>
      </c>
      <c r="C3799">
        <f>IF(A3799="","",DATE(YEAR(A3799),12,31)-DATE(YEAR(A3799),1,1)+1)</f>
        <v/>
      </c>
      <c r="D3799">
        <f>IF(A3799="","",SUMIFS(Акты!$D$5:$D$16,Акты!$E$5:$E$16,"&lt;="&amp;A3799)-SUMIFS(Оплаты!$B$6:$B$505,Оплаты!$A$6:$A$505,"&lt;"&amp;A3799,Оплаты!$D$6:$D$505,"&lt;&gt;"))</f>
        <v/>
      </c>
      <c r="E3799">
        <f>IF(A3799="","",IF(SUMPRODUCT((Ввод!$F$12:$F$31&lt;&gt;"")*(Ввод!$F$12:$F$31&lt;=A3799)*(Ввод!$G$12:$G$31&gt;=A3799))&gt;0,1,0))</f>
        <v/>
      </c>
      <c r="G3799">
        <f>IF(A3799="","",IF(OR(B3799&lt;&gt;B3798,C3799&lt;&gt;C3798,E3799&lt;&gt;E3798),G3798+1,G3798))</f>
        <v/>
      </c>
    </row>
    <row r="3800">
      <c r="A3800" s="20">
        <f>IF(A3799="","",IF(A3799+1&gt;Ввод!$B$4,"",A3799+1))</f>
        <v/>
      </c>
      <c r="B3800">
        <f>IF(A3800="","",IFERROR(INDEX(Ввод!$B$12:$B$71,MATCH(A3800,Ввод!$D$12:$D$71,1)),""))</f>
        <v/>
      </c>
      <c r="C3800">
        <f>IF(A3800="","",DATE(YEAR(A3800),12,31)-DATE(YEAR(A3800),1,1)+1)</f>
        <v/>
      </c>
      <c r="D3800">
        <f>IF(A3800="","",SUMIFS(Акты!$D$5:$D$16,Акты!$E$5:$E$16,"&lt;="&amp;A3800)-SUMIFS(Оплаты!$B$6:$B$505,Оплаты!$A$6:$A$505,"&lt;"&amp;A3800,Оплаты!$D$6:$D$505,"&lt;&gt;"))</f>
        <v/>
      </c>
      <c r="E3800">
        <f>IF(A3800="","",IF(SUMPRODUCT((Ввод!$F$12:$F$31&lt;&gt;"")*(Ввод!$F$12:$F$31&lt;=A3800)*(Ввод!$G$12:$G$31&gt;=A3800))&gt;0,1,0))</f>
        <v/>
      </c>
      <c r="G3800">
        <f>IF(A3800="","",IF(OR(B3800&lt;&gt;B3799,C3800&lt;&gt;C3799,E3800&lt;&gt;E3799),G3799+1,G3799))</f>
        <v/>
      </c>
    </row>
    <row r="3801">
      <c r="A3801" s="20">
        <f>IF(A3800="","",IF(A3800+1&gt;Ввод!$B$4,"",A3800+1))</f>
        <v/>
      </c>
      <c r="B3801">
        <f>IF(A3801="","",IFERROR(INDEX(Ввод!$B$12:$B$71,MATCH(A3801,Ввод!$D$12:$D$71,1)),""))</f>
        <v/>
      </c>
      <c r="C3801">
        <f>IF(A3801="","",DATE(YEAR(A3801),12,31)-DATE(YEAR(A3801),1,1)+1)</f>
        <v/>
      </c>
      <c r="D3801">
        <f>IF(A3801="","",SUMIFS(Акты!$D$5:$D$16,Акты!$E$5:$E$16,"&lt;="&amp;A3801)-SUMIFS(Оплаты!$B$6:$B$505,Оплаты!$A$6:$A$505,"&lt;"&amp;A3801,Оплаты!$D$6:$D$505,"&lt;&gt;"))</f>
        <v/>
      </c>
      <c r="E3801">
        <f>IF(A3801="","",IF(SUMPRODUCT((Ввод!$F$12:$F$31&lt;&gt;"")*(Ввод!$F$12:$F$31&lt;=A3801)*(Ввод!$G$12:$G$31&gt;=A3801))&gt;0,1,0))</f>
        <v/>
      </c>
      <c r="G3801">
        <f>IF(A3801="","",IF(OR(B3801&lt;&gt;B3800,C3801&lt;&gt;C3800,E3801&lt;&gt;E3800),G3800+1,G3800))</f>
        <v/>
      </c>
    </row>
    <row r="3802">
      <c r="A3802" s="20">
        <f>IF(A3801="","",IF(A3801+1&gt;Ввод!$B$4,"",A3801+1))</f>
        <v/>
      </c>
      <c r="B3802">
        <f>IF(A3802="","",IFERROR(INDEX(Ввод!$B$12:$B$71,MATCH(A3802,Ввод!$D$12:$D$71,1)),""))</f>
        <v/>
      </c>
      <c r="C3802">
        <f>IF(A3802="","",DATE(YEAR(A3802),12,31)-DATE(YEAR(A3802),1,1)+1)</f>
        <v/>
      </c>
      <c r="D3802">
        <f>IF(A3802="","",SUMIFS(Акты!$D$5:$D$16,Акты!$E$5:$E$16,"&lt;="&amp;A3802)-SUMIFS(Оплаты!$B$6:$B$505,Оплаты!$A$6:$A$505,"&lt;"&amp;A3802,Оплаты!$D$6:$D$505,"&lt;&gt;"))</f>
        <v/>
      </c>
      <c r="E3802">
        <f>IF(A3802="","",IF(SUMPRODUCT((Ввод!$F$12:$F$31&lt;&gt;"")*(Ввод!$F$12:$F$31&lt;=A3802)*(Ввод!$G$12:$G$31&gt;=A3802))&gt;0,1,0))</f>
        <v/>
      </c>
      <c r="G3802">
        <f>IF(A3802="","",IF(OR(B3802&lt;&gt;B3801,C3802&lt;&gt;C3801,E3802&lt;&gt;E3801),G3801+1,G3801))</f>
        <v/>
      </c>
    </row>
    <row r="3803">
      <c r="A3803" s="20">
        <f>IF(A3802="","",IF(A3802+1&gt;Ввод!$B$4,"",A3802+1))</f>
        <v/>
      </c>
      <c r="B3803">
        <f>IF(A3803="","",IFERROR(INDEX(Ввод!$B$12:$B$71,MATCH(A3803,Ввод!$D$12:$D$71,1)),""))</f>
        <v/>
      </c>
      <c r="C3803">
        <f>IF(A3803="","",DATE(YEAR(A3803),12,31)-DATE(YEAR(A3803),1,1)+1)</f>
        <v/>
      </c>
      <c r="D3803">
        <f>IF(A3803="","",SUMIFS(Акты!$D$5:$D$16,Акты!$E$5:$E$16,"&lt;="&amp;A3803)-SUMIFS(Оплаты!$B$6:$B$505,Оплаты!$A$6:$A$505,"&lt;"&amp;A3803,Оплаты!$D$6:$D$505,"&lt;&gt;"))</f>
        <v/>
      </c>
      <c r="E3803">
        <f>IF(A3803="","",IF(SUMPRODUCT((Ввод!$F$12:$F$31&lt;&gt;"")*(Ввод!$F$12:$F$31&lt;=A3803)*(Ввод!$G$12:$G$31&gt;=A3803))&gt;0,1,0))</f>
        <v/>
      </c>
      <c r="G3803">
        <f>IF(A3803="","",IF(OR(B3803&lt;&gt;B3802,C3803&lt;&gt;C3802,E3803&lt;&gt;E3802),G3802+1,G3802))</f>
        <v/>
      </c>
    </row>
    <row r="3804">
      <c r="A3804" s="20">
        <f>IF(A3803="","",IF(A3803+1&gt;Ввод!$B$4,"",A3803+1))</f>
        <v/>
      </c>
      <c r="B3804">
        <f>IF(A3804="","",IFERROR(INDEX(Ввод!$B$12:$B$71,MATCH(A3804,Ввод!$D$12:$D$71,1)),""))</f>
        <v/>
      </c>
      <c r="C3804">
        <f>IF(A3804="","",DATE(YEAR(A3804),12,31)-DATE(YEAR(A3804),1,1)+1)</f>
        <v/>
      </c>
      <c r="D3804">
        <f>IF(A3804="","",SUMIFS(Акты!$D$5:$D$16,Акты!$E$5:$E$16,"&lt;="&amp;A3804)-SUMIFS(Оплаты!$B$6:$B$505,Оплаты!$A$6:$A$505,"&lt;"&amp;A3804,Оплаты!$D$6:$D$505,"&lt;&gt;"))</f>
        <v/>
      </c>
      <c r="E3804">
        <f>IF(A3804="","",IF(SUMPRODUCT((Ввод!$F$12:$F$31&lt;&gt;"")*(Ввод!$F$12:$F$31&lt;=A3804)*(Ввод!$G$12:$G$31&gt;=A3804))&gt;0,1,0))</f>
        <v/>
      </c>
      <c r="G3804">
        <f>IF(A3804="","",IF(OR(B3804&lt;&gt;B3803,C3804&lt;&gt;C3803,E3804&lt;&gt;E3803),G3803+1,G3803))</f>
        <v/>
      </c>
    </row>
    <row r="3805">
      <c r="A3805" s="20">
        <f>IF(A3804="","",IF(A3804+1&gt;Ввод!$B$4,"",A3804+1))</f>
        <v/>
      </c>
      <c r="B3805">
        <f>IF(A3805="","",IFERROR(INDEX(Ввод!$B$12:$B$71,MATCH(A3805,Ввод!$D$12:$D$71,1)),""))</f>
        <v/>
      </c>
      <c r="C3805">
        <f>IF(A3805="","",DATE(YEAR(A3805),12,31)-DATE(YEAR(A3805),1,1)+1)</f>
        <v/>
      </c>
      <c r="D3805">
        <f>IF(A3805="","",SUMIFS(Акты!$D$5:$D$16,Акты!$E$5:$E$16,"&lt;="&amp;A3805)-SUMIFS(Оплаты!$B$6:$B$505,Оплаты!$A$6:$A$505,"&lt;"&amp;A3805,Оплаты!$D$6:$D$505,"&lt;&gt;"))</f>
        <v/>
      </c>
      <c r="E3805">
        <f>IF(A3805="","",IF(SUMPRODUCT((Ввод!$F$12:$F$31&lt;&gt;"")*(Ввод!$F$12:$F$31&lt;=A3805)*(Ввод!$G$12:$G$31&gt;=A3805))&gt;0,1,0))</f>
        <v/>
      </c>
      <c r="G3805">
        <f>IF(A3805="","",IF(OR(B3805&lt;&gt;B3804,C3805&lt;&gt;C3804,E3805&lt;&gt;E3804),G3804+1,G3804))</f>
        <v/>
      </c>
    </row>
    <row r="3806">
      <c r="A3806" s="20">
        <f>IF(A3805="","",IF(A3805+1&gt;Ввод!$B$4,"",A3805+1))</f>
        <v/>
      </c>
      <c r="B3806">
        <f>IF(A3806="","",IFERROR(INDEX(Ввод!$B$12:$B$71,MATCH(A3806,Ввод!$D$12:$D$71,1)),""))</f>
        <v/>
      </c>
      <c r="C3806">
        <f>IF(A3806="","",DATE(YEAR(A3806),12,31)-DATE(YEAR(A3806),1,1)+1)</f>
        <v/>
      </c>
      <c r="D3806">
        <f>IF(A3806="","",SUMIFS(Акты!$D$5:$D$16,Акты!$E$5:$E$16,"&lt;="&amp;A3806)-SUMIFS(Оплаты!$B$6:$B$505,Оплаты!$A$6:$A$505,"&lt;"&amp;A3806,Оплаты!$D$6:$D$505,"&lt;&gt;"))</f>
        <v/>
      </c>
      <c r="E3806">
        <f>IF(A3806="","",IF(SUMPRODUCT((Ввод!$F$12:$F$31&lt;&gt;"")*(Ввод!$F$12:$F$31&lt;=A3806)*(Ввод!$G$12:$G$31&gt;=A3806))&gt;0,1,0))</f>
        <v/>
      </c>
      <c r="G3806">
        <f>IF(A3806="","",IF(OR(B3806&lt;&gt;B3805,C3806&lt;&gt;C3805,E3806&lt;&gt;E3805),G3805+1,G3805))</f>
        <v/>
      </c>
    </row>
    <row r="3807">
      <c r="A3807" s="20">
        <f>IF(A3806="","",IF(A3806+1&gt;Ввод!$B$4,"",A3806+1))</f>
        <v/>
      </c>
      <c r="B3807">
        <f>IF(A3807="","",IFERROR(INDEX(Ввод!$B$12:$B$71,MATCH(A3807,Ввод!$D$12:$D$71,1)),""))</f>
        <v/>
      </c>
      <c r="C3807">
        <f>IF(A3807="","",DATE(YEAR(A3807),12,31)-DATE(YEAR(A3807),1,1)+1)</f>
        <v/>
      </c>
      <c r="D3807">
        <f>IF(A3807="","",SUMIFS(Акты!$D$5:$D$16,Акты!$E$5:$E$16,"&lt;="&amp;A3807)-SUMIFS(Оплаты!$B$6:$B$505,Оплаты!$A$6:$A$505,"&lt;"&amp;A3807,Оплаты!$D$6:$D$505,"&lt;&gt;"))</f>
        <v/>
      </c>
      <c r="E3807">
        <f>IF(A3807="","",IF(SUMPRODUCT((Ввод!$F$12:$F$31&lt;&gt;"")*(Ввод!$F$12:$F$31&lt;=A3807)*(Ввод!$G$12:$G$31&gt;=A3807))&gt;0,1,0))</f>
        <v/>
      </c>
      <c r="G3807">
        <f>IF(A3807="","",IF(OR(B3807&lt;&gt;B3806,C3807&lt;&gt;C3806,E3807&lt;&gt;E3806),G3806+1,G3806))</f>
        <v/>
      </c>
    </row>
    <row r="3808">
      <c r="A3808" s="20">
        <f>IF(A3807="","",IF(A3807+1&gt;Ввод!$B$4,"",A3807+1))</f>
        <v/>
      </c>
      <c r="B3808">
        <f>IF(A3808="","",IFERROR(INDEX(Ввод!$B$12:$B$71,MATCH(A3808,Ввод!$D$12:$D$71,1)),""))</f>
        <v/>
      </c>
      <c r="C3808">
        <f>IF(A3808="","",DATE(YEAR(A3808),12,31)-DATE(YEAR(A3808),1,1)+1)</f>
        <v/>
      </c>
      <c r="D3808">
        <f>IF(A3808="","",SUMIFS(Акты!$D$5:$D$16,Акты!$E$5:$E$16,"&lt;="&amp;A3808)-SUMIFS(Оплаты!$B$6:$B$505,Оплаты!$A$6:$A$505,"&lt;"&amp;A3808,Оплаты!$D$6:$D$505,"&lt;&gt;"))</f>
        <v/>
      </c>
      <c r="E3808">
        <f>IF(A3808="","",IF(SUMPRODUCT((Ввод!$F$12:$F$31&lt;&gt;"")*(Ввод!$F$12:$F$31&lt;=A3808)*(Ввод!$G$12:$G$31&gt;=A3808))&gt;0,1,0))</f>
        <v/>
      </c>
      <c r="G3808">
        <f>IF(A3808="","",IF(OR(B3808&lt;&gt;B3807,C3808&lt;&gt;C3807,E3808&lt;&gt;E3807),G3807+1,G3807))</f>
        <v/>
      </c>
    </row>
    <row r="3809">
      <c r="A3809" s="20">
        <f>IF(A3808="","",IF(A3808+1&gt;Ввод!$B$4,"",A3808+1))</f>
        <v/>
      </c>
      <c r="B3809">
        <f>IF(A3809="","",IFERROR(INDEX(Ввод!$B$12:$B$71,MATCH(A3809,Ввод!$D$12:$D$71,1)),""))</f>
        <v/>
      </c>
      <c r="C3809">
        <f>IF(A3809="","",DATE(YEAR(A3809),12,31)-DATE(YEAR(A3809),1,1)+1)</f>
        <v/>
      </c>
      <c r="D3809">
        <f>IF(A3809="","",SUMIFS(Акты!$D$5:$D$16,Акты!$E$5:$E$16,"&lt;="&amp;A3809)-SUMIFS(Оплаты!$B$6:$B$505,Оплаты!$A$6:$A$505,"&lt;"&amp;A3809,Оплаты!$D$6:$D$505,"&lt;&gt;"))</f>
        <v/>
      </c>
      <c r="E3809">
        <f>IF(A3809="","",IF(SUMPRODUCT((Ввод!$F$12:$F$31&lt;&gt;"")*(Ввод!$F$12:$F$31&lt;=A3809)*(Ввод!$G$12:$G$31&gt;=A3809))&gt;0,1,0))</f>
        <v/>
      </c>
      <c r="G3809">
        <f>IF(A3809="","",IF(OR(B3809&lt;&gt;B3808,C3809&lt;&gt;C3808,E3809&lt;&gt;E3808),G3808+1,G3808))</f>
        <v/>
      </c>
    </row>
    <row r="3810">
      <c r="A3810" s="20">
        <f>IF(A3809="","",IF(A3809+1&gt;Ввод!$B$4,"",A3809+1))</f>
        <v/>
      </c>
      <c r="B3810">
        <f>IF(A3810="","",IFERROR(INDEX(Ввод!$B$12:$B$71,MATCH(A3810,Ввод!$D$12:$D$71,1)),""))</f>
        <v/>
      </c>
      <c r="C3810">
        <f>IF(A3810="","",DATE(YEAR(A3810),12,31)-DATE(YEAR(A3810),1,1)+1)</f>
        <v/>
      </c>
      <c r="D3810">
        <f>IF(A3810="","",SUMIFS(Акты!$D$5:$D$16,Акты!$E$5:$E$16,"&lt;="&amp;A3810)-SUMIFS(Оплаты!$B$6:$B$505,Оплаты!$A$6:$A$505,"&lt;"&amp;A3810,Оплаты!$D$6:$D$505,"&lt;&gt;"))</f>
        <v/>
      </c>
      <c r="E3810">
        <f>IF(A3810="","",IF(SUMPRODUCT((Ввод!$F$12:$F$31&lt;&gt;"")*(Ввод!$F$12:$F$31&lt;=A3810)*(Ввод!$G$12:$G$31&gt;=A3810))&gt;0,1,0))</f>
        <v/>
      </c>
      <c r="G3810">
        <f>IF(A3810="","",IF(OR(B3810&lt;&gt;B3809,C3810&lt;&gt;C3809,E3810&lt;&gt;E3809),G3809+1,G3809))</f>
        <v/>
      </c>
    </row>
    <row r="3811">
      <c r="A3811" s="20">
        <f>IF(A3810="","",IF(A3810+1&gt;Ввод!$B$4,"",A3810+1))</f>
        <v/>
      </c>
      <c r="B3811">
        <f>IF(A3811="","",IFERROR(INDEX(Ввод!$B$12:$B$71,MATCH(A3811,Ввод!$D$12:$D$71,1)),""))</f>
        <v/>
      </c>
      <c r="C3811">
        <f>IF(A3811="","",DATE(YEAR(A3811),12,31)-DATE(YEAR(A3811),1,1)+1)</f>
        <v/>
      </c>
      <c r="D3811">
        <f>IF(A3811="","",SUMIFS(Акты!$D$5:$D$16,Акты!$E$5:$E$16,"&lt;="&amp;A3811)-SUMIFS(Оплаты!$B$6:$B$505,Оплаты!$A$6:$A$505,"&lt;"&amp;A3811,Оплаты!$D$6:$D$505,"&lt;&gt;"))</f>
        <v/>
      </c>
      <c r="E3811">
        <f>IF(A3811="","",IF(SUMPRODUCT((Ввод!$F$12:$F$31&lt;&gt;"")*(Ввод!$F$12:$F$31&lt;=A3811)*(Ввод!$G$12:$G$31&gt;=A3811))&gt;0,1,0))</f>
        <v/>
      </c>
      <c r="G3811">
        <f>IF(A3811="","",IF(OR(B3811&lt;&gt;B3810,C3811&lt;&gt;C3810,E3811&lt;&gt;E3810),G3810+1,G3810))</f>
        <v/>
      </c>
    </row>
    <row r="3812">
      <c r="A3812" s="20">
        <f>IF(A3811="","",IF(A3811+1&gt;Ввод!$B$4,"",A3811+1))</f>
        <v/>
      </c>
      <c r="B3812">
        <f>IF(A3812="","",IFERROR(INDEX(Ввод!$B$12:$B$71,MATCH(A3812,Ввод!$D$12:$D$71,1)),""))</f>
        <v/>
      </c>
      <c r="C3812">
        <f>IF(A3812="","",DATE(YEAR(A3812),12,31)-DATE(YEAR(A3812),1,1)+1)</f>
        <v/>
      </c>
      <c r="D3812">
        <f>IF(A3812="","",SUMIFS(Акты!$D$5:$D$16,Акты!$E$5:$E$16,"&lt;="&amp;A3812)-SUMIFS(Оплаты!$B$6:$B$505,Оплаты!$A$6:$A$505,"&lt;"&amp;A3812,Оплаты!$D$6:$D$505,"&lt;&gt;"))</f>
        <v/>
      </c>
      <c r="E3812">
        <f>IF(A3812="","",IF(SUMPRODUCT((Ввод!$F$12:$F$31&lt;&gt;"")*(Ввод!$F$12:$F$31&lt;=A3812)*(Ввод!$G$12:$G$31&gt;=A3812))&gt;0,1,0))</f>
        <v/>
      </c>
      <c r="G3812">
        <f>IF(A3812="","",IF(OR(B3812&lt;&gt;B3811,C3812&lt;&gt;C3811,E3812&lt;&gt;E3811),G3811+1,G3811))</f>
        <v/>
      </c>
    </row>
    <row r="3813">
      <c r="A3813" s="20">
        <f>IF(A3812="","",IF(A3812+1&gt;Ввод!$B$4,"",A3812+1))</f>
        <v/>
      </c>
      <c r="B3813">
        <f>IF(A3813="","",IFERROR(INDEX(Ввод!$B$12:$B$71,MATCH(A3813,Ввод!$D$12:$D$71,1)),""))</f>
        <v/>
      </c>
      <c r="C3813">
        <f>IF(A3813="","",DATE(YEAR(A3813),12,31)-DATE(YEAR(A3813),1,1)+1)</f>
        <v/>
      </c>
      <c r="D3813">
        <f>IF(A3813="","",SUMIFS(Акты!$D$5:$D$16,Акты!$E$5:$E$16,"&lt;="&amp;A3813)-SUMIFS(Оплаты!$B$6:$B$505,Оплаты!$A$6:$A$505,"&lt;"&amp;A3813,Оплаты!$D$6:$D$505,"&lt;&gt;"))</f>
        <v/>
      </c>
      <c r="E3813">
        <f>IF(A3813="","",IF(SUMPRODUCT((Ввод!$F$12:$F$31&lt;&gt;"")*(Ввод!$F$12:$F$31&lt;=A3813)*(Ввод!$G$12:$G$31&gt;=A3813))&gt;0,1,0))</f>
        <v/>
      </c>
      <c r="G3813">
        <f>IF(A3813="","",IF(OR(B3813&lt;&gt;B3812,C3813&lt;&gt;C3812,E3813&lt;&gt;E3812),G3812+1,G3812))</f>
        <v/>
      </c>
    </row>
    <row r="3814">
      <c r="A3814" s="20">
        <f>IF(A3813="","",IF(A3813+1&gt;Ввод!$B$4,"",A3813+1))</f>
        <v/>
      </c>
      <c r="B3814">
        <f>IF(A3814="","",IFERROR(INDEX(Ввод!$B$12:$B$71,MATCH(A3814,Ввод!$D$12:$D$71,1)),""))</f>
        <v/>
      </c>
      <c r="C3814">
        <f>IF(A3814="","",DATE(YEAR(A3814),12,31)-DATE(YEAR(A3814),1,1)+1)</f>
        <v/>
      </c>
      <c r="D3814">
        <f>IF(A3814="","",SUMIFS(Акты!$D$5:$D$16,Акты!$E$5:$E$16,"&lt;="&amp;A3814)-SUMIFS(Оплаты!$B$6:$B$505,Оплаты!$A$6:$A$505,"&lt;"&amp;A3814,Оплаты!$D$6:$D$505,"&lt;&gt;"))</f>
        <v/>
      </c>
      <c r="E3814">
        <f>IF(A3814="","",IF(SUMPRODUCT((Ввод!$F$12:$F$31&lt;&gt;"")*(Ввод!$F$12:$F$31&lt;=A3814)*(Ввод!$G$12:$G$31&gt;=A3814))&gt;0,1,0))</f>
        <v/>
      </c>
      <c r="G3814">
        <f>IF(A3814="","",IF(OR(B3814&lt;&gt;B3813,C3814&lt;&gt;C3813,E3814&lt;&gt;E3813),G3813+1,G3813))</f>
        <v/>
      </c>
    </row>
    <row r="3815">
      <c r="A3815" s="20">
        <f>IF(A3814="","",IF(A3814+1&gt;Ввод!$B$4,"",A3814+1))</f>
        <v/>
      </c>
      <c r="B3815">
        <f>IF(A3815="","",IFERROR(INDEX(Ввод!$B$12:$B$71,MATCH(A3815,Ввод!$D$12:$D$71,1)),""))</f>
        <v/>
      </c>
      <c r="C3815">
        <f>IF(A3815="","",DATE(YEAR(A3815),12,31)-DATE(YEAR(A3815),1,1)+1)</f>
        <v/>
      </c>
      <c r="D3815">
        <f>IF(A3815="","",SUMIFS(Акты!$D$5:$D$16,Акты!$E$5:$E$16,"&lt;="&amp;A3815)-SUMIFS(Оплаты!$B$6:$B$505,Оплаты!$A$6:$A$505,"&lt;"&amp;A3815,Оплаты!$D$6:$D$505,"&lt;&gt;"))</f>
        <v/>
      </c>
      <c r="E3815">
        <f>IF(A3815="","",IF(SUMPRODUCT((Ввод!$F$12:$F$31&lt;&gt;"")*(Ввод!$F$12:$F$31&lt;=A3815)*(Ввод!$G$12:$G$31&gt;=A3815))&gt;0,1,0))</f>
        <v/>
      </c>
      <c r="G3815">
        <f>IF(A3815="","",IF(OR(B3815&lt;&gt;B3814,C3815&lt;&gt;C3814,E3815&lt;&gt;E3814),G3814+1,G3814))</f>
        <v/>
      </c>
    </row>
    <row r="3816">
      <c r="A3816" s="20">
        <f>IF(A3815="","",IF(A3815+1&gt;Ввод!$B$4,"",A3815+1))</f>
        <v/>
      </c>
      <c r="B3816">
        <f>IF(A3816="","",IFERROR(INDEX(Ввод!$B$12:$B$71,MATCH(A3816,Ввод!$D$12:$D$71,1)),""))</f>
        <v/>
      </c>
      <c r="C3816">
        <f>IF(A3816="","",DATE(YEAR(A3816),12,31)-DATE(YEAR(A3816),1,1)+1)</f>
        <v/>
      </c>
      <c r="D3816">
        <f>IF(A3816="","",SUMIFS(Акты!$D$5:$D$16,Акты!$E$5:$E$16,"&lt;="&amp;A3816)-SUMIFS(Оплаты!$B$6:$B$505,Оплаты!$A$6:$A$505,"&lt;"&amp;A3816,Оплаты!$D$6:$D$505,"&lt;&gt;"))</f>
        <v/>
      </c>
      <c r="E3816">
        <f>IF(A3816="","",IF(SUMPRODUCT((Ввод!$F$12:$F$31&lt;&gt;"")*(Ввод!$F$12:$F$31&lt;=A3816)*(Ввод!$G$12:$G$31&gt;=A3816))&gt;0,1,0))</f>
        <v/>
      </c>
      <c r="G3816">
        <f>IF(A3816="","",IF(OR(B3816&lt;&gt;B3815,C3816&lt;&gt;C3815,E3816&lt;&gt;E3815),G3815+1,G3815))</f>
        <v/>
      </c>
    </row>
    <row r="3817">
      <c r="A3817" s="20">
        <f>IF(A3816="","",IF(A3816+1&gt;Ввод!$B$4,"",A3816+1))</f>
        <v/>
      </c>
      <c r="B3817">
        <f>IF(A3817="","",IFERROR(INDEX(Ввод!$B$12:$B$71,MATCH(A3817,Ввод!$D$12:$D$71,1)),""))</f>
        <v/>
      </c>
      <c r="C3817">
        <f>IF(A3817="","",DATE(YEAR(A3817),12,31)-DATE(YEAR(A3817),1,1)+1)</f>
        <v/>
      </c>
      <c r="D3817">
        <f>IF(A3817="","",SUMIFS(Акты!$D$5:$D$16,Акты!$E$5:$E$16,"&lt;="&amp;A3817)-SUMIFS(Оплаты!$B$6:$B$505,Оплаты!$A$6:$A$505,"&lt;"&amp;A3817,Оплаты!$D$6:$D$505,"&lt;&gt;"))</f>
        <v/>
      </c>
      <c r="E3817">
        <f>IF(A3817="","",IF(SUMPRODUCT((Ввод!$F$12:$F$31&lt;&gt;"")*(Ввод!$F$12:$F$31&lt;=A3817)*(Ввод!$G$12:$G$31&gt;=A3817))&gt;0,1,0))</f>
        <v/>
      </c>
      <c r="G3817">
        <f>IF(A3817="","",IF(OR(B3817&lt;&gt;B3816,C3817&lt;&gt;C3816,E3817&lt;&gt;E3816),G3816+1,G3816))</f>
        <v/>
      </c>
    </row>
    <row r="3818">
      <c r="A3818" s="20">
        <f>IF(A3817="","",IF(A3817+1&gt;Ввод!$B$4,"",A3817+1))</f>
        <v/>
      </c>
      <c r="B3818">
        <f>IF(A3818="","",IFERROR(INDEX(Ввод!$B$12:$B$71,MATCH(A3818,Ввод!$D$12:$D$71,1)),""))</f>
        <v/>
      </c>
      <c r="C3818">
        <f>IF(A3818="","",DATE(YEAR(A3818),12,31)-DATE(YEAR(A3818),1,1)+1)</f>
        <v/>
      </c>
      <c r="D3818">
        <f>IF(A3818="","",SUMIFS(Акты!$D$5:$D$16,Акты!$E$5:$E$16,"&lt;="&amp;A3818)-SUMIFS(Оплаты!$B$6:$B$505,Оплаты!$A$6:$A$505,"&lt;"&amp;A3818,Оплаты!$D$6:$D$505,"&lt;&gt;"))</f>
        <v/>
      </c>
      <c r="E3818">
        <f>IF(A3818="","",IF(SUMPRODUCT((Ввод!$F$12:$F$31&lt;&gt;"")*(Ввод!$F$12:$F$31&lt;=A3818)*(Ввод!$G$12:$G$31&gt;=A3818))&gt;0,1,0))</f>
        <v/>
      </c>
      <c r="G3818">
        <f>IF(A3818="","",IF(OR(B3818&lt;&gt;B3817,C3818&lt;&gt;C3817,E3818&lt;&gt;E3817),G3817+1,G3817))</f>
        <v/>
      </c>
    </row>
    <row r="3819">
      <c r="A3819" s="20">
        <f>IF(A3818="","",IF(A3818+1&gt;Ввод!$B$4,"",A3818+1))</f>
        <v/>
      </c>
      <c r="B3819">
        <f>IF(A3819="","",IFERROR(INDEX(Ввод!$B$12:$B$71,MATCH(A3819,Ввод!$D$12:$D$71,1)),""))</f>
        <v/>
      </c>
      <c r="C3819">
        <f>IF(A3819="","",DATE(YEAR(A3819),12,31)-DATE(YEAR(A3819),1,1)+1)</f>
        <v/>
      </c>
      <c r="D3819">
        <f>IF(A3819="","",SUMIFS(Акты!$D$5:$D$16,Акты!$E$5:$E$16,"&lt;="&amp;A3819)-SUMIFS(Оплаты!$B$6:$B$505,Оплаты!$A$6:$A$505,"&lt;"&amp;A3819,Оплаты!$D$6:$D$505,"&lt;&gt;"))</f>
        <v/>
      </c>
      <c r="E3819">
        <f>IF(A3819="","",IF(SUMPRODUCT((Ввод!$F$12:$F$31&lt;&gt;"")*(Ввод!$F$12:$F$31&lt;=A3819)*(Ввод!$G$12:$G$31&gt;=A3819))&gt;0,1,0))</f>
        <v/>
      </c>
      <c r="G3819">
        <f>IF(A3819="","",IF(OR(B3819&lt;&gt;B3818,C3819&lt;&gt;C3818,E3819&lt;&gt;E3818),G3818+1,G3818))</f>
        <v/>
      </c>
    </row>
    <row r="3820">
      <c r="A3820" s="20">
        <f>IF(A3819="","",IF(A3819+1&gt;Ввод!$B$4,"",A3819+1))</f>
        <v/>
      </c>
      <c r="B3820">
        <f>IF(A3820="","",IFERROR(INDEX(Ввод!$B$12:$B$71,MATCH(A3820,Ввод!$D$12:$D$71,1)),""))</f>
        <v/>
      </c>
      <c r="C3820">
        <f>IF(A3820="","",DATE(YEAR(A3820),12,31)-DATE(YEAR(A3820),1,1)+1)</f>
        <v/>
      </c>
      <c r="D3820">
        <f>IF(A3820="","",SUMIFS(Акты!$D$5:$D$16,Акты!$E$5:$E$16,"&lt;="&amp;A3820)-SUMIFS(Оплаты!$B$6:$B$505,Оплаты!$A$6:$A$505,"&lt;"&amp;A3820,Оплаты!$D$6:$D$505,"&lt;&gt;"))</f>
        <v/>
      </c>
      <c r="E3820">
        <f>IF(A3820="","",IF(SUMPRODUCT((Ввод!$F$12:$F$31&lt;&gt;"")*(Ввод!$F$12:$F$31&lt;=A3820)*(Ввод!$G$12:$G$31&gt;=A3820))&gt;0,1,0))</f>
        <v/>
      </c>
      <c r="G3820">
        <f>IF(A3820="","",IF(OR(B3820&lt;&gt;B3819,C3820&lt;&gt;C3819,E3820&lt;&gt;E3819),G3819+1,G3819))</f>
        <v/>
      </c>
    </row>
    <row r="3821">
      <c r="A3821" s="20">
        <f>IF(A3820="","",IF(A3820+1&gt;Ввод!$B$4,"",A3820+1))</f>
        <v/>
      </c>
      <c r="B3821">
        <f>IF(A3821="","",IFERROR(INDEX(Ввод!$B$12:$B$71,MATCH(A3821,Ввод!$D$12:$D$71,1)),""))</f>
        <v/>
      </c>
      <c r="C3821">
        <f>IF(A3821="","",DATE(YEAR(A3821),12,31)-DATE(YEAR(A3821),1,1)+1)</f>
        <v/>
      </c>
      <c r="D3821">
        <f>IF(A3821="","",SUMIFS(Акты!$D$5:$D$16,Акты!$E$5:$E$16,"&lt;="&amp;A3821)-SUMIFS(Оплаты!$B$6:$B$505,Оплаты!$A$6:$A$505,"&lt;"&amp;A3821,Оплаты!$D$6:$D$505,"&lt;&gt;"))</f>
        <v/>
      </c>
      <c r="E3821">
        <f>IF(A3821="","",IF(SUMPRODUCT((Ввод!$F$12:$F$31&lt;&gt;"")*(Ввод!$F$12:$F$31&lt;=A3821)*(Ввод!$G$12:$G$31&gt;=A3821))&gt;0,1,0))</f>
        <v/>
      </c>
      <c r="G3821">
        <f>IF(A3821="","",IF(OR(B3821&lt;&gt;B3820,C3821&lt;&gt;C3820,E3821&lt;&gt;E3820),G3820+1,G3820))</f>
        <v/>
      </c>
    </row>
    <row r="3822">
      <c r="A3822" s="20">
        <f>IF(A3821="","",IF(A3821+1&gt;Ввод!$B$4,"",A3821+1))</f>
        <v/>
      </c>
      <c r="B3822">
        <f>IF(A3822="","",IFERROR(INDEX(Ввод!$B$12:$B$71,MATCH(A3822,Ввод!$D$12:$D$71,1)),""))</f>
        <v/>
      </c>
      <c r="C3822">
        <f>IF(A3822="","",DATE(YEAR(A3822),12,31)-DATE(YEAR(A3822),1,1)+1)</f>
        <v/>
      </c>
      <c r="D3822">
        <f>IF(A3822="","",SUMIFS(Акты!$D$5:$D$16,Акты!$E$5:$E$16,"&lt;="&amp;A3822)-SUMIFS(Оплаты!$B$6:$B$505,Оплаты!$A$6:$A$505,"&lt;"&amp;A3822,Оплаты!$D$6:$D$505,"&lt;&gt;"))</f>
        <v/>
      </c>
      <c r="E3822">
        <f>IF(A3822="","",IF(SUMPRODUCT((Ввод!$F$12:$F$31&lt;&gt;"")*(Ввод!$F$12:$F$31&lt;=A3822)*(Ввод!$G$12:$G$31&gt;=A3822))&gt;0,1,0))</f>
        <v/>
      </c>
      <c r="G3822">
        <f>IF(A3822="","",IF(OR(B3822&lt;&gt;B3821,C3822&lt;&gt;C3821,E3822&lt;&gt;E3821),G3821+1,G3821))</f>
        <v/>
      </c>
    </row>
    <row r="3823">
      <c r="A3823" s="20">
        <f>IF(A3822="","",IF(A3822+1&gt;Ввод!$B$4,"",A3822+1))</f>
        <v/>
      </c>
      <c r="B3823">
        <f>IF(A3823="","",IFERROR(INDEX(Ввод!$B$12:$B$71,MATCH(A3823,Ввод!$D$12:$D$71,1)),""))</f>
        <v/>
      </c>
      <c r="C3823">
        <f>IF(A3823="","",DATE(YEAR(A3823),12,31)-DATE(YEAR(A3823),1,1)+1)</f>
        <v/>
      </c>
      <c r="D3823">
        <f>IF(A3823="","",SUMIFS(Акты!$D$5:$D$16,Акты!$E$5:$E$16,"&lt;="&amp;A3823)-SUMIFS(Оплаты!$B$6:$B$505,Оплаты!$A$6:$A$505,"&lt;"&amp;A3823,Оплаты!$D$6:$D$505,"&lt;&gt;"))</f>
        <v/>
      </c>
      <c r="E3823">
        <f>IF(A3823="","",IF(SUMPRODUCT((Ввод!$F$12:$F$31&lt;&gt;"")*(Ввод!$F$12:$F$31&lt;=A3823)*(Ввод!$G$12:$G$31&gt;=A3823))&gt;0,1,0))</f>
        <v/>
      </c>
      <c r="G3823">
        <f>IF(A3823="","",IF(OR(B3823&lt;&gt;B3822,C3823&lt;&gt;C3822,E3823&lt;&gt;E3822),G3822+1,G3822))</f>
        <v/>
      </c>
    </row>
    <row r="3824">
      <c r="A3824" s="20">
        <f>IF(A3823="","",IF(A3823+1&gt;Ввод!$B$4,"",A3823+1))</f>
        <v/>
      </c>
      <c r="B3824">
        <f>IF(A3824="","",IFERROR(INDEX(Ввод!$B$12:$B$71,MATCH(A3824,Ввод!$D$12:$D$71,1)),""))</f>
        <v/>
      </c>
      <c r="C3824">
        <f>IF(A3824="","",DATE(YEAR(A3824),12,31)-DATE(YEAR(A3824),1,1)+1)</f>
        <v/>
      </c>
      <c r="D3824">
        <f>IF(A3824="","",SUMIFS(Акты!$D$5:$D$16,Акты!$E$5:$E$16,"&lt;="&amp;A3824)-SUMIFS(Оплаты!$B$6:$B$505,Оплаты!$A$6:$A$505,"&lt;"&amp;A3824,Оплаты!$D$6:$D$505,"&lt;&gt;"))</f>
        <v/>
      </c>
      <c r="E3824">
        <f>IF(A3824="","",IF(SUMPRODUCT((Ввод!$F$12:$F$31&lt;&gt;"")*(Ввод!$F$12:$F$31&lt;=A3824)*(Ввод!$G$12:$G$31&gt;=A3824))&gt;0,1,0))</f>
        <v/>
      </c>
      <c r="G3824">
        <f>IF(A3824="","",IF(OR(B3824&lt;&gt;B3823,C3824&lt;&gt;C3823,E3824&lt;&gt;E3823),G3823+1,G3823))</f>
        <v/>
      </c>
    </row>
    <row r="3825">
      <c r="A3825" s="20">
        <f>IF(A3824="","",IF(A3824+1&gt;Ввод!$B$4,"",A3824+1))</f>
        <v/>
      </c>
      <c r="B3825">
        <f>IF(A3825="","",IFERROR(INDEX(Ввод!$B$12:$B$71,MATCH(A3825,Ввод!$D$12:$D$71,1)),""))</f>
        <v/>
      </c>
      <c r="C3825">
        <f>IF(A3825="","",DATE(YEAR(A3825),12,31)-DATE(YEAR(A3825),1,1)+1)</f>
        <v/>
      </c>
      <c r="D3825">
        <f>IF(A3825="","",SUMIFS(Акты!$D$5:$D$16,Акты!$E$5:$E$16,"&lt;="&amp;A3825)-SUMIFS(Оплаты!$B$6:$B$505,Оплаты!$A$6:$A$505,"&lt;"&amp;A3825,Оплаты!$D$6:$D$505,"&lt;&gt;"))</f>
        <v/>
      </c>
      <c r="E3825">
        <f>IF(A3825="","",IF(SUMPRODUCT((Ввод!$F$12:$F$31&lt;&gt;"")*(Ввод!$F$12:$F$31&lt;=A3825)*(Ввод!$G$12:$G$31&gt;=A3825))&gt;0,1,0))</f>
        <v/>
      </c>
      <c r="G3825">
        <f>IF(A3825="","",IF(OR(B3825&lt;&gt;B3824,C3825&lt;&gt;C3824,E3825&lt;&gt;E3824),G3824+1,G3824))</f>
        <v/>
      </c>
    </row>
    <row r="3826">
      <c r="A3826" s="20">
        <f>IF(A3825="","",IF(A3825+1&gt;Ввод!$B$4,"",A3825+1))</f>
        <v/>
      </c>
      <c r="B3826">
        <f>IF(A3826="","",IFERROR(INDEX(Ввод!$B$12:$B$71,MATCH(A3826,Ввод!$D$12:$D$71,1)),""))</f>
        <v/>
      </c>
      <c r="C3826">
        <f>IF(A3826="","",DATE(YEAR(A3826),12,31)-DATE(YEAR(A3826),1,1)+1)</f>
        <v/>
      </c>
      <c r="D3826">
        <f>IF(A3826="","",SUMIFS(Акты!$D$5:$D$16,Акты!$E$5:$E$16,"&lt;="&amp;A3826)-SUMIFS(Оплаты!$B$6:$B$505,Оплаты!$A$6:$A$505,"&lt;"&amp;A3826,Оплаты!$D$6:$D$505,"&lt;&gt;"))</f>
        <v/>
      </c>
      <c r="E3826">
        <f>IF(A3826="","",IF(SUMPRODUCT((Ввод!$F$12:$F$31&lt;&gt;"")*(Ввод!$F$12:$F$31&lt;=A3826)*(Ввод!$G$12:$G$31&gt;=A3826))&gt;0,1,0))</f>
        <v/>
      </c>
      <c r="G3826">
        <f>IF(A3826="","",IF(OR(B3826&lt;&gt;B3825,C3826&lt;&gt;C3825,E3826&lt;&gt;E3825),G3825+1,G3825))</f>
        <v/>
      </c>
    </row>
    <row r="3827">
      <c r="A3827" s="20">
        <f>IF(A3826="","",IF(A3826+1&gt;Ввод!$B$4,"",A3826+1))</f>
        <v/>
      </c>
      <c r="B3827">
        <f>IF(A3827="","",IFERROR(INDEX(Ввод!$B$12:$B$71,MATCH(A3827,Ввод!$D$12:$D$71,1)),""))</f>
        <v/>
      </c>
      <c r="C3827">
        <f>IF(A3827="","",DATE(YEAR(A3827),12,31)-DATE(YEAR(A3827),1,1)+1)</f>
        <v/>
      </c>
      <c r="D3827">
        <f>IF(A3827="","",SUMIFS(Акты!$D$5:$D$16,Акты!$E$5:$E$16,"&lt;="&amp;A3827)-SUMIFS(Оплаты!$B$6:$B$505,Оплаты!$A$6:$A$505,"&lt;"&amp;A3827,Оплаты!$D$6:$D$505,"&lt;&gt;"))</f>
        <v/>
      </c>
      <c r="E3827">
        <f>IF(A3827="","",IF(SUMPRODUCT((Ввод!$F$12:$F$31&lt;&gt;"")*(Ввод!$F$12:$F$31&lt;=A3827)*(Ввод!$G$12:$G$31&gt;=A3827))&gt;0,1,0))</f>
        <v/>
      </c>
      <c r="G3827">
        <f>IF(A3827="","",IF(OR(B3827&lt;&gt;B3826,C3827&lt;&gt;C3826,E3827&lt;&gt;E3826),G3826+1,G3826))</f>
        <v/>
      </c>
    </row>
    <row r="3828">
      <c r="A3828" s="20">
        <f>IF(A3827="","",IF(A3827+1&gt;Ввод!$B$4,"",A3827+1))</f>
        <v/>
      </c>
      <c r="B3828">
        <f>IF(A3828="","",IFERROR(INDEX(Ввод!$B$12:$B$71,MATCH(A3828,Ввод!$D$12:$D$71,1)),""))</f>
        <v/>
      </c>
      <c r="C3828">
        <f>IF(A3828="","",DATE(YEAR(A3828),12,31)-DATE(YEAR(A3828),1,1)+1)</f>
        <v/>
      </c>
      <c r="D3828">
        <f>IF(A3828="","",SUMIFS(Акты!$D$5:$D$16,Акты!$E$5:$E$16,"&lt;="&amp;A3828)-SUMIFS(Оплаты!$B$6:$B$505,Оплаты!$A$6:$A$505,"&lt;"&amp;A3828,Оплаты!$D$6:$D$505,"&lt;&gt;"))</f>
        <v/>
      </c>
      <c r="E3828">
        <f>IF(A3828="","",IF(SUMPRODUCT((Ввод!$F$12:$F$31&lt;&gt;"")*(Ввод!$F$12:$F$31&lt;=A3828)*(Ввод!$G$12:$G$31&gt;=A3828))&gt;0,1,0))</f>
        <v/>
      </c>
      <c r="G3828">
        <f>IF(A3828="","",IF(OR(B3828&lt;&gt;B3827,C3828&lt;&gt;C3827,E3828&lt;&gt;E3827),G3827+1,G3827))</f>
        <v/>
      </c>
    </row>
    <row r="3829">
      <c r="A3829" s="20">
        <f>IF(A3828="","",IF(A3828+1&gt;Ввод!$B$4,"",A3828+1))</f>
        <v/>
      </c>
      <c r="B3829">
        <f>IF(A3829="","",IFERROR(INDEX(Ввод!$B$12:$B$71,MATCH(A3829,Ввод!$D$12:$D$71,1)),""))</f>
        <v/>
      </c>
      <c r="C3829">
        <f>IF(A3829="","",DATE(YEAR(A3829),12,31)-DATE(YEAR(A3829),1,1)+1)</f>
        <v/>
      </c>
      <c r="D3829">
        <f>IF(A3829="","",SUMIFS(Акты!$D$5:$D$16,Акты!$E$5:$E$16,"&lt;="&amp;A3829)-SUMIFS(Оплаты!$B$6:$B$505,Оплаты!$A$6:$A$505,"&lt;"&amp;A3829,Оплаты!$D$6:$D$505,"&lt;&gt;"))</f>
        <v/>
      </c>
      <c r="E3829">
        <f>IF(A3829="","",IF(SUMPRODUCT((Ввод!$F$12:$F$31&lt;&gt;"")*(Ввод!$F$12:$F$31&lt;=A3829)*(Ввод!$G$12:$G$31&gt;=A3829))&gt;0,1,0))</f>
        <v/>
      </c>
      <c r="G3829">
        <f>IF(A3829="","",IF(OR(B3829&lt;&gt;B3828,C3829&lt;&gt;C3828,E3829&lt;&gt;E3828),G3828+1,G3828))</f>
        <v/>
      </c>
    </row>
    <row r="3830">
      <c r="A3830" s="20">
        <f>IF(A3829="","",IF(A3829+1&gt;Ввод!$B$4,"",A3829+1))</f>
        <v/>
      </c>
      <c r="B3830">
        <f>IF(A3830="","",IFERROR(INDEX(Ввод!$B$12:$B$71,MATCH(A3830,Ввод!$D$12:$D$71,1)),""))</f>
        <v/>
      </c>
      <c r="C3830">
        <f>IF(A3830="","",DATE(YEAR(A3830),12,31)-DATE(YEAR(A3830),1,1)+1)</f>
        <v/>
      </c>
      <c r="D3830">
        <f>IF(A3830="","",SUMIFS(Акты!$D$5:$D$16,Акты!$E$5:$E$16,"&lt;="&amp;A3830)-SUMIFS(Оплаты!$B$6:$B$505,Оплаты!$A$6:$A$505,"&lt;"&amp;A3830,Оплаты!$D$6:$D$505,"&lt;&gt;"))</f>
        <v/>
      </c>
      <c r="E3830">
        <f>IF(A3830="","",IF(SUMPRODUCT((Ввод!$F$12:$F$31&lt;&gt;"")*(Ввод!$F$12:$F$31&lt;=A3830)*(Ввод!$G$12:$G$31&gt;=A3830))&gt;0,1,0))</f>
        <v/>
      </c>
      <c r="G3830">
        <f>IF(A3830="","",IF(OR(B3830&lt;&gt;B3829,C3830&lt;&gt;C3829,E3830&lt;&gt;E3829),G3829+1,G3829))</f>
        <v/>
      </c>
    </row>
    <row r="3831">
      <c r="A3831" s="20">
        <f>IF(A3830="","",IF(A3830+1&gt;Ввод!$B$4,"",A3830+1))</f>
        <v/>
      </c>
      <c r="B3831">
        <f>IF(A3831="","",IFERROR(INDEX(Ввод!$B$12:$B$71,MATCH(A3831,Ввод!$D$12:$D$71,1)),""))</f>
        <v/>
      </c>
      <c r="C3831">
        <f>IF(A3831="","",DATE(YEAR(A3831),12,31)-DATE(YEAR(A3831),1,1)+1)</f>
        <v/>
      </c>
      <c r="D3831">
        <f>IF(A3831="","",SUMIFS(Акты!$D$5:$D$16,Акты!$E$5:$E$16,"&lt;="&amp;A3831)-SUMIFS(Оплаты!$B$6:$B$505,Оплаты!$A$6:$A$505,"&lt;"&amp;A3831,Оплаты!$D$6:$D$505,"&lt;&gt;"))</f>
        <v/>
      </c>
      <c r="E3831">
        <f>IF(A3831="","",IF(SUMPRODUCT((Ввод!$F$12:$F$31&lt;&gt;"")*(Ввод!$F$12:$F$31&lt;=A3831)*(Ввод!$G$12:$G$31&gt;=A3831))&gt;0,1,0))</f>
        <v/>
      </c>
      <c r="G3831">
        <f>IF(A3831="","",IF(OR(B3831&lt;&gt;B3830,C3831&lt;&gt;C3830,E3831&lt;&gt;E3830),G3830+1,G3830))</f>
        <v/>
      </c>
    </row>
    <row r="3832">
      <c r="A3832" s="20">
        <f>IF(A3831="","",IF(A3831+1&gt;Ввод!$B$4,"",A3831+1))</f>
        <v/>
      </c>
      <c r="B3832">
        <f>IF(A3832="","",IFERROR(INDEX(Ввод!$B$12:$B$71,MATCH(A3832,Ввод!$D$12:$D$71,1)),""))</f>
        <v/>
      </c>
      <c r="C3832">
        <f>IF(A3832="","",DATE(YEAR(A3832),12,31)-DATE(YEAR(A3832),1,1)+1)</f>
        <v/>
      </c>
      <c r="D3832">
        <f>IF(A3832="","",SUMIFS(Акты!$D$5:$D$16,Акты!$E$5:$E$16,"&lt;="&amp;A3832)-SUMIFS(Оплаты!$B$6:$B$505,Оплаты!$A$6:$A$505,"&lt;"&amp;A3832,Оплаты!$D$6:$D$505,"&lt;&gt;"))</f>
        <v/>
      </c>
      <c r="E3832">
        <f>IF(A3832="","",IF(SUMPRODUCT((Ввод!$F$12:$F$31&lt;&gt;"")*(Ввод!$F$12:$F$31&lt;=A3832)*(Ввод!$G$12:$G$31&gt;=A3832))&gt;0,1,0))</f>
        <v/>
      </c>
      <c r="G3832">
        <f>IF(A3832="","",IF(OR(B3832&lt;&gt;B3831,C3832&lt;&gt;C3831,E3832&lt;&gt;E3831),G3831+1,G3831))</f>
        <v/>
      </c>
    </row>
    <row r="3833">
      <c r="A3833" s="20">
        <f>IF(A3832="","",IF(A3832+1&gt;Ввод!$B$4,"",A3832+1))</f>
        <v/>
      </c>
      <c r="B3833">
        <f>IF(A3833="","",IFERROR(INDEX(Ввод!$B$12:$B$71,MATCH(A3833,Ввод!$D$12:$D$71,1)),""))</f>
        <v/>
      </c>
      <c r="C3833">
        <f>IF(A3833="","",DATE(YEAR(A3833),12,31)-DATE(YEAR(A3833),1,1)+1)</f>
        <v/>
      </c>
      <c r="D3833">
        <f>IF(A3833="","",SUMIFS(Акты!$D$5:$D$16,Акты!$E$5:$E$16,"&lt;="&amp;A3833)-SUMIFS(Оплаты!$B$6:$B$505,Оплаты!$A$6:$A$505,"&lt;"&amp;A3833,Оплаты!$D$6:$D$505,"&lt;&gt;"))</f>
        <v/>
      </c>
      <c r="E3833">
        <f>IF(A3833="","",IF(SUMPRODUCT((Ввод!$F$12:$F$31&lt;&gt;"")*(Ввод!$F$12:$F$31&lt;=A3833)*(Ввод!$G$12:$G$31&gt;=A3833))&gt;0,1,0))</f>
        <v/>
      </c>
      <c r="G3833">
        <f>IF(A3833="","",IF(OR(B3833&lt;&gt;B3832,C3833&lt;&gt;C3832,E3833&lt;&gt;E3832),G3832+1,G3832))</f>
        <v/>
      </c>
    </row>
    <row r="3834">
      <c r="A3834" s="20">
        <f>IF(A3833="","",IF(A3833+1&gt;Ввод!$B$4,"",A3833+1))</f>
        <v/>
      </c>
      <c r="B3834">
        <f>IF(A3834="","",IFERROR(INDEX(Ввод!$B$12:$B$71,MATCH(A3834,Ввод!$D$12:$D$71,1)),""))</f>
        <v/>
      </c>
      <c r="C3834">
        <f>IF(A3834="","",DATE(YEAR(A3834),12,31)-DATE(YEAR(A3834),1,1)+1)</f>
        <v/>
      </c>
      <c r="D3834">
        <f>IF(A3834="","",SUMIFS(Акты!$D$5:$D$16,Акты!$E$5:$E$16,"&lt;="&amp;A3834)-SUMIFS(Оплаты!$B$6:$B$505,Оплаты!$A$6:$A$505,"&lt;"&amp;A3834,Оплаты!$D$6:$D$505,"&lt;&gt;"))</f>
        <v/>
      </c>
      <c r="E3834">
        <f>IF(A3834="","",IF(SUMPRODUCT((Ввод!$F$12:$F$31&lt;&gt;"")*(Ввод!$F$12:$F$31&lt;=A3834)*(Ввод!$G$12:$G$31&gt;=A3834))&gt;0,1,0))</f>
        <v/>
      </c>
      <c r="G3834">
        <f>IF(A3834="","",IF(OR(B3834&lt;&gt;B3833,C3834&lt;&gt;C3833,E3834&lt;&gt;E3833),G3833+1,G3833))</f>
        <v/>
      </c>
    </row>
    <row r="3835">
      <c r="A3835" s="20">
        <f>IF(A3834="","",IF(A3834+1&gt;Ввод!$B$4,"",A3834+1))</f>
        <v/>
      </c>
      <c r="B3835">
        <f>IF(A3835="","",IFERROR(INDEX(Ввод!$B$12:$B$71,MATCH(A3835,Ввод!$D$12:$D$71,1)),""))</f>
        <v/>
      </c>
      <c r="C3835">
        <f>IF(A3835="","",DATE(YEAR(A3835),12,31)-DATE(YEAR(A3835),1,1)+1)</f>
        <v/>
      </c>
      <c r="D3835">
        <f>IF(A3835="","",SUMIFS(Акты!$D$5:$D$16,Акты!$E$5:$E$16,"&lt;="&amp;A3835)-SUMIFS(Оплаты!$B$6:$B$505,Оплаты!$A$6:$A$505,"&lt;"&amp;A3835,Оплаты!$D$6:$D$505,"&lt;&gt;"))</f>
        <v/>
      </c>
      <c r="E3835">
        <f>IF(A3835="","",IF(SUMPRODUCT((Ввод!$F$12:$F$31&lt;&gt;"")*(Ввод!$F$12:$F$31&lt;=A3835)*(Ввод!$G$12:$G$31&gt;=A3835))&gt;0,1,0))</f>
        <v/>
      </c>
      <c r="G3835">
        <f>IF(A3835="","",IF(OR(B3835&lt;&gt;B3834,C3835&lt;&gt;C3834,E3835&lt;&gt;E3834),G3834+1,G3834))</f>
        <v/>
      </c>
    </row>
    <row r="3836">
      <c r="A3836" s="20">
        <f>IF(A3835="","",IF(A3835+1&gt;Ввод!$B$4,"",A3835+1))</f>
        <v/>
      </c>
      <c r="B3836">
        <f>IF(A3836="","",IFERROR(INDEX(Ввод!$B$12:$B$71,MATCH(A3836,Ввод!$D$12:$D$71,1)),""))</f>
        <v/>
      </c>
      <c r="C3836">
        <f>IF(A3836="","",DATE(YEAR(A3836),12,31)-DATE(YEAR(A3836),1,1)+1)</f>
        <v/>
      </c>
      <c r="D3836">
        <f>IF(A3836="","",SUMIFS(Акты!$D$5:$D$16,Акты!$E$5:$E$16,"&lt;="&amp;A3836)-SUMIFS(Оплаты!$B$6:$B$505,Оплаты!$A$6:$A$505,"&lt;"&amp;A3836,Оплаты!$D$6:$D$505,"&lt;&gt;"))</f>
        <v/>
      </c>
      <c r="E3836">
        <f>IF(A3836="","",IF(SUMPRODUCT((Ввод!$F$12:$F$31&lt;&gt;"")*(Ввод!$F$12:$F$31&lt;=A3836)*(Ввод!$G$12:$G$31&gt;=A3836))&gt;0,1,0))</f>
        <v/>
      </c>
      <c r="G3836">
        <f>IF(A3836="","",IF(OR(B3836&lt;&gt;B3835,C3836&lt;&gt;C3835,E3836&lt;&gt;E3835),G3835+1,G3835))</f>
        <v/>
      </c>
    </row>
    <row r="3837">
      <c r="A3837" s="20">
        <f>IF(A3836="","",IF(A3836+1&gt;Ввод!$B$4,"",A3836+1))</f>
        <v/>
      </c>
      <c r="B3837">
        <f>IF(A3837="","",IFERROR(INDEX(Ввод!$B$12:$B$71,MATCH(A3837,Ввод!$D$12:$D$71,1)),""))</f>
        <v/>
      </c>
      <c r="C3837">
        <f>IF(A3837="","",DATE(YEAR(A3837),12,31)-DATE(YEAR(A3837),1,1)+1)</f>
        <v/>
      </c>
      <c r="D3837">
        <f>IF(A3837="","",SUMIFS(Акты!$D$5:$D$16,Акты!$E$5:$E$16,"&lt;="&amp;A3837)-SUMIFS(Оплаты!$B$6:$B$505,Оплаты!$A$6:$A$505,"&lt;"&amp;A3837,Оплаты!$D$6:$D$505,"&lt;&gt;"))</f>
        <v/>
      </c>
      <c r="E3837">
        <f>IF(A3837="","",IF(SUMPRODUCT((Ввод!$F$12:$F$31&lt;&gt;"")*(Ввод!$F$12:$F$31&lt;=A3837)*(Ввод!$G$12:$G$31&gt;=A3837))&gt;0,1,0))</f>
        <v/>
      </c>
      <c r="G3837">
        <f>IF(A3837="","",IF(OR(B3837&lt;&gt;B3836,C3837&lt;&gt;C3836,E3837&lt;&gt;E3836),G3836+1,G3836))</f>
        <v/>
      </c>
    </row>
    <row r="3838">
      <c r="A3838" s="20">
        <f>IF(A3837="","",IF(A3837+1&gt;Ввод!$B$4,"",A3837+1))</f>
        <v/>
      </c>
      <c r="B3838">
        <f>IF(A3838="","",IFERROR(INDEX(Ввод!$B$12:$B$71,MATCH(A3838,Ввод!$D$12:$D$71,1)),""))</f>
        <v/>
      </c>
      <c r="C3838">
        <f>IF(A3838="","",DATE(YEAR(A3838),12,31)-DATE(YEAR(A3838),1,1)+1)</f>
        <v/>
      </c>
      <c r="D3838">
        <f>IF(A3838="","",SUMIFS(Акты!$D$5:$D$16,Акты!$E$5:$E$16,"&lt;="&amp;A3838)-SUMIFS(Оплаты!$B$6:$B$505,Оплаты!$A$6:$A$505,"&lt;"&amp;A3838,Оплаты!$D$6:$D$505,"&lt;&gt;"))</f>
        <v/>
      </c>
      <c r="E3838">
        <f>IF(A3838="","",IF(SUMPRODUCT((Ввод!$F$12:$F$31&lt;&gt;"")*(Ввод!$F$12:$F$31&lt;=A3838)*(Ввод!$G$12:$G$31&gt;=A3838))&gt;0,1,0))</f>
        <v/>
      </c>
      <c r="G3838">
        <f>IF(A3838="","",IF(OR(B3838&lt;&gt;B3837,C3838&lt;&gt;C3837,E3838&lt;&gt;E3837),G3837+1,G3837))</f>
        <v/>
      </c>
    </row>
    <row r="3839">
      <c r="A3839" s="20">
        <f>IF(A3838="","",IF(A3838+1&gt;Ввод!$B$4,"",A3838+1))</f>
        <v/>
      </c>
      <c r="B3839">
        <f>IF(A3839="","",IFERROR(INDEX(Ввод!$B$12:$B$71,MATCH(A3839,Ввод!$D$12:$D$71,1)),""))</f>
        <v/>
      </c>
      <c r="C3839">
        <f>IF(A3839="","",DATE(YEAR(A3839),12,31)-DATE(YEAR(A3839),1,1)+1)</f>
        <v/>
      </c>
      <c r="D3839">
        <f>IF(A3839="","",SUMIFS(Акты!$D$5:$D$16,Акты!$E$5:$E$16,"&lt;="&amp;A3839)-SUMIFS(Оплаты!$B$6:$B$505,Оплаты!$A$6:$A$505,"&lt;"&amp;A3839,Оплаты!$D$6:$D$505,"&lt;&gt;"))</f>
        <v/>
      </c>
      <c r="E3839">
        <f>IF(A3839="","",IF(SUMPRODUCT((Ввод!$F$12:$F$31&lt;&gt;"")*(Ввод!$F$12:$F$31&lt;=A3839)*(Ввод!$G$12:$G$31&gt;=A3839))&gt;0,1,0))</f>
        <v/>
      </c>
      <c r="G3839">
        <f>IF(A3839="","",IF(OR(B3839&lt;&gt;B3838,C3839&lt;&gt;C3838,E3839&lt;&gt;E3838),G3838+1,G3838))</f>
        <v/>
      </c>
    </row>
    <row r="3840">
      <c r="A3840" s="20">
        <f>IF(A3839="","",IF(A3839+1&gt;Ввод!$B$4,"",A3839+1))</f>
        <v/>
      </c>
      <c r="B3840">
        <f>IF(A3840="","",IFERROR(INDEX(Ввод!$B$12:$B$71,MATCH(A3840,Ввод!$D$12:$D$71,1)),""))</f>
        <v/>
      </c>
      <c r="C3840">
        <f>IF(A3840="","",DATE(YEAR(A3840),12,31)-DATE(YEAR(A3840),1,1)+1)</f>
        <v/>
      </c>
      <c r="D3840">
        <f>IF(A3840="","",SUMIFS(Акты!$D$5:$D$16,Акты!$E$5:$E$16,"&lt;="&amp;A3840)-SUMIFS(Оплаты!$B$6:$B$505,Оплаты!$A$6:$A$505,"&lt;"&amp;A3840,Оплаты!$D$6:$D$505,"&lt;&gt;"))</f>
        <v/>
      </c>
      <c r="E3840">
        <f>IF(A3840="","",IF(SUMPRODUCT((Ввод!$F$12:$F$31&lt;&gt;"")*(Ввод!$F$12:$F$31&lt;=A3840)*(Ввод!$G$12:$G$31&gt;=A3840))&gt;0,1,0))</f>
        <v/>
      </c>
      <c r="G3840">
        <f>IF(A3840="","",IF(OR(B3840&lt;&gt;B3839,C3840&lt;&gt;C3839,E3840&lt;&gt;E3839),G3839+1,G3839))</f>
        <v/>
      </c>
    </row>
    <row r="3841">
      <c r="A3841" s="20">
        <f>IF(A3840="","",IF(A3840+1&gt;Ввод!$B$4,"",A3840+1))</f>
        <v/>
      </c>
      <c r="B3841">
        <f>IF(A3841="","",IFERROR(INDEX(Ввод!$B$12:$B$71,MATCH(A3841,Ввод!$D$12:$D$71,1)),""))</f>
        <v/>
      </c>
      <c r="C3841">
        <f>IF(A3841="","",DATE(YEAR(A3841),12,31)-DATE(YEAR(A3841),1,1)+1)</f>
        <v/>
      </c>
      <c r="D3841">
        <f>IF(A3841="","",SUMIFS(Акты!$D$5:$D$16,Акты!$E$5:$E$16,"&lt;="&amp;A3841)-SUMIFS(Оплаты!$B$6:$B$505,Оплаты!$A$6:$A$505,"&lt;"&amp;A3841,Оплаты!$D$6:$D$505,"&lt;&gt;"))</f>
        <v/>
      </c>
      <c r="E3841">
        <f>IF(A3841="","",IF(SUMPRODUCT((Ввод!$F$12:$F$31&lt;&gt;"")*(Ввод!$F$12:$F$31&lt;=A3841)*(Ввод!$G$12:$G$31&gt;=A3841))&gt;0,1,0))</f>
        <v/>
      </c>
      <c r="G3841">
        <f>IF(A3841="","",IF(OR(B3841&lt;&gt;B3840,C3841&lt;&gt;C3840,E3841&lt;&gt;E3840),G3840+1,G3840))</f>
        <v/>
      </c>
    </row>
    <row r="3842">
      <c r="A3842" s="20">
        <f>IF(A3841="","",IF(A3841+1&gt;Ввод!$B$4,"",A3841+1))</f>
        <v/>
      </c>
      <c r="B3842">
        <f>IF(A3842="","",IFERROR(INDEX(Ввод!$B$12:$B$71,MATCH(A3842,Ввод!$D$12:$D$71,1)),""))</f>
        <v/>
      </c>
      <c r="C3842">
        <f>IF(A3842="","",DATE(YEAR(A3842),12,31)-DATE(YEAR(A3842),1,1)+1)</f>
        <v/>
      </c>
      <c r="D3842">
        <f>IF(A3842="","",SUMIFS(Акты!$D$5:$D$16,Акты!$E$5:$E$16,"&lt;="&amp;A3842)-SUMIFS(Оплаты!$B$6:$B$505,Оплаты!$A$6:$A$505,"&lt;"&amp;A3842,Оплаты!$D$6:$D$505,"&lt;&gt;"))</f>
        <v/>
      </c>
      <c r="E3842">
        <f>IF(A3842="","",IF(SUMPRODUCT((Ввод!$F$12:$F$31&lt;&gt;"")*(Ввод!$F$12:$F$31&lt;=A3842)*(Ввод!$G$12:$G$31&gt;=A3842))&gt;0,1,0))</f>
        <v/>
      </c>
      <c r="G3842">
        <f>IF(A3842="","",IF(OR(B3842&lt;&gt;B3841,C3842&lt;&gt;C3841,E3842&lt;&gt;E3841),G3841+1,G3841))</f>
        <v/>
      </c>
    </row>
    <row r="3843">
      <c r="A3843" s="20">
        <f>IF(A3842="","",IF(A3842+1&gt;Ввод!$B$4,"",A3842+1))</f>
        <v/>
      </c>
      <c r="B3843">
        <f>IF(A3843="","",IFERROR(INDEX(Ввод!$B$12:$B$71,MATCH(A3843,Ввод!$D$12:$D$71,1)),""))</f>
        <v/>
      </c>
      <c r="C3843">
        <f>IF(A3843="","",DATE(YEAR(A3843),12,31)-DATE(YEAR(A3843),1,1)+1)</f>
        <v/>
      </c>
      <c r="D3843">
        <f>IF(A3843="","",SUMIFS(Акты!$D$5:$D$16,Акты!$E$5:$E$16,"&lt;="&amp;A3843)-SUMIFS(Оплаты!$B$6:$B$505,Оплаты!$A$6:$A$505,"&lt;"&amp;A3843,Оплаты!$D$6:$D$505,"&lt;&gt;"))</f>
        <v/>
      </c>
      <c r="E3843">
        <f>IF(A3843="","",IF(SUMPRODUCT((Ввод!$F$12:$F$31&lt;&gt;"")*(Ввод!$F$12:$F$31&lt;=A3843)*(Ввод!$G$12:$G$31&gt;=A3843))&gt;0,1,0))</f>
        <v/>
      </c>
      <c r="G3843">
        <f>IF(A3843="","",IF(OR(B3843&lt;&gt;B3842,C3843&lt;&gt;C3842,E3843&lt;&gt;E3842),G3842+1,G3842))</f>
        <v/>
      </c>
    </row>
    <row r="3844">
      <c r="A3844" s="20">
        <f>IF(A3843="","",IF(A3843+1&gt;Ввод!$B$4,"",A3843+1))</f>
        <v/>
      </c>
      <c r="B3844">
        <f>IF(A3844="","",IFERROR(INDEX(Ввод!$B$12:$B$71,MATCH(A3844,Ввод!$D$12:$D$71,1)),""))</f>
        <v/>
      </c>
      <c r="C3844">
        <f>IF(A3844="","",DATE(YEAR(A3844),12,31)-DATE(YEAR(A3844),1,1)+1)</f>
        <v/>
      </c>
      <c r="D3844">
        <f>IF(A3844="","",SUMIFS(Акты!$D$5:$D$16,Акты!$E$5:$E$16,"&lt;="&amp;A3844)-SUMIFS(Оплаты!$B$6:$B$505,Оплаты!$A$6:$A$505,"&lt;"&amp;A3844,Оплаты!$D$6:$D$505,"&lt;&gt;"))</f>
        <v/>
      </c>
      <c r="E3844">
        <f>IF(A3844="","",IF(SUMPRODUCT((Ввод!$F$12:$F$31&lt;&gt;"")*(Ввод!$F$12:$F$31&lt;=A3844)*(Ввод!$G$12:$G$31&gt;=A3844))&gt;0,1,0))</f>
        <v/>
      </c>
      <c r="G3844">
        <f>IF(A3844="","",IF(OR(B3844&lt;&gt;B3843,C3844&lt;&gt;C3843,E3844&lt;&gt;E3843),G3843+1,G3843))</f>
        <v/>
      </c>
    </row>
    <row r="3845">
      <c r="A3845" s="20">
        <f>IF(A3844="","",IF(A3844+1&gt;Ввод!$B$4,"",A3844+1))</f>
        <v/>
      </c>
      <c r="B3845">
        <f>IF(A3845="","",IFERROR(INDEX(Ввод!$B$12:$B$71,MATCH(A3845,Ввод!$D$12:$D$71,1)),""))</f>
        <v/>
      </c>
      <c r="C3845">
        <f>IF(A3845="","",DATE(YEAR(A3845),12,31)-DATE(YEAR(A3845),1,1)+1)</f>
        <v/>
      </c>
      <c r="D3845">
        <f>IF(A3845="","",SUMIFS(Акты!$D$5:$D$16,Акты!$E$5:$E$16,"&lt;="&amp;A3845)-SUMIFS(Оплаты!$B$6:$B$505,Оплаты!$A$6:$A$505,"&lt;"&amp;A3845,Оплаты!$D$6:$D$505,"&lt;&gt;"))</f>
        <v/>
      </c>
      <c r="E3845">
        <f>IF(A3845="","",IF(SUMPRODUCT((Ввод!$F$12:$F$31&lt;&gt;"")*(Ввод!$F$12:$F$31&lt;=A3845)*(Ввод!$G$12:$G$31&gt;=A3845))&gt;0,1,0))</f>
        <v/>
      </c>
      <c r="G3845">
        <f>IF(A3845="","",IF(OR(B3845&lt;&gt;B3844,C3845&lt;&gt;C3844,E3845&lt;&gt;E3844),G3844+1,G3844))</f>
        <v/>
      </c>
    </row>
    <row r="3846">
      <c r="A3846" s="20">
        <f>IF(A3845="","",IF(A3845+1&gt;Ввод!$B$4,"",A3845+1))</f>
        <v/>
      </c>
      <c r="B3846">
        <f>IF(A3846="","",IFERROR(INDEX(Ввод!$B$12:$B$71,MATCH(A3846,Ввод!$D$12:$D$71,1)),""))</f>
        <v/>
      </c>
      <c r="C3846">
        <f>IF(A3846="","",DATE(YEAR(A3846),12,31)-DATE(YEAR(A3846),1,1)+1)</f>
        <v/>
      </c>
      <c r="D3846">
        <f>IF(A3846="","",SUMIFS(Акты!$D$5:$D$16,Акты!$E$5:$E$16,"&lt;="&amp;A3846)-SUMIFS(Оплаты!$B$6:$B$505,Оплаты!$A$6:$A$505,"&lt;"&amp;A3846,Оплаты!$D$6:$D$505,"&lt;&gt;"))</f>
        <v/>
      </c>
      <c r="E3846">
        <f>IF(A3846="","",IF(SUMPRODUCT((Ввод!$F$12:$F$31&lt;&gt;"")*(Ввод!$F$12:$F$31&lt;=A3846)*(Ввод!$G$12:$G$31&gt;=A3846))&gt;0,1,0))</f>
        <v/>
      </c>
      <c r="G3846">
        <f>IF(A3846="","",IF(OR(B3846&lt;&gt;B3845,C3846&lt;&gt;C3845,E3846&lt;&gt;E3845),G3845+1,G3845))</f>
        <v/>
      </c>
    </row>
    <row r="3847">
      <c r="A3847" s="20">
        <f>IF(A3846="","",IF(A3846+1&gt;Ввод!$B$4,"",A3846+1))</f>
        <v/>
      </c>
      <c r="B3847">
        <f>IF(A3847="","",IFERROR(INDEX(Ввод!$B$12:$B$71,MATCH(A3847,Ввод!$D$12:$D$71,1)),""))</f>
        <v/>
      </c>
      <c r="C3847">
        <f>IF(A3847="","",DATE(YEAR(A3847),12,31)-DATE(YEAR(A3847),1,1)+1)</f>
        <v/>
      </c>
      <c r="D3847">
        <f>IF(A3847="","",SUMIFS(Акты!$D$5:$D$16,Акты!$E$5:$E$16,"&lt;="&amp;A3847)-SUMIFS(Оплаты!$B$6:$B$505,Оплаты!$A$6:$A$505,"&lt;"&amp;A3847,Оплаты!$D$6:$D$505,"&lt;&gt;"))</f>
        <v/>
      </c>
      <c r="E3847">
        <f>IF(A3847="","",IF(SUMPRODUCT((Ввод!$F$12:$F$31&lt;&gt;"")*(Ввод!$F$12:$F$31&lt;=A3847)*(Ввод!$G$12:$G$31&gt;=A3847))&gt;0,1,0))</f>
        <v/>
      </c>
      <c r="G3847">
        <f>IF(A3847="","",IF(OR(B3847&lt;&gt;B3846,C3847&lt;&gt;C3846,E3847&lt;&gt;E3846),G3846+1,G3846))</f>
        <v/>
      </c>
    </row>
    <row r="3848">
      <c r="A3848" s="20">
        <f>IF(A3847="","",IF(A3847+1&gt;Ввод!$B$4,"",A3847+1))</f>
        <v/>
      </c>
      <c r="B3848">
        <f>IF(A3848="","",IFERROR(INDEX(Ввод!$B$12:$B$71,MATCH(A3848,Ввод!$D$12:$D$71,1)),""))</f>
        <v/>
      </c>
      <c r="C3848">
        <f>IF(A3848="","",DATE(YEAR(A3848),12,31)-DATE(YEAR(A3848),1,1)+1)</f>
        <v/>
      </c>
      <c r="D3848">
        <f>IF(A3848="","",SUMIFS(Акты!$D$5:$D$16,Акты!$E$5:$E$16,"&lt;="&amp;A3848)-SUMIFS(Оплаты!$B$6:$B$505,Оплаты!$A$6:$A$505,"&lt;"&amp;A3848,Оплаты!$D$6:$D$505,"&lt;&gt;"))</f>
        <v/>
      </c>
      <c r="E3848">
        <f>IF(A3848="","",IF(SUMPRODUCT((Ввод!$F$12:$F$31&lt;&gt;"")*(Ввод!$F$12:$F$31&lt;=A3848)*(Ввод!$G$12:$G$31&gt;=A3848))&gt;0,1,0))</f>
        <v/>
      </c>
      <c r="G3848">
        <f>IF(A3848="","",IF(OR(B3848&lt;&gt;B3847,C3848&lt;&gt;C3847,E3848&lt;&gt;E3847),G3847+1,G3847))</f>
        <v/>
      </c>
    </row>
    <row r="3849">
      <c r="A3849" s="20">
        <f>IF(A3848="","",IF(A3848+1&gt;Ввод!$B$4,"",A3848+1))</f>
        <v/>
      </c>
      <c r="B3849">
        <f>IF(A3849="","",IFERROR(INDEX(Ввод!$B$12:$B$71,MATCH(A3849,Ввод!$D$12:$D$71,1)),""))</f>
        <v/>
      </c>
      <c r="C3849">
        <f>IF(A3849="","",DATE(YEAR(A3849),12,31)-DATE(YEAR(A3849),1,1)+1)</f>
        <v/>
      </c>
      <c r="D3849">
        <f>IF(A3849="","",SUMIFS(Акты!$D$5:$D$16,Акты!$E$5:$E$16,"&lt;="&amp;A3849)-SUMIFS(Оплаты!$B$6:$B$505,Оплаты!$A$6:$A$505,"&lt;"&amp;A3849,Оплаты!$D$6:$D$505,"&lt;&gt;"))</f>
        <v/>
      </c>
      <c r="E3849">
        <f>IF(A3849="","",IF(SUMPRODUCT((Ввод!$F$12:$F$31&lt;&gt;"")*(Ввод!$F$12:$F$31&lt;=A3849)*(Ввод!$G$12:$G$31&gt;=A3849))&gt;0,1,0))</f>
        <v/>
      </c>
      <c r="G3849">
        <f>IF(A3849="","",IF(OR(B3849&lt;&gt;B3848,C3849&lt;&gt;C3848,E3849&lt;&gt;E3848),G3848+1,G3848))</f>
        <v/>
      </c>
    </row>
    <row r="3850">
      <c r="A3850" s="20">
        <f>IF(A3849="","",IF(A3849+1&gt;Ввод!$B$4,"",A3849+1))</f>
        <v/>
      </c>
      <c r="B3850">
        <f>IF(A3850="","",IFERROR(INDEX(Ввод!$B$12:$B$71,MATCH(A3850,Ввод!$D$12:$D$71,1)),""))</f>
        <v/>
      </c>
      <c r="C3850">
        <f>IF(A3850="","",DATE(YEAR(A3850),12,31)-DATE(YEAR(A3850),1,1)+1)</f>
        <v/>
      </c>
      <c r="D3850">
        <f>IF(A3850="","",SUMIFS(Акты!$D$5:$D$16,Акты!$E$5:$E$16,"&lt;="&amp;A3850)-SUMIFS(Оплаты!$B$6:$B$505,Оплаты!$A$6:$A$505,"&lt;"&amp;A3850,Оплаты!$D$6:$D$505,"&lt;&gt;"))</f>
        <v/>
      </c>
      <c r="E3850">
        <f>IF(A3850="","",IF(SUMPRODUCT((Ввод!$F$12:$F$31&lt;&gt;"")*(Ввод!$F$12:$F$31&lt;=A3850)*(Ввод!$G$12:$G$31&gt;=A3850))&gt;0,1,0))</f>
        <v/>
      </c>
      <c r="G3850">
        <f>IF(A3850="","",IF(OR(B3850&lt;&gt;B3849,C3850&lt;&gt;C3849,E3850&lt;&gt;E3849),G3849+1,G3849))</f>
        <v/>
      </c>
    </row>
    <row r="3851">
      <c r="A3851" s="20">
        <f>IF(A3850="","",IF(A3850+1&gt;Ввод!$B$4,"",A3850+1))</f>
        <v/>
      </c>
      <c r="B3851">
        <f>IF(A3851="","",IFERROR(INDEX(Ввод!$B$12:$B$71,MATCH(A3851,Ввод!$D$12:$D$71,1)),""))</f>
        <v/>
      </c>
      <c r="C3851">
        <f>IF(A3851="","",DATE(YEAR(A3851),12,31)-DATE(YEAR(A3851),1,1)+1)</f>
        <v/>
      </c>
      <c r="D3851">
        <f>IF(A3851="","",SUMIFS(Акты!$D$5:$D$16,Акты!$E$5:$E$16,"&lt;="&amp;A3851)-SUMIFS(Оплаты!$B$6:$B$505,Оплаты!$A$6:$A$505,"&lt;"&amp;A3851,Оплаты!$D$6:$D$505,"&lt;&gt;"))</f>
        <v/>
      </c>
      <c r="E3851">
        <f>IF(A3851="","",IF(SUMPRODUCT((Ввод!$F$12:$F$31&lt;&gt;"")*(Ввод!$F$12:$F$31&lt;=A3851)*(Ввод!$G$12:$G$31&gt;=A3851))&gt;0,1,0))</f>
        <v/>
      </c>
      <c r="G3851">
        <f>IF(A3851="","",IF(OR(B3851&lt;&gt;B3850,C3851&lt;&gt;C3850,E3851&lt;&gt;E3850),G3850+1,G3850))</f>
        <v/>
      </c>
    </row>
    <row r="3852">
      <c r="A3852" s="20">
        <f>IF(A3851="","",IF(A3851+1&gt;Ввод!$B$4,"",A3851+1))</f>
        <v/>
      </c>
      <c r="B3852">
        <f>IF(A3852="","",IFERROR(INDEX(Ввод!$B$12:$B$71,MATCH(A3852,Ввод!$D$12:$D$71,1)),""))</f>
        <v/>
      </c>
      <c r="C3852">
        <f>IF(A3852="","",DATE(YEAR(A3852),12,31)-DATE(YEAR(A3852),1,1)+1)</f>
        <v/>
      </c>
      <c r="D3852">
        <f>IF(A3852="","",SUMIFS(Акты!$D$5:$D$16,Акты!$E$5:$E$16,"&lt;="&amp;A3852)-SUMIFS(Оплаты!$B$6:$B$505,Оплаты!$A$6:$A$505,"&lt;"&amp;A3852,Оплаты!$D$6:$D$505,"&lt;&gt;"))</f>
        <v/>
      </c>
      <c r="E3852">
        <f>IF(A3852="","",IF(SUMPRODUCT((Ввод!$F$12:$F$31&lt;&gt;"")*(Ввод!$F$12:$F$31&lt;=A3852)*(Ввод!$G$12:$G$31&gt;=A3852))&gt;0,1,0))</f>
        <v/>
      </c>
      <c r="G3852">
        <f>IF(A3852="","",IF(OR(B3852&lt;&gt;B3851,C3852&lt;&gt;C3851,E3852&lt;&gt;E3851),G3851+1,G3851))</f>
        <v/>
      </c>
    </row>
    <row r="3853">
      <c r="A3853" s="20">
        <f>IF(A3852="","",IF(A3852+1&gt;Ввод!$B$4,"",A3852+1))</f>
        <v/>
      </c>
      <c r="B3853">
        <f>IF(A3853="","",IFERROR(INDEX(Ввод!$B$12:$B$71,MATCH(A3853,Ввод!$D$12:$D$71,1)),""))</f>
        <v/>
      </c>
      <c r="C3853">
        <f>IF(A3853="","",DATE(YEAR(A3853),12,31)-DATE(YEAR(A3853),1,1)+1)</f>
        <v/>
      </c>
      <c r="D3853">
        <f>IF(A3853="","",SUMIFS(Акты!$D$5:$D$16,Акты!$E$5:$E$16,"&lt;="&amp;A3853)-SUMIFS(Оплаты!$B$6:$B$505,Оплаты!$A$6:$A$505,"&lt;"&amp;A3853,Оплаты!$D$6:$D$505,"&lt;&gt;"))</f>
        <v/>
      </c>
      <c r="E3853">
        <f>IF(A3853="","",IF(SUMPRODUCT((Ввод!$F$12:$F$31&lt;&gt;"")*(Ввод!$F$12:$F$31&lt;=A3853)*(Ввод!$G$12:$G$31&gt;=A3853))&gt;0,1,0))</f>
        <v/>
      </c>
      <c r="G3853">
        <f>IF(A3853="","",IF(OR(B3853&lt;&gt;B3852,C3853&lt;&gt;C3852,E3853&lt;&gt;E3852),G3852+1,G3852))</f>
        <v/>
      </c>
    </row>
    <row r="3854">
      <c r="A3854" s="20">
        <f>IF(A3853="","",IF(A3853+1&gt;Ввод!$B$4,"",A3853+1))</f>
        <v/>
      </c>
      <c r="B3854">
        <f>IF(A3854="","",IFERROR(INDEX(Ввод!$B$12:$B$71,MATCH(A3854,Ввод!$D$12:$D$71,1)),""))</f>
        <v/>
      </c>
      <c r="C3854">
        <f>IF(A3854="","",DATE(YEAR(A3854),12,31)-DATE(YEAR(A3854),1,1)+1)</f>
        <v/>
      </c>
      <c r="D3854">
        <f>IF(A3854="","",SUMIFS(Акты!$D$5:$D$16,Акты!$E$5:$E$16,"&lt;="&amp;A3854)-SUMIFS(Оплаты!$B$6:$B$505,Оплаты!$A$6:$A$505,"&lt;"&amp;A3854,Оплаты!$D$6:$D$505,"&lt;&gt;"))</f>
        <v/>
      </c>
      <c r="E3854">
        <f>IF(A3854="","",IF(SUMPRODUCT((Ввод!$F$12:$F$31&lt;&gt;"")*(Ввод!$F$12:$F$31&lt;=A3854)*(Ввод!$G$12:$G$31&gt;=A3854))&gt;0,1,0))</f>
        <v/>
      </c>
      <c r="G3854">
        <f>IF(A3854="","",IF(OR(B3854&lt;&gt;B3853,C3854&lt;&gt;C3853,E3854&lt;&gt;E3853),G3853+1,G3853))</f>
        <v/>
      </c>
    </row>
    <row r="3855">
      <c r="A3855" s="20">
        <f>IF(A3854="","",IF(A3854+1&gt;Ввод!$B$4,"",A3854+1))</f>
        <v/>
      </c>
      <c r="B3855">
        <f>IF(A3855="","",IFERROR(INDEX(Ввод!$B$12:$B$71,MATCH(A3855,Ввод!$D$12:$D$71,1)),""))</f>
        <v/>
      </c>
      <c r="C3855">
        <f>IF(A3855="","",DATE(YEAR(A3855),12,31)-DATE(YEAR(A3855),1,1)+1)</f>
        <v/>
      </c>
      <c r="D3855">
        <f>IF(A3855="","",SUMIFS(Акты!$D$5:$D$16,Акты!$E$5:$E$16,"&lt;="&amp;A3855)-SUMIFS(Оплаты!$B$6:$B$505,Оплаты!$A$6:$A$505,"&lt;"&amp;A3855,Оплаты!$D$6:$D$505,"&lt;&gt;"))</f>
        <v/>
      </c>
      <c r="E3855">
        <f>IF(A3855="","",IF(SUMPRODUCT((Ввод!$F$12:$F$31&lt;&gt;"")*(Ввод!$F$12:$F$31&lt;=A3855)*(Ввод!$G$12:$G$31&gt;=A3855))&gt;0,1,0))</f>
        <v/>
      </c>
      <c r="G3855">
        <f>IF(A3855="","",IF(OR(B3855&lt;&gt;B3854,C3855&lt;&gt;C3854,E3855&lt;&gt;E3854),G3854+1,G3854))</f>
        <v/>
      </c>
    </row>
    <row r="3856">
      <c r="A3856" s="20">
        <f>IF(A3855="","",IF(A3855+1&gt;Ввод!$B$4,"",A3855+1))</f>
        <v/>
      </c>
      <c r="B3856">
        <f>IF(A3856="","",IFERROR(INDEX(Ввод!$B$12:$B$71,MATCH(A3856,Ввод!$D$12:$D$71,1)),""))</f>
        <v/>
      </c>
      <c r="C3856">
        <f>IF(A3856="","",DATE(YEAR(A3856),12,31)-DATE(YEAR(A3856),1,1)+1)</f>
        <v/>
      </c>
      <c r="D3856">
        <f>IF(A3856="","",SUMIFS(Акты!$D$5:$D$16,Акты!$E$5:$E$16,"&lt;="&amp;A3856)-SUMIFS(Оплаты!$B$6:$B$505,Оплаты!$A$6:$A$505,"&lt;"&amp;A3856,Оплаты!$D$6:$D$505,"&lt;&gt;"))</f>
        <v/>
      </c>
      <c r="E3856">
        <f>IF(A3856="","",IF(SUMPRODUCT((Ввод!$F$12:$F$31&lt;&gt;"")*(Ввод!$F$12:$F$31&lt;=A3856)*(Ввод!$G$12:$G$31&gt;=A3856))&gt;0,1,0))</f>
        <v/>
      </c>
      <c r="G3856">
        <f>IF(A3856="","",IF(OR(B3856&lt;&gt;B3855,C3856&lt;&gt;C3855,E3856&lt;&gt;E3855),G3855+1,G3855))</f>
        <v/>
      </c>
    </row>
    <row r="3857">
      <c r="A3857" s="20">
        <f>IF(A3856="","",IF(A3856+1&gt;Ввод!$B$4,"",A3856+1))</f>
        <v/>
      </c>
      <c r="B3857">
        <f>IF(A3857="","",IFERROR(INDEX(Ввод!$B$12:$B$71,MATCH(A3857,Ввод!$D$12:$D$71,1)),""))</f>
        <v/>
      </c>
      <c r="C3857">
        <f>IF(A3857="","",DATE(YEAR(A3857),12,31)-DATE(YEAR(A3857),1,1)+1)</f>
        <v/>
      </c>
      <c r="D3857">
        <f>IF(A3857="","",SUMIFS(Акты!$D$5:$D$16,Акты!$E$5:$E$16,"&lt;="&amp;A3857)-SUMIFS(Оплаты!$B$6:$B$505,Оплаты!$A$6:$A$505,"&lt;"&amp;A3857,Оплаты!$D$6:$D$505,"&lt;&gt;"))</f>
        <v/>
      </c>
      <c r="E3857">
        <f>IF(A3857="","",IF(SUMPRODUCT((Ввод!$F$12:$F$31&lt;&gt;"")*(Ввод!$F$12:$F$31&lt;=A3857)*(Ввод!$G$12:$G$31&gt;=A3857))&gt;0,1,0))</f>
        <v/>
      </c>
      <c r="G3857">
        <f>IF(A3857="","",IF(OR(B3857&lt;&gt;B3856,C3857&lt;&gt;C3856,E3857&lt;&gt;E3856),G3856+1,G3856))</f>
        <v/>
      </c>
    </row>
    <row r="3858">
      <c r="A3858" s="20">
        <f>IF(A3857="","",IF(A3857+1&gt;Ввод!$B$4,"",A3857+1))</f>
        <v/>
      </c>
      <c r="B3858">
        <f>IF(A3858="","",IFERROR(INDEX(Ввод!$B$12:$B$71,MATCH(A3858,Ввод!$D$12:$D$71,1)),""))</f>
        <v/>
      </c>
      <c r="C3858">
        <f>IF(A3858="","",DATE(YEAR(A3858),12,31)-DATE(YEAR(A3858),1,1)+1)</f>
        <v/>
      </c>
      <c r="D3858">
        <f>IF(A3858="","",SUMIFS(Акты!$D$5:$D$16,Акты!$E$5:$E$16,"&lt;="&amp;A3858)-SUMIFS(Оплаты!$B$6:$B$505,Оплаты!$A$6:$A$505,"&lt;"&amp;A3858,Оплаты!$D$6:$D$505,"&lt;&gt;"))</f>
        <v/>
      </c>
      <c r="E3858">
        <f>IF(A3858="","",IF(SUMPRODUCT((Ввод!$F$12:$F$31&lt;&gt;"")*(Ввод!$F$12:$F$31&lt;=A3858)*(Ввод!$G$12:$G$31&gt;=A3858))&gt;0,1,0))</f>
        <v/>
      </c>
      <c r="G3858">
        <f>IF(A3858="","",IF(OR(B3858&lt;&gt;B3857,C3858&lt;&gt;C3857,E3858&lt;&gt;E3857),G3857+1,G3857))</f>
        <v/>
      </c>
    </row>
    <row r="3859">
      <c r="A3859" s="20">
        <f>IF(A3858="","",IF(A3858+1&gt;Ввод!$B$4,"",A3858+1))</f>
        <v/>
      </c>
      <c r="B3859">
        <f>IF(A3859="","",IFERROR(INDEX(Ввод!$B$12:$B$71,MATCH(A3859,Ввод!$D$12:$D$71,1)),""))</f>
        <v/>
      </c>
      <c r="C3859">
        <f>IF(A3859="","",DATE(YEAR(A3859),12,31)-DATE(YEAR(A3859),1,1)+1)</f>
        <v/>
      </c>
      <c r="D3859">
        <f>IF(A3859="","",SUMIFS(Акты!$D$5:$D$16,Акты!$E$5:$E$16,"&lt;="&amp;A3859)-SUMIFS(Оплаты!$B$6:$B$505,Оплаты!$A$6:$A$505,"&lt;"&amp;A3859,Оплаты!$D$6:$D$505,"&lt;&gt;"))</f>
        <v/>
      </c>
      <c r="E3859">
        <f>IF(A3859="","",IF(SUMPRODUCT((Ввод!$F$12:$F$31&lt;&gt;"")*(Ввод!$F$12:$F$31&lt;=A3859)*(Ввод!$G$12:$G$31&gt;=A3859))&gt;0,1,0))</f>
        <v/>
      </c>
      <c r="G3859">
        <f>IF(A3859="","",IF(OR(B3859&lt;&gt;B3858,C3859&lt;&gt;C3858,E3859&lt;&gt;E3858),G3858+1,G3858))</f>
        <v/>
      </c>
    </row>
    <row r="3860">
      <c r="A3860" s="20">
        <f>IF(A3859="","",IF(A3859+1&gt;Ввод!$B$4,"",A3859+1))</f>
        <v/>
      </c>
      <c r="B3860">
        <f>IF(A3860="","",IFERROR(INDEX(Ввод!$B$12:$B$71,MATCH(A3860,Ввод!$D$12:$D$71,1)),""))</f>
        <v/>
      </c>
      <c r="C3860">
        <f>IF(A3860="","",DATE(YEAR(A3860),12,31)-DATE(YEAR(A3860),1,1)+1)</f>
        <v/>
      </c>
      <c r="D3860">
        <f>IF(A3860="","",SUMIFS(Акты!$D$5:$D$16,Акты!$E$5:$E$16,"&lt;="&amp;A3860)-SUMIFS(Оплаты!$B$6:$B$505,Оплаты!$A$6:$A$505,"&lt;"&amp;A3860,Оплаты!$D$6:$D$505,"&lt;&gt;"))</f>
        <v/>
      </c>
      <c r="E3860">
        <f>IF(A3860="","",IF(SUMPRODUCT((Ввод!$F$12:$F$31&lt;&gt;"")*(Ввод!$F$12:$F$31&lt;=A3860)*(Ввод!$G$12:$G$31&gt;=A3860))&gt;0,1,0))</f>
        <v/>
      </c>
      <c r="G3860">
        <f>IF(A3860="","",IF(OR(B3860&lt;&gt;B3859,C3860&lt;&gt;C3859,E3860&lt;&gt;E3859),G3859+1,G3859))</f>
        <v/>
      </c>
    </row>
    <row r="3861">
      <c r="A3861" s="20">
        <f>IF(A3860="","",IF(A3860+1&gt;Ввод!$B$4,"",A3860+1))</f>
        <v/>
      </c>
      <c r="B3861">
        <f>IF(A3861="","",IFERROR(INDEX(Ввод!$B$12:$B$71,MATCH(A3861,Ввод!$D$12:$D$71,1)),""))</f>
        <v/>
      </c>
      <c r="C3861">
        <f>IF(A3861="","",DATE(YEAR(A3861),12,31)-DATE(YEAR(A3861),1,1)+1)</f>
        <v/>
      </c>
      <c r="D3861">
        <f>IF(A3861="","",SUMIFS(Акты!$D$5:$D$16,Акты!$E$5:$E$16,"&lt;="&amp;A3861)-SUMIFS(Оплаты!$B$6:$B$505,Оплаты!$A$6:$A$505,"&lt;"&amp;A3861,Оплаты!$D$6:$D$505,"&lt;&gt;"))</f>
        <v/>
      </c>
      <c r="E3861">
        <f>IF(A3861="","",IF(SUMPRODUCT((Ввод!$F$12:$F$31&lt;&gt;"")*(Ввод!$F$12:$F$31&lt;=A3861)*(Ввод!$G$12:$G$31&gt;=A3861))&gt;0,1,0))</f>
        <v/>
      </c>
      <c r="G3861">
        <f>IF(A3861="","",IF(OR(B3861&lt;&gt;B3860,C3861&lt;&gt;C3860,E3861&lt;&gt;E3860),G3860+1,G3860))</f>
        <v/>
      </c>
    </row>
    <row r="3862">
      <c r="A3862" s="20">
        <f>IF(A3861="","",IF(A3861+1&gt;Ввод!$B$4,"",A3861+1))</f>
        <v/>
      </c>
      <c r="B3862">
        <f>IF(A3862="","",IFERROR(INDEX(Ввод!$B$12:$B$71,MATCH(A3862,Ввод!$D$12:$D$71,1)),""))</f>
        <v/>
      </c>
      <c r="C3862">
        <f>IF(A3862="","",DATE(YEAR(A3862),12,31)-DATE(YEAR(A3862),1,1)+1)</f>
        <v/>
      </c>
      <c r="D3862">
        <f>IF(A3862="","",SUMIFS(Акты!$D$5:$D$16,Акты!$E$5:$E$16,"&lt;="&amp;A3862)-SUMIFS(Оплаты!$B$6:$B$505,Оплаты!$A$6:$A$505,"&lt;"&amp;A3862,Оплаты!$D$6:$D$505,"&lt;&gt;"))</f>
        <v/>
      </c>
      <c r="E3862">
        <f>IF(A3862="","",IF(SUMPRODUCT((Ввод!$F$12:$F$31&lt;&gt;"")*(Ввод!$F$12:$F$31&lt;=A3862)*(Ввод!$G$12:$G$31&gt;=A3862))&gt;0,1,0))</f>
        <v/>
      </c>
      <c r="G3862">
        <f>IF(A3862="","",IF(OR(B3862&lt;&gt;B3861,C3862&lt;&gt;C3861,E3862&lt;&gt;E3861),G3861+1,G3861))</f>
        <v/>
      </c>
    </row>
    <row r="3863">
      <c r="A3863" s="20">
        <f>IF(A3862="","",IF(A3862+1&gt;Ввод!$B$4,"",A3862+1))</f>
        <v/>
      </c>
      <c r="B3863">
        <f>IF(A3863="","",IFERROR(INDEX(Ввод!$B$12:$B$71,MATCH(A3863,Ввод!$D$12:$D$71,1)),""))</f>
        <v/>
      </c>
      <c r="C3863">
        <f>IF(A3863="","",DATE(YEAR(A3863),12,31)-DATE(YEAR(A3863),1,1)+1)</f>
        <v/>
      </c>
      <c r="D3863">
        <f>IF(A3863="","",SUMIFS(Акты!$D$5:$D$16,Акты!$E$5:$E$16,"&lt;="&amp;A3863)-SUMIFS(Оплаты!$B$6:$B$505,Оплаты!$A$6:$A$505,"&lt;"&amp;A3863,Оплаты!$D$6:$D$505,"&lt;&gt;"))</f>
        <v/>
      </c>
      <c r="E3863">
        <f>IF(A3863="","",IF(SUMPRODUCT((Ввод!$F$12:$F$31&lt;&gt;"")*(Ввод!$F$12:$F$31&lt;=A3863)*(Ввод!$G$12:$G$31&gt;=A3863))&gt;0,1,0))</f>
        <v/>
      </c>
      <c r="G3863">
        <f>IF(A3863="","",IF(OR(B3863&lt;&gt;B3862,C3863&lt;&gt;C3862,E3863&lt;&gt;E3862),G3862+1,G3862))</f>
        <v/>
      </c>
    </row>
    <row r="3864">
      <c r="A3864" s="20">
        <f>IF(A3863="","",IF(A3863+1&gt;Ввод!$B$4,"",A3863+1))</f>
        <v/>
      </c>
      <c r="B3864">
        <f>IF(A3864="","",IFERROR(INDEX(Ввод!$B$12:$B$71,MATCH(A3864,Ввод!$D$12:$D$71,1)),""))</f>
        <v/>
      </c>
      <c r="C3864">
        <f>IF(A3864="","",DATE(YEAR(A3864),12,31)-DATE(YEAR(A3864),1,1)+1)</f>
        <v/>
      </c>
      <c r="D3864">
        <f>IF(A3864="","",SUMIFS(Акты!$D$5:$D$16,Акты!$E$5:$E$16,"&lt;="&amp;A3864)-SUMIFS(Оплаты!$B$6:$B$505,Оплаты!$A$6:$A$505,"&lt;"&amp;A3864,Оплаты!$D$6:$D$505,"&lt;&gt;"))</f>
        <v/>
      </c>
      <c r="E3864">
        <f>IF(A3864="","",IF(SUMPRODUCT((Ввод!$F$12:$F$31&lt;&gt;"")*(Ввод!$F$12:$F$31&lt;=A3864)*(Ввод!$G$12:$G$31&gt;=A3864))&gt;0,1,0))</f>
        <v/>
      </c>
      <c r="G3864">
        <f>IF(A3864="","",IF(OR(B3864&lt;&gt;B3863,C3864&lt;&gt;C3863,E3864&lt;&gt;E3863),G3863+1,G3863))</f>
        <v/>
      </c>
    </row>
    <row r="3865">
      <c r="A3865" s="20">
        <f>IF(A3864="","",IF(A3864+1&gt;Ввод!$B$4,"",A3864+1))</f>
        <v/>
      </c>
      <c r="B3865">
        <f>IF(A3865="","",IFERROR(INDEX(Ввод!$B$12:$B$71,MATCH(A3865,Ввод!$D$12:$D$71,1)),""))</f>
        <v/>
      </c>
      <c r="C3865">
        <f>IF(A3865="","",DATE(YEAR(A3865),12,31)-DATE(YEAR(A3865),1,1)+1)</f>
        <v/>
      </c>
      <c r="D3865">
        <f>IF(A3865="","",SUMIFS(Акты!$D$5:$D$16,Акты!$E$5:$E$16,"&lt;="&amp;A3865)-SUMIFS(Оплаты!$B$6:$B$505,Оплаты!$A$6:$A$505,"&lt;"&amp;A3865,Оплаты!$D$6:$D$505,"&lt;&gt;"))</f>
        <v/>
      </c>
      <c r="E3865">
        <f>IF(A3865="","",IF(SUMPRODUCT((Ввод!$F$12:$F$31&lt;&gt;"")*(Ввод!$F$12:$F$31&lt;=A3865)*(Ввод!$G$12:$G$31&gt;=A3865))&gt;0,1,0))</f>
        <v/>
      </c>
      <c r="G3865">
        <f>IF(A3865="","",IF(OR(B3865&lt;&gt;B3864,C3865&lt;&gt;C3864,E3865&lt;&gt;E3864),G3864+1,G3864))</f>
        <v/>
      </c>
    </row>
    <row r="3866">
      <c r="A3866" s="20">
        <f>IF(A3865="","",IF(A3865+1&gt;Ввод!$B$4,"",A3865+1))</f>
        <v/>
      </c>
      <c r="B3866">
        <f>IF(A3866="","",IFERROR(INDEX(Ввод!$B$12:$B$71,MATCH(A3866,Ввод!$D$12:$D$71,1)),""))</f>
        <v/>
      </c>
      <c r="C3866">
        <f>IF(A3866="","",DATE(YEAR(A3866),12,31)-DATE(YEAR(A3866),1,1)+1)</f>
        <v/>
      </c>
      <c r="D3866">
        <f>IF(A3866="","",SUMIFS(Акты!$D$5:$D$16,Акты!$E$5:$E$16,"&lt;="&amp;A3866)-SUMIFS(Оплаты!$B$6:$B$505,Оплаты!$A$6:$A$505,"&lt;"&amp;A3866,Оплаты!$D$6:$D$505,"&lt;&gt;"))</f>
        <v/>
      </c>
      <c r="E3866">
        <f>IF(A3866="","",IF(SUMPRODUCT((Ввод!$F$12:$F$31&lt;&gt;"")*(Ввод!$F$12:$F$31&lt;=A3866)*(Ввод!$G$12:$G$31&gt;=A3866))&gt;0,1,0))</f>
        <v/>
      </c>
      <c r="G3866">
        <f>IF(A3866="","",IF(OR(B3866&lt;&gt;B3865,C3866&lt;&gt;C3865,E3866&lt;&gt;E3865),G3865+1,G3865))</f>
        <v/>
      </c>
    </row>
    <row r="3867">
      <c r="A3867" s="20">
        <f>IF(A3866="","",IF(A3866+1&gt;Ввод!$B$4,"",A3866+1))</f>
        <v/>
      </c>
      <c r="B3867">
        <f>IF(A3867="","",IFERROR(INDEX(Ввод!$B$12:$B$71,MATCH(A3867,Ввод!$D$12:$D$71,1)),""))</f>
        <v/>
      </c>
      <c r="C3867">
        <f>IF(A3867="","",DATE(YEAR(A3867),12,31)-DATE(YEAR(A3867),1,1)+1)</f>
        <v/>
      </c>
      <c r="D3867">
        <f>IF(A3867="","",SUMIFS(Акты!$D$5:$D$16,Акты!$E$5:$E$16,"&lt;="&amp;A3867)-SUMIFS(Оплаты!$B$6:$B$505,Оплаты!$A$6:$A$505,"&lt;"&amp;A3867,Оплаты!$D$6:$D$505,"&lt;&gt;"))</f>
        <v/>
      </c>
      <c r="E3867">
        <f>IF(A3867="","",IF(SUMPRODUCT((Ввод!$F$12:$F$31&lt;&gt;"")*(Ввод!$F$12:$F$31&lt;=A3867)*(Ввод!$G$12:$G$31&gt;=A3867))&gt;0,1,0))</f>
        <v/>
      </c>
      <c r="G3867">
        <f>IF(A3867="","",IF(OR(B3867&lt;&gt;B3866,C3867&lt;&gt;C3866,E3867&lt;&gt;E3866),G3866+1,G3866))</f>
        <v/>
      </c>
    </row>
    <row r="3868">
      <c r="A3868" s="20">
        <f>IF(A3867="","",IF(A3867+1&gt;Ввод!$B$4,"",A3867+1))</f>
        <v/>
      </c>
      <c r="B3868">
        <f>IF(A3868="","",IFERROR(INDEX(Ввод!$B$12:$B$71,MATCH(A3868,Ввод!$D$12:$D$71,1)),""))</f>
        <v/>
      </c>
      <c r="C3868">
        <f>IF(A3868="","",DATE(YEAR(A3868),12,31)-DATE(YEAR(A3868),1,1)+1)</f>
        <v/>
      </c>
      <c r="D3868">
        <f>IF(A3868="","",SUMIFS(Акты!$D$5:$D$16,Акты!$E$5:$E$16,"&lt;="&amp;A3868)-SUMIFS(Оплаты!$B$6:$B$505,Оплаты!$A$6:$A$505,"&lt;"&amp;A3868,Оплаты!$D$6:$D$505,"&lt;&gt;"))</f>
        <v/>
      </c>
      <c r="E3868">
        <f>IF(A3868="","",IF(SUMPRODUCT((Ввод!$F$12:$F$31&lt;&gt;"")*(Ввод!$F$12:$F$31&lt;=A3868)*(Ввод!$G$12:$G$31&gt;=A3868))&gt;0,1,0))</f>
        <v/>
      </c>
      <c r="G3868">
        <f>IF(A3868="","",IF(OR(B3868&lt;&gt;B3867,C3868&lt;&gt;C3867,E3868&lt;&gt;E3867),G3867+1,G3867))</f>
        <v/>
      </c>
    </row>
    <row r="3869">
      <c r="A3869" s="20">
        <f>IF(A3868="","",IF(A3868+1&gt;Ввод!$B$4,"",A3868+1))</f>
        <v/>
      </c>
      <c r="B3869">
        <f>IF(A3869="","",IFERROR(INDEX(Ввод!$B$12:$B$71,MATCH(A3869,Ввод!$D$12:$D$71,1)),""))</f>
        <v/>
      </c>
      <c r="C3869">
        <f>IF(A3869="","",DATE(YEAR(A3869),12,31)-DATE(YEAR(A3869),1,1)+1)</f>
        <v/>
      </c>
      <c r="D3869">
        <f>IF(A3869="","",SUMIFS(Акты!$D$5:$D$16,Акты!$E$5:$E$16,"&lt;="&amp;A3869)-SUMIFS(Оплаты!$B$6:$B$505,Оплаты!$A$6:$A$505,"&lt;"&amp;A3869,Оплаты!$D$6:$D$505,"&lt;&gt;"))</f>
        <v/>
      </c>
      <c r="E3869">
        <f>IF(A3869="","",IF(SUMPRODUCT((Ввод!$F$12:$F$31&lt;&gt;"")*(Ввод!$F$12:$F$31&lt;=A3869)*(Ввод!$G$12:$G$31&gt;=A3869))&gt;0,1,0))</f>
        <v/>
      </c>
      <c r="G3869">
        <f>IF(A3869="","",IF(OR(B3869&lt;&gt;B3868,C3869&lt;&gt;C3868,E3869&lt;&gt;E3868),G3868+1,G3868))</f>
        <v/>
      </c>
    </row>
    <row r="3870">
      <c r="A3870" s="20">
        <f>IF(A3869="","",IF(A3869+1&gt;Ввод!$B$4,"",A3869+1))</f>
        <v/>
      </c>
      <c r="B3870">
        <f>IF(A3870="","",IFERROR(INDEX(Ввод!$B$12:$B$71,MATCH(A3870,Ввод!$D$12:$D$71,1)),""))</f>
        <v/>
      </c>
      <c r="C3870">
        <f>IF(A3870="","",DATE(YEAR(A3870),12,31)-DATE(YEAR(A3870),1,1)+1)</f>
        <v/>
      </c>
      <c r="D3870">
        <f>IF(A3870="","",SUMIFS(Акты!$D$5:$D$16,Акты!$E$5:$E$16,"&lt;="&amp;A3870)-SUMIFS(Оплаты!$B$6:$B$505,Оплаты!$A$6:$A$505,"&lt;"&amp;A3870,Оплаты!$D$6:$D$505,"&lt;&gt;"))</f>
        <v/>
      </c>
      <c r="E3870">
        <f>IF(A3870="","",IF(SUMPRODUCT((Ввод!$F$12:$F$31&lt;&gt;"")*(Ввод!$F$12:$F$31&lt;=A3870)*(Ввод!$G$12:$G$31&gt;=A3870))&gt;0,1,0))</f>
        <v/>
      </c>
      <c r="G3870">
        <f>IF(A3870="","",IF(OR(B3870&lt;&gt;B3869,C3870&lt;&gt;C3869,E3870&lt;&gt;E3869),G3869+1,G3869))</f>
        <v/>
      </c>
    </row>
    <row r="3871">
      <c r="A3871" s="20">
        <f>IF(A3870="","",IF(A3870+1&gt;Ввод!$B$4,"",A3870+1))</f>
        <v/>
      </c>
      <c r="B3871">
        <f>IF(A3871="","",IFERROR(INDEX(Ввод!$B$12:$B$71,MATCH(A3871,Ввод!$D$12:$D$71,1)),""))</f>
        <v/>
      </c>
      <c r="C3871">
        <f>IF(A3871="","",DATE(YEAR(A3871),12,31)-DATE(YEAR(A3871),1,1)+1)</f>
        <v/>
      </c>
      <c r="D3871">
        <f>IF(A3871="","",SUMIFS(Акты!$D$5:$D$16,Акты!$E$5:$E$16,"&lt;="&amp;A3871)-SUMIFS(Оплаты!$B$6:$B$505,Оплаты!$A$6:$A$505,"&lt;"&amp;A3871,Оплаты!$D$6:$D$505,"&lt;&gt;"))</f>
        <v/>
      </c>
      <c r="E3871">
        <f>IF(A3871="","",IF(SUMPRODUCT((Ввод!$F$12:$F$31&lt;&gt;"")*(Ввод!$F$12:$F$31&lt;=A3871)*(Ввод!$G$12:$G$31&gt;=A3871))&gt;0,1,0))</f>
        <v/>
      </c>
      <c r="G3871">
        <f>IF(A3871="","",IF(OR(B3871&lt;&gt;B3870,C3871&lt;&gt;C3870,E3871&lt;&gt;E3870),G3870+1,G3870))</f>
        <v/>
      </c>
    </row>
    <row r="3872">
      <c r="A3872" s="20">
        <f>IF(A3871="","",IF(A3871+1&gt;Ввод!$B$4,"",A3871+1))</f>
        <v/>
      </c>
      <c r="B3872">
        <f>IF(A3872="","",IFERROR(INDEX(Ввод!$B$12:$B$71,MATCH(A3872,Ввод!$D$12:$D$71,1)),""))</f>
        <v/>
      </c>
      <c r="C3872">
        <f>IF(A3872="","",DATE(YEAR(A3872),12,31)-DATE(YEAR(A3872),1,1)+1)</f>
        <v/>
      </c>
      <c r="D3872">
        <f>IF(A3872="","",SUMIFS(Акты!$D$5:$D$16,Акты!$E$5:$E$16,"&lt;="&amp;A3872)-SUMIFS(Оплаты!$B$6:$B$505,Оплаты!$A$6:$A$505,"&lt;"&amp;A3872,Оплаты!$D$6:$D$505,"&lt;&gt;"))</f>
        <v/>
      </c>
      <c r="E3872">
        <f>IF(A3872="","",IF(SUMPRODUCT((Ввод!$F$12:$F$31&lt;&gt;"")*(Ввод!$F$12:$F$31&lt;=A3872)*(Ввод!$G$12:$G$31&gt;=A3872))&gt;0,1,0))</f>
        <v/>
      </c>
      <c r="G3872">
        <f>IF(A3872="","",IF(OR(B3872&lt;&gt;B3871,C3872&lt;&gt;C3871,E3872&lt;&gt;E3871),G3871+1,G3871))</f>
        <v/>
      </c>
    </row>
    <row r="3873">
      <c r="A3873" s="20">
        <f>IF(A3872="","",IF(A3872+1&gt;Ввод!$B$4,"",A3872+1))</f>
        <v/>
      </c>
      <c r="B3873">
        <f>IF(A3873="","",IFERROR(INDEX(Ввод!$B$12:$B$71,MATCH(A3873,Ввод!$D$12:$D$71,1)),""))</f>
        <v/>
      </c>
      <c r="C3873">
        <f>IF(A3873="","",DATE(YEAR(A3873),12,31)-DATE(YEAR(A3873),1,1)+1)</f>
        <v/>
      </c>
      <c r="D3873">
        <f>IF(A3873="","",SUMIFS(Акты!$D$5:$D$16,Акты!$E$5:$E$16,"&lt;="&amp;A3873)-SUMIFS(Оплаты!$B$6:$B$505,Оплаты!$A$6:$A$505,"&lt;"&amp;A3873,Оплаты!$D$6:$D$505,"&lt;&gt;"))</f>
        <v/>
      </c>
      <c r="E3873">
        <f>IF(A3873="","",IF(SUMPRODUCT((Ввод!$F$12:$F$31&lt;&gt;"")*(Ввод!$F$12:$F$31&lt;=A3873)*(Ввод!$G$12:$G$31&gt;=A3873))&gt;0,1,0))</f>
        <v/>
      </c>
      <c r="G3873">
        <f>IF(A3873="","",IF(OR(B3873&lt;&gt;B3872,C3873&lt;&gt;C3872,E3873&lt;&gt;E3872),G3872+1,G3872))</f>
        <v/>
      </c>
    </row>
    <row r="3874">
      <c r="A3874" s="20">
        <f>IF(A3873="","",IF(A3873+1&gt;Ввод!$B$4,"",A3873+1))</f>
        <v/>
      </c>
      <c r="B3874">
        <f>IF(A3874="","",IFERROR(INDEX(Ввод!$B$12:$B$71,MATCH(A3874,Ввод!$D$12:$D$71,1)),""))</f>
        <v/>
      </c>
      <c r="C3874">
        <f>IF(A3874="","",DATE(YEAR(A3874),12,31)-DATE(YEAR(A3874),1,1)+1)</f>
        <v/>
      </c>
      <c r="D3874">
        <f>IF(A3874="","",SUMIFS(Акты!$D$5:$D$16,Акты!$E$5:$E$16,"&lt;="&amp;A3874)-SUMIFS(Оплаты!$B$6:$B$505,Оплаты!$A$6:$A$505,"&lt;"&amp;A3874,Оплаты!$D$6:$D$505,"&lt;&gt;"))</f>
        <v/>
      </c>
      <c r="E3874">
        <f>IF(A3874="","",IF(SUMPRODUCT((Ввод!$F$12:$F$31&lt;&gt;"")*(Ввод!$F$12:$F$31&lt;=A3874)*(Ввод!$G$12:$G$31&gt;=A3874))&gt;0,1,0))</f>
        <v/>
      </c>
      <c r="G3874">
        <f>IF(A3874="","",IF(OR(B3874&lt;&gt;B3873,C3874&lt;&gt;C3873,E3874&lt;&gt;E3873),G3873+1,G3873))</f>
        <v/>
      </c>
    </row>
    <row r="3875">
      <c r="A3875" s="20">
        <f>IF(A3874="","",IF(A3874+1&gt;Ввод!$B$4,"",A3874+1))</f>
        <v/>
      </c>
      <c r="B3875">
        <f>IF(A3875="","",IFERROR(INDEX(Ввод!$B$12:$B$71,MATCH(A3875,Ввод!$D$12:$D$71,1)),""))</f>
        <v/>
      </c>
      <c r="C3875">
        <f>IF(A3875="","",DATE(YEAR(A3875),12,31)-DATE(YEAR(A3875),1,1)+1)</f>
        <v/>
      </c>
      <c r="D3875">
        <f>IF(A3875="","",SUMIFS(Акты!$D$5:$D$16,Акты!$E$5:$E$16,"&lt;="&amp;A3875)-SUMIFS(Оплаты!$B$6:$B$505,Оплаты!$A$6:$A$505,"&lt;"&amp;A3875,Оплаты!$D$6:$D$505,"&lt;&gt;"))</f>
        <v/>
      </c>
      <c r="E3875">
        <f>IF(A3875="","",IF(SUMPRODUCT((Ввод!$F$12:$F$31&lt;&gt;"")*(Ввод!$F$12:$F$31&lt;=A3875)*(Ввод!$G$12:$G$31&gt;=A3875))&gt;0,1,0))</f>
        <v/>
      </c>
      <c r="G3875">
        <f>IF(A3875="","",IF(OR(B3875&lt;&gt;B3874,C3875&lt;&gt;C3874,E3875&lt;&gt;E3874),G3874+1,G3874))</f>
        <v/>
      </c>
    </row>
    <row r="3876">
      <c r="A3876" s="20">
        <f>IF(A3875="","",IF(A3875+1&gt;Ввод!$B$4,"",A3875+1))</f>
        <v/>
      </c>
      <c r="B3876">
        <f>IF(A3876="","",IFERROR(INDEX(Ввод!$B$12:$B$71,MATCH(A3876,Ввод!$D$12:$D$71,1)),""))</f>
        <v/>
      </c>
      <c r="C3876">
        <f>IF(A3876="","",DATE(YEAR(A3876),12,31)-DATE(YEAR(A3876),1,1)+1)</f>
        <v/>
      </c>
      <c r="D3876">
        <f>IF(A3876="","",SUMIFS(Акты!$D$5:$D$16,Акты!$E$5:$E$16,"&lt;="&amp;A3876)-SUMIFS(Оплаты!$B$6:$B$505,Оплаты!$A$6:$A$505,"&lt;"&amp;A3876,Оплаты!$D$6:$D$505,"&lt;&gt;"))</f>
        <v/>
      </c>
      <c r="E3876">
        <f>IF(A3876="","",IF(SUMPRODUCT((Ввод!$F$12:$F$31&lt;&gt;"")*(Ввод!$F$12:$F$31&lt;=A3876)*(Ввод!$G$12:$G$31&gt;=A3876))&gt;0,1,0))</f>
        <v/>
      </c>
      <c r="G3876">
        <f>IF(A3876="","",IF(OR(B3876&lt;&gt;B3875,C3876&lt;&gt;C3875,E3876&lt;&gt;E3875),G3875+1,G3875))</f>
        <v/>
      </c>
    </row>
    <row r="3877">
      <c r="A3877" s="20">
        <f>IF(A3876="","",IF(A3876+1&gt;Ввод!$B$4,"",A3876+1))</f>
        <v/>
      </c>
      <c r="B3877">
        <f>IF(A3877="","",IFERROR(INDEX(Ввод!$B$12:$B$71,MATCH(A3877,Ввод!$D$12:$D$71,1)),""))</f>
        <v/>
      </c>
      <c r="C3877">
        <f>IF(A3877="","",DATE(YEAR(A3877),12,31)-DATE(YEAR(A3877),1,1)+1)</f>
        <v/>
      </c>
      <c r="D3877">
        <f>IF(A3877="","",SUMIFS(Акты!$D$5:$D$16,Акты!$E$5:$E$16,"&lt;="&amp;A3877)-SUMIFS(Оплаты!$B$6:$B$505,Оплаты!$A$6:$A$505,"&lt;"&amp;A3877,Оплаты!$D$6:$D$505,"&lt;&gt;"))</f>
        <v/>
      </c>
      <c r="E3877">
        <f>IF(A3877="","",IF(SUMPRODUCT((Ввод!$F$12:$F$31&lt;&gt;"")*(Ввод!$F$12:$F$31&lt;=A3877)*(Ввод!$G$12:$G$31&gt;=A3877))&gt;0,1,0))</f>
        <v/>
      </c>
      <c r="G3877">
        <f>IF(A3877="","",IF(OR(B3877&lt;&gt;B3876,C3877&lt;&gt;C3876,E3877&lt;&gt;E3876),G3876+1,G3876))</f>
        <v/>
      </c>
    </row>
    <row r="3878">
      <c r="A3878" s="20">
        <f>IF(A3877="","",IF(A3877+1&gt;Ввод!$B$4,"",A3877+1))</f>
        <v/>
      </c>
      <c r="B3878">
        <f>IF(A3878="","",IFERROR(INDEX(Ввод!$B$12:$B$71,MATCH(A3878,Ввод!$D$12:$D$71,1)),""))</f>
        <v/>
      </c>
      <c r="C3878">
        <f>IF(A3878="","",DATE(YEAR(A3878),12,31)-DATE(YEAR(A3878),1,1)+1)</f>
        <v/>
      </c>
      <c r="D3878">
        <f>IF(A3878="","",SUMIFS(Акты!$D$5:$D$16,Акты!$E$5:$E$16,"&lt;="&amp;A3878)-SUMIFS(Оплаты!$B$6:$B$505,Оплаты!$A$6:$A$505,"&lt;"&amp;A3878,Оплаты!$D$6:$D$505,"&lt;&gt;"))</f>
        <v/>
      </c>
      <c r="E3878">
        <f>IF(A3878="","",IF(SUMPRODUCT((Ввод!$F$12:$F$31&lt;&gt;"")*(Ввод!$F$12:$F$31&lt;=A3878)*(Ввод!$G$12:$G$31&gt;=A3878))&gt;0,1,0))</f>
        <v/>
      </c>
      <c r="G3878">
        <f>IF(A3878="","",IF(OR(B3878&lt;&gt;B3877,C3878&lt;&gt;C3877,E3878&lt;&gt;E3877),G3877+1,G3877))</f>
        <v/>
      </c>
    </row>
    <row r="3879">
      <c r="A3879" s="20">
        <f>IF(A3878="","",IF(A3878+1&gt;Ввод!$B$4,"",A3878+1))</f>
        <v/>
      </c>
      <c r="B3879">
        <f>IF(A3879="","",IFERROR(INDEX(Ввод!$B$12:$B$71,MATCH(A3879,Ввод!$D$12:$D$71,1)),""))</f>
        <v/>
      </c>
      <c r="C3879">
        <f>IF(A3879="","",DATE(YEAR(A3879),12,31)-DATE(YEAR(A3879),1,1)+1)</f>
        <v/>
      </c>
      <c r="D3879">
        <f>IF(A3879="","",SUMIFS(Акты!$D$5:$D$16,Акты!$E$5:$E$16,"&lt;="&amp;A3879)-SUMIFS(Оплаты!$B$6:$B$505,Оплаты!$A$6:$A$505,"&lt;"&amp;A3879,Оплаты!$D$6:$D$505,"&lt;&gt;"))</f>
        <v/>
      </c>
      <c r="E3879">
        <f>IF(A3879="","",IF(SUMPRODUCT((Ввод!$F$12:$F$31&lt;&gt;"")*(Ввод!$F$12:$F$31&lt;=A3879)*(Ввод!$G$12:$G$31&gt;=A3879))&gt;0,1,0))</f>
        <v/>
      </c>
      <c r="G3879">
        <f>IF(A3879="","",IF(OR(B3879&lt;&gt;B3878,C3879&lt;&gt;C3878,E3879&lt;&gt;E3878),G3878+1,G3878))</f>
        <v/>
      </c>
    </row>
    <row r="3880">
      <c r="A3880" s="20">
        <f>IF(A3879="","",IF(A3879+1&gt;Ввод!$B$4,"",A3879+1))</f>
        <v/>
      </c>
      <c r="B3880">
        <f>IF(A3880="","",IFERROR(INDEX(Ввод!$B$12:$B$71,MATCH(A3880,Ввод!$D$12:$D$71,1)),""))</f>
        <v/>
      </c>
      <c r="C3880">
        <f>IF(A3880="","",DATE(YEAR(A3880),12,31)-DATE(YEAR(A3880),1,1)+1)</f>
        <v/>
      </c>
      <c r="D3880">
        <f>IF(A3880="","",SUMIFS(Акты!$D$5:$D$16,Акты!$E$5:$E$16,"&lt;="&amp;A3880)-SUMIFS(Оплаты!$B$6:$B$505,Оплаты!$A$6:$A$505,"&lt;"&amp;A3880,Оплаты!$D$6:$D$505,"&lt;&gt;"))</f>
        <v/>
      </c>
      <c r="E3880">
        <f>IF(A3880="","",IF(SUMPRODUCT((Ввод!$F$12:$F$31&lt;&gt;"")*(Ввод!$F$12:$F$31&lt;=A3880)*(Ввод!$G$12:$G$31&gt;=A3880))&gt;0,1,0))</f>
        <v/>
      </c>
      <c r="G3880">
        <f>IF(A3880="","",IF(OR(B3880&lt;&gt;B3879,C3880&lt;&gt;C3879,E3880&lt;&gt;E3879),G3879+1,G3879))</f>
        <v/>
      </c>
    </row>
    <row r="3881">
      <c r="A3881" s="20">
        <f>IF(A3880="","",IF(A3880+1&gt;Ввод!$B$4,"",A3880+1))</f>
        <v/>
      </c>
      <c r="B3881">
        <f>IF(A3881="","",IFERROR(INDEX(Ввод!$B$12:$B$71,MATCH(A3881,Ввод!$D$12:$D$71,1)),""))</f>
        <v/>
      </c>
      <c r="C3881">
        <f>IF(A3881="","",DATE(YEAR(A3881),12,31)-DATE(YEAR(A3881),1,1)+1)</f>
        <v/>
      </c>
      <c r="D3881">
        <f>IF(A3881="","",SUMIFS(Акты!$D$5:$D$16,Акты!$E$5:$E$16,"&lt;="&amp;A3881)-SUMIFS(Оплаты!$B$6:$B$505,Оплаты!$A$6:$A$505,"&lt;"&amp;A3881,Оплаты!$D$6:$D$505,"&lt;&gt;"))</f>
        <v/>
      </c>
      <c r="E3881">
        <f>IF(A3881="","",IF(SUMPRODUCT((Ввод!$F$12:$F$31&lt;&gt;"")*(Ввод!$F$12:$F$31&lt;=A3881)*(Ввод!$G$12:$G$31&gt;=A3881))&gt;0,1,0))</f>
        <v/>
      </c>
      <c r="G3881">
        <f>IF(A3881="","",IF(OR(B3881&lt;&gt;B3880,C3881&lt;&gt;C3880,E3881&lt;&gt;E3880),G3880+1,G3880))</f>
        <v/>
      </c>
    </row>
    <row r="3882">
      <c r="A3882" s="20">
        <f>IF(A3881="","",IF(A3881+1&gt;Ввод!$B$4,"",A3881+1))</f>
        <v/>
      </c>
      <c r="B3882">
        <f>IF(A3882="","",IFERROR(INDEX(Ввод!$B$12:$B$71,MATCH(A3882,Ввод!$D$12:$D$71,1)),""))</f>
        <v/>
      </c>
      <c r="C3882">
        <f>IF(A3882="","",DATE(YEAR(A3882),12,31)-DATE(YEAR(A3882),1,1)+1)</f>
        <v/>
      </c>
      <c r="D3882">
        <f>IF(A3882="","",SUMIFS(Акты!$D$5:$D$16,Акты!$E$5:$E$16,"&lt;="&amp;A3882)-SUMIFS(Оплаты!$B$6:$B$505,Оплаты!$A$6:$A$505,"&lt;"&amp;A3882,Оплаты!$D$6:$D$505,"&lt;&gt;"))</f>
        <v/>
      </c>
      <c r="E3882">
        <f>IF(A3882="","",IF(SUMPRODUCT((Ввод!$F$12:$F$31&lt;&gt;"")*(Ввод!$F$12:$F$31&lt;=A3882)*(Ввод!$G$12:$G$31&gt;=A3882))&gt;0,1,0))</f>
        <v/>
      </c>
      <c r="G3882">
        <f>IF(A3882="","",IF(OR(B3882&lt;&gt;B3881,C3882&lt;&gt;C3881,E3882&lt;&gt;E3881),G3881+1,G3881))</f>
        <v/>
      </c>
    </row>
    <row r="3883">
      <c r="A3883" s="20">
        <f>IF(A3882="","",IF(A3882+1&gt;Ввод!$B$4,"",A3882+1))</f>
        <v/>
      </c>
      <c r="B3883">
        <f>IF(A3883="","",IFERROR(INDEX(Ввод!$B$12:$B$71,MATCH(A3883,Ввод!$D$12:$D$71,1)),""))</f>
        <v/>
      </c>
      <c r="C3883">
        <f>IF(A3883="","",DATE(YEAR(A3883),12,31)-DATE(YEAR(A3883),1,1)+1)</f>
        <v/>
      </c>
      <c r="D3883">
        <f>IF(A3883="","",SUMIFS(Акты!$D$5:$D$16,Акты!$E$5:$E$16,"&lt;="&amp;A3883)-SUMIFS(Оплаты!$B$6:$B$505,Оплаты!$A$6:$A$505,"&lt;"&amp;A3883,Оплаты!$D$6:$D$505,"&lt;&gt;"))</f>
        <v/>
      </c>
      <c r="E3883">
        <f>IF(A3883="","",IF(SUMPRODUCT((Ввод!$F$12:$F$31&lt;&gt;"")*(Ввод!$F$12:$F$31&lt;=A3883)*(Ввод!$G$12:$G$31&gt;=A3883))&gt;0,1,0))</f>
        <v/>
      </c>
      <c r="G3883">
        <f>IF(A3883="","",IF(OR(B3883&lt;&gt;B3882,C3883&lt;&gt;C3882,E3883&lt;&gt;E3882),G3882+1,G3882))</f>
        <v/>
      </c>
    </row>
    <row r="3884">
      <c r="A3884" s="20">
        <f>IF(A3883="","",IF(A3883+1&gt;Ввод!$B$4,"",A3883+1))</f>
        <v/>
      </c>
      <c r="B3884">
        <f>IF(A3884="","",IFERROR(INDEX(Ввод!$B$12:$B$71,MATCH(A3884,Ввод!$D$12:$D$71,1)),""))</f>
        <v/>
      </c>
      <c r="C3884">
        <f>IF(A3884="","",DATE(YEAR(A3884),12,31)-DATE(YEAR(A3884),1,1)+1)</f>
        <v/>
      </c>
      <c r="D3884">
        <f>IF(A3884="","",SUMIFS(Акты!$D$5:$D$16,Акты!$E$5:$E$16,"&lt;="&amp;A3884)-SUMIFS(Оплаты!$B$6:$B$505,Оплаты!$A$6:$A$505,"&lt;"&amp;A3884,Оплаты!$D$6:$D$505,"&lt;&gt;"))</f>
        <v/>
      </c>
      <c r="E3884">
        <f>IF(A3884="","",IF(SUMPRODUCT((Ввод!$F$12:$F$31&lt;&gt;"")*(Ввод!$F$12:$F$31&lt;=A3884)*(Ввод!$G$12:$G$31&gt;=A3884))&gt;0,1,0))</f>
        <v/>
      </c>
      <c r="G3884">
        <f>IF(A3884="","",IF(OR(B3884&lt;&gt;B3883,C3884&lt;&gt;C3883,E3884&lt;&gt;E3883),G3883+1,G3883))</f>
        <v/>
      </c>
    </row>
    <row r="3885">
      <c r="A3885" s="20">
        <f>IF(A3884="","",IF(A3884+1&gt;Ввод!$B$4,"",A3884+1))</f>
        <v/>
      </c>
      <c r="B3885">
        <f>IF(A3885="","",IFERROR(INDEX(Ввод!$B$12:$B$71,MATCH(A3885,Ввод!$D$12:$D$71,1)),""))</f>
        <v/>
      </c>
      <c r="C3885">
        <f>IF(A3885="","",DATE(YEAR(A3885),12,31)-DATE(YEAR(A3885),1,1)+1)</f>
        <v/>
      </c>
      <c r="D3885">
        <f>IF(A3885="","",SUMIFS(Акты!$D$5:$D$16,Акты!$E$5:$E$16,"&lt;="&amp;A3885)-SUMIFS(Оплаты!$B$6:$B$505,Оплаты!$A$6:$A$505,"&lt;"&amp;A3885,Оплаты!$D$6:$D$505,"&lt;&gt;"))</f>
        <v/>
      </c>
      <c r="E3885">
        <f>IF(A3885="","",IF(SUMPRODUCT((Ввод!$F$12:$F$31&lt;&gt;"")*(Ввод!$F$12:$F$31&lt;=A3885)*(Ввод!$G$12:$G$31&gt;=A3885))&gt;0,1,0))</f>
        <v/>
      </c>
      <c r="G3885">
        <f>IF(A3885="","",IF(OR(B3885&lt;&gt;B3884,C3885&lt;&gt;C3884,E3885&lt;&gt;E3884),G3884+1,G3884))</f>
        <v/>
      </c>
    </row>
    <row r="3886">
      <c r="A3886" s="20">
        <f>IF(A3885="","",IF(A3885+1&gt;Ввод!$B$4,"",A3885+1))</f>
        <v/>
      </c>
      <c r="B3886">
        <f>IF(A3886="","",IFERROR(INDEX(Ввод!$B$12:$B$71,MATCH(A3886,Ввод!$D$12:$D$71,1)),""))</f>
        <v/>
      </c>
      <c r="C3886">
        <f>IF(A3886="","",DATE(YEAR(A3886),12,31)-DATE(YEAR(A3886),1,1)+1)</f>
        <v/>
      </c>
      <c r="D3886">
        <f>IF(A3886="","",SUMIFS(Акты!$D$5:$D$16,Акты!$E$5:$E$16,"&lt;="&amp;A3886)-SUMIFS(Оплаты!$B$6:$B$505,Оплаты!$A$6:$A$505,"&lt;"&amp;A3886,Оплаты!$D$6:$D$505,"&lt;&gt;"))</f>
        <v/>
      </c>
      <c r="E3886">
        <f>IF(A3886="","",IF(SUMPRODUCT((Ввод!$F$12:$F$31&lt;&gt;"")*(Ввод!$F$12:$F$31&lt;=A3886)*(Ввод!$G$12:$G$31&gt;=A3886))&gt;0,1,0))</f>
        <v/>
      </c>
      <c r="G3886">
        <f>IF(A3886="","",IF(OR(B3886&lt;&gt;B3885,C3886&lt;&gt;C3885,E3886&lt;&gt;E3885),G3885+1,G3885))</f>
        <v/>
      </c>
    </row>
    <row r="3887">
      <c r="A3887" s="20">
        <f>IF(A3886="","",IF(A3886+1&gt;Ввод!$B$4,"",A3886+1))</f>
        <v/>
      </c>
      <c r="B3887">
        <f>IF(A3887="","",IFERROR(INDEX(Ввод!$B$12:$B$71,MATCH(A3887,Ввод!$D$12:$D$71,1)),""))</f>
        <v/>
      </c>
      <c r="C3887">
        <f>IF(A3887="","",DATE(YEAR(A3887),12,31)-DATE(YEAR(A3887),1,1)+1)</f>
        <v/>
      </c>
      <c r="D3887">
        <f>IF(A3887="","",SUMIFS(Акты!$D$5:$D$16,Акты!$E$5:$E$16,"&lt;="&amp;A3887)-SUMIFS(Оплаты!$B$6:$B$505,Оплаты!$A$6:$A$505,"&lt;"&amp;A3887,Оплаты!$D$6:$D$505,"&lt;&gt;"))</f>
        <v/>
      </c>
      <c r="E3887">
        <f>IF(A3887="","",IF(SUMPRODUCT((Ввод!$F$12:$F$31&lt;&gt;"")*(Ввод!$F$12:$F$31&lt;=A3887)*(Ввод!$G$12:$G$31&gt;=A3887))&gt;0,1,0))</f>
        <v/>
      </c>
      <c r="G3887">
        <f>IF(A3887="","",IF(OR(B3887&lt;&gt;B3886,C3887&lt;&gt;C3886,E3887&lt;&gt;E3886),G3886+1,G3886))</f>
        <v/>
      </c>
    </row>
    <row r="3888">
      <c r="A3888" s="20">
        <f>IF(A3887="","",IF(A3887+1&gt;Ввод!$B$4,"",A3887+1))</f>
        <v/>
      </c>
      <c r="B3888">
        <f>IF(A3888="","",IFERROR(INDEX(Ввод!$B$12:$B$71,MATCH(A3888,Ввод!$D$12:$D$71,1)),""))</f>
        <v/>
      </c>
      <c r="C3888">
        <f>IF(A3888="","",DATE(YEAR(A3888),12,31)-DATE(YEAR(A3888),1,1)+1)</f>
        <v/>
      </c>
      <c r="D3888">
        <f>IF(A3888="","",SUMIFS(Акты!$D$5:$D$16,Акты!$E$5:$E$16,"&lt;="&amp;A3888)-SUMIFS(Оплаты!$B$6:$B$505,Оплаты!$A$6:$A$505,"&lt;"&amp;A3888,Оплаты!$D$6:$D$505,"&lt;&gt;"))</f>
        <v/>
      </c>
      <c r="E3888">
        <f>IF(A3888="","",IF(SUMPRODUCT((Ввод!$F$12:$F$31&lt;&gt;"")*(Ввод!$F$12:$F$31&lt;=A3888)*(Ввод!$G$12:$G$31&gt;=A3888))&gt;0,1,0))</f>
        <v/>
      </c>
      <c r="G3888">
        <f>IF(A3888="","",IF(OR(B3888&lt;&gt;B3887,C3888&lt;&gt;C3887,E3888&lt;&gt;E3887),G3887+1,G3887))</f>
        <v/>
      </c>
    </row>
    <row r="3889">
      <c r="A3889" s="20">
        <f>IF(A3888="","",IF(A3888+1&gt;Ввод!$B$4,"",A3888+1))</f>
        <v/>
      </c>
      <c r="B3889">
        <f>IF(A3889="","",IFERROR(INDEX(Ввод!$B$12:$B$71,MATCH(A3889,Ввод!$D$12:$D$71,1)),""))</f>
        <v/>
      </c>
      <c r="C3889">
        <f>IF(A3889="","",DATE(YEAR(A3889),12,31)-DATE(YEAR(A3889),1,1)+1)</f>
        <v/>
      </c>
      <c r="D3889">
        <f>IF(A3889="","",SUMIFS(Акты!$D$5:$D$16,Акты!$E$5:$E$16,"&lt;="&amp;A3889)-SUMIFS(Оплаты!$B$6:$B$505,Оплаты!$A$6:$A$505,"&lt;"&amp;A3889,Оплаты!$D$6:$D$505,"&lt;&gt;"))</f>
        <v/>
      </c>
      <c r="E3889">
        <f>IF(A3889="","",IF(SUMPRODUCT((Ввод!$F$12:$F$31&lt;&gt;"")*(Ввод!$F$12:$F$31&lt;=A3889)*(Ввод!$G$12:$G$31&gt;=A3889))&gt;0,1,0))</f>
        <v/>
      </c>
      <c r="G3889">
        <f>IF(A3889="","",IF(OR(B3889&lt;&gt;B3888,C3889&lt;&gt;C3888,E3889&lt;&gt;E3888),G3888+1,G3888))</f>
        <v/>
      </c>
    </row>
    <row r="3890">
      <c r="A3890" s="20">
        <f>IF(A3889="","",IF(A3889+1&gt;Ввод!$B$4,"",A3889+1))</f>
        <v/>
      </c>
      <c r="B3890">
        <f>IF(A3890="","",IFERROR(INDEX(Ввод!$B$12:$B$71,MATCH(A3890,Ввод!$D$12:$D$71,1)),""))</f>
        <v/>
      </c>
      <c r="C3890">
        <f>IF(A3890="","",DATE(YEAR(A3890),12,31)-DATE(YEAR(A3890),1,1)+1)</f>
        <v/>
      </c>
      <c r="D3890">
        <f>IF(A3890="","",SUMIFS(Акты!$D$5:$D$16,Акты!$E$5:$E$16,"&lt;="&amp;A3890)-SUMIFS(Оплаты!$B$6:$B$505,Оплаты!$A$6:$A$505,"&lt;"&amp;A3890,Оплаты!$D$6:$D$505,"&lt;&gt;"))</f>
        <v/>
      </c>
      <c r="E3890">
        <f>IF(A3890="","",IF(SUMPRODUCT((Ввод!$F$12:$F$31&lt;&gt;"")*(Ввод!$F$12:$F$31&lt;=A3890)*(Ввод!$G$12:$G$31&gt;=A3890))&gt;0,1,0))</f>
        <v/>
      </c>
      <c r="G3890">
        <f>IF(A3890="","",IF(OR(B3890&lt;&gt;B3889,C3890&lt;&gt;C3889,E3890&lt;&gt;E3889),G3889+1,G3889))</f>
        <v/>
      </c>
    </row>
    <row r="3891">
      <c r="A3891" s="20">
        <f>IF(A3890="","",IF(A3890+1&gt;Ввод!$B$4,"",A3890+1))</f>
        <v/>
      </c>
      <c r="B3891">
        <f>IF(A3891="","",IFERROR(INDEX(Ввод!$B$12:$B$71,MATCH(A3891,Ввод!$D$12:$D$71,1)),""))</f>
        <v/>
      </c>
      <c r="C3891">
        <f>IF(A3891="","",DATE(YEAR(A3891),12,31)-DATE(YEAR(A3891),1,1)+1)</f>
        <v/>
      </c>
      <c r="D3891">
        <f>IF(A3891="","",SUMIFS(Акты!$D$5:$D$16,Акты!$E$5:$E$16,"&lt;="&amp;A3891)-SUMIFS(Оплаты!$B$6:$B$505,Оплаты!$A$6:$A$505,"&lt;"&amp;A3891,Оплаты!$D$6:$D$505,"&lt;&gt;"))</f>
        <v/>
      </c>
      <c r="E3891">
        <f>IF(A3891="","",IF(SUMPRODUCT((Ввод!$F$12:$F$31&lt;&gt;"")*(Ввод!$F$12:$F$31&lt;=A3891)*(Ввод!$G$12:$G$31&gt;=A3891))&gt;0,1,0))</f>
        <v/>
      </c>
      <c r="G3891">
        <f>IF(A3891="","",IF(OR(B3891&lt;&gt;B3890,C3891&lt;&gt;C3890,E3891&lt;&gt;E3890),G3890+1,G3890))</f>
        <v/>
      </c>
    </row>
    <row r="3892">
      <c r="A3892" s="20">
        <f>IF(A3891="","",IF(A3891+1&gt;Ввод!$B$4,"",A3891+1))</f>
        <v/>
      </c>
      <c r="B3892">
        <f>IF(A3892="","",IFERROR(INDEX(Ввод!$B$12:$B$71,MATCH(A3892,Ввод!$D$12:$D$71,1)),""))</f>
        <v/>
      </c>
      <c r="C3892">
        <f>IF(A3892="","",DATE(YEAR(A3892),12,31)-DATE(YEAR(A3892),1,1)+1)</f>
        <v/>
      </c>
      <c r="D3892">
        <f>IF(A3892="","",SUMIFS(Акты!$D$5:$D$16,Акты!$E$5:$E$16,"&lt;="&amp;A3892)-SUMIFS(Оплаты!$B$6:$B$505,Оплаты!$A$6:$A$505,"&lt;"&amp;A3892,Оплаты!$D$6:$D$505,"&lt;&gt;"))</f>
        <v/>
      </c>
      <c r="E3892">
        <f>IF(A3892="","",IF(SUMPRODUCT((Ввод!$F$12:$F$31&lt;&gt;"")*(Ввод!$F$12:$F$31&lt;=A3892)*(Ввод!$G$12:$G$31&gt;=A3892))&gt;0,1,0))</f>
        <v/>
      </c>
      <c r="G3892">
        <f>IF(A3892="","",IF(OR(B3892&lt;&gt;B3891,C3892&lt;&gt;C3891,E3892&lt;&gt;E3891),G3891+1,G3891))</f>
        <v/>
      </c>
    </row>
    <row r="3893">
      <c r="A3893" s="20">
        <f>IF(A3892="","",IF(A3892+1&gt;Ввод!$B$4,"",A3892+1))</f>
        <v/>
      </c>
      <c r="B3893">
        <f>IF(A3893="","",IFERROR(INDEX(Ввод!$B$12:$B$71,MATCH(A3893,Ввод!$D$12:$D$71,1)),""))</f>
        <v/>
      </c>
      <c r="C3893">
        <f>IF(A3893="","",DATE(YEAR(A3893),12,31)-DATE(YEAR(A3893),1,1)+1)</f>
        <v/>
      </c>
      <c r="D3893">
        <f>IF(A3893="","",SUMIFS(Акты!$D$5:$D$16,Акты!$E$5:$E$16,"&lt;="&amp;A3893)-SUMIFS(Оплаты!$B$6:$B$505,Оплаты!$A$6:$A$505,"&lt;"&amp;A3893,Оплаты!$D$6:$D$505,"&lt;&gt;"))</f>
        <v/>
      </c>
      <c r="E3893">
        <f>IF(A3893="","",IF(SUMPRODUCT((Ввод!$F$12:$F$31&lt;&gt;"")*(Ввод!$F$12:$F$31&lt;=A3893)*(Ввод!$G$12:$G$31&gt;=A3893))&gt;0,1,0))</f>
        <v/>
      </c>
      <c r="G3893">
        <f>IF(A3893="","",IF(OR(B3893&lt;&gt;B3892,C3893&lt;&gt;C3892,E3893&lt;&gt;E3892),G3892+1,G3892))</f>
        <v/>
      </c>
    </row>
    <row r="3894">
      <c r="A3894" s="20">
        <f>IF(A3893="","",IF(A3893+1&gt;Ввод!$B$4,"",A3893+1))</f>
        <v/>
      </c>
      <c r="B3894">
        <f>IF(A3894="","",IFERROR(INDEX(Ввод!$B$12:$B$71,MATCH(A3894,Ввод!$D$12:$D$71,1)),""))</f>
        <v/>
      </c>
      <c r="C3894">
        <f>IF(A3894="","",DATE(YEAR(A3894),12,31)-DATE(YEAR(A3894),1,1)+1)</f>
        <v/>
      </c>
      <c r="D3894">
        <f>IF(A3894="","",SUMIFS(Акты!$D$5:$D$16,Акты!$E$5:$E$16,"&lt;="&amp;A3894)-SUMIFS(Оплаты!$B$6:$B$505,Оплаты!$A$6:$A$505,"&lt;"&amp;A3894,Оплаты!$D$6:$D$505,"&lt;&gt;"))</f>
        <v/>
      </c>
      <c r="E3894">
        <f>IF(A3894="","",IF(SUMPRODUCT((Ввод!$F$12:$F$31&lt;&gt;"")*(Ввод!$F$12:$F$31&lt;=A3894)*(Ввод!$G$12:$G$31&gt;=A3894))&gt;0,1,0))</f>
        <v/>
      </c>
      <c r="G3894">
        <f>IF(A3894="","",IF(OR(B3894&lt;&gt;B3893,C3894&lt;&gt;C3893,E3894&lt;&gt;E3893),G3893+1,G3893))</f>
        <v/>
      </c>
    </row>
    <row r="3895">
      <c r="A3895" s="20">
        <f>IF(A3894="","",IF(A3894+1&gt;Ввод!$B$4,"",A3894+1))</f>
        <v/>
      </c>
      <c r="B3895">
        <f>IF(A3895="","",IFERROR(INDEX(Ввод!$B$12:$B$71,MATCH(A3895,Ввод!$D$12:$D$71,1)),""))</f>
        <v/>
      </c>
      <c r="C3895">
        <f>IF(A3895="","",DATE(YEAR(A3895),12,31)-DATE(YEAR(A3895),1,1)+1)</f>
        <v/>
      </c>
      <c r="D3895">
        <f>IF(A3895="","",SUMIFS(Акты!$D$5:$D$16,Акты!$E$5:$E$16,"&lt;="&amp;A3895)-SUMIFS(Оплаты!$B$6:$B$505,Оплаты!$A$6:$A$505,"&lt;"&amp;A3895,Оплаты!$D$6:$D$505,"&lt;&gt;"))</f>
        <v/>
      </c>
      <c r="E3895">
        <f>IF(A3895="","",IF(SUMPRODUCT((Ввод!$F$12:$F$31&lt;&gt;"")*(Ввод!$F$12:$F$31&lt;=A3895)*(Ввод!$G$12:$G$31&gt;=A3895))&gt;0,1,0))</f>
        <v/>
      </c>
      <c r="G3895">
        <f>IF(A3895="","",IF(OR(B3895&lt;&gt;B3894,C3895&lt;&gt;C3894,E3895&lt;&gt;E3894),G3894+1,G3894))</f>
        <v/>
      </c>
    </row>
    <row r="3896">
      <c r="A3896" s="20">
        <f>IF(A3895="","",IF(A3895+1&gt;Ввод!$B$4,"",A3895+1))</f>
        <v/>
      </c>
      <c r="B3896">
        <f>IF(A3896="","",IFERROR(INDEX(Ввод!$B$12:$B$71,MATCH(A3896,Ввод!$D$12:$D$71,1)),""))</f>
        <v/>
      </c>
      <c r="C3896">
        <f>IF(A3896="","",DATE(YEAR(A3896),12,31)-DATE(YEAR(A3896),1,1)+1)</f>
        <v/>
      </c>
      <c r="D3896">
        <f>IF(A3896="","",SUMIFS(Акты!$D$5:$D$16,Акты!$E$5:$E$16,"&lt;="&amp;A3896)-SUMIFS(Оплаты!$B$6:$B$505,Оплаты!$A$6:$A$505,"&lt;"&amp;A3896,Оплаты!$D$6:$D$505,"&lt;&gt;"))</f>
        <v/>
      </c>
      <c r="E3896">
        <f>IF(A3896="","",IF(SUMPRODUCT((Ввод!$F$12:$F$31&lt;&gt;"")*(Ввод!$F$12:$F$31&lt;=A3896)*(Ввод!$G$12:$G$31&gt;=A3896))&gt;0,1,0))</f>
        <v/>
      </c>
      <c r="G3896">
        <f>IF(A3896="","",IF(OR(B3896&lt;&gt;B3895,C3896&lt;&gt;C3895,E3896&lt;&gt;E3895),G3895+1,G3895))</f>
        <v/>
      </c>
    </row>
    <row r="3897">
      <c r="A3897" s="20">
        <f>IF(A3896="","",IF(A3896+1&gt;Ввод!$B$4,"",A3896+1))</f>
        <v/>
      </c>
      <c r="B3897">
        <f>IF(A3897="","",IFERROR(INDEX(Ввод!$B$12:$B$71,MATCH(A3897,Ввод!$D$12:$D$71,1)),""))</f>
        <v/>
      </c>
      <c r="C3897">
        <f>IF(A3897="","",DATE(YEAR(A3897),12,31)-DATE(YEAR(A3897),1,1)+1)</f>
        <v/>
      </c>
      <c r="D3897">
        <f>IF(A3897="","",SUMIFS(Акты!$D$5:$D$16,Акты!$E$5:$E$16,"&lt;="&amp;A3897)-SUMIFS(Оплаты!$B$6:$B$505,Оплаты!$A$6:$A$505,"&lt;"&amp;A3897,Оплаты!$D$6:$D$505,"&lt;&gt;"))</f>
        <v/>
      </c>
      <c r="E3897">
        <f>IF(A3897="","",IF(SUMPRODUCT((Ввод!$F$12:$F$31&lt;&gt;"")*(Ввод!$F$12:$F$31&lt;=A3897)*(Ввод!$G$12:$G$31&gt;=A3897))&gt;0,1,0))</f>
        <v/>
      </c>
      <c r="G3897">
        <f>IF(A3897="","",IF(OR(B3897&lt;&gt;B3896,C3897&lt;&gt;C3896,E3897&lt;&gt;E3896),G3896+1,G3896))</f>
        <v/>
      </c>
    </row>
    <row r="3898">
      <c r="A3898" s="20">
        <f>IF(A3897="","",IF(A3897+1&gt;Ввод!$B$4,"",A3897+1))</f>
        <v/>
      </c>
      <c r="B3898">
        <f>IF(A3898="","",IFERROR(INDEX(Ввод!$B$12:$B$71,MATCH(A3898,Ввод!$D$12:$D$71,1)),""))</f>
        <v/>
      </c>
      <c r="C3898">
        <f>IF(A3898="","",DATE(YEAR(A3898),12,31)-DATE(YEAR(A3898),1,1)+1)</f>
        <v/>
      </c>
      <c r="D3898">
        <f>IF(A3898="","",SUMIFS(Акты!$D$5:$D$16,Акты!$E$5:$E$16,"&lt;="&amp;A3898)-SUMIFS(Оплаты!$B$6:$B$505,Оплаты!$A$6:$A$505,"&lt;"&amp;A3898,Оплаты!$D$6:$D$505,"&lt;&gt;"))</f>
        <v/>
      </c>
      <c r="E3898">
        <f>IF(A3898="","",IF(SUMPRODUCT((Ввод!$F$12:$F$31&lt;&gt;"")*(Ввод!$F$12:$F$31&lt;=A3898)*(Ввод!$G$12:$G$31&gt;=A3898))&gt;0,1,0))</f>
        <v/>
      </c>
      <c r="G3898">
        <f>IF(A3898="","",IF(OR(B3898&lt;&gt;B3897,C3898&lt;&gt;C3897,E3898&lt;&gt;E3897),G3897+1,G3897))</f>
        <v/>
      </c>
    </row>
    <row r="3899">
      <c r="A3899" s="20">
        <f>IF(A3898="","",IF(A3898+1&gt;Ввод!$B$4,"",A3898+1))</f>
        <v/>
      </c>
      <c r="B3899">
        <f>IF(A3899="","",IFERROR(INDEX(Ввод!$B$12:$B$71,MATCH(A3899,Ввод!$D$12:$D$71,1)),""))</f>
        <v/>
      </c>
      <c r="C3899">
        <f>IF(A3899="","",DATE(YEAR(A3899),12,31)-DATE(YEAR(A3899),1,1)+1)</f>
        <v/>
      </c>
      <c r="D3899">
        <f>IF(A3899="","",SUMIFS(Акты!$D$5:$D$16,Акты!$E$5:$E$16,"&lt;="&amp;A3899)-SUMIFS(Оплаты!$B$6:$B$505,Оплаты!$A$6:$A$505,"&lt;"&amp;A3899,Оплаты!$D$6:$D$505,"&lt;&gt;"))</f>
        <v/>
      </c>
      <c r="E3899">
        <f>IF(A3899="","",IF(SUMPRODUCT((Ввод!$F$12:$F$31&lt;&gt;"")*(Ввод!$F$12:$F$31&lt;=A3899)*(Ввод!$G$12:$G$31&gt;=A3899))&gt;0,1,0))</f>
        <v/>
      </c>
      <c r="G3899">
        <f>IF(A3899="","",IF(OR(B3899&lt;&gt;B3898,C3899&lt;&gt;C3898,E3899&lt;&gt;E3898),G3898+1,G3898))</f>
        <v/>
      </c>
    </row>
    <row r="3900">
      <c r="A3900" s="20">
        <f>IF(A3899="","",IF(A3899+1&gt;Ввод!$B$4,"",A3899+1))</f>
        <v/>
      </c>
      <c r="B3900">
        <f>IF(A3900="","",IFERROR(INDEX(Ввод!$B$12:$B$71,MATCH(A3900,Ввод!$D$12:$D$71,1)),""))</f>
        <v/>
      </c>
      <c r="C3900">
        <f>IF(A3900="","",DATE(YEAR(A3900),12,31)-DATE(YEAR(A3900),1,1)+1)</f>
        <v/>
      </c>
      <c r="D3900">
        <f>IF(A3900="","",SUMIFS(Акты!$D$5:$D$16,Акты!$E$5:$E$16,"&lt;="&amp;A3900)-SUMIFS(Оплаты!$B$6:$B$505,Оплаты!$A$6:$A$505,"&lt;"&amp;A3900,Оплаты!$D$6:$D$505,"&lt;&gt;"))</f>
        <v/>
      </c>
      <c r="E3900">
        <f>IF(A3900="","",IF(SUMPRODUCT((Ввод!$F$12:$F$31&lt;&gt;"")*(Ввод!$F$12:$F$31&lt;=A3900)*(Ввод!$G$12:$G$31&gt;=A3900))&gt;0,1,0))</f>
        <v/>
      </c>
      <c r="G3900">
        <f>IF(A3900="","",IF(OR(B3900&lt;&gt;B3899,C3900&lt;&gt;C3899,E3900&lt;&gt;E3899),G3899+1,G3899))</f>
        <v/>
      </c>
    </row>
    <row r="3901">
      <c r="A3901" s="20">
        <f>IF(A3900="","",IF(A3900+1&gt;Ввод!$B$4,"",A3900+1))</f>
        <v/>
      </c>
      <c r="B3901">
        <f>IF(A3901="","",IFERROR(INDEX(Ввод!$B$12:$B$71,MATCH(A3901,Ввод!$D$12:$D$71,1)),""))</f>
        <v/>
      </c>
      <c r="C3901">
        <f>IF(A3901="","",DATE(YEAR(A3901),12,31)-DATE(YEAR(A3901),1,1)+1)</f>
        <v/>
      </c>
      <c r="D3901">
        <f>IF(A3901="","",SUMIFS(Акты!$D$5:$D$16,Акты!$E$5:$E$16,"&lt;="&amp;A3901)-SUMIFS(Оплаты!$B$6:$B$505,Оплаты!$A$6:$A$505,"&lt;"&amp;A3901,Оплаты!$D$6:$D$505,"&lt;&gt;"))</f>
        <v/>
      </c>
      <c r="E3901">
        <f>IF(A3901="","",IF(SUMPRODUCT((Ввод!$F$12:$F$31&lt;&gt;"")*(Ввод!$F$12:$F$31&lt;=A3901)*(Ввод!$G$12:$G$31&gt;=A3901))&gt;0,1,0))</f>
        <v/>
      </c>
      <c r="G3901">
        <f>IF(A3901="","",IF(OR(B3901&lt;&gt;B3900,C3901&lt;&gt;C3900,E3901&lt;&gt;E3900),G3900+1,G3900))</f>
        <v/>
      </c>
    </row>
    <row r="3902">
      <c r="A3902" s="20">
        <f>IF(A3901="","",IF(A3901+1&gt;Ввод!$B$4,"",A3901+1))</f>
        <v/>
      </c>
      <c r="B3902">
        <f>IF(A3902="","",IFERROR(INDEX(Ввод!$B$12:$B$71,MATCH(A3902,Ввод!$D$12:$D$71,1)),""))</f>
        <v/>
      </c>
      <c r="C3902">
        <f>IF(A3902="","",DATE(YEAR(A3902),12,31)-DATE(YEAR(A3902),1,1)+1)</f>
        <v/>
      </c>
      <c r="D3902">
        <f>IF(A3902="","",SUMIFS(Акты!$D$5:$D$16,Акты!$E$5:$E$16,"&lt;="&amp;A3902)-SUMIFS(Оплаты!$B$6:$B$505,Оплаты!$A$6:$A$505,"&lt;"&amp;A3902,Оплаты!$D$6:$D$505,"&lt;&gt;"))</f>
        <v/>
      </c>
      <c r="E3902">
        <f>IF(A3902="","",IF(SUMPRODUCT((Ввод!$F$12:$F$31&lt;&gt;"")*(Ввод!$F$12:$F$31&lt;=A3902)*(Ввод!$G$12:$G$31&gt;=A3902))&gt;0,1,0))</f>
        <v/>
      </c>
      <c r="G3902">
        <f>IF(A3902="","",IF(OR(B3902&lt;&gt;B3901,C3902&lt;&gt;C3901,E3902&lt;&gt;E3901),G3901+1,G3901))</f>
        <v/>
      </c>
    </row>
    <row r="3903">
      <c r="A3903" s="20">
        <f>IF(A3902="","",IF(A3902+1&gt;Ввод!$B$4,"",A3902+1))</f>
        <v/>
      </c>
      <c r="B3903">
        <f>IF(A3903="","",IFERROR(INDEX(Ввод!$B$12:$B$71,MATCH(A3903,Ввод!$D$12:$D$71,1)),""))</f>
        <v/>
      </c>
      <c r="C3903">
        <f>IF(A3903="","",DATE(YEAR(A3903),12,31)-DATE(YEAR(A3903),1,1)+1)</f>
        <v/>
      </c>
      <c r="D3903">
        <f>IF(A3903="","",SUMIFS(Акты!$D$5:$D$16,Акты!$E$5:$E$16,"&lt;="&amp;A3903)-SUMIFS(Оплаты!$B$6:$B$505,Оплаты!$A$6:$A$505,"&lt;"&amp;A3903,Оплаты!$D$6:$D$505,"&lt;&gt;"))</f>
        <v/>
      </c>
      <c r="E3903">
        <f>IF(A3903="","",IF(SUMPRODUCT((Ввод!$F$12:$F$31&lt;&gt;"")*(Ввод!$F$12:$F$31&lt;=A3903)*(Ввод!$G$12:$G$31&gt;=A3903))&gt;0,1,0))</f>
        <v/>
      </c>
      <c r="G3903">
        <f>IF(A3903="","",IF(OR(B3903&lt;&gt;B3902,C3903&lt;&gt;C3902,E3903&lt;&gt;E3902),G3902+1,G3902))</f>
        <v/>
      </c>
    </row>
    <row r="3904">
      <c r="A3904" s="20">
        <f>IF(A3903="","",IF(A3903+1&gt;Ввод!$B$4,"",A3903+1))</f>
        <v/>
      </c>
      <c r="B3904">
        <f>IF(A3904="","",IFERROR(INDEX(Ввод!$B$12:$B$71,MATCH(A3904,Ввод!$D$12:$D$71,1)),""))</f>
        <v/>
      </c>
      <c r="C3904">
        <f>IF(A3904="","",DATE(YEAR(A3904),12,31)-DATE(YEAR(A3904),1,1)+1)</f>
        <v/>
      </c>
      <c r="D3904">
        <f>IF(A3904="","",SUMIFS(Акты!$D$5:$D$16,Акты!$E$5:$E$16,"&lt;="&amp;A3904)-SUMIFS(Оплаты!$B$6:$B$505,Оплаты!$A$6:$A$505,"&lt;"&amp;A3904,Оплаты!$D$6:$D$505,"&lt;&gt;"))</f>
        <v/>
      </c>
      <c r="E3904">
        <f>IF(A3904="","",IF(SUMPRODUCT((Ввод!$F$12:$F$31&lt;&gt;"")*(Ввод!$F$12:$F$31&lt;=A3904)*(Ввод!$G$12:$G$31&gt;=A3904))&gt;0,1,0))</f>
        <v/>
      </c>
      <c r="G3904">
        <f>IF(A3904="","",IF(OR(B3904&lt;&gt;B3903,C3904&lt;&gt;C3903,E3904&lt;&gt;E3903),G3903+1,G3903))</f>
        <v/>
      </c>
    </row>
    <row r="3905">
      <c r="A3905" s="20">
        <f>IF(A3904="","",IF(A3904+1&gt;Ввод!$B$4,"",A3904+1))</f>
        <v/>
      </c>
      <c r="B3905">
        <f>IF(A3905="","",IFERROR(INDEX(Ввод!$B$12:$B$71,MATCH(A3905,Ввод!$D$12:$D$71,1)),""))</f>
        <v/>
      </c>
      <c r="C3905">
        <f>IF(A3905="","",DATE(YEAR(A3905),12,31)-DATE(YEAR(A3905),1,1)+1)</f>
        <v/>
      </c>
      <c r="D3905">
        <f>IF(A3905="","",SUMIFS(Акты!$D$5:$D$16,Акты!$E$5:$E$16,"&lt;="&amp;A3905)-SUMIFS(Оплаты!$B$6:$B$505,Оплаты!$A$6:$A$505,"&lt;"&amp;A3905,Оплаты!$D$6:$D$505,"&lt;&gt;"))</f>
        <v/>
      </c>
      <c r="E3905">
        <f>IF(A3905="","",IF(SUMPRODUCT((Ввод!$F$12:$F$31&lt;&gt;"")*(Ввод!$F$12:$F$31&lt;=A3905)*(Ввод!$G$12:$G$31&gt;=A3905))&gt;0,1,0))</f>
        <v/>
      </c>
      <c r="G3905">
        <f>IF(A3905="","",IF(OR(B3905&lt;&gt;B3904,C3905&lt;&gt;C3904,E3905&lt;&gt;E3904),G3904+1,G3904))</f>
        <v/>
      </c>
    </row>
    <row r="3906">
      <c r="A3906" s="20">
        <f>IF(A3905="","",IF(A3905+1&gt;Ввод!$B$4,"",A3905+1))</f>
        <v/>
      </c>
      <c r="B3906">
        <f>IF(A3906="","",IFERROR(INDEX(Ввод!$B$12:$B$71,MATCH(A3906,Ввод!$D$12:$D$71,1)),""))</f>
        <v/>
      </c>
      <c r="C3906">
        <f>IF(A3906="","",DATE(YEAR(A3906),12,31)-DATE(YEAR(A3906),1,1)+1)</f>
        <v/>
      </c>
      <c r="D3906">
        <f>IF(A3906="","",SUMIFS(Акты!$D$5:$D$16,Акты!$E$5:$E$16,"&lt;="&amp;A3906)-SUMIFS(Оплаты!$B$6:$B$505,Оплаты!$A$6:$A$505,"&lt;"&amp;A3906,Оплаты!$D$6:$D$505,"&lt;&gt;"))</f>
        <v/>
      </c>
      <c r="E3906">
        <f>IF(A3906="","",IF(SUMPRODUCT((Ввод!$F$12:$F$31&lt;&gt;"")*(Ввод!$F$12:$F$31&lt;=A3906)*(Ввод!$G$12:$G$31&gt;=A3906))&gt;0,1,0))</f>
        <v/>
      </c>
      <c r="G3906">
        <f>IF(A3906="","",IF(OR(B3906&lt;&gt;B3905,C3906&lt;&gt;C3905,E3906&lt;&gt;E3905),G3905+1,G3905))</f>
        <v/>
      </c>
    </row>
    <row r="3907">
      <c r="A3907" s="20">
        <f>IF(A3906="","",IF(A3906+1&gt;Ввод!$B$4,"",A3906+1))</f>
        <v/>
      </c>
      <c r="B3907">
        <f>IF(A3907="","",IFERROR(INDEX(Ввод!$B$12:$B$71,MATCH(A3907,Ввод!$D$12:$D$71,1)),""))</f>
        <v/>
      </c>
      <c r="C3907">
        <f>IF(A3907="","",DATE(YEAR(A3907),12,31)-DATE(YEAR(A3907),1,1)+1)</f>
        <v/>
      </c>
      <c r="D3907">
        <f>IF(A3907="","",SUMIFS(Акты!$D$5:$D$16,Акты!$E$5:$E$16,"&lt;="&amp;A3907)-SUMIFS(Оплаты!$B$6:$B$505,Оплаты!$A$6:$A$505,"&lt;"&amp;A3907,Оплаты!$D$6:$D$505,"&lt;&gt;"))</f>
        <v/>
      </c>
      <c r="E3907">
        <f>IF(A3907="","",IF(SUMPRODUCT((Ввод!$F$12:$F$31&lt;&gt;"")*(Ввод!$F$12:$F$31&lt;=A3907)*(Ввод!$G$12:$G$31&gt;=A3907))&gt;0,1,0))</f>
        <v/>
      </c>
      <c r="G3907">
        <f>IF(A3907="","",IF(OR(B3907&lt;&gt;B3906,C3907&lt;&gt;C3906,E3907&lt;&gt;E3906),G3906+1,G3906))</f>
        <v/>
      </c>
    </row>
    <row r="3908">
      <c r="A3908" s="20">
        <f>IF(A3907="","",IF(A3907+1&gt;Ввод!$B$4,"",A3907+1))</f>
        <v/>
      </c>
      <c r="B3908">
        <f>IF(A3908="","",IFERROR(INDEX(Ввод!$B$12:$B$71,MATCH(A3908,Ввод!$D$12:$D$71,1)),""))</f>
        <v/>
      </c>
      <c r="C3908">
        <f>IF(A3908="","",DATE(YEAR(A3908),12,31)-DATE(YEAR(A3908),1,1)+1)</f>
        <v/>
      </c>
      <c r="D3908">
        <f>IF(A3908="","",SUMIFS(Акты!$D$5:$D$16,Акты!$E$5:$E$16,"&lt;="&amp;A3908)-SUMIFS(Оплаты!$B$6:$B$505,Оплаты!$A$6:$A$505,"&lt;"&amp;A3908,Оплаты!$D$6:$D$505,"&lt;&gt;"))</f>
        <v/>
      </c>
      <c r="E3908">
        <f>IF(A3908="","",IF(SUMPRODUCT((Ввод!$F$12:$F$31&lt;&gt;"")*(Ввод!$F$12:$F$31&lt;=A3908)*(Ввод!$G$12:$G$31&gt;=A3908))&gt;0,1,0))</f>
        <v/>
      </c>
      <c r="G3908">
        <f>IF(A3908="","",IF(OR(B3908&lt;&gt;B3907,C3908&lt;&gt;C3907,E3908&lt;&gt;E3907),G3907+1,G3907))</f>
        <v/>
      </c>
    </row>
    <row r="3909">
      <c r="A3909" s="20">
        <f>IF(A3908="","",IF(A3908+1&gt;Ввод!$B$4,"",A3908+1))</f>
        <v/>
      </c>
      <c r="B3909">
        <f>IF(A3909="","",IFERROR(INDEX(Ввод!$B$12:$B$71,MATCH(A3909,Ввод!$D$12:$D$71,1)),""))</f>
        <v/>
      </c>
      <c r="C3909">
        <f>IF(A3909="","",DATE(YEAR(A3909),12,31)-DATE(YEAR(A3909),1,1)+1)</f>
        <v/>
      </c>
      <c r="D3909">
        <f>IF(A3909="","",SUMIFS(Акты!$D$5:$D$16,Акты!$E$5:$E$16,"&lt;="&amp;A3909)-SUMIFS(Оплаты!$B$6:$B$505,Оплаты!$A$6:$A$505,"&lt;"&amp;A3909,Оплаты!$D$6:$D$505,"&lt;&gt;"))</f>
        <v/>
      </c>
      <c r="E3909">
        <f>IF(A3909="","",IF(SUMPRODUCT((Ввод!$F$12:$F$31&lt;&gt;"")*(Ввод!$F$12:$F$31&lt;=A3909)*(Ввод!$G$12:$G$31&gt;=A3909))&gt;0,1,0))</f>
        <v/>
      </c>
      <c r="G3909">
        <f>IF(A3909="","",IF(OR(B3909&lt;&gt;B3908,C3909&lt;&gt;C3908,E3909&lt;&gt;E3908),G3908+1,G3908))</f>
        <v/>
      </c>
    </row>
    <row r="3910">
      <c r="A3910" s="20">
        <f>IF(A3909="","",IF(A3909+1&gt;Ввод!$B$4,"",A3909+1))</f>
        <v/>
      </c>
      <c r="B3910">
        <f>IF(A3910="","",IFERROR(INDEX(Ввод!$B$12:$B$71,MATCH(A3910,Ввод!$D$12:$D$71,1)),""))</f>
        <v/>
      </c>
      <c r="C3910">
        <f>IF(A3910="","",DATE(YEAR(A3910),12,31)-DATE(YEAR(A3910),1,1)+1)</f>
        <v/>
      </c>
      <c r="D3910">
        <f>IF(A3910="","",SUMIFS(Акты!$D$5:$D$16,Акты!$E$5:$E$16,"&lt;="&amp;A3910)-SUMIFS(Оплаты!$B$6:$B$505,Оплаты!$A$6:$A$505,"&lt;"&amp;A3910,Оплаты!$D$6:$D$505,"&lt;&gt;"))</f>
        <v/>
      </c>
      <c r="E3910">
        <f>IF(A3910="","",IF(SUMPRODUCT((Ввод!$F$12:$F$31&lt;&gt;"")*(Ввод!$F$12:$F$31&lt;=A3910)*(Ввод!$G$12:$G$31&gt;=A3910))&gt;0,1,0))</f>
        <v/>
      </c>
      <c r="G3910">
        <f>IF(A3910="","",IF(OR(B3910&lt;&gt;B3909,C3910&lt;&gt;C3909,E3910&lt;&gt;E3909),G3909+1,G3909))</f>
        <v/>
      </c>
    </row>
    <row r="3911">
      <c r="A3911" s="20">
        <f>IF(A3910="","",IF(A3910+1&gt;Ввод!$B$4,"",A3910+1))</f>
        <v/>
      </c>
      <c r="B3911">
        <f>IF(A3911="","",IFERROR(INDEX(Ввод!$B$12:$B$71,MATCH(A3911,Ввод!$D$12:$D$71,1)),""))</f>
        <v/>
      </c>
      <c r="C3911">
        <f>IF(A3911="","",DATE(YEAR(A3911),12,31)-DATE(YEAR(A3911),1,1)+1)</f>
        <v/>
      </c>
      <c r="D3911">
        <f>IF(A3911="","",SUMIFS(Акты!$D$5:$D$16,Акты!$E$5:$E$16,"&lt;="&amp;A3911)-SUMIFS(Оплаты!$B$6:$B$505,Оплаты!$A$6:$A$505,"&lt;"&amp;A3911,Оплаты!$D$6:$D$505,"&lt;&gt;"))</f>
        <v/>
      </c>
      <c r="E3911">
        <f>IF(A3911="","",IF(SUMPRODUCT((Ввод!$F$12:$F$31&lt;&gt;"")*(Ввод!$F$12:$F$31&lt;=A3911)*(Ввод!$G$12:$G$31&gt;=A3911))&gt;0,1,0))</f>
        <v/>
      </c>
      <c r="G3911">
        <f>IF(A3911="","",IF(OR(B3911&lt;&gt;B3910,C3911&lt;&gt;C3910,E3911&lt;&gt;E3910),G3910+1,G3910))</f>
        <v/>
      </c>
    </row>
    <row r="3912">
      <c r="A3912" s="20">
        <f>IF(A3911="","",IF(A3911+1&gt;Ввод!$B$4,"",A3911+1))</f>
        <v/>
      </c>
      <c r="B3912">
        <f>IF(A3912="","",IFERROR(INDEX(Ввод!$B$12:$B$71,MATCH(A3912,Ввод!$D$12:$D$71,1)),""))</f>
        <v/>
      </c>
      <c r="C3912">
        <f>IF(A3912="","",DATE(YEAR(A3912),12,31)-DATE(YEAR(A3912),1,1)+1)</f>
        <v/>
      </c>
      <c r="D3912">
        <f>IF(A3912="","",SUMIFS(Акты!$D$5:$D$16,Акты!$E$5:$E$16,"&lt;="&amp;A3912)-SUMIFS(Оплаты!$B$6:$B$505,Оплаты!$A$6:$A$505,"&lt;"&amp;A3912,Оплаты!$D$6:$D$505,"&lt;&gt;"))</f>
        <v/>
      </c>
      <c r="E3912">
        <f>IF(A3912="","",IF(SUMPRODUCT((Ввод!$F$12:$F$31&lt;&gt;"")*(Ввод!$F$12:$F$31&lt;=A3912)*(Ввод!$G$12:$G$31&gt;=A3912))&gt;0,1,0))</f>
        <v/>
      </c>
      <c r="G3912">
        <f>IF(A3912="","",IF(OR(B3912&lt;&gt;B3911,C3912&lt;&gt;C3911,E3912&lt;&gt;E3911),G3911+1,G3911))</f>
        <v/>
      </c>
    </row>
    <row r="3913">
      <c r="A3913" s="20">
        <f>IF(A3912="","",IF(A3912+1&gt;Ввод!$B$4,"",A3912+1))</f>
        <v/>
      </c>
      <c r="B3913">
        <f>IF(A3913="","",IFERROR(INDEX(Ввод!$B$12:$B$71,MATCH(A3913,Ввод!$D$12:$D$71,1)),""))</f>
        <v/>
      </c>
      <c r="C3913">
        <f>IF(A3913="","",DATE(YEAR(A3913),12,31)-DATE(YEAR(A3913),1,1)+1)</f>
        <v/>
      </c>
      <c r="D3913">
        <f>IF(A3913="","",SUMIFS(Акты!$D$5:$D$16,Акты!$E$5:$E$16,"&lt;="&amp;A3913)-SUMIFS(Оплаты!$B$6:$B$505,Оплаты!$A$6:$A$505,"&lt;"&amp;A3913,Оплаты!$D$6:$D$505,"&lt;&gt;"))</f>
        <v/>
      </c>
      <c r="E3913">
        <f>IF(A3913="","",IF(SUMPRODUCT((Ввод!$F$12:$F$31&lt;&gt;"")*(Ввод!$F$12:$F$31&lt;=A3913)*(Ввод!$G$12:$G$31&gt;=A3913))&gt;0,1,0))</f>
        <v/>
      </c>
      <c r="G3913">
        <f>IF(A3913="","",IF(OR(B3913&lt;&gt;B3912,C3913&lt;&gt;C3912,E3913&lt;&gt;E3912),G3912+1,G3912))</f>
        <v/>
      </c>
    </row>
    <row r="3914">
      <c r="A3914" s="20">
        <f>IF(A3913="","",IF(A3913+1&gt;Ввод!$B$4,"",A3913+1))</f>
        <v/>
      </c>
      <c r="B3914">
        <f>IF(A3914="","",IFERROR(INDEX(Ввод!$B$12:$B$71,MATCH(A3914,Ввод!$D$12:$D$71,1)),""))</f>
        <v/>
      </c>
      <c r="C3914">
        <f>IF(A3914="","",DATE(YEAR(A3914),12,31)-DATE(YEAR(A3914),1,1)+1)</f>
        <v/>
      </c>
      <c r="D3914">
        <f>IF(A3914="","",SUMIFS(Акты!$D$5:$D$16,Акты!$E$5:$E$16,"&lt;="&amp;A3914)-SUMIFS(Оплаты!$B$6:$B$505,Оплаты!$A$6:$A$505,"&lt;"&amp;A3914,Оплаты!$D$6:$D$505,"&lt;&gt;"))</f>
        <v/>
      </c>
      <c r="E3914">
        <f>IF(A3914="","",IF(SUMPRODUCT((Ввод!$F$12:$F$31&lt;&gt;"")*(Ввод!$F$12:$F$31&lt;=A3914)*(Ввод!$G$12:$G$31&gt;=A3914))&gt;0,1,0))</f>
        <v/>
      </c>
      <c r="G3914">
        <f>IF(A3914="","",IF(OR(B3914&lt;&gt;B3913,C3914&lt;&gt;C3913,E3914&lt;&gt;E3913),G3913+1,G3913))</f>
        <v/>
      </c>
    </row>
    <row r="3915">
      <c r="A3915" s="20">
        <f>IF(A3914="","",IF(A3914+1&gt;Ввод!$B$4,"",A3914+1))</f>
        <v/>
      </c>
      <c r="B3915">
        <f>IF(A3915="","",IFERROR(INDEX(Ввод!$B$12:$B$71,MATCH(A3915,Ввод!$D$12:$D$71,1)),""))</f>
        <v/>
      </c>
      <c r="C3915">
        <f>IF(A3915="","",DATE(YEAR(A3915),12,31)-DATE(YEAR(A3915),1,1)+1)</f>
        <v/>
      </c>
      <c r="D3915">
        <f>IF(A3915="","",SUMIFS(Акты!$D$5:$D$16,Акты!$E$5:$E$16,"&lt;="&amp;A3915)-SUMIFS(Оплаты!$B$6:$B$505,Оплаты!$A$6:$A$505,"&lt;"&amp;A3915,Оплаты!$D$6:$D$505,"&lt;&gt;"))</f>
        <v/>
      </c>
      <c r="E3915">
        <f>IF(A3915="","",IF(SUMPRODUCT((Ввод!$F$12:$F$31&lt;&gt;"")*(Ввод!$F$12:$F$31&lt;=A3915)*(Ввод!$G$12:$G$31&gt;=A3915))&gt;0,1,0))</f>
        <v/>
      </c>
      <c r="G3915">
        <f>IF(A3915="","",IF(OR(B3915&lt;&gt;B3914,C3915&lt;&gt;C3914,E3915&lt;&gt;E3914),G3914+1,G3914))</f>
        <v/>
      </c>
    </row>
    <row r="3916">
      <c r="A3916" s="20">
        <f>IF(A3915="","",IF(A3915+1&gt;Ввод!$B$4,"",A3915+1))</f>
        <v/>
      </c>
      <c r="B3916">
        <f>IF(A3916="","",IFERROR(INDEX(Ввод!$B$12:$B$71,MATCH(A3916,Ввод!$D$12:$D$71,1)),""))</f>
        <v/>
      </c>
      <c r="C3916">
        <f>IF(A3916="","",DATE(YEAR(A3916),12,31)-DATE(YEAR(A3916),1,1)+1)</f>
        <v/>
      </c>
      <c r="D3916">
        <f>IF(A3916="","",SUMIFS(Акты!$D$5:$D$16,Акты!$E$5:$E$16,"&lt;="&amp;A3916)-SUMIFS(Оплаты!$B$6:$B$505,Оплаты!$A$6:$A$505,"&lt;"&amp;A3916,Оплаты!$D$6:$D$505,"&lt;&gt;"))</f>
        <v/>
      </c>
      <c r="E3916">
        <f>IF(A3916="","",IF(SUMPRODUCT((Ввод!$F$12:$F$31&lt;&gt;"")*(Ввод!$F$12:$F$31&lt;=A3916)*(Ввод!$G$12:$G$31&gt;=A3916))&gt;0,1,0))</f>
        <v/>
      </c>
      <c r="G3916">
        <f>IF(A3916="","",IF(OR(B3916&lt;&gt;B3915,C3916&lt;&gt;C3915,E3916&lt;&gt;E3915),G3915+1,G3915))</f>
        <v/>
      </c>
    </row>
    <row r="3917">
      <c r="A3917" s="20">
        <f>IF(A3916="","",IF(A3916+1&gt;Ввод!$B$4,"",A3916+1))</f>
        <v/>
      </c>
      <c r="B3917">
        <f>IF(A3917="","",IFERROR(INDEX(Ввод!$B$12:$B$71,MATCH(A3917,Ввод!$D$12:$D$71,1)),""))</f>
        <v/>
      </c>
      <c r="C3917">
        <f>IF(A3917="","",DATE(YEAR(A3917),12,31)-DATE(YEAR(A3917),1,1)+1)</f>
        <v/>
      </c>
      <c r="D3917">
        <f>IF(A3917="","",SUMIFS(Акты!$D$5:$D$16,Акты!$E$5:$E$16,"&lt;="&amp;A3917)-SUMIFS(Оплаты!$B$6:$B$505,Оплаты!$A$6:$A$505,"&lt;"&amp;A3917,Оплаты!$D$6:$D$505,"&lt;&gt;"))</f>
        <v/>
      </c>
      <c r="E3917">
        <f>IF(A3917="","",IF(SUMPRODUCT((Ввод!$F$12:$F$31&lt;&gt;"")*(Ввод!$F$12:$F$31&lt;=A3917)*(Ввод!$G$12:$G$31&gt;=A3917))&gt;0,1,0))</f>
        <v/>
      </c>
      <c r="G3917">
        <f>IF(A3917="","",IF(OR(B3917&lt;&gt;B3916,C3917&lt;&gt;C3916,E3917&lt;&gt;E3916),G3916+1,G3916))</f>
        <v/>
      </c>
    </row>
    <row r="3918">
      <c r="A3918" s="20">
        <f>IF(A3917="","",IF(A3917+1&gt;Ввод!$B$4,"",A3917+1))</f>
        <v/>
      </c>
      <c r="B3918">
        <f>IF(A3918="","",IFERROR(INDEX(Ввод!$B$12:$B$71,MATCH(A3918,Ввод!$D$12:$D$71,1)),""))</f>
        <v/>
      </c>
      <c r="C3918">
        <f>IF(A3918="","",DATE(YEAR(A3918),12,31)-DATE(YEAR(A3918),1,1)+1)</f>
        <v/>
      </c>
      <c r="D3918">
        <f>IF(A3918="","",SUMIFS(Акты!$D$5:$D$16,Акты!$E$5:$E$16,"&lt;="&amp;A3918)-SUMIFS(Оплаты!$B$6:$B$505,Оплаты!$A$6:$A$505,"&lt;"&amp;A3918,Оплаты!$D$6:$D$505,"&lt;&gt;"))</f>
        <v/>
      </c>
      <c r="E3918">
        <f>IF(A3918="","",IF(SUMPRODUCT((Ввод!$F$12:$F$31&lt;&gt;"")*(Ввод!$F$12:$F$31&lt;=A3918)*(Ввод!$G$12:$G$31&gt;=A3918))&gt;0,1,0))</f>
        <v/>
      </c>
      <c r="G3918">
        <f>IF(A3918="","",IF(OR(B3918&lt;&gt;B3917,C3918&lt;&gt;C3917,E3918&lt;&gt;E3917),G3917+1,G3917))</f>
        <v/>
      </c>
    </row>
    <row r="3919">
      <c r="A3919" s="20">
        <f>IF(A3918="","",IF(A3918+1&gt;Ввод!$B$4,"",A3918+1))</f>
        <v/>
      </c>
      <c r="B3919">
        <f>IF(A3919="","",IFERROR(INDEX(Ввод!$B$12:$B$71,MATCH(A3919,Ввод!$D$12:$D$71,1)),""))</f>
        <v/>
      </c>
      <c r="C3919">
        <f>IF(A3919="","",DATE(YEAR(A3919),12,31)-DATE(YEAR(A3919),1,1)+1)</f>
        <v/>
      </c>
      <c r="D3919">
        <f>IF(A3919="","",SUMIFS(Акты!$D$5:$D$16,Акты!$E$5:$E$16,"&lt;="&amp;A3919)-SUMIFS(Оплаты!$B$6:$B$505,Оплаты!$A$6:$A$505,"&lt;"&amp;A3919,Оплаты!$D$6:$D$505,"&lt;&gt;"))</f>
        <v/>
      </c>
      <c r="E3919">
        <f>IF(A3919="","",IF(SUMPRODUCT((Ввод!$F$12:$F$31&lt;&gt;"")*(Ввод!$F$12:$F$31&lt;=A3919)*(Ввод!$G$12:$G$31&gt;=A3919))&gt;0,1,0))</f>
        <v/>
      </c>
      <c r="G3919">
        <f>IF(A3919="","",IF(OR(B3919&lt;&gt;B3918,C3919&lt;&gt;C3918,E3919&lt;&gt;E3918),G3918+1,G3918))</f>
        <v/>
      </c>
    </row>
    <row r="3920">
      <c r="A3920" s="20">
        <f>IF(A3919="","",IF(A3919+1&gt;Ввод!$B$4,"",A3919+1))</f>
        <v/>
      </c>
      <c r="B3920">
        <f>IF(A3920="","",IFERROR(INDEX(Ввод!$B$12:$B$71,MATCH(A3920,Ввод!$D$12:$D$71,1)),""))</f>
        <v/>
      </c>
      <c r="C3920">
        <f>IF(A3920="","",DATE(YEAR(A3920),12,31)-DATE(YEAR(A3920),1,1)+1)</f>
        <v/>
      </c>
      <c r="D3920">
        <f>IF(A3920="","",SUMIFS(Акты!$D$5:$D$16,Акты!$E$5:$E$16,"&lt;="&amp;A3920)-SUMIFS(Оплаты!$B$6:$B$505,Оплаты!$A$6:$A$505,"&lt;"&amp;A3920,Оплаты!$D$6:$D$505,"&lt;&gt;"))</f>
        <v/>
      </c>
      <c r="E3920">
        <f>IF(A3920="","",IF(SUMPRODUCT((Ввод!$F$12:$F$31&lt;&gt;"")*(Ввод!$F$12:$F$31&lt;=A3920)*(Ввод!$G$12:$G$31&gt;=A3920))&gt;0,1,0))</f>
        <v/>
      </c>
      <c r="G3920">
        <f>IF(A3920="","",IF(OR(B3920&lt;&gt;B3919,C3920&lt;&gt;C3919,E3920&lt;&gt;E3919),G3919+1,G3919))</f>
        <v/>
      </c>
    </row>
    <row r="3921">
      <c r="A3921" s="20">
        <f>IF(A3920="","",IF(A3920+1&gt;Ввод!$B$4,"",A3920+1))</f>
        <v/>
      </c>
      <c r="B3921">
        <f>IF(A3921="","",IFERROR(INDEX(Ввод!$B$12:$B$71,MATCH(A3921,Ввод!$D$12:$D$71,1)),""))</f>
        <v/>
      </c>
      <c r="C3921">
        <f>IF(A3921="","",DATE(YEAR(A3921),12,31)-DATE(YEAR(A3921),1,1)+1)</f>
        <v/>
      </c>
      <c r="D3921">
        <f>IF(A3921="","",SUMIFS(Акты!$D$5:$D$16,Акты!$E$5:$E$16,"&lt;="&amp;A3921)-SUMIFS(Оплаты!$B$6:$B$505,Оплаты!$A$6:$A$505,"&lt;"&amp;A3921,Оплаты!$D$6:$D$505,"&lt;&gt;"))</f>
        <v/>
      </c>
      <c r="E3921">
        <f>IF(A3921="","",IF(SUMPRODUCT((Ввод!$F$12:$F$31&lt;&gt;"")*(Ввод!$F$12:$F$31&lt;=A3921)*(Ввод!$G$12:$G$31&gt;=A3921))&gt;0,1,0))</f>
        <v/>
      </c>
      <c r="G3921">
        <f>IF(A3921="","",IF(OR(B3921&lt;&gt;B3920,C3921&lt;&gt;C3920,E3921&lt;&gt;E3920),G3920+1,G3920))</f>
        <v/>
      </c>
    </row>
    <row r="3922">
      <c r="A3922" s="20">
        <f>IF(A3921="","",IF(A3921+1&gt;Ввод!$B$4,"",A3921+1))</f>
        <v/>
      </c>
      <c r="B3922">
        <f>IF(A3922="","",IFERROR(INDEX(Ввод!$B$12:$B$71,MATCH(A3922,Ввод!$D$12:$D$71,1)),""))</f>
        <v/>
      </c>
      <c r="C3922">
        <f>IF(A3922="","",DATE(YEAR(A3922),12,31)-DATE(YEAR(A3922),1,1)+1)</f>
        <v/>
      </c>
      <c r="D3922">
        <f>IF(A3922="","",SUMIFS(Акты!$D$5:$D$16,Акты!$E$5:$E$16,"&lt;="&amp;A3922)-SUMIFS(Оплаты!$B$6:$B$505,Оплаты!$A$6:$A$505,"&lt;"&amp;A3922,Оплаты!$D$6:$D$505,"&lt;&gt;"))</f>
        <v/>
      </c>
      <c r="E3922">
        <f>IF(A3922="","",IF(SUMPRODUCT((Ввод!$F$12:$F$31&lt;&gt;"")*(Ввод!$F$12:$F$31&lt;=A3922)*(Ввод!$G$12:$G$31&gt;=A3922))&gt;0,1,0))</f>
        <v/>
      </c>
      <c r="G3922">
        <f>IF(A3922="","",IF(OR(B3922&lt;&gt;B3921,C3922&lt;&gt;C3921,E3922&lt;&gt;E3921),G3921+1,G3921))</f>
        <v/>
      </c>
    </row>
    <row r="3923">
      <c r="A3923" s="20">
        <f>IF(A3922="","",IF(A3922+1&gt;Ввод!$B$4,"",A3922+1))</f>
        <v/>
      </c>
      <c r="B3923">
        <f>IF(A3923="","",IFERROR(INDEX(Ввод!$B$12:$B$71,MATCH(A3923,Ввод!$D$12:$D$71,1)),""))</f>
        <v/>
      </c>
      <c r="C3923">
        <f>IF(A3923="","",DATE(YEAR(A3923),12,31)-DATE(YEAR(A3923),1,1)+1)</f>
        <v/>
      </c>
      <c r="D3923">
        <f>IF(A3923="","",SUMIFS(Акты!$D$5:$D$16,Акты!$E$5:$E$16,"&lt;="&amp;A3923)-SUMIFS(Оплаты!$B$6:$B$505,Оплаты!$A$6:$A$505,"&lt;"&amp;A3923,Оплаты!$D$6:$D$505,"&lt;&gt;"))</f>
        <v/>
      </c>
      <c r="E3923">
        <f>IF(A3923="","",IF(SUMPRODUCT((Ввод!$F$12:$F$31&lt;&gt;"")*(Ввод!$F$12:$F$31&lt;=A3923)*(Ввод!$G$12:$G$31&gt;=A3923))&gt;0,1,0))</f>
        <v/>
      </c>
      <c r="G3923">
        <f>IF(A3923="","",IF(OR(B3923&lt;&gt;B3922,C3923&lt;&gt;C3922,E3923&lt;&gt;E3922),G3922+1,G3922))</f>
        <v/>
      </c>
    </row>
    <row r="3924">
      <c r="A3924" s="20">
        <f>IF(A3923="","",IF(A3923+1&gt;Ввод!$B$4,"",A3923+1))</f>
        <v/>
      </c>
      <c r="B3924">
        <f>IF(A3924="","",IFERROR(INDEX(Ввод!$B$12:$B$71,MATCH(A3924,Ввод!$D$12:$D$71,1)),""))</f>
        <v/>
      </c>
      <c r="C3924">
        <f>IF(A3924="","",DATE(YEAR(A3924),12,31)-DATE(YEAR(A3924),1,1)+1)</f>
        <v/>
      </c>
      <c r="D3924">
        <f>IF(A3924="","",SUMIFS(Акты!$D$5:$D$16,Акты!$E$5:$E$16,"&lt;="&amp;A3924)-SUMIFS(Оплаты!$B$6:$B$505,Оплаты!$A$6:$A$505,"&lt;"&amp;A3924,Оплаты!$D$6:$D$505,"&lt;&gt;"))</f>
        <v/>
      </c>
      <c r="E3924">
        <f>IF(A3924="","",IF(SUMPRODUCT((Ввод!$F$12:$F$31&lt;&gt;"")*(Ввод!$F$12:$F$31&lt;=A3924)*(Ввод!$G$12:$G$31&gt;=A3924))&gt;0,1,0))</f>
        <v/>
      </c>
      <c r="G3924">
        <f>IF(A3924="","",IF(OR(B3924&lt;&gt;B3923,C3924&lt;&gt;C3923,E3924&lt;&gt;E3923),G3923+1,G3923))</f>
        <v/>
      </c>
    </row>
    <row r="3925">
      <c r="A3925" s="20">
        <f>IF(A3924="","",IF(A3924+1&gt;Ввод!$B$4,"",A3924+1))</f>
        <v/>
      </c>
      <c r="B3925">
        <f>IF(A3925="","",IFERROR(INDEX(Ввод!$B$12:$B$71,MATCH(A3925,Ввод!$D$12:$D$71,1)),""))</f>
        <v/>
      </c>
      <c r="C3925">
        <f>IF(A3925="","",DATE(YEAR(A3925),12,31)-DATE(YEAR(A3925),1,1)+1)</f>
        <v/>
      </c>
      <c r="D3925">
        <f>IF(A3925="","",SUMIFS(Акты!$D$5:$D$16,Акты!$E$5:$E$16,"&lt;="&amp;A3925)-SUMIFS(Оплаты!$B$6:$B$505,Оплаты!$A$6:$A$505,"&lt;"&amp;A3925,Оплаты!$D$6:$D$505,"&lt;&gt;"))</f>
        <v/>
      </c>
      <c r="E3925">
        <f>IF(A3925="","",IF(SUMPRODUCT((Ввод!$F$12:$F$31&lt;&gt;"")*(Ввод!$F$12:$F$31&lt;=A3925)*(Ввод!$G$12:$G$31&gt;=A3925))&gt;0,1,0))</f>
        <v/>
      </c>
      <c r="G3925">
        <f>IF(A3925="","",IF(OR(B3925&lt;&gt;B3924,C3925&lt;&gt;C3924,E3925&lt;&gt;E3924),G3924+1,G3924))</f>
        <v/>
      </c>
    </row>
    <row r="3926">
      <c r="A3926" s="20">
        <f>IF(A3925="","",IF(A3925+1&gt;Ввод!$B$4,"",A3925+1))</f>
        <v/>
      </c>
      <c r="B3926">
        <f>IF(A3926="","",IFERROR(INDEX(Ввод!$B$12:$B$71,MATCH(A3926,Ввод!$D$12:$D$71,1)),""))</f>
        <v/>
      </c>
      <c r="C3926">
        <f>IF(A3926="","",DATE(YEAR(A3926),12,31)-DATE(YEAR(A3926),1,1)+1)</f>
        <v/>
      </c>
      <c r="D3926">
        <f>IF(A3926="","",SUMIFS(Акты!$D$5:$D$16,Акты!$E$5:$E$16,"&lt;="&amp;A3926)-SUMIFS(Оплаты!$B$6:$B$505,Оплаты!$A$6:$A$505,"&lt;"&amp;A3926,Оплаты!$D$6:$D$505,"&lt;&gt;"))</f>
        <v/>
      </c>
      <c r="E3926">
        <f>IF(A3926="","",IF(SUMPRODUCT((Ввод!$F$12:$F$31&lt;&gt;"")*(Ввод!$F$12:$F$31&lt;=A3926)*(Ввод!$G$12:$G$31&gt;=A3926))&gt;0,1,0))</f>
        <v/>
      </c>
      <c r="G3926">
        <f>IF(A3926="","",IF(OR(B3926&lt;&gt;B3925,C3926&lt;&gt;C3925,E3926&lt;&gt;E3925),G3925+1,G3925))</f>
        <v/>
      </c>
    </row>
    <row r="3927">
      <c r="A3927" s="20">
        <f>IF(A3926="","",IF(A3926+1&gt;Ввод!$B$4,"",A3926+1))</f>
        <v/>
      </c>
      <c r="B3927">
        <f>IF(A3927="","",IFERROR(INDEX(Ввод!$B$12:$B$71,MATCH(A3927,Ввод!$D$12:$D$71,1)),""))</f>
        <v/>
      </c>
      <c r="C3927">
        <f>IF(A3927="","",DATE(YEAR(A3927),12,31)-DATE(YEAR(A3927),1,1)+1)</f>
        <v/>
      </c>
      <c r="D3927">
        <f>IF(A3927="","",SUMIFS(Акты!$D$5:$D$16,Акты!$E$5:$E$16,"&lt;="&amp;A3927)-SUMIFS(Оплаты!$B$6:$B$505,Оплаты!$A$6:$A$505,"&lt;"&amp;A3927,Оплаты!$D$6:$D$505,"&lt;&gt;"))</f>
        <v/>
      </c>
      <c r="E3927">
        <f>IF(A3927="","",IF(SUMPRODUCT((Ввод!$F$12:$F$31&lt;&gt;"")*(Ввод!$F$12:$F$31&lt;=A3927)*(Ввод!$G$12:$G$31&gt;=A3927))&gt;0,1,0))</f>
        <v/>
      </c>
      <c r="G3927">
        <f>IF(A3927="","",IF(OR(B3927&lt;&gt;B3926,C3927&lt;&gt;C3926,E3927&lt;&gt;E3926),G3926+1,G3926))</f>
        <v/>
      </c>
    </row>
    <row r="3928">
      <c r="A3928" s="20">
        <f>IF(A3927="","",IF(A3927+1&gt;Ввод!$B$4,"",A3927+1))</f>
        <v/>
      </c>
      <c r="B3928">
        <f>IF(A3928="","",IFERROR(INDEX(Ввод!$B$12:$B$71,MATCH(A3928,Ввод!$D$12:$D$71,1)),""))</f>
        <v/>
      </c>
      <c r="C3928">
        <f>IF(A3928="","",DATE(YEAR(A3928),12,31)-DATE(YEAR(A3928),1,1)+1)</f>
        <v/>
      </c>
      <c r="D3928">
        <f>IF(A3928="","",SUMIFS(Акты!$D$5:$D$16,Акты!$E$5:$E$16,"&lt;="&amp;A3928)-SUMIFS(Оплаты!$B$6:$B$505,Оплаты!$A$6:$A$505,"&lt;"&amp;A3928,Оплаты!$D$6:$D$505,"&lt;&gt;"))</f>
        <v/>
      </c>
      <c r="E3928">
        <f>IF(A3928="","",IF(SUMPRODUCT((Ввод!$F$12:$F$31&lt;&gt;"")*(Ввод!$F$12:$F$31&lt;=A3928)*(Ввод!$G$12:$G$31&gt;=A3928))&gt;0,1,0))</f>
        <v/>
      </c>
      <c r="G3928">
        <f>IF(A3928="","",IF(OR(B3928&lt;&gt;B3927,C3928&lt;&gt;C3927,E3928&lt;&gt;E3927),G3927+1,G3927))</f>
        <v/>
      </c>
    </row>
    <row r="3929">
      <c r="A3929" s="20">
        <f>IF(A3928="","",IF(A3928+1&gt;Ввод!$B$4,"",A3928+1))</f>
        <v/>
      </c>
      <c r="B3929">
        <f>IF(A3929="","",IFERROR(INDEX(Ввод!$B$12:$B$71,MATCH(A3929,Ввод!$D$12:$D$71,1)),""))</f>
        <v/>
      </c>
      <c r="C3929">
        <f>IF(A3929="","",DATE(YEAR(A3929),12,31)-DATE(YEAR(A3929),1,1)+1)</f>
        <v/>
      </c>
      <c r="D3929">
        <f>IF(A3929="","",SUMIFS(Акты!$D$5:$D$16,Акты!$E$5:$E$16,"&lt;="&amp;A3929)-SUMIFS(Оплаты!$B$6:$B$505,Оплаты!$A$6:$A$505,"&lt;"&amp;A3929,Оплаты!$D$6:$D$505,"&lt;&gt;"))</f>
        <v/>
      </c>
      <c r="E3929">
        <f>IF(A3929="","",IF(SUMPRODUCT((Ввод!$F$12:$F$31&lt;&gt;"")*(Ввод!$F$12:$F$31&lt;=A3929)*(Ввод!$G$12:$G$31&gt;=A3929))&gt;0,1,0))</f>
        <v/>
      </c>
      <c r="G3929">
        <f>IF(A3929="","",IF(OR(B3929&lt;&gt;B3928,C3929&lt;&gt;C3928,E3929&lt;&gt;E3928),G3928+1,G3928))</f>
        <v/>
      </c>
    </row>
    <row r="3930">
      <c r="A3930" s="20">
        <f>IF(A3929="","",IF(A3929+1&gt;Ввод!$B$4,"",A3929+1))</f>
        <v/>
      </c>
      <c r="B3930">
        <f>IF(A3930="","",IFERROR(INDEX(Ввод!$B$12:$B$71,MATCH(A3930,Ввод!$D$12:$D$71,1)),""))</f>
        <v/>
      </c>
      <c r="C3930">
        <f>IF(A3930="","",DATE(YEAR(A3930),12,31)-DATE(YEAR(A3930),1,1)+1)</f>
        <v/>
      </c>
      <c r="D3930">
        <f>IF(A3930="","",SUMIFS(Акты!$D$5:$D$16,Акты!$E$5:$E$16,"&lt;="&amp;A3930)-SUMIFS(Оплаты!$B$6:$B$505,Оплаты!$A$6:$A$505,"&lt;"&amp;A3930,Оплаты!$D$6:$D$505,"&lt;&gt;"))</f>
        <v/>
      </c>
      <c r="E3930">
        <f>IF(A3930="","",IF(SUMPRODUCT((Ввод!$F$12:$F$31&lt;&gt;"")*(Ввод!$F$12:$F$31&lt;=A3930)*(Ввод!$G$12:$G$31&gt;=A3930))&gt;0,1,0))</f>
        <v/>
      </c>
      <c r="G3930">
        <f>IF(A3930="","",IF(OR(B3930&lt;&gt;B3929,C3930&lt;&gt;C3929,E3930&lt;&gt;E3929),G3929+1,G3929))</f>
        <v/>
      </c>
    </row>
    <row r="3931">
      <c r="A3931" s="20">
        <f>IF(A3930="","",IF(A3930+1&gt;Ввод!$B$4,"",A3930+1))</f>
        <v/>
      </c>
      <c r="B3931">
        <f>IF(A3931="","",IFERROR(INDEX(Ввод!$B$12:$B$71,MATCH(A3931,Ввод!$D$12:$D$71,1)),""))</f>
        <v/>
      </c>
      <c r="C3931">
        <f>IF(A3931="","",DATE(YEAR(A3931),12,31)-DATE(YEAR(A3931),1,1)+1)</f>
        <v/>
      </c>
      <c r="D3931">
        <f>IF(A3931="","",SUMIFS(Акты!$D$5:$D$16,Акты!$E$5:$E$16,"&lt;="&amp;A3931)-SUMIFS(Оплаты!$B$6:$B$505,Оплаты!$A$6:$A$505,"&lt;"&amp;A3931,Оплаты!$D$6:$D$505,"&lt;&gt;"))</f>
        <v/>
      </c>
      <c r="E3931">
        <f>IF(A3931="","",IF(SUMPRODUCT((Ввод!$F$12:$F$31&lt;&gt;"")*(Ввод!$F$12:$F$31&lt;=A3931)*(Ввод!$G$12:$G$31&gt;=A3931))&gt;0,1,0))</f>
        <v/>
      </c>
      <c r="G3931">
        <f>IF(A3931="","",IF(OR(B3931&lt;&gt;B3930,C3931&lt;&gt;C3930,E3931&lt;&gt;E3930),G3930+1,G3930))</f>
        <v/>
      </c>
    </row>
    <row r="3932">
      <c r="A3932" s="20">
        <f>IF(A3931="","",IF(A3931+1&gt;Ввод!$B$4,"",A3931+1))</f>
        <v/>
      </c>
      <c r="B3932">
        <f>IF(A3932="","",IFERROR(INDEX(Ввод!$B$12:$B$71,MATCH(A3932,Ввод!$D$12:$D$71,1)),""))</f>
        <v/>
      </c>
      <c r="C3932">
        <f>IF(A3932="","",DATE(YEAR(A3932),12,31)-DATE(YEAR(A3932),1,1)+1)</f>
        <v/>
      </c>
      <c r="D3932">
        <f>IF(A3932="","",SUMIFS(Акты!$D$5:$D$16,Акты!$E$5:$E$16,"&lt;="&amp;A3932)-SUMIFS(Оплаты!$B$6:$B$505,Оплаты!$A$6:$A$505,"&lt;"&amp;A3932,Оплаты!$D$6:$D$505,"&lt;&gt;"))</f>
        <v/>
      </c>
      <c r="E3932">
        <f>IF(A3932="","",IF(SUMPRODUCT((Ввод!$F$12:$F$31&lt;&gt;"")*(Ввод!$F$12:$F$31&lt;=A3932)*(Ввод!$G$12:$G$31&gt;=A3932))&gt;0,1,0))</f>
        <v/>
      </c>
      <c r="G3932">
        <f>IF(A3932="","",IF(OR(B3932&lt;&gt;B3931,C3932&lt;&gt;C3931,E3932&lt;&gt;E3931),G3931+1,G3931))</f>
        <v/>
      </c>
    </row>
    <row r="3933">
      <c r="A3933" s="20">
        <f>IF(A3932="","",IF(A3932+1&gt;Ввод!$B$4,"",A3932+1))</f>
        <v/>
      </c>
      <c r="B3933">
        <f>IF(A3933="","",IFERROR(INDEX(Ввод!$B$12:$B$71,MATCH(A3933,Ввод!$D$12:$D$71,1)),""))</f>
        <v/>
      </c>
      <c r="C3933">
        <f>IF(A3933="","",DATE(YEAR(A3933),12,31)-DATE(YEAR(A3933),1,1)+1)</f>
        <v/>
      </c>
      <c r="D3933">
        <f>IF(A3933="","",SUMIFS(Акты!$D$5:$D$16,Акты!$E$5:$E$16,"&lt;="&amp;A3933)-SUMIFS(Оплаты!$B$6:$B$505,Оплаты!$A$6:$A$505,"&lt;"&amp;A3933,Оплаты!$D$6:$D$505,"&lt;&gt;"))</f>
        <v/>
      </c>
      <c r="E3933">
        <f>IF(A3933="","",IF(SUMPRODUCT((Ввод!$F$12:$F$31&lt;&gt;"")*(Ввод!$F$12:$F$31&lt;=A3933)*(Ввод!$G$12:$G$31&gt;=A3933))&gt;0,1,0))</f>
        <v/>
      </c>
      <c r="G3933">
        <f>IF(A3933="","",IF(OR(B3933&lt;&gt;B3932,C3933&lt;&gt;C3932,E3933&lt;&gt;E3932),G3932+1,G3932))</f>
        <v/>
      </c>
    </row>
    <row r="3934">
      <c r="A3934" s="20">
        <f>IF(A3933="","",IF(A3933+1&gt;Ввод!$B$4,"",A3933+1))</f>
        <v/>
      </c>
      <c r="B3934">
        <f>IF(A3934="","",IFERROR(INDEX(Ввод!$B$12:$B$71,MATCH(A3934,Ввод!$D$12:$D$71,1)),""))</f>
        <v/>
      </c>
      <c r="C3934">
        <f>IF(A3934="","",DATE(YEAR(A3934),12,31)-DATE(YEAR(A3934),1,1)+1)</f>
        <v/>
      </c>
      <c r="D3934">
        <f>IF(A3934="","",SUMIFS(Акты!$D$5:$D$16,Акты!$E$5:$E$16,"&lt;="&amp;A3934)-SUMIFS(Оплаты!$B$6:$B$505,Оплаты!$A$6:$A$505,"&lt;"&amp;A3934,Оплаты!$D$6:$D$505,"&lt;&gt;"))</f>
        <v/>
      </c>
      <c r="E3934">
        <f>IF(A3934="","",IF(SUMPRODUCT((Ввод!$F$12:$F$31&lt;&gt;"")*(Ввод!$F$12:$F$31&lt;=A3934)*(Ввод!$G$12:$G$31&gt;=A3934))&gt;0,1,0))</f>
        <v/>
      </c>
      <c r="G3934">
        <f>IF(A3934="","",IF(OR(B3934&lt;&gt;B3933,C3934&lt;&gt;C3933,E3934&lt;&gt;E3933),G3933+1,G3933))</f>
        <v/>
      </c>
    </row>
    <row r="3935">
      <c r="A3935" s="20">
        <f>IF(A3934="","",IF(A3934+1&gt;Ввод!$B$4,"",A3934+1))</f>
        <v/>
      </c>
      <c r="B3935">
        <f>IF(A3935="","",IFERROR(INDEX(Ввод!$B$12:$B$71,MATCH(A3935,Ввод!$D$12:$D$71,1)),""))</f>
        <v/>
      </c>
      <c r="C3935">
        <f>IF(A3935="","",DATE(YEAR(A3935),12,31)-DATE(YEAR(A3935),1,1)+1)</f>
        <v/>
      </c>
      <c r="D3935">
        <f>IF(A3935="","",SUMIFS(Акты!$D$5:$D$16,Акты!$E$5:$E$16,"&lt;="&amp;A3935)-SUMIFS(Оплаты!$B$6:$B$505,Оплаты!$A$6:$A$505,"&lt;"&amp;A3935,Оплаты!$D$6:$D$505,"&lt;&gt;"))</f>
        <v/>
      </c>
      <c r="E3935">
        <f>IF(A3935="","",IF(SUMPRODUCT((Ввод!$F$12:$F$31&lt;&gt;"")*(Ввод!$F$12:$F$31&lt;=A3935)*(Ввод!$G$12:$G$31&gt;=A3935))&gt;0,1,0))</f>
        <v/>
      </c>
      <c r="G3935">
        <f>IF(A3935="","",IF(OR(B3935&lt;&gt;B3934,C3935&lt;&gt;C3934,E3935&lt;&gt;E3934),G3934+1,G3934))</f>
        <v/>
      </c>
    </row>
    <row r="3936">
      <c r="A3936" s="20">
        <f>IF(A3935="","",IF(A3935+1&gt;Ввод!$B$4,"",A3935+1))</f>
        <v/>
      </c>
      <c r="B3936">
        <f>IF(A3936="","",IFERROR(INDEX(Ввод!$B$12:$B$71,MATCH(A3936,Ввод!$D$12:$D$71,1)),""))</f>
        <v/>
      </c>
      <c r="C3936">
        <f>IF(A3936="","",DATE(YEAR(A3936),12,31)-DATE(YEAR(A3936),1,1)+1)</f>
        <v/>
      </c>
      <c r="D3936">
        <f>IF(A3936="","",SUMIFS(Акты!$D$5:$D$16,Акты!$E$5:$E$16,"&lt;="&amp;A3936)-SUMIFS(Оплаты!$B$6:$B$505,Оплаты!$A$6:$A$505,"&lt;"&amp;A3936,Оплаты!$D$6:$D$505,"&lt;&gt;"))</f>
        <v/>
      </c>
      <c r="E3936">
        <f>IF(A3936="","",IF(SUMPRODUCT((Ввод!$F$12:$F$31&lt;&gt;"")*(Ввод!$F$12:$F$31&lt;=A3936)*(Ввод!$G$12:$G$31&gt;=A3936))&gt;0,1,0))</f>
        <v/>
      </c>
      <c r="G3936">
        <f>IF(A3936="","",IF(OR(B3936&lt;&gt;B3935,C3936&lt;&gt;C3935,E3936&lt;&gt;E3935),G3935+1,G3935))</f>
        <v/>
      </c>
    </row>
    <row r="3937">
      <c r="A3937" s="20">
        <f>IF(A3936="","",IF(A3936+1&gt;Ввод!$B$4,"",A3936+1))</f>
        <v/>
      </c>
      <c r="B3937">
        <f>IF(A3937="","",IFERROR(INDEX(Ввод!$B$12:$B$71,MATCH(A3937,Ввод!$D$12:$D$71,1)),""))</f>
        <v/>
      </c>
      <c r="C3937">
        <f>IF(A3937="","",DATE(YEAR(A3937),12,31)-DATE(YEAR(A3937),1,1)+1)</f>
        <v/>
      </c>
      <c r="D3937">
        <f>IF(A3937="","",SUMIFS(Акты!$D$5:$D$16,Акты!$E$5:$E$16,"&lt;="&amp;A3937)-SUMIFS(Оплаты!$B$6:$B$505,Оплаты!$A$6:$A$505,"&lt;"&amp;A3937,Оплаты!$D$6:$D$505,"&lt;&gt;"))</f>
        <v/>
      </c>
      <c r="E3937">
        <f>IF(A3937="","",IF(SUMPRODUCT((Ввод!$F$12:$F$31&lt;&gt;"")*(Ввод!$F$12:$F$31&lt;=A3937)*(Ввод!$G$12:$G$31&gt;=A3937))&gt;0,1,0))</f>
        <v/>
      </c>
      <c r="G3937">
        <f>IF(A3937="","",IF(OR(B3937&lt;&gt;B3936,C3937&lt;&gt;C3936,E3937&lt;&gt;E3936),G3936+1,G3936))</f>
        <v/>
      </c>
    </row>
    <row r="3938">
      <c r="A3938" s="20">
        <f>IF(A3937="","",IF(A3937+1&gt;Ввод!$B$4,"",A3937+1))</f>
        <v/>
      </c>
      <c r="B3938">
        <f>IF(A3938="","",IFERROR(INDEX(Ввод!$B$12:$B$71,MATCH(A3938,Ввод!$D$12:$D$71,1)),""))</f>
        <v/>
      </c>
      <c r="C3938">
        <f>IF(A3938="","",DATE(YEAR(A3938),12,31)-DATE(YEAR(A3938),1,1)+1)</f>
        <v/>
      </c>
      <c r="D3938">
        <f>IF(A3938="","",SUMIFS(Акты!$D$5:$D$16,Акты!$E$5:$E$16,"&lt;="&amp;A3938)-SUMIFS(Оплаты!$B$6:$B$505,Оплаты!$A$6:$A$505,"&lt;"&amp;A3938,Оплаты!$D$6:$D$505,"&lt;&gt;"))</f>
        <v/>
      </c>
      <c r="E3938">
        <f>IF(A3938="","",IF(SUMPRODUCT((Ввод!$F$12:$F$31&lt;&gt;"")*(Ввод!$F$12:$F$31&lt;=A3938)*(Ввод!$G$12:$G$31&gt;=A3938))&gt;0,1,0))</f>
        <v/>
      </c>
      <c r="G3938">
        <f>IF(A3938="","",IF(OR(B3938&lt;&gt;B3937,C3938&lt;&gt;C3937,E3938&lt;&gt;E3937),G3937+1,G3937))</f>
        <v/>
      </c>
    </row>
    <row r="3939">
      <c r="A3939" s="20">
        <f>IF(A3938="","",IF(A3938+1&gt;Ввод!$B$4,"",A3938+1))</f>
        <v/>
      </c>
      <c r="B3939">
        <f>IF(A3939="","",IFERROR(INDEX(Ввод!$B$12:$B$71,MATCH(A3939,Ввод!$D$12:$D$71,1)),""))</f>
        <v/>
      </c>
      <c r="C3939">
        <f>IF(A3939="","",DATE(YEAR(A3939),12,31)-DATE(YEAR(A3939),1,1)+1)</f>
        <v/>
      </c>
      <c r="D3939">
        <f>IF(A3939="","",SUMIFS(Акты!$D$5:$D$16,Акты!$E$5:$E$16,"&lt;="&amp;A3939)-SUMIFS(Оплаты!$B$6:$B$505,Оплаты!$A$6:$A$505,"&lt;"&amp;A3939,Оплаты!$D$6:$D$505,"&lt;&gt;"))</f>
        <v/>
      </c>
      <c r="E3939">
        <f>IF(A3939="","",IF(SUMPRODUCT((Ввод!$F$12:$F$31&lt;&gt;"")*(Ввод!$F$12:$F$31&lt;=A3939)*(Ввод!$G$12:$G$31&gt;=A3939))&gt;0,1,0))</f>
        <v/>
      </c>
      <c r="G3939">
        <f>IF(A3939="","",IF(OR(B3939&lt;&gt;B3938,C3939&lt;&gt;C3938,E3939&lt;&gt;E3938),G3938+1,G3938))</f>
        <v/>
      </c>
    </row>
    <row r="3940">
      <c r="A3940" s="20">
        <f>IF(A3939="","",IF(A3939+1&gt;Ввод!$B$4,"",A3939+1))</f>
        <v/>
      </c>
      <c r="B3940">
        <f>IF(A3940="","",IFERROR(INDEX(Ввод!$B$12:$B$71,MATCH(A3940,Ввод!$D$12:$D$71,1)),""))</f>
        <v/>
      </c>
      <c r="C3940">
        <f>IF(A3940="","",DATE(YEAR(A3940),12,31)-DATE(YEAR(A3940),1,1)+1)</f>
        <v/>
      </c>
      <c r="D3940">
        <f>IF(A3940="","",SUMIFS(Акты!$D$5:$D$16,Акты!$E$5:$E$16,"&lt;="&amp;A3940)-SUMIFS(Оплаты!$B$6:$B$505,Оплаты!$A$6:$A$505,"&lt;"&amp;A3940,Оплаты!$D$6:$D$505,"&lt;&gt;"))</f>
        <v/>
      </c>
      <c r="E3940">
        <f>IF(A3940="","",IF(SUMPRODUCT((Ввод!$F$12:$F$31&lt;&gt;"")*(Ввод!$F$12:$F$31&lt;=A3940)*(Ввод!$G$12:$G$31&gt;=A3940))&gt;0,1,0))</f>
        <v/>
      </c>
      <c r="G3940">
        <f>IF(A3940="","",IF(OR(B3940&lt;&gt;B3939,C3940&lt;&gt;C3939,E3940&lt;&gt;E3939),G3939+1,G3939))</f>
        <v/>
      </c>
    </row>
    <row r="3941">
      <c r="A3941" s="20">
        <f>IF(A3940="","",IF(A3940+1&gt;Ввод!$B$4,"",A3940+1))</f>
        <v/>
      </c>
      <c r="B3941">
        <f>IF(A3941="","",IFERROR(INDEX(Ввод!$B$12:$B$71,MATCH(A3941,Ввод!$D$12:$D$71,1)),""))</f>
        <v/>
      </c>
      <c r="C3941">
        <f>IF(A3941="","",DATE(YEAR(A3941),12,31)-DATE(YEAR(A3941),1,1)+1)</f>
        <v/>
      </c>
      <c r="D3941">
        <f>IF(A3941="","",SUMIFS(Акты!$D$5:$D$16,Акты!$E$5:$E$16,"&lt;="&amp;A3941)-SUMIFS(Оплаты!$B$6:$B$505,Оплаты!$A$6:$A$505,"&lt;"&amp;A3941,Оплаты!$D$6:$D$505,"&lt;&gt;"))</f>
        <v/>
      </c>
      <c r="E3941">
        <f>IF(A3941="","",IF(SUMPRODUCT((Ввод!$F$12:$F$31&lt;&gt;"")*(Ввод!$F$12:$F$31&lt;=A3941)*(Ввод!$G$12:$G$31&gt;=A3941))&gt;0,1,0))</f>
        <v/>
      </c>
      <c r="G3941">
        <f>IF(A3941="","",IF(OR(B3941&lt;&gt;B3940,C3941&lt;&gt;C3940,E3941&lt;&gt;E3940),G3940+1,G3940))</f>
        <v/>
      </c>
    </row>
    <row r="3942">
      <c r="A3942" s="20">
        <f>IF(A3941="","",IF(A3941+1&gt;Ввод!$B$4,"",A3941+1))</f>
        <v/>
      </c>
      <c r="B3942">
        <f>IF(A3942="","",IFERROR(INDEX(Ввод!$B$12:$B$71,MATCH(A3942,Ввод!$D$12:$D$71,1)),""))</f>
        <v/>
      </c>
      <c r="C3942">
        <f>IF(A3942="","",DATE(YEAR(A3942),12,31)-DATE(YEAR(A3942),1,1)+1)</f>
        <v/>
      </c>
      <c r="D3942">
        <f>IF(A3942="","",SUMIFS(Акты!$D$5:$D$16,Акты!$E$5:$E$16,"&lt;="&amp;A3942)-SUMIFS(Оплаты!$B$6:$B$505,Оплаты!$A$6:$A$505,"&lt;"&amp;A3942,Оплаты!$D$6:$D$505,"&lt;&gt;"))</f>
        <v/>
      </c>
      <c r="E3942">
        <f>IF(A3942="","",IF(SUMPRODUCT((Ввод!$F$12:$F$31&lt;&gt;"")*(Ввод!$F$12:$F$31&lt;=A3942)*(Ввод!$G$12:$G$31&gt;=A3942))&gt;0,1,0))</f>
        <v/>
      </c>
      <c r="G3942">
        <f>IF(A3942="","",IF(OR(B3942&lt;&gt;B3941,C3942&lt;&gt;C3941,E3942&lt;&gt;E3941),G3941+1,G3941))</f>
        <v/>
      </c>
    </row>
    <row r="3943">
      <c r="A3943" s="20">
        <f>IF(A3942="","",IF(A3942+1&gt;Ввод!$B$4,"",A3942+1))</f>
        <v/>
      </c>
      <c r="B3943">
        <f>IF(A3943="","",IFERROR(INDEX(Ввод!$B$12:$B$71,MATCH(A3943,Ввод!$D$12:$D$71,1)),""))</f>
        <v/>
      </c>
      <c r="C3943">
        <f>IF(A3943="","",DATE(YEAR(A3943),12,31)-DATE(YEAR(A3943),1,1)+1)</f>
        <v/>
      </c>
      <c r="D3943">
        <f>IF(A3943="","",SUMIFS(Акты!$D$5:$D$16,Акты!$E$5:$E$16,"&lt;="&amp;A3943)-SUMIFS(Оплаты!$B$6:$B$505,Оплаты!$A$6:$A$505,"&lt;"&amp;A3943,Оплаты!$D$6:$D$505,"&lt;&gt;"))</f>
        <v/>
      </c>
      <c r="E3943">
        <f>IF(A3943="","",IF(SUMPRODUCT((Ввод!$F$12:$F$31&lt;&gt;"")*(Ввод!$F$12:$F$31&lt;=A3943)*(Ввод!$G$12:$G$31&gt;=A3943))&gt;0,1,0))</f>
        <v/>
      </c>
      <c r="G3943">
        <f>IF(A3943="","",IF(OR(B3943&lt;&gt;B3942,C3943&lt;&gt;C3942,E3943&lt;&gt;E3942),G3942+1,G3942))</f>
        <v/>
      </c>
    </row>
    <row r="3944">
      <c r="A3944" s="20">
        <f>IF(A3943="","",IF(A3943+1&gt;Ввод!$B$4,"",A3943+1))</f>
        <v/>
      </c>
      <c r="B3944">
        <f>IF(A3944="","",IFERROR(INDEX(Ввод!$B$12:$B$71,MATCH(A3944,Ввод!$D$12:$D$71,1)),""))</f>
        <v/>
      </c>
      <c r="C3944">
        <f>IF(A3944="","",DATE(YEAR(A3944),12,31)-DATE(YEAR(A3944),1,1)+1)</f>
        <v/>
      </c>
      <c r="D3944">
        <f>IF(A3944="","",SUMIFS(Акты!$D$5:$D$16,Акты!$E$5:$E$16,"&lt;="&amp;A3944)-SUMIFS(Оплаты!$B$6:$B$505,Оплаты!$A$6:$A$505,"&lt;"&amp;A3944,Оплаты!$D$6:$D$505,"&lt;&gt;"))</f>
        <v/>
      </c>
      <c r="E3944">
        <f>IF(A3944="","",IF(SUMPRODUCT((Ввод!$F$12:$F$31&lt;&gt;"")*(Ввод!$F$12:$F$31&lt;=A3944)*(Ввод!$G$12:$G$31&gt;=A3944))&gt;0,1,0))</f>
        <v/>
      </c>
      <c r="G3944">
        <f>IF(A3944="","",IF(OR(B3944&lt;&gt;B3943,C3944&lt;&gt;C3943,E3944&lt;&gt;E3943),G3943+1,G3943))</f>
        <v/>
      </c>
    </row>
    <row r="3945">
      <c r="A3945" s="20">
        <f>IF(A3944="","",IF(A3944+1&gt;Ввод!$B$4,"",A3944+1))</f>
        <v/>
      </c>
      <c r="B3945">
        <f>IF(A3945="","",IFERROR(INDEX(Ввод!$B$12:$B$71,MATCH(A3945,Ввод!$D$12:$D$71,1)),""))</f>
        <v/>
      </c>
      <c r="C3945">
        <f>IF(A3945="","",DATE(YEAR(A3945),12,31)-DATE(YEAR(A3945),1,1)+1)</f>
        <v/>
      </c>
      <c r="D3945">
        <f>IF(A3945="","",SUMIFS(Акты!$D$5:$D$16,Акты!$E$5:$E$16,"&lt;="&amp;A3945)-SUMIFS(Оплаты!$B$6:$B$505,Оплаты!$A$6:$A$505,"&lt;"&amp;A3945,Оплаты!$D$6:$D$505,"&lt;&gt;"))</f>
        <v/>
      </c>
      <c r="E3945">
        <f>IF(A3945="","",IF(SUMPRODUCT((Ввод!$F$12:$F$31&lt;&gt;"")*(Ввод!$F$12:$F$31&lt;=A3945)*(Ввод!$G$12:$G$31&gt;=A3945))&gt;0,1,0))</f>
        <v/>
      </c>
      <c r="G3945">
        <f>IF(A3945="","",IF(OR(B3945&lt;&gt;B3944,C3945&lt;&gt;C3944,E3945&lt;&gt;E3944),G3944+1,G3944))</f>
        <v/>
      </c>
    </row>
    <row r="3946">
      <c r="A3946" s="20">
        <f>IF(A3945="","",IF(A3945+1&gt;Ввод!$B$4,"",A3945+1))</f>
        <v/>
      </c>
      <c r="B3946">
        <f>IF(A3946="","",IFERROR(INDEX(Ввод!$B$12:$B$71,MATCH(A3946,Ввод!$D$12:$D$71,1)),""))</f>
        <v/>
      </c>
      <c r="C3946">
        <f>IF(A3946="","",DATE(YEAR(A3946),12,31)-DATE(YEAR(A3946),1,1)+1)</f>
        <v/>
      </c>
      <c r="D3946">
        <f>IF(A3946="","",SUMIFS(Акты!$D$5:$D$16,Акты!$E$5:$E$16,"&lt;="&amp;A3946)-SUMIFS(Оплаты!$B$6:$B$505,Оплаты!$A$6:$A$505,"&lt;"&amp;A3946,Оплаты!$D$6:$D$505,"&lt;&gt;"))</f>
        <v/>
      </c>
      <c r="E3946">
        <f>IF(A3946="","",IF(SUMPRODUCT((Ввод!$F$12:$F$31&lt;&gt;"")*(Ввод!$F$12:$F$31&lt;=A3946)*(Ввод!$G$12:$G$31&gt;=A3946))&gt;0,1,0))</f>
        <v/>
      </c>
      <c r="G3946">
        <f>IF(A3946="","",IF(OR(B3946&lt;&gt;B3945,C3946&lt;&gt;C3945,E3946&lt;&gt;E3945),G3945+1,G3945))</f>
        <v/>
      </c>
    </row>
    <row r="3947">
      <c r="A3947" s="20">
        <f>IF(A3946="","",IF(A3946+1&gt;Ввод!$B$4,"",A3946+1))</f>
        <v/>
      </c>
      <c r="B3947">
        <f>IF(A3947="","",IFERROR(INDEX(Ввод!$B$12:$B$71,MATCH(A3947,Ввод!$D$12:$D$71,1)),""))</f>
        <v/>
      </c>
      <c r="C3947">
        <f>IF(A3947="","",DATE(YEAR(A3947),12,31)-DATE(YEAR(A3947),1,1)+1)</f>
        <v/>
      </c>
      <c r="D3947">
        <f>IF(A3947="","",SUMIFS(Акты!$D$5:$D$16,Акты!$E$5:$E$16,"&lt;="&amp;A3947)-SUMIFS(Оплаты!$B$6:$B$505,Оплаты!$A$6:$A$505,"&lt;"&amp;A3947,Оплаты!$D$6:$D$505,"&lt;&gt;"))</f>
        <v/>
      </c>
      <c r="E3947">
        <f>IF(A3947="","",IF(SUMPRODUCT((Ввод!$F$12:$F$31&lt;&gt;"")*(Ввод!$F$12:$F$31&lt;=A3947)*(Ввод!$G$12:$G$31&gt;=A3947))&gt;0,1,0))</f>
        <v/>
      </c>
      <c r="G3947">
        <f>IF(A3947="","",IF(OR(B3947&lt;&gt;B3946,C3947&lt;&gt;C3946,E3947&lt;&gt;E3946),G3946+1,G3946))</f>
        <v/>
      </c>
    </row>
    <row r="3948">
      <c r="A3948" s="20">
        <f>IF(A3947="","",IF(A3947+1&gt;Ввод!$B$4,"",A3947+1))</f>
        <v/>
      </c>
      <c r="B3948">
        <f>IF(A3948="","",IFERROR(INDEX(Ввод!$B$12:$B$71,MATCH(A3948,Ввод!$D$12:$D$71,1)),""))</f>
        <v/>
      </c>
      <c r="C3948">
        <f>IF(A3948="","",DATE(YEAR(A3948),12,31)-DATE(YEAR(A3948),1,1)+1)</f>
        <v/>
      </c>
      <c r="D3948">
        <f>IF(A3948="","",SUMIFS(Акты!$D$5:$D$16,Акты!$E$5:$E$16,"&lt;="&amp;A3948)-SUMIFS(Оплаты!$B$6:$B$505,Оплаты!$A$6:$A$505,"&lt;"&amp;A3948,Оплаты!$D$6:$D$505,"&lt;&gt;"))</f>
        <v/>
      </c>
      <c r="E3948">
        <f>IF(A3948="","",IF(SUMPRODUCT((Ввод!$F$12:$F$31&lt;&gt;"")*(Ввод!$F$12:$F$31&lt;=A3948)*(Ввод!$G$12:$G$31&gt;=A3948))&gt;0,1,0))</f>
        <v/>
      </c>
      <c r="G3948">
        <f>IF(A3948="","",IF(OR(B3948&lt;&gt;B3947,C3948&lt;&gt;C3947,E3948&lt;&gt;E3947),G3947+1,G3947))</f>
        <v/>
      </c>
    </row>
    <row r="3949">
      <c r="A3949" s="20">
        <f>IF(A3948="","",IF(A3948+1&gt;Ввод!$B$4,"",A3948+1))</f>
        <v/>
      </c>
      <c r="B3949">
        <f>IF(A3949="","",IFERROR(INDEX(Ввод!$B$12:$B$71,MATCH(A3949,Ввод!$D$12:$D$71,1)),""))</f>
        <v/>
      </c>
      <c r="C3949">
        <f>IF(A3949="","",DATE(YEAR(A3949),12,31)-DATE(YEAR(A3949),1,1)+1)</f>
        <v/>
      </c>
      <c r="D3949">
        <f>IF(A3949="","",SUMIFS(Акты!$D$5:$D$16,Акты!$E$5:$E$16,"&lt;="&amp;A3949)-SUMIFS(Оплаты!$B$6:$B$505,Оплаты!$A$6:$A$505,"&lt;"&amp;A3949,Оплаты!$D$6:$D$505,"&lt;&gt;"))</f>
        <v/>
      </c>
      <c r="E3949">
        <f>IF(A3949="","",IF(SUMPRODUCT((Ввод!$F$12:$F$31&lt;&gt;"")*(Ввод!$F$12:$F$31&lt;=A3949)*(Ввод!$G$12:$G$31&gt;=A3949))&gt;0,1,0))</f>
        <v/>
      </c>
      <c r="G3949">
        <f>IF(A3949="","",IF(OR(B3949&lt;&gt;B3948,C3949&lt;&gt;C3948,E3949&lt;&gt;E3948),G3948+1,G3948))</f>
        <v/>
      </c>
    </row>
    <row r="3950">
      <c r="A3950" s="20">
        <f>IF(A3949="","",IF(A3949+1&gt;Ввод!$B$4,"",A3949+1))</f>
        <v/>
      </c>
      <c r="B3950">
        <f>IF(A3950="","",IFERROR(INDEX(Ввод!$B$12:$B$71,MATCH(A3950,Ввод!$D$12:$D$71,1)),""))</f>
        <v/>
      </c>
      <c r="C3950">
        <f>IF(A3950="","",DATE(YEAR(A3950),12,31)-DATE(YEAR(A3950),1,1)+1)</f>
        <v/>
      </c>
      <c r="D3950">
        <f>IF(A3950="","",SUMIFS(Акты!$D$5:$D$16,Акты!$E$5:$E$16,"&lt;="&amp;A3950)-SUMIFS(Оплаты!$B$6:$B$505,Оплаты!$A$6:$A$505,"&lt;"&amp;A3950,Оплаты!$D$6:$D$505,"&lt;&gt;"))</f>
        <v/>
      </c>
      <c r="E3950">
        <f>IF(A3950="","",IF(SUMPRODUCT((Ввод!$F$12:$F$31&lt;&gt;"")*(Ввод!$F$12:$F$31&lt;=A3950)*(Ввод!$G$12:$G$31&gt;=A3950))&gt;0,1,0))</f>
        <v/>
      </c>
      <c r="G3950">
        <f>IF(A3950="","",IF(OR(B3950&lt;&gt;B3949,C3950&lt;&gt;C3949,E3950&lt;&gt;E3949),G3949+1,G3949))</f>
        <v/>
      </c>
    </row>
    <row r="3951">
      <c r="A3951" s="20">
        <f>IF(A3950="","",IF(A3950+1&gt;Ввод!$B$4,"",A3950+1))</f>
        <v/>
      </c>
      <c r="B3951">
        <f>IF(A3951="","",IFERROR(INDEX(Ввод!$B$12:$B$71,MATCH(A3951,Ввод!$D$12:$D$71,1)),""))</f>
        <v/>
      </c>
      <c r="C3951">
        <f>IF(A3951="","",DATE(YEAR(A3951),12,31)-DATE(YEAR(A3951),1,1)+1)</f>
        <v/>
      </c>
      <c r="D3951">
        <f>IF(A3951="","",SUMIFS(Акты!$D$5:$D$16,Акты!$E$5:$E$16,"&lt;="&amp;A3951)-SUMIFS(Оплаты!$B$6:$B$505,Оплаты!$A$6:$A$505,"&lt;"&amp;A3951,Оплаты!$D$6:$D$505,"&lt;&gt;"))</f>
        <v/>
      </c>
      <c r="E3951">
        <f>IF(A3951="","",IF(SUMPRODUCT((Ввод!$F$12:$F$31&lt;&gt;"")*(Ввод!$F$12:$F$31&lt;=A3951)*(Ввод!$G$12:$G$31&gt;=A3951))&gt;0,1,0))</f>
        <v/>
      </c>
      <c r="G3951">
        <f>IF(A3951="","",IF(OR(B3951&lt;&gt;B3950,C3951&lt;&gt;C3950,E3951&lt;&gt;E3950),G3950+1,G3950))</f>
        <v/>
      </c>
    </row>
    <row r="3952">
      <c r="A3952" s="20">
        <f>IF(A3951="","",IF(A3951+1&gt;Ввод!$B$4,"",A3951+1))</f>
        <v/>
      </c>
      <c r="B3952">
        <f>IF(A3952="","",IFERROR(INDEX(Ввод!$B$12:$B$71,MATCH(A3952,Ввод!$D$12:$D$71,1)),""))</f>
        <v/>
      </c>
      <c r="C3952">
        <f>IF(A3952="","",DATE(YEAR(A3952),12,31)-DATE(YEAR(A3952),1,1)+1)</f>
        <v/>
      </c>
      <c r="D3952">
        <f>IF(A3952="","",SUMIFS(Акты!$D$5:$D$16,Акты!$E$5:$E$16,"&lt;="&amp;A3952)-SUMIFS(Оплаты!$B$6:$B$505,Оплаты!$A$6:$A$505,"&lt;"&amp;A3952,Оплаты!$D$6:$D$505,"&lt;&gt;"))</f>
        <v/>
      </c>
      <c r="E3952">
        <f>IF(A3952="","",IF(SUMPRODUCT((Ввод!$F$12:$F$31&lt;&gt;"")*(Ввод!$F$12:$F$31&lt;=A3952)*(Ввод!$G$12:$G$31&gt;=A3952))&gt;0,1,0))</f>
        <v/>
      </c>
      <c r="G3952">
        <f>IF(A3952="","",IF(OR(B3952&lt;&gt;B3951,C3952&lt;&gt;C3951,E3952&lt;&gt;E3951),G3951+1,G3951))</f>
        <v/>
      </c>
    </row>
    <row r="3953">
      <c r="A3953" s="20">
        <f>IF(A3952="","",IF(A3952+1&gt;Ввод!$B$4,"",A3952+1))</f>
        <v/>
      </c>
      <c r="B3953">
        <f>IF(A3953="","",IFERROR(INDEX(Ввод!$B$12:$B$71,MATCH(A3953,Ввод!$D$12:$D$71,1)),""))</f>
        <v/>
      </c>
      <c r="C3953">
        <f>IF(A3953="","",DATE(YEAR(A3953),12,31)-DATE(YEAR(A3953),1,1)+1)</f>
        <v/>
      </c>
      <c r="D3953">
        <f>IF(A3953="","",SUMIFS(Акты!$D$5:$D$16,Акты!$E$5:$E$16,"&lt;="&amp;A3953)-SUMIFS(Оплаты!$B$6:$B$505,Оплаты!$A$6:$A$505,"&lt;"&amp;A3953,Оплаты!$D$6:$D$505,"&lt;&gt;"))</f>
        <v/>
      </c>
      <c r="E3953">
        <f>IF(A3953="","",IF(SUMPRODUCT((Ввод!$F$12:$F$31&lt;&gt;"")*(Ввод!$F$12:$F$31&lt;=A3953)*(Ввод!$G$12:$G$31&gt;=A3953))&gt;0,1,0))</f>
        <v/>
      </c>
      <c r="G3953">
        <f>IF(A3953="","",IF(OR(B3953&lt;&gt;B3952,C3953&lt;&gt;C3952,E3953&lt;&gt;E3952),G3952+1,G3952))</f>
        <v/>
      </c>
    </row>
    <row r="3954">
      <c r="A3954" s="20">
        <f>IF(A3953="","",IF(A3953+1&gt;Ввод!$B$4,"",A3953+1))</f>
        <v/>
      </c>
      <c r="B3954">
        <f>IF(A3954="","",IFERROR(INDEX(Ввод!$B$12:$B$71,MATCH(A3954,Ввод!$D$12:$D$71,1)),""))</f>
        <v/>
      </c>
      <c r="C3954">
        <f>IF(A3954="","",DATE(YEAR(A3954),12,31)-DATE(YEAR(A3954),1,1)+1)</f>
        <v/>
      </c>
      <c r="D3954">
        <f>IF(A3954="","",SUMIFS(Акты!$D$5:$D$16,Акты!$E$5:$E$16,"&lt;="&amp;A3954)-SUMIFS(Оплаты!$B$6:$B$505,Оплаты!$A$6:$A$505,"&lt;"&amp;A3954,Оплаты!$D$6:$D$505,"&lt;&gt;"))</f>
        <v/>
      </c>
      <c r="E3954">
        <f>IF(A3954="","",IF(SUMPRODUCT((Ввод!$F$12:$F$31&lt;&gt;"")*(Ввод!$F$12:$F$31&lt;=A3954)*(Ввод!$G$12:$G$31&gt;=A3954))&gt;0,1,0))</f>
        <v/>
      </c>
      <c r="G3954">
        <f>IF(A3954="","",IF(OR(B3954&lt;&gt;B3953,C3954&lt;&gt;C3953,E3954&lt;&gt;E3953),G3953+1,G3953))</f>
        <v/>
      </c>
    </row>
    <row r="3955">
      <c r="A3955" s="20">
        <f>IF(A3954="","",IF(A3954+1&gt;Ввод!$B$4,"",A3954+1))</f>
        <v/>
      </c>
      <c r="B3955">
        <f>IF(A3955="","",IFERROR(INDEX(Ввод!$B$12:$B$71,MATCH(A3955,Ввод!$D$12:$D$71,1)),""))</f>
        <v/>
      </c>
      <c r="C3955">
        <f>IF(A3955="","",DATE(YEAR(A3955),12,31)-DATE(YEAR(A3955),1,1)+1)</f>
        <v/>
      </c>
      <c r="D3955">
        <f>IF(A3955="","",SUMIFS(Акты!$D$5:$D$16,Акты!$E$5:$E$16,"&lt;="&amp;A3955)-SUMIFS(Оплаты!$B$6:$B$505,Оплаты!$A$6:$A$505,"&lt;"&amp;A3955,Оплаты!$D$6:$D$505,"&lt;&gt;"))</f>
        <v/>
      </c>
      <c r="E3955">
        <f>IF(A3955="","",IF(SUMPRODUCT((Ввод!$F$12:$F$31&lt;&gt;"")*(Ввод!$F$12:$F$31&lt;=A3955)*(Ввод!$G$12:$G$31&gt;=A3955))&gt;0,1,0))</f>
        <v/>
      </c>
      <c r="G3955">
        <f>IF(A3955="","",IF(OR(B3955&lt;&gt;B3954,C3955&lt;&gt;C3954,E3955&lt;&gt;E3954),G3954+1,G3954))</f>
        <v/>
      </c>
    </row>
    <row r="3956">
      <c r="A3956" s="20">
        <f>IF(A3955="","",IF(A3955+1&gt;Ввод!$B$4,"",A3955+1))</f>
        <v/>
      </c>
      <c r="B3956">
        <f>IF(A3956="","",IFERROR(INDEX(Ввод!$B$12:$B$71,MATCH(A3956,Ввод!$D$12:$D$71,1)),""))</f>
        <v/>
      </c>
      <c r="C3956">
        <f>IF(A3956="","",DATE(YEAR(A3956),12,31)-DATE(YEAR(A3956),1,1)+1)</f>
        <v/>
      </c>
      <c r="D3956">
        <f>IF(A3956="","",SUMIFS(Акты!$D$5:$D$16,Акты!$E$5:$E$16,"&lt;="&amp;A3956)-SUMIFS(Оплаты!$B$6:$B$505,Оплаты!$A$6:$A$505,"&lt;"&amp;A3956,Оплаты!$D$6:$D$505,"&lt;&gt;"))</f>
        <v/>
      </c>
      <c r="E3956">
        <f>IF(A3956="","",IF(SUMPRODUCT((Ввод!$F$12:$F$31&lt;&gt;"")*(Ввод!$F$12:$F$31&lt;=A3956)*(Ввод!$G$12:$G$31&gt;=A3956))&gt;0,1,0))</f>
        <v/>
      </c>
      <c r="G3956">
        <f>IF(A3956="","",IF(OR(B3956&lt;&gt;B3955,C3956&lt;&gt;C3955,E3956&lt;&gt;E3955),G3955+1,G3955))</f>
        <v/>
      </c>
    </row>
    <row r="3957">
      <c r="A3957" s="20">
        <f>IF(A3956="","",IF(A3956+1&gt;Ввод!$B$4,"",A3956+1))</f>
        <v/>
      </c>
      <c r="B3957">
        <f>IF(A3957="","",IFERROR(INDEX(Ввод!$B$12:$B$71,MATCH(A3957,Ввод!$D$12:$D$71,1)),""))</f>
        <v/>
      </c>
      <c r="C3957">
        <f>IF(A3957="","",DATE(YEAR(A3957),12,31)-DATE(YEAR(A3957),1,1)+1)</f>
        <v/>
      </c>
      <c r="D3957">
        <f>IF(A3957="","",SUMIFS(Акты!$D$5:$D$16,Акты!$E$5:$E$16,"&lt;="&amp;A3957)-SUMIFS(Оплаты!$B$6:$B$505,Оплаты!$A$6:$A$505,"&lt;"&amp;A3957,Оплаты!$D$6:$D$505,"&lt;&gt;"))</f>
        <v/>
      </c>
      <c r="E3957">
        <f>IF(A3957="","",IF(SUMPRODUCT((Ввод!$F$12:$F$31&lt;&gt;"")*(Ввод!$F$12:$F$31&lt;=A3957)*(Ввод!$G$12:$G$31&gt;=A3957))&gt;0,1,0))</f>
        <v/>
      </c>
      <c r="G3957">
        <f>IF(A3957="","",IF(OR(B3957&lt;&gt;B3956,C3957&lt;&gt;C3956,E3957&lt;&gt;E3956),G3956+1,G3956))</f>
        <v/>
      </c>
    </row>
    <row r="3958">
      <c r="A3958" s="20">
        <f>IF(A3957="","",IF(A3957+1&gt;Ввод!$B$4,"",A3957+1))</f>
        <v/>
      </c>
      <c r="B3958">
        <f>IF(A3958="","",IFERROR(INDEX(Ввод!$B$12:$B$71,MATCH(A3958,Ввод!$D$12:$D$71,1)),""))</f>
        <v/>
      </c>
      <c r="C3958">
        <f>IF(A3958="","",DATE(YEAR(A3958),12,31)-DATE(YEAR(A3958),1,1)+1)</f>
        <v/>
      </c>
      <c r="D3958">
        <f>IF(A3958="","",SUMIFS(Акты!$D$5:$D$16,Акты!$E$5:$E$16,"&lt;="&amp;A3958)-SUMIFS(Оплаты!$B$6:$B$505,Оплаты!$A$6:$A$505,"&lt;"&amp;A3958,Оплаты!$D$6:$D$505,"&lt;&gt;"))</f>
        <v/>
      </c>
      <c r="E3958">
        <f>IF(A3958="","",IF(SUMPRODUCT((Ввод!$F$12:$F$31&lt;&gt;"")*(Ввод!$F$12:$F$31&lt;=A3958)*(Ввод!$G$12:$G$31&gt;=A3958))&gt;0,1,0))</f>
        <v/>
      </c>
      <c r="G3958">
        <f>IF(A3958="","",IF(OR(B3958&lt;&gt;B3957,C3958&lt;&gt;C3957,E3958&lt;&gt;E3957),G3957+1,G3957))</f>
        <v/>
      </c>
    </row>
    <row r="3959">
      <c r="A3959" s="20">
        <f>IF(A3958="","",IF(A3958+1&gt;Ввод!$B$4,"",A3958+1))</f>
        <v/>
      </c>
      <c r="B3959">
        <f>IF(A3959="","",IFERROR(INDEX(Ввод!$B$12:$B$71,MATCH(A3959,Ввод!$D$12:$D$71,1)),""))</f>
        <v/>
      </c>
      <c r="C3959">
        <f>IF(A3959="","",DATE(YEAR(A3959),12,31)-DATE(YEAR(A3959),1,1)+1)</f>
        <v/>
      </c>
      <c r="D3959">
        <f>IF(A3959="","",SUMIFS(Акты!$D$5:$D$16,Акты!$E$5:$E$16,"&lt;="&amp;A3959)-SUMIFS(Оплаты!$B$6:$B$505,Оплаты!$A$6:$A$505,"&lt;"&amp;A3959,Оплаты!$D$6:$D$505,"&lt;&gt;"))</f>
        <v/>
      </c>
      <c r="E3959">
        <f>IF(A3959="","",IF(SUMPRODUCT((Ввод!$F$12:$F$31&lt;&gt;"")*(Ввод!$F$12:$F$31&lt;=A3959)*(Ввод!$G$12:$G$31&gt;=A3959))&gt;0,1,0))</f>
        <v/>
      </c>
      <c r="G3959">
        <f>IF(A3959="","",IF(OR(B3959&lt;&gt;B3958,C3959&lt;&gt;C3958,E3959&lt;&gt;E3958),G3958+1,G3958))</f>
        <v/>
      </c>
    </row>
    <row r="3960">
      <c r="A3960" s="20">
        <f>IF(A3959="","",IF(A3959+1&gt;Ввод!$B$4,"",A3959+1))</f>
        <v/>
      </c>
      <c r="B3960">
        <f>IF(A3960="","",IFERROR(INDEX(Ввод!$B$12:$B$71,MATCH(A3960,Ввод!$D$12:$D$71,1)),""))</f>
        <v/>
      </c>
      <c r="C3960">
        <f>IF(A3960="","",DATE(YEAR(A3960),12,31)-DATE(YEAR(A3960),1,1)+1)</f>
        <v/>
      </c>
      <c r="D3960">
        <f>IF(A3960="","",SUMIFS(Акты!$D$5:$D$16,Акты!$E$5:$E$16,"&lt;="&amp;A3960)-SUMIFS(Оплаты!$B$6:$B$505,Оплаты!$A$6:$A$505,"&lt;"&amp;A3960,Оплаты!$D$6:$D$505,"&lt;&gt;"))</f>
        <v/>
      </c>
      <c r="E3960">
        <f>IF(A3960="","",IF(SUMPRODUCT((Ввод!$F$12:$F$31&lt;&gt;"")*(Ввод!$F$12:$F$31&lt;=A3960)*(Ввод!$G$12:$G$31&gt;=A3960))&gt;0,1,0))</f>
        <v/>
      </c>
      <c r="G3960">
        <f>IF(A3960="","",IF(OR(B3960&lt;&gt;B3959,C3960&lt;&gt;C3959,E3960&lt;&gt;E3959),G3959+1,G3959))</f>
        <v/>
      </c>
    </row>
    <row r="3961">
      <c r="A3961" s="20">
        <f>IF(A3960="","",IF(A3960+1&gt;Ввод!$B$4,"",A3960+1))</f>
        <v/>
      </c>
      <c r="B3961">
        <f>IF(A3961="","",IFERROR(INDEX(Ввод!$B$12:$B$71,MATCH(A3961,Ввод!$D$12:$D$71,1)),""))</f>
        <v/>
      </c>
      <c r="C3961">
        <f>IF(A3961="","",DATE(YEAR(A3961),12,31)-DATE(YEAR(A3961),1,1)+1)</f>
        <v/>
      </c>
      <c r="D3961">
        <f>IF(A3961="","",SUMIFS(Акты!$D$5:$D$16,Акты!$E$5:$E$16,"&lt;="&amp;A3961)-SUMIFS(Оплаты!$B$6:$B$505,Оплаты!$A$6:$A$505,"&lt;"&amp;A3961,Оплаты!$D$6:$D$505,"&lt;&gt;"))</f>
        <v/>
      </c>
      <c r="E3961">
        <f>IF(A3961="","",IF(SUMPRODUCT((Ввод!$F$12:$F$31&lt;&gt;"")*(Ввод!$F$12:$F$31&lt;=A3961)*(Ввод!$G$12:$G$31&gt;=A3961))&gt;0,1,0))</f>
        <v/>
      </c>
      <c r="G3961">
        <f>IF(A3961="","",IF(OR(B3961&lt;&gt;B3960,C3961&lt;&gt;C3960,E3961&lt;&gt;E3960),G3960+1,G3960))</f>
        <v/>
      </c>
    </row>
    <row r="3962">
      <c r="A3962" s="20">
        <f>IF(A3961="","",IF(A3961+1&gt;Ввод!$B$4,"",A3961+1))</f>
        <v/>
      </c>
      <c r="B3962">
        <f>IF(A3962="","",IFERROR(INDEX(Ввод!$B$12:$B$71,MATCH(A3962,Ввод!$D$12:$D$71,1)),""))</f>
        <v/>
      </c>
      <c r="C3962">
        <f>IF(A3962="","",DATE(YEAR(A3962),12,31)-DATE(YEAR(A3962),1,1)+1)</f>
        <v/>
      </c>
      <c r="D3962">
        <f>IF(A3962="","",SUMIFS(Акты!$D$5:$D$16,Акты!$E$5:$E$16,"&lt;="&amp;A3962)-SUMIFS(Оплаты!$B$6:$B$505,Оплаты!$A$6:$A$505,"&lt;"&amp;A3962,Оплаты!$D$6:$D$505,"&lt;&gt;"))</f>
        <v/>
      </c>
      <c r="E3962">
        <f>IF(A3962="","",IF(SUMPRODUCT((Ввод!$F$12:$F$31&lt;&gt;"")*(Ввод!$F$12:$F$31&lt;=A3962)*(Ввод!$G$12:$G$31&gt;=A3962))&gt;0,1,0))</f>
        <v/>
      </c>
      <c r="G3962">
        <f>IF(A3962="","",IF(OR(B3962&lt;&gt;B3961,C3962&lt;&gt;C3961,E3962&lt;&gt;E3961),G3961+1,G3961))</f>
        <v/>
      </c>
    </row>
    <row r="3963">
      <c r="A3963" s="20">
        <f>IF(A3962="","",IF(A3962+1&gt;Ввод!$B$4,"",A3962+1))</f>
        <v/>
      </c>
      <c r="B3963">
        <f>IF(A3963="","",IFERROR(INDEX(Ввод!$B$12:$B$71,MATCH(A3963,Ввод!$D$12:$D$71,1)),""))</f>
        <v/>
      </c>
      <c r="C3963">
        <f>IF(A3963="","",DATE(YEAR(A3963),12,31)-DATE(YEAR(A3963),1,1)+1)</f>
        <v/>
      </c>
      <c r="D3963">
        <f>IF(A3963="","",SUMIFS(Акты!$D$5:$D$16,Акты!$E$5:$E$16,"&lt;="&amp;A3963)-SUMIFS(Оплаты!$B$6:$B$505,Оплаты!$A$6:$A$505,"&lt;"&amp;A3963,Оплаты!$D$6:$D$505,"&lt;&gt;"))</f>
        <v/>
      </c>
      <c r="E3963">
        <f>IF(A3963="","",IF(SUMPRODUCT((Ввод!$F$12:$F$31&lt;&gt;"")*(Ввод!$F$12:$F$31&lt;=A3963)*(Ввод!$G$12:$G$31&gt;=A3963))&gt;0,1,0))</f>
        <v/>
      </c>
      <c r="G3963">
        <f>IF(A3963="","",IF(OR(B3963&lt;&gt;B3962,C3963&lt;&gt;C3962,E3963&lt;&gt;E3962),G3962+1,G3962))</f>
        <v/>
      </c>
    </row>
    <row r="3964">
      <c r="A3964" s="20">
        <f>IF(A3963="","",IF(A3963+1&gt;Ввод!$B$4,"",A3963+1))</f>
        <v/>
      </c>
      <c r="B3964">
        <f>IF(A3964="","",IFERROR(INDEX(Ввод!$B$12:$B$71,MATCH(A3964,Ввод!$D$12:$D$71,1)),""))</f>
        <v/>
      </c>
      <c r="C3964">
        <f>IF(A3964="","",DATE(YEAR(A3964),12,31)-DATE(YEAR(A3964),1,1)+1)</f>
        <v/>
      </c>
      <c r="D3964">
        <f>IF(A3964="","",SUMIFS(Акты!$D$5:$D$16,Акты!$E$5:$E$16,"&lt;="&amp;A3964)-SUMIFS(Оплаты!$B$6:$B$505,Оплаты!$A$6:$A$505,"&lt;"&amp;A3964,Оплаты!$D$6:$D$505,"&lt;&gt;"))</f>
        <v/>
      </c>
      <c r="E3964">
        <f>IF(A3964="","",IF(SUMPRODUCT((Ввод!$F$12:$F$31&lt;&gt;"")*(Ввод!$F$12:$F$31&lt;=A3964)*(Ввод!$G$12:$G$31&gt;=A3964))&gt;0,1,0))</f>
        <v/>
      </c>
      <c r="G3964">
        <f>IF(A3964="","",IF(OR(B3964&lt;&gt;B3963,C3964&lt;&gt;C3963,E3964&lt;&gt;E3963),G3963+1,G3963))</f>
        <v/>
      </c>
    </row>
    <row r="3965">
      <c r="A3965" s="20">
        <f>IF(A3964="","",IF(A3964+1&gt;Ввод!$B$4,"",A3964+1))</f>
        <v/>
      </c>
      <c r="B3965">
        <f>IF(A3965="","",IFERROR(INDEX(Ввод!$B$12:$B$71,MATCH(A3965,Ввод!$D$12:$D$71,1)),""))</f>
        <v/>
      </c>
      <c r="C3965">
        <f>IF(A3965="","",DATE(YEAR(A3965),12,31)-DATE(YEAR(A3965),1,1)+1)</f>
        <v/>
      </c>
      <c r="D3965">
        <f>IF(A3965="","",SUMIFS(Акты!$D$5:$D$16,Акты!$E$5:$E$16,"&lt;="&amp;A3965)-SUMIFS(Оплаты!$B$6:$B$505,Оплаты!$A$6:$A$505,"&lt;"&amp;A3965,Оплаты!$D$6:$D$505,"&lt;&gt;"))</f>
        <v/>
      </c>
      <c r="E3965">
        <f>IF(A3965="","",IF(SUMPRODUCT((Ввод!$F$12:$F$31&lt;&gt;"")*(Ввод!$F$12:$F$31&lt;=A3965)*(Ввод!$G$12:$G$31&gt;=A3965))&gt;0,1,0))</f>
        <v/>
      </c>
      <c r="G3965">
        <f>IF(A3965="","",IF(OR(B3965&lt;&gt;B3964,C3965&lt;&gt;C3964,E3965&lt;&gt;E3964),G3964+1,G3964))</f>
        <v/>
      </c>
    </row>
    <row r="3966">
      <c r="A3966" s="20">
        <f>IF(A3965="","",IF(A3965+1&gt;Ввод!$B$4,"",A3965+1))</f>
        <v/>
      </c>
      <c r="B3966">
        <f>IF(A3966="","",IFERROR(INDEX(Ввод!$B$12:$B$71,MATCH(A3966,Ввод!$D$12:$D$71,1)),""))</f>
        <v/>
      </c>
      <c r="C3966">
        <f>IF(A3966="","",DATE(YEAR(A3966),12,31)-DATE(YEAR(A3966),1,1)+1)</f>
        <v/>
      </c>
      <c r="D3966">
        <f>IF(A3966="","",SUMIFS(Акты!$D$5:$D$16,Акты!$E$5:$E$16,"&lt;="&amp;A3966)-SUMIFS(Оплаты!$B$6:$B$505,Оплаты!$A$6:$A$505,"&lt;"&amp;A3966,Оплаты!$D$6:$D$505,"&lt;&gt;"))</f>
        <v/>
      </c>
      <c r="E3966">
        <f>IF(A3966="","",IF(SUMPRODUCT((Ввод!$F$12:$F$31&lt;&gt;"")*(Ввод!$F$12:$F$31&lt;=A3966)*(Ввод!$G$12:$G$31&gt;=A3966))&gt;0,1,0))</f>
        <v/>
      </c>
      <c r="G3966">
        <f>IF(A3966="","",IF(OR(B3966&lt;&gt;B3965,C3966&lt;&gt;C3965,E3966&lt;&gt;E3965),G3965+1,G3965))</f>
        <v/>
      </c>
    </row>
    <row r="3967">
      <c r="A3967" s="20">
        <f>IF(A3966="","",IF(A3966+1&gt;Ввод!$B$4,"",A3966+1))</f>
        <v/>
      </c>
      <c r="B3967">
        <f>IF(A3967="","",IFERROR(INDEX(Ввод!$B$12:$B$71,MATCH(A3967,Ввод!$D$12:$D$71,1)),""))</f>
        <v/>
      </c>
      <c r="C3967">
        <f>IF(A3967="","",DATE(YEAR(A3967),12,31)-DATE(YEAR(A3967),1,1)+1)</f>
        <v/>
      </c>
      <c r="D3967">
        <f>IF(A3967="","",SUMIFS(Акты!$D$5:$D$16,Акты!$E$5:$E$16,"&lt;="&amp;A3967)-SUMIFS(Оплаты!$B$6:$B$505,Оплаты!$A$6:$A$505,"&lt;"&amp;A3967,Оплаты!$D$6:$D$505,"&lt;&gt;"))</f>
        <v/>
      </c>
      <c r="E3967">
        <f>IF(A3967="","",IF(SUMPRODUCT((Ввод!$F$12:$F$31&lt;&gt;"")*(Ввод!$F$12:$F$31&lt;=A3967)*(Ввод!$G$12:$G$31&gt;=A3967))&gt;0,1,0))</f>
        <v/>
      </c>
      <c r="G3967">
        <f>IF(A3967="","",IF(OR(B3967&lt;&gt;B3966,C3967&lt;&gt;C3966,E3967&lt;&gt;E3966),G3966+1,G3966))</f>
        <v/>
      </c>
    </row>
    <row r="3968">
      <c r="A3968" s="20">
        <f>IF(A3967="","",IF(A3967+1&gt;Ввод!$B$4,"",A3967+1))</f>
        <v/>
      </c>
      <c r="B3968">
        <f>IF(A3968="","",IFERROR(INDEX(Ввод!$B$12:$B$71,MATCH(A3968,Ввод!$D$12:$D$71,1)),""))</f>
        <v/>
      </c>
      <c r="C3968">
        <f>IF(A3968="","",DATE(YEAR(A3968),12,31)-DATE(YEAR(A3968),1,1)+1)</f>
        <v/>
      </c>
      <c r="D3968">
        <f>IF(A3968="","",SUMIFS(Акты!$D$5:$D$16,Акты!$E$5:$E$16,"&lt;="&amp;A3968)-SUMIFS(Оплаты!$B$6:$B$505,Оплаты!$A$6:$A$505,"&lt;"&amp;A3968,Оплаты!$D$6:$D$505,"&lt;&gt;"))</f>
        <v/>
      </c>
      <c r="E3968">
        <f>IF(A3968="","",IF(SUMPRODUCT((Ввод!$F$12:$F$31&lt;&gt;"")*(Ввод!$F$12:$F$31&lt;=A3968)*(Ввод!$G$12:$G$31&gt;=A3968))&gt;0,1,0))</f>
        <v/>
      </c>
      <c r="G3968">
        <f>IF(A3968="","",IF(OR(B3968&lt;&gt;B3967,C3968&lt;&gt;C3967,E3968&lt;&gt;E3967),G3967+1,G3967))</f>
        <v/>
      </c>
    </row>
    <row r="3969">
      <c r="A3969" s="20">
        <f>IF(A3968="","",IF(A3968+1&gt;Ввод!$B$4,"",A3968+1))</f>
        <v/>
      </c>
      <c r="B3969">
        <f>IF(A3969="","",IFERROR(INDEX(Ввод!$B$12:$B$71,MATCH(A3969,Ввод!$D$12:$D$71,1)),""))</f>
        <v/>
      </c>
      <c r="C3969">
        <f>IF(A3969="","",DATE(YEAR(A3969),12,31)-DATE(YEAR(A3969),1,1)+1)</f>
        <v/>
      </c>
      <c r="D3969">
        <f>IF(A3969="","",SUMIFS(Акты!$D$5:$D$16,Акты!$E$5:$E$16,"&lt;="&amp;A3969)-SUMIFS(Оплаты!$B$6:$B$505,Оплаты!$A$6:$A$505,"&lt;"&amp;A3969,Оплаты!$D$6:$D$505,"&lt;&gt;"))</f>
        <v/>
      </c>
      <c r="E3969">
        <f>IF(A3969="","",IF(SUMPRODUCT((Ввод!$F$12:$F$31&lt;&gt;"")*(Ввод!$F$12:$F$31&lt;=A3969)*(Ввод!$G$12:$G$31&gt;=A3969))&gt;0,1,0))</f>
        <v/>
      </c>
      <c r="G3969">
        <f>IF(A3969="","",IF(OR(B3969&lt;&gt;B3968,C3969&lt;&gt;C3968,E3969&lt;&gt;E3968),G3968+1,G3968))</f>
        <v/>
      </c>
    </row>
    <row r="3970">
      <c r="A3970" s="20">
        <f>IF(A3969="","",IF(A3969+1&gt;Ввод!$B$4,"",A3969+1))</f>
        <v/>
      </c>
      <c r="B3970">
        <f>IF(A3970="","",IFERROR(INDEX(Ввод!$B$12:$B$71,MATCH(A3970,Ввод!$D$12:$D$71,1)),""))</f>
        <v/>
      </c>
      <c r="C3970">
        <f>IF(A3970="","",DATE(YEAR(A3970),12,31)-DATE(YEAR(A3970),1,1)+1)</f>
        <v/>
      </c>
      <c r="D3970">
        <f>IF(A3970="","",SUMIFS(Акты!$D$5:$D$16,Акты!$E$5:$E$16,"&lt;="&amp;A3970)-SUMIFS(Оплаты!$B$6:$B$505,Оплаты!$A$6:$A$505,"&lt;"&amp;A3970,Оплаты!$D$6:$D$505,"&lt;&gt;"))</f>
        <v/>
      </c>
      <c r="E3970">
        <f>IF(A3970="","",IF(SUMPRODUCT((Ввод!$F$12:$F$31&lt;&gt;"")*(Ввод!$F$12:$F$31&lt;=A3970)*(Ввод!$G$12:$G$31&gt;=A3970))&gt;0,1,0))</f>
        <v/>
      </c>
      <c r="G3970">
        <f>IF(A3970="","",IF(OR(B3970&lt;&gt;B3969,C3970&lt;&gt;C3969,E3970&lt;&gt;E3969),G3969+1,G3969))</f>
        <v/>
      </c>
    </row>
    <row r="3971">
      <c r="A3971" s="20">
        <f>IF(A3970="","",IF(A3970+1&gt;Ввод!$B$4,"",A3970+1))</f>
        <v/>
      </c>
      <c r="B3971">
        <f>IF(A3971="","",IFERROR(INDEX(Ввод!$B$12:$B$71,MATCH(A3971,Ввод!$D$12:$D$71,1)),""))</f>
        <v/>
      </c>
      <c r="C3971">
        <f>IF(A3971="","",DATE(YEAR(A3971),12,31)-DATE(YEAR(A3971),1,1)+1)</f>
        <v/>
      </c>
      <c r="D3971">
        <f>IF(A3971="","",SUMIFS(Акты!$D$5:$D$16,Акты!$E$5:$E$16,"&lt;="&amp;A3971)-SUMIFS(Оплаты!$B$6:$B$505,Оплаты!$A$6:$A$505,"&lt;"&amp;A3971,Оплаты!$D$6:$D$505,"&lt;&gt;"))</f>
        <v/>
      </c>
      <c r="E3971">
        <f>IF(A3971="","",IF(SUMPRODUCT((Ввод!$F$12:$F$31&lt;&gt;"")*(Ввод!$F$12:$F$31&lt;=A3971)*(Ввод!$G$12:$G$31&gt;=A3971))&gt;0,1,0))</f>
        <v/>
      </c>
      <c r="G3971">
        <f>IF(A3971="","",IF(OR(B3971&lt;&gt;B3970,C3971&lt;&gt;C3970,E3971&lt;&gt;E3970),G3970+1,G3970))</f>
        <v/>
      </c>
    </row>
    <row r="3972">
      <c r="A3972" s="20">
        <f>IF(A3971="","",IF(A3971+1&gt;Ввод!$B$4,"",A3971+1))</f>
        <v/>
      </c>
      <c r="B3972">
        <f>IF(A3972="","",IFERROR(INDEX(Ввод!$B$12:$B$71,MATCH(A3972,Ввод!$D$12:$D$71,1)),""))</f>
        <v/>
      </c>
      <c r="C3972">
        <f>IF(A3972="","",DATE(YEAR(A3972),12,31)-DATE(YEAR(A3972),1,1)+1)</f>
        <v/>
      </c>
      <c r="D3972">
        <f>IF(A3972="","",SUMIFS(Акты!$D$5:$D$16,Акты!$E$5:$E$16,"&lt;="&amp;A3972)-SUMIFS(Оплаты!$B$6:$B$505,Оплаты!$A$6:$A$505,"&lt;"&amp;A3972,Оплаты!$D$6:$D$505,"&lt;&gt;"))</f>
        <v/>
      </c>
      <c r="E3972">
        <f>IF(A3972="","",IF(SUMPRODUCT((Ввод!$F$12:$F$31&lt;&gt;"")*(Ввод!$F$12:$F$31&lt;=A3972)*(Ввод!$G$12:$G$31&gt;=A3972))&gt;0,1,0))</f>
        <v/>
      </c>
      <c r="G3972">
        <f>IF(A3972="","",IF(OR(B3972&lt;&gt;B3971,C3972&lt;&gt;C3971,E3972&lt;&gt;E3971),G3971+1,G3971))</f>
        <v/>
      </c>
    </row>
    <row r="3973">
      <c r="A3973" s="20">
        <f>IF(A3972="","",IF(A3972+1&gt;Ввод!$B$4,"",A3972+1))</f>
        <v/>
      </c>
      <c r="B3973">
        <f>IF(A3973="","",IFERROR(INDEX(Ввод!$B$12:$B$71,MATCH(A3973,Ввод!$D$12:$D$71,1)),""))</f>
        <v/>
      </c>
      <c r="C3973">
        <f>IF(A3973="","",DATE(YEAR(A3973),12,31)-DATE(YEAR(A3973),1,1)+1)</f>
        <v/>
      </c>
      <c r="D3973">
        <f>IF(A3973="","",SUMIFS(Акты!$D$5:$D$16,Акты!$E$5:$E$16,"&lt;="&amp;A3973)-SUMIFS(Оплаты!$B$6:$B$505,Оплаты!$A$6:$A$505,"&lt;"&amp;A3973,Оплаты!$D$6:$D$505,"&lt;&gt;"))</f>
        <v/>
      </c>
      <c r="E3973">
        <f>IF(A3973="","",IF(SUMPRODUCT((Ввод!$F$12:$F$31&lt;&gt;"")*(Ввод!$F$12:$F$31&lt;=A3973)*(Ввод!$G$12:$G$31&gt;=A3973))&gt;0,1,0))</f>
        <v/>
      </c>
      <c r="G3973">
        <f>IF(A3973="","",IF(OR(B3973&lt;&gt;B3972,C3973&lt;&gt;C3972,E3973&lt;&gt;E3972),G3972+1,G3972))</f>
        <v/>
      </c>
    </row>
    <row r="3974">
      <c r="A3974" s="20">
        <f>IF(A3973="","",IF(A3973+1&gt;Ввод!$B$4,"",A3973+1))</f>
        <v/>
      </c>
      <c r="B3974">
        <f>IF(A3974="","",IFERROR(INDEX(Ввод!$B$12:$B$71,MATCH(A3974,Ввод!$D$12:$D$71,1)),""))</f>
        <v/>
      </c>
      <c r="C3974">
        <f>IF(A3974="","",DATE(YEAR(A3974),12,31)-DATE(YEAR(A3974),1,1)+1)</f>
        <v/>
      </c>
      <c r="D3974">
        <f>IF(A3974="","",SUMIFS(Акты!$D$5:$D$16,Акты!$E$5:$E$16,"&lt;="&amp;A3974)-SUMIFS(Оплаты!$B$6:$B$505,Оплаты!$A$6:$A$505,"&lt;"&amp;A3974,Оплаты!$D$6:$D$505,"&lt;&gt;"))</f>
        <v/>
      </c>
      <c r="E3974">
        <f>IF(A3974="","",IF(SUMPRODUCT((Ввод!$F$12:$F$31&lt;&gt;"")*(Ввод!$F$12:$F$31&lt;=A3974)*(Ввод!$G$12:$G$31&gt;=A3974))&gt;0,1,0))</f>
        <v/>
      </c>
      <c r="G3974">
        <f>IF(A3974="","",IF(OR(B3974&lt;&gt;B3973,C3974&lt;&gt;C3973,E3974&lt;&gt;E3973),G3973+1,G3973))</f>
        <v/>
      </c>
    </row>
    <row r="3975">
      <c r="A3975" s="20">
        <f>IF(A3974="","",IF(A3974+1&gt;Ввод!$B$4,"",A3974+1))</f>
        <v/>
      </c>
      <c r="B3975">
        <f>IF(A3975="","",IFERROR(INDEX(Ввод!$B$12:$B$71,MATCH(A3975,Ввод!$D$12:$D$71,1)),""))</f>
        <v/>
      </c>
      <c r="C3975">
        <f>IF(A3975="","",DATE(YEAR(A3975),12,31)-DATE(YEAR(A3975),1,1)+1)</f>
        <v/>
      </c>
      <c r="D3975">
        <f>IF(A3975="","",SUMIFS(Акты!$D$5:$D$16,Акты!$E$5:$E$16,"&lt;="&amp;A3975)-SUMIFS(Оплаты!$B$6:$B$505,Оплаты!$A$6:$A$505,"&lt;"&amp;A3975,Оплаты!$D$6:$D$505,"&lt;&gt;"))</f>
        <v/>
      </c>
      <c r="E3975">
        <f>IF(A3975="","",IF(SUMPRODUCT((Ввод!$F$12:$F$31&lt;&gt;"")*(Ввод!$F$12:$F$31&lt;=A3975)*(Ввод!$G$12:$G$31&gt;=A3975))&gt;0,1,0))</f>
        <v/>
      </c>
      <c r="G3975">
        <f>IF(A3975="","",IF(OR(B3975&lt;&gt;B3974,C3975&lt;&gt;C3974,E3975&lt;&gt;E3974),G3974+1,G3974))</f>
        <v/>
      </c>
    </row>
    <row r="3976">
      <c r="A3976" s="20">
        <f>IF(A3975="","",IF(A3975+1&gt;Ввод!$B$4,"",A3975+1))</f>
        <v/>
      </c>
      <c r="B3976">
        <f>IF(A3976="","",IFERROR(INDEX(Ввод!$B$12:$B$71,MATCH(A3976,Ввод!$D$12:$D$71,1)),""))</f>
        <v/>
      </c>
      <c r="C3976">
        <f>IF(A3976="","",DATE(YEAR(A3976),12,31)-DATE(YEAR(A3976),1,1)+1)</f>
        <v/>
      </c>
      <c r="D3976">
        <f>IF(A3976="","",SUMIFS(Акты!$D$5:$D$16,Акты!$E$5:$E$16,"&lt;="&amp;A3976)-SUMIFS(Оплаты!$B$6:$B$505,Оплаты!$A$6:$A$505,"&lt;"&amp;A3976,Оплаты!$D$6:$D$505,"&lt;&gt;"))</f>
        <v/>
      </c>
      <c r="E3976">
        <f>IF(A3976="","",IF(SUMPRODUCT((Ввод!$F$12:$F$31&lt;&gt;"")*(Ввод!$F$12:$F$31&lt;=A3976)*(Ввод!$G$12:$G$31&gt;=A3976))&gt;0,1,0))</f>
        <v/>
      </c>
      <c r="G3976">
        <f>IF(A3976="","",IF(OR(B3976&lt;&gt;B3975,C3976&lt;&gt;C3975,E3976&lt;&gt;E3975),G3975+1,G3975))</f>
        <v/>
      </c>
    </row>
    <row r="3977">
      <c r="A3977" s="20">
        <f>IF(A3976="","",IF(A3976+1&gt;Ввод!$B$4,"",A3976+1))</f>
        <v/>
      </c>
      <c r="B3977">
        <f>IF(A3977="","",IFERROR(INDEX(Ввод!$B$12:$B$71,MATCH(A3977,Ввод!$D$12:$D$71,1)),""))</f>
        <v/>
      </c>
      <c r="C3977">
        <f>IF(A3977="","",DATE(YEAR(A3977),12,31)-DATE(YEAR(A3977),1,1)+1)</f>
        <v/>
      </c>
      <c r="D3977">
        <f>IF(A3977="","",SUMIFS(Акты!$D$5:$D$16,Акты!$E$5:$E$16,"&lt;="&amp;A3977)-SUMIFS(Оплаты!$B$6:$B$505,Оплаты!$A$6:$A$505,"&lt;"&amp;A3977,Оплаты!$D$6:$D$505,"&lt;&gt;"))</f>
        <v/>
      </c>
      <c r="E3977">
        <f>IF(A3977="","",IF(SUMPRODUCT((Ввод!$F$12:$F$31&lt;&gt;"")*(Ввод!$F$12:$F$31&lt;=A3977)*(Ввод!$G$12:$G$31&gt;=A3977))&gt;0,1,0))</f>
        <v/>
      </c>
      <c r="G3977">
        <f>IF(A3977="","",IF(OR(B3977&lt;&gt;B3976,C3977&lt;&gt;C3976,E3977&lt;&gt;E3976),G3976+1,G3976))</f>
        <v/>
      </c>
    </row>
    <row r="3978">
      <c r="A3978" s="20">
        <f>IF(A3977="","",IF(A3977+1&gt;Ввод!$B$4,"",A3977+1))</f>
        <v/>
      </c>
      <c r="B3978">
        <f>IF(A3978="","",IFERROR(INDEX(Ввод!$B$12:$B$71,MATCH(A3978,Ввод!$D$12:$D$71,1)),""))</f>
        <v/>
      </c>
      <c r="C3978">
        <f>IF(A3978="","",DATE(YEAR(A3978),12,31)-DATE(YEAR(A3978),1,1)+1)</f>
        <v/>
      </c>
      <c r="D3978">
        <f>IF(A3978="","",SUMIFS(Акты!$D$5:$D$16,Акты!$E$5:$E$16,"&lt;="&amp;A3978)-SUMIFS(Оплаты!$B$6:$B$505,Оплаты!$A$6:$A$505,"&lt;"&amp;A3978,Оплаты!$D$6:$D$505,"&lt;&gt;"))</f>
        <v/>
      </c>
      <c r="E3978">
        <f>IF(A3978="","",IF(SUMPRODUCT((Ввод!$F$12:$F$31&lt;&gt;"")*(Ввод!$F$12:$F$31&lt;=A3978)*(Ввод!$G$12:$G$31&gt;=A3978))&gt;0,1,0))</f>
        <v/>
      </c>
      <c r="G3978">
        <f>IF(A3978="","",IF(OR(B3978&lt;&gt;B3977,C3978&lt;&gt;C3977,E3978&lt;&gt;E3977),G3977+1,G3977))</f>
        <v/>
      </c>
    </row>
    <row r="3979">
      <c r="A3979" s="20">
        <f>IF(A3978="","",IF(A3978+1&gt;Ввод!$B$4,"",A3978+1))</f>
        <v/>
      </c>
      <c r="B3979">
        <f>IF(A3979="","",IFERROR(INDEX(Ввод!$B$12:$B$71,MATCH(A3979,Ввод!$D$12:$D$71,1)),""))</f>
        <v/>
      </c>
      <c r="C3979">
        <f>IF(A3979="","",DATE(YEAR(A3979),12,31)-DATE(YEAR(A3979),1,1)+1)</f>
        <v/>
      </c>
      <c r="D3979">
        <f>IF(A3979="","",SUMIFS(Акты!$D$5:$D$16,Акты!$E$5:$E$16,"&lt;="&amp;A3979)-SUMIFS(Оплаты!$B$6:$B$505,Оплаты!$A$6:$A$505,"&lt;"&amp;A3979,Оплаты!$D$6:$D$505,"&lt;&gt;"))</f>
        <v/>
      </c>
      <c r="E3979">
        <f>IF(A3979="","",IF(SUMPRODUCT((Ввод!$F$12:$F$31&lt;&gt;"")*(Ввод!$F$12:$F$31&lt;=A3979)*(Ввод!$G$12:$G$31&gt;=A3979))&gt;0,1,0))</f>
        <v/>
      </c>
      <c r="G3979">
        <f>IF(A3979="","",IF(OR(B3979&lt;&gt;B3978,C3979&lt;&gt;C3978,E3979&lt;&gt;E3978),G3978+1,G3978))</f>
        <v/>
      </c>
    </row>
    <row r="3980">
      <c r="A3980" s="20">
        <f>IF(A3979="","",IF(A3979+1&gt;Ввод!$B$4,"",A3979+1))</f>
        <v/>
      </c>
      <c r="B3980">
        <f>IF(A3980="","",IFERROR(INDEX(Ввод!$B$12:$B$71,MATCH(A3980,Ввод!$D$12:$D$71,1)),""))</f>
        <v/>
      </c>
      <c r="C3980">
        <f>IF(A3980="","",DATE(YEAR(A3980),12,31)-DATE(YEAR(A3980),1,1)+1)</f>
        <v/>
      </c>
      <c r="D3980">
        <f>IF(A3980="","",SUMIFS(Акты!$D$5:$D$16,Акты!$E$5:$E$16,"&lt;="&amp;A3980)-SUMIFS(Оплаты!$B$6:$B$505,Оплаты!$A$6:$A$505,"&lt;"&amp;A3980,Оплаты!$D$6:$D$505,"&lt;&gt;"))</f>
        <v/>
      </c>
      <c r="E3980">
        <f>IF(A3980="","",IF(SUMPRODUCT((Ввод!$F$12:$F$31&lt;&gt;"")*(Ввод!$F$12:$F$31&lt;=A3980)*(Ввод!$G$12:$G$31&gt;=A3980))&gt;0,1,0))</f>
        <v/>
      </c>
      <c r="G3980">
        <f>IF(A3980="","",IF(OR(B3980&lt;&gt;B3979,C3980&lt;&gt;C3979,E3980&lt;&gt;E3979),G3979+1,G3979))</f>
        <v/>
      </c>
    </row>
    <row r="3981">
      <c r="A3981" s="20">
        <f>IF(A3980="","",IF(A3980+1&gt;Ввод!$B$4,"",A3980+1))</f>
        <v/>
      </c>
      <c r="B3981">
        <f>IF(A3981="","",IFERROR(INDEX(Ввод!$B$12:$B$71,MATCH(A3981,Ввод!$D$12:$D$71,1)),""))</f>
        <v/>
      </c>
      <c r="C3981">
        <f>IF(A3981="","",DATE(YEAR(A3981),12,31)-DATE(YEAR(A3981),1,1)+1)</f>
        <v/>
      </c>
      <c r="D3981">
        <f>IF(A3981="","",SUMIFS(Акты!$D$5:$D$16,Акты!$E$5:$E$16,"&lt;="&amp;A3981)-SUMIFS(Оплаты!$B$6:$B$505,Оплаты!$A$6:$A$505,"&lt;"&amp;A3981,Оплаты!$D$6:$D$505,"&lt;&gt;"))</f>
        <v/>
      </c>
      <c r="E3981">
        <f>IF(A3981="","",IF(SUMPRODUCT((Ввод!$F$12:$F$31&lt;&gt;"")*(Ввод!$F$12:$F$31&lt;=A3981)*(Ввод!$G$12:$G$31&gt;=A3981))&gt;0,1,0))</f>
        <v/>
      </c>
      <c r="G3981">
        <f>IF(A3981="","",IF(OR(B3981&lt;&gt;B3980,C3981&lt;&gt;C3980,E3981&lt;&gt;E3980),G3980+1,G3980))</f>
        <v/>
      </c>
    </row>
    <row r="3982">
      <c r="A3982" s="20">
        <f>IF(A3981="","",IF(A3981+1&gt;Ввод!$B$4,"",A3981+1))</f>
        <v/>
      </c>
      <c r="B3982">
        <f>IF(A3982="","",IFERROR(INDEX(Ввод!$B$12:$B$71,MATCH(A3982,Ввод!$D$12:$D$71,1)),""))</f>
        <v/>
      </c>
      <c r="C3982">
        <f>IF(A3982="","",DATE(YEAR(A3982),12,31)-DATE(YEAR(A3982),1,1)+1)</f>
        <v/>
      </c>
      <c r="D3982">
        <f>IF(A3982="","",SUMIFS(Акты!$D$5:$D$16,Акты!$E$5:$E$16,"&lt;="&amp;A3982)-SUMIFS(Оплаты!$B$6:$B$505,Оплаты!$A$6:$A$505,"&lt;"&amp;A3982,Оплаты!$D$6:$D$505,"&lt;&gt;"))</f>
        <v/>
      </c>
      <c r="E3982">
        <f>IF(A3982="","",IF(SUMPRODUCT((Ввод!$F$12:$F$31&lt;&gt;"")*(Ввод!$F$12:$F$31&lt;=A3982)*(Ввод!$G$12:$G$31&gt;=A3982))&gt;0,1,0))</f>
        <v/>
      </c>
      <c r="G3982">
        <f>IF(A3982="","",IF(OR(B3982&lt;&gt;B3981,C3982&lt;&gt;C3981,E3982&lt;&gt;E3981),G3981+1,G3981))</f>
        <v/>
      </c>
    </row>
    <row r="3983">
      <c r="A3983" s="20">
        <f>IF(A3982="","",IF(A3982+1&gt;Ввод!$B$4,"",A3982+1))</f>
        <v/>
      </c>
      <c r="B3983">
        <f>IF(A3983="","",IFERROR(INDEX(Ввод!$B$12:$B$71,MATCH(A3983,Ввод!$D$12:$D$71,1)),""))</f>
        <v/>
      </c>
      <c r="C3983">
        <f>IF(A3983="","",DATE(YEAR(A3983),12,31)-DATE(YEAR(A3983),1,1)+1)</f>
        <v/>
      </c>
      <c r="D3983">
        <f>IF(A3983="","",SUMIFS(Акты!$D$5:$D$16,Акты!$E$5:$E$16,"&lt;="&amp;A3983)-SUMIFS(Оплаты!$B$6:$B$505,Оплаты!$A$6:$A$505,"&lt;"&amp;A3983,Оплаты!$D$6:$D$505,"&lt;&gt;"))</f>
        <v/>
      </c>
      <c r="E3983">
        <f>IF(A3983="","",IF(SUMPRODUCT((Ввод!$F$12:$F$31&lt;&gt;"")*(Ввод!$F$12:$F$31&lt;=A3983)*(Ввод!$G$12:$G$31&gt;=A3983))&gt;0,1,0))</f>
        <v/>
      </c>
      <c r="G3983">
        <f>IF(A3983="","",IF(OR(B3983&lt;&gt;B3982,C3983&lt;&gt;C3982,E3983&lt;&gt;E3982),G3982+1,G3982))</f>
        <v/>
      </c>
    </row>
    <row r="3984">
      <c r="A3984" s="20">
        <f>IF(A3983="","",IF(A3983+1&gt;Ввод!$B$4,"",A3983+1))</f>
        <v/>
      </c>
      <c r="B3984">
        <f>IF(A3984="","",IFERROR(INDEX(Ввод!$B$12:$B$71,MATCH(A3984,Ввод!$D$12:$D$71,1)),""))</f>
        <v/>
      </c>
      <c r="C3984">
        <f>IF(A3984="","",DATE(YEAR(A3984),12,31)-DATE(YEAR(A3984),1,1)+1)</f>
        <v/>
      </c>
      <c r="D3984">
        <f>IF(A3984="","",SUMIFS(Акты!$D$5:$D$16,Акты!$E$5:$E$16,"&lt;="&amp;A3984)-SUMIFS(Оплаты!$B$6:$B$505,Оплаты!$A$6:$A$505,"&lt;"&amp;A3984,Оплаты!$D$6:$D$505,"&lt;&gt;"))</f>
        <v/>
      </c>
      <c r="E3984">
        <f>IF(A3984="","",IF(SUMPRODUCT((Ввод!$F$12:$F$31&lt;&gt;"")*(Ввод!$F$12:$F$31&lt;=A3984)*(Ввод!$G$12:$G$31&gt;=A3984))&gt;0,1,0))</f>
        <v/>
      </c>
      <c r="G3984">
        <f>IF(A3984="","",IF(OR(B3984&lt;&gt;B3983,C3984&lt;&gt;C3983,E3984&lt;&gt;E3983),G3983+1,G3983))</f>
        <v/>
      </c>
    </row>
    <row r="3985">
      <c r="A3985" s="20">
        <f>IF(A3984="","",IF(A3984+1&gt;Ввод!$B$4,"",A3984+1))</f>
        <v/>
      </c>
      <c r="B3985">
        <f>IF(A3985="","",IFERROR(INDEX(Ввод!$B$12:$B$71,MATCH(A3985,Ввод!$D$12:$D$71,1)),""))</f>
        <v/>
      </c>
      <c r="C3985">
        <f>IF(A3985="","",DATE(YEAR(A3985),12,31)-DATE(YEAR(A3985),1,1)+1)</f>
        <v/>
      </c>
      <c r="D3985">
        <f>IF(A3985="","",SUMIFS(Акты!$D$5:$D$16,Акты!$E$5:$E$16,"&lt;="&amp;A3985)-SUMIFS(Оплаты!$B$6:$B$505,Оплаты!$A$6:$A$505,"&lt;"&amp;A3985,Оплаты!$D$6:$D$505,"&lt;&gt;"))</f>
        <v/>
      </c>
      <c r="E3985">
        <f>IF(A3985="","",IF(SUMPRODUCT((Ввод!$F$12:$F$31&lt;&gt;"")*(Ввод!$F$12:$F$31&lt;=A3985)*(Ввод!$G$12:$G$31&gt;=A3985))&gt;0,1,0))</f>
        <v/>
      </c>
      <c r="G3985">
        <f>IF(A3985="","",IF(OR(B3985&lt;&gt;B3984,C3985&lt;&gt;C3984,E3985&lt;&gt;E3984),G3984+1,G3984))</f>
        <v/>
      </c>
    </row>
    <row r="3986">
      <c r="A3986" s="20">
        <f>IF(A3985="","",IF(A3985+1&gt;Ввод!$B$4,"",A3985+1))</f>
        <v/>
      </c>
      <c r="B3986">
        <f>IF(A3986="","",IFERROR(INDEX(Ввод!$B$12:$B$71,MATCH(A3986,Ввод!$D$12:$D$71,1)),""))</f>
        <v/>
      </c>
      <c r="C3986">
        <f>IF(A3986="","",DATE(YEAR(A3986),12,31)-DATE(YEAR(A3986),1,1)+1)</f>
        <v/>
      </c>
      <c r="D3986">
        <f>IF(A3986="","",SUMIFS(Акты!$D$5:$D$16,Акты!$E$5:$E$16,"&lt;="&amp;A3986)-SUMIFS(Оплаты!$B$6:$B$505,Оплаты!$A$6:$A$505,"&lt;"&amp;A3986,Оплаты!$D$6:$D$505,"&lt;&gt;"))</f>
        <v/>
      </c>
      <c r="E3986">
        <f>IF(A3986="","",IF(SUMPRODUCT((Ввод!$F$12:$F$31&lt;&gt;"")*(Ввод!$F$12:$F$31&lt;=A3986)*(Ввод!$G$12:$G$31&gt;=A3986))&gt;0,1,0))</f>
        <v/>
      </c>
      <c r="G3986">
        <f>IF(A3986="","",IF(OR(B3986&lt;&gt;B3985,C3986&lt;&gt;C3985,E3986&lt;&gt;E3985),G3985+1,G3985))</f>
        <v/>
      </c>
    </row>
    <row r="3987">
      <c r="A3987" s="20">
        <f>IF(A3986="","",IF(A3986+1&gt;Ввод!$B$4,"",A3986+1))</f>
        <v/>
      </c>
      <c r="B3987">
        <f>IF(A3987="","",IFERROR(INDEX(Ввод!$B$12:$B$71,MATCH(A3987,Ввод!$D$12:$D$71,1)),""))</f>
        <v/>
      </c>
      <c r="C3987">
        <f>IF(A3987="","",DATE(YEAR(A3987),12,31)-DATE(YEAR(A3987),1,1)+1)</f>
        <v/>
      </c>
      <c r="D3987">
        <f>IF(A3987="","",SUMIFS(Акты!$D$5:$D$16,Акты!$E$5:$E$16,"&lt;="&amp;A3987)-SUMIFS(Оплаты!$B$6:$B$505,Оплаты!$A$6:$A$505,"&lt;"&amp;A3987,Оплаты!$D$6:$D$505,"&lt;&gt;"))</f>
        <v/>
      </c>
      <c r="E3987">
        <f>IF(A3987="","",IF(SUMPRODUCT((Ввод!$F$12:$F$31&lt;&gt;"")*(Ввод!$F$12:$F$31&lt;=A3987)*(Ввод!$G$12:$G$31&gt;=A3987))&gt;0,1,0))</f>
        <v/>
      </c>
      <c r="G3987">
        <f>IF(A3987="","",IF(OR(B3987&lt;&gt;B3986,C3987&lt;&gt;C3986,E3987&lt;&gt;E3986),G3986+1,G3986))</f>
        <v/>
      </c>
    </row>
    <row r="3988">
      <c r="A3988" s="20">
        <f>IF(A3987="","",IF(A3987+1&gt;Ввод!$B$4,"",A3987+1))</f>
        <v/>
      </c>
      <c r="B3988">
        <f>IF(A3988="","",IFERROR(INDEX(Ввод!$B$12:$B$71,MATCH(A3988,Ввод!$D$12:$D$71,1)),""))</f>
        <v/>
      </c>
      <c r="C3988">
        <f>IF(A3988="","",DATE(YEAR(A3988),12,31)-DATE(YEAR(A3988),1,1)+1)</f>
        <v/>
      </c>
      <c r="D3988">
        <f>IF(A3988="","",SUMIFS(Акты!$D$5:$D$16,Акты!$E$5:$E$16,"&lt;="&amp;A3988)-SUMIFS(Оплаты!$B$6:$B$505,Оплаты!$A$6:$A$505,"&lt;"&amp;A3988,Оплаты!$D$6:$D$505,"&lt;&gt;"))</f>
        <v/>
      </c>
      <c r="E3988">
        <f>IF(A3988="","",IF(SUMPRODUCT((Ввод!$F$12:$F$31&lt;&gt;"")*(Ввод!$F$12:$F$31&lt;=A3988)*(Ввод!$G$12:$G$31&gt;=A3988))&gt;0,1,0))</f>
        <v/>
      </c>
      <c r="G3988">
        <f>IF(A3988="","",IF(OR(B3988&lt;&gt;B3987,C3988&lt;&gt;C3987,E3988&lt;&gt;E3987),G3987+1,G3987))</f>
        <v/>
      </c>
    </row>
    <row r="3989">
      <c r="A3989" s="20">
        <f>IF(A3988="","",IF(A3988+1&gt;Ввод!$B$4,"",A3988+1))</f>
        <v/>
      </c>
      <c r="B3989">
        <f>IF(A3989="","",IFERROR(INDEX(Ввод!$B$12:$B$71,MATCH(A3989,Ввод!$D$12:$D$71,1)),""))</f>
        <v/>
      </c>
      <c r="C3989">
        <f>IF(A3989="","",DATE(YEAR(A3989),12,31)-DATE(YEAR(A3989),1,1)+1)</f>
        <v/>
      </c>
      <c r="D3989">
        <f>IF(A3989="","",SUMIFS(Акты!$D$5:$D$16,Акты!$E$5:$E$16,"&lt;="&amp;A3989)-SUMIFS(Оплаты!$B$6:$B$505,Оплаты!$A$6:$A$505,"&lt;"&amp;A3989,Оплаты!$D$6:$D$505,"&lt;&gt;"))</f>
        <v/>
      </c>
      <c r="E3989">
        <f>IF(A3989="","",IF(SUMPRODUCT((Ввод!$F$12:$F$31&lt;&gt;"")*(Ввод!$F$12:$F$31&lt;=A3989)*(Ввод!$G$12:$G$31&gt;=A3989))&gt;0,1,0))</f>
        <v/>
      </c>
      <c r="G3989">
        <f>IF(A3989="","",IF(OR(B3989&lt;&gt;B3988,C3989&lt;&gt;C3988,E3989&lt;&gt;E3988),G3988+1,G3988))</f>
        <v/>
      </c>
    </row>
    <row r="3990">
      <c r="A3990" s="20">
        <f>IF(A3989="","",IF(A3989+1&gt;Ввод!$B$4,"",A3989+1))</f>
        <v/>
      </c>
      <c r="B3990">
        <f>IF(A3990="","",IFERROR(INDEX(Ввод!$B$12:$B$71,MATCH(A3990,Ввод!$D$12:$D$71,1)),""))</f>
        <v/>
      </c>
      <c r="C3990">
        <f>IF(A3990="","",DATE(YEAR(A3990),12,31)-DATE(YEAR(A3990),1,1)+1)</f>
        <v/>
      </c>
      <c r="D3990">
        <f>IF(A3990="","",SUMIFS(Акты!$D$5:$D$16,Акты!$E$5:$E$16,"&lt;="&amp;A3990)-SUMIFS(Оплаты!$B$6:$B$505,Оплаты!$A$6:$A$505,"&lt;"&amp;A3990,Оплаты!$D$6:$D$505,"&lt;&gt;"))</f>
        <v/>
      </c>
      <c r="E3990">
        <f>IF(A3990="","",IF(SUMPRODUCT((Ввод!$F$12:$F$31&lt;&gt;"")*(Ввод!$F$12:$F$31&lt;=A3990)*(Ввод!$G$12:$G$31&gt;=A3990))&gt;0,1,0))</f>
        <v/>
      </c>
      <c r="G3990">
        <f>IF(A3990="","",IF(OR(B3990&lt;&gt;B3989,C3990&lt;&gt;C3989,E3990&lt;&gt;E3989),G3989+1,G3989))</f>
        <v/>
      </c>
    </row>
    <row r="3991">
      <c r="A3991" s="20">
        <f>IF(A3990="","",IF(A3990+1&gt;Ввод!$B$4,"",A3990+1))</f>
        <v/>
      </c>
      <c r="B3991">
        <f>IF(A3991="","",IFERROR(INDEX(Ввод!$B$12:$B$71,MATCH(A3991,Ввод!$D$12:$D$71,1)),""))</f>
        <v/>
      </c>
      <c r="C3991">
        <f>IF(A3991="","",DATE(YEAR(A3991),12,31)-DATE(YEAR(A3991),1,1)+1)</f>
        <v/>
      </c>
      <c r="D3991">
        <f>IF(A3991="","",SUMIFS(Акты!$D$5:$D$16,Акты!$E$5:$E$16,"&lt;="&amp;A3991)-SUMIFS(Оплаты!$B$6:$B$505,Оплаты!$A$6:$A$505,"&lt;"&amp;A3991,Оплаты!$D$6:$D$505,"&lt;&gt;"))</f>
        <v/>
      </c>
      <c r="E3991">
        <f>IF(A3991="","",IF(SUMPRODUCT((Ввод!$F$12:$F$31&lt;&gt;"")*(Ввод!$F$12:$F$31&lt;=A3991)*(Ввод!$G$12:$G$31&gt;=A3991))&gt;0,1,0))</f>
        <v/>
      </c>
      <c r="G3991">
        <f>IF(A3991="","",IF(OR(B3991&lt;&gt;B3990,C3991&lt;&gt;C3990,E3991&lt;&gt;E3990),G3990+1,G3990))</f>
        <v/>
      </c>
    </row>
    <row r="3992">
      <c r="A3992" s="20">
        <f>IF(A3991="","",IF(A3991+1&gt;Ввод!$B$4,"",A3991+1))</f>
        <v/>
      </c>
      <c r="B3992">
        <f>IF(A3992="","",IFERROR(INDEX(Ввод!$B$12:$B$71,MATCH(A3992,Ввод!$D$12:$D$71,1)),""))</f>
        <v/>
      </c>
      <c r="C3992">
        <f>IF(A3992="","",DATE(YEAR(A3992),12,31)-DATE(YEAR(A3992),1,1)+1)</f>
        <v/>
      </c>
      <c r="D3992">
        <f>IF(A3992="","",SUMIFS(Акты!$D$5:$D$16,Акты!$E$5:$E$16,"&lt;="&amp;A3992)-SUMIFS(Оплаты!$B$6:$B$505,Оплаты!$A$6:$A$505,"&lt;"&amp;A3992,Оплаты!$D$6:$D$505,"&lt;&gt;"))</f>
        <v/>
      </c>
      <c r="E3992">
        <f>IF(A3992="","",IF(SUMPRODUCT((Ввод!$F$12:$F$31&lt;&gt;"")*(Ввод!$F$12:$F$31&lt;=A3992)*(Ввод!$G$12:$G$31&gt;=A3992))&gt;0,1,0))</f>
        <v/>
      </c>
      <c r="G3992">
        <f>IF(A3992="","",IF(OR(B3992&lt;&gt;B3991,C3992&lt;&gt;C3991,E3992&lt;&gt;E3991),G3991+1,G3991))</f>
        <v/>
      </c>
    </row>
    <row r="3993">
      <c r="A3993" s="20">
        <f>IF(A3992="","",IF(A3992+1&gt;Ввод!$B$4,"",A3992+1))</f>
        <v/>
      </c>
      <c r="B3993">
        <f>IF(A3993="","",IFERROR(INDEX(Ввод!$B$12:$B$71,MATCH(A3993,Ввод!$D$12:$D$71,1)),""))</f>
        <v/>
      </c>
      <c r="C3993">
        <f>IF(A3993="","",DATE(YEAR(A3993),12,31)-DATE(YEAR(A3993),1,1)+1)</f>
        <v/>
      </c>
      <c r="D3993">
        <f>IF(A3993="","",SUMIFS(Акты!$D$5:$D$16,Акты!$E$5:$E$16,"&lt;="&amp;A3993)-SUMIFS(Оплаты!$B$6:$B$505,Оплаты!$A$6:$A$505,"&lt;"&amp;A3993,Оплаты!$D$6:$D$505,"&lt;&gt;"))</f>
        <v/>
      </c>
      <c r="E3993">
        <f>IF(A3993="","",IF(SUMPRODUCT((Ввод!$F$12:$F$31&lt;&gt;"")*(Ввод!$F$12:$F$31&lt;=A3993)*(Ввод!$G$12:$G$31&gt;=A3993))&gt;0,1,0))</f>
        <v/>
      </c>
      <c r="G3993">
        <f>IF(A3993="","",IF(OR(B3993&lt;&gt;B3992,C3993&lt;&gt;C3992,E3993&lt;&gt;E3992),G3992+1,G3992))</f>
        <v/>
      </c>
    </row>
    <row r="3994">
      <c r="A3994" s="20">
        <f>IF(A3993="","",IF(A3993+1&gt;Ввод!$B$4,"",A3993+1))</f>
        <v/>
      </c>
      <c r="B3994">
        <f>IF(A3994="","",IFERROR(INDEX(Ввод!$B$12:$B$71,MATCH(A3994,Ввод!$D$12:$D$71,1)),""))</f>
        <v/>
      </c>
      <c r="C3994">
        <f>IF(A3994="","",DATE(YEAR(A3994),12,31)-DATE(YEAR(A3994),1,1)+1)</f>
        <v/>
      </c>
      <c r="D3994">
        <f>IF(A3994="","",SUMIFS(Акты!$D$5:$D$16,Акты!$E$5:$E$16,"&lt;="&amp;A3994)-SUMIFS(Оплаты!$B$6:$B$505,Оплаты!$A$6:$A$505,"&lt;"&amp;A3994,Оплаты!$D$6:$D$505,"&lt;&gt;"))</f>
        <v/>
      </c>
      <c r="E3994">
        <f>IF(A3994="","",IF(SUMPRODUCT((Ввод!$F$12:$F$31&lt;&gt;"")*(Ввод!$F$12:$F$31&lt;=A3994)*(Ввод!$G$12:$G$31&gt;=A3994))&gt;0,1,0))</f>
        <v/>
      </c>
      <c r="G3994">
        <f>IF(A3994="","",IF(OR(B3994&lt;&gt;B3993,C3994&lt;&gt;C3993,E3994&lt;&gt;E3993),G3993+1,G3993))</f>
        <v/>
      </c>
    </row>
    <row r="3995">
      <c r="A3995" s="20">
        <f>IF(A3994="","",IF(A3994+1&gt;Ввод!$B$4,"",A3994+1))</f>
        <v/>
      </c>
      <c r="B3995">
        <f>IF(A3995="","",IFERROR(INDEX(Ввод!$B$12:$B$71,MATCH(A3995,Ввод!$D$12:$D$71,1)),""))</f>
        <v/>
      </c>
      <c r="C3995">
        <f>IF(A3995="","",DATE(YEAR(A3995),12,31)-DATE(YEAR(A3995),1,1)+1)</f>
        <v/>
      </c>
      <c r="D3995">
        <f>IF(A3995="","",SUMIFS(Акты!$D$5:$D$16,Акты!$E$5:$E$16,"&lt;="&amp;A3995)-SUMIFS(Оплаты!$B$6:$B$505,Оплаты!$A$6:$A$505,"&lt;"&amp;A3995,Оплаты!$D$6:$D$505,"&lt;&gt;"))</f>
        <v/>
      </c>
      <c r="E3995">
        <f>IF(A3995="","",IF(SUMPRODUCT((Ввод!$F$12:$F$31&lt;&gt;"")*(Ввод!$F$12:$F$31&lt;=A3995)*(Ввод!$G$12:$G$31&gt;=A3995))&gt;0,1,0))</f>
        <v/>
      </c>
      <c r="G3995">
        <f>IF(A3995="","",IF(OR(B3995&lt;&gt;B3994,C3995&lt;&gt;C3994,E3995&lt;&gt;E3994),G3994+1,G3994))</f>
        <v/>
      </c>
    </row>
    <row r="3996">
      <c r="A3996" s="20">
        <f>IF(A3995="","",IF(A3995+1&gt;Ввод!$B$4,"",A3995+1))</f>
        <v/>
      </c>
      <c r="B3996">
        <f>IF(A3996="","",IFERROR(INDEX(Ввод!$B$12:$B$71,MATCH(A3996,Ввод!$D$12:$D$71,1)),""))</f>
        <v/>
      </c>
      <c r="C3996">
        <f>IF(A3996="","",DATE(YEAR(A3996),12,31)-DATE(YEAR(A3996),1,1)+1)</f>
        <v/>
      </c>
      <c r="D3996">
        <f>IF(A3996="","",SUMIFS(Акты!$D$5:$D$16,Акты!$E$5:$E$16,"&lt;="&amp;A3996)-SUMIFS(Оплаты!$B$6:$B$505,Оплаты!$A$6:$A$505,"&lt;"&amp;A3996,Оплаты!$D$6:$D$505,"&lt;&gt;"))</f>
        <v/>
      </c>
      <c r="E3996">
        <f>IF(A3996="","",IF(SUMPRODUCT((Ввод!$F$12:$F$31&lt;&gt;"")*(Ввод!$F$12:$F$31&lt;=A3996)*(Ввод!$G$12:$G$31&gt;=A3996))&gt;0,1,0))</f>
        <v/>
      </c>
      <c r="G3996">
        <f>IF(A3996="","",IF(OR(B3996&lt;&gt;B3995,C3996&lt;&gt;C3995,E3996&lt;&gt;E3995),G3995+1,G3995))</f>
        <v/>
      </c>
    </row>
    <row r="3997">
      <c r="A3997" s="20">
        <f>IF(A3996="","",IF(A3996+1&gt;Ввод!$B$4,"",A3996+1))</f>
        <v/>
      </c>
      <c r="B3997">
        <f>IF(A3997="","",IFERROR(INDEX(Ввод!$B$12:$B$71,MATCH(A3997,Ввод!$D$12:$D$71,1)),""))</f>
        <v/>
      </c>
      <c r="C3997">
        <f>IF(A3997="","",DATE(YEAR(A3997),12,31)-DATE(YEAR(A3997),1,1)+1)</f>
        <v/>
      </c>
      <c r="D3997">
        <f>IF(A3997="","",SUMIFS(Акты!$D$5:$D$16,Акты!$E$5:$E$16,"&lt;="&amp;A3997)-SUMIFS(Оплаты!$B$6:$B$505,Оплаты!$A$6:$A$505,"&lt;"&amp;A3997,Оплаты!$D$6:$D$505,"&lt;&gt;"))</f>
        <v/>
      </c>
      <c r="E3997">
        <f>IF(A3997="","",IF(SUMPRODUCT((Ввод!$F$12:$F$31&lt;&gt;"")*(Ввод!$F$12:$F$31&lt;=A3997)*(Ввод!$G$12:$G$31&gt;=A3997))&gt;0,1,0))</f>
        <v/>
      </c>
      <c r="G3997">
        <f>IF(A3997="","",IF(OR(B3997&lt;&gt;B3996,C3997&lt;&gt;C3996,E3997&lt;&gt;E3996),G3996+1,G3996))</f>
        <v/>
      </c>
    </row>
    <row r="3998">
      <c r="A3998" s="20">
        <f>IF(A3997="","",IF(A3997+1&gt;Ввод!$B$4,"",A3997+1))</f>
        <v/>
      </c>
      <c r="B3998">
        <f>IF(A3998="","",IFERROR(INDEX(Ввод!$B$12:$B$71,MATCH(A3998,Ввод!$D$12:$D$71,1)),""))</f>
        <v/>
      </c>
      <c r="C3998">
        <f>IF(A3998="","",DATE(YEAR(A3998),12,31)-DATE(YEAR(A3998),1,1)+1)</f>
        <v/>
      </c>
      <c r="D3998">
        <f>IF(A3998="","",SUMIFS(Акты!$D$5:$D$16,Акты!$E$5:$E$16,"&lt;="&amp;A3998)-SUMIFS(Оплаты!$B$6:$B$505,Оплаты!$A$6:$A$505,"&lt;"&amp;A3998,Оплаты!$D$6:$D$505,"&lt;&gt;"))</f>
        <v/>
      </c>
      <c r="E3998">
        <f>IF(A3998="","",IF(SUMPRODUCT((Ввод!$F$12:$F$31&lt;&gt;"")*(Ввод!$F$12:$F$31&lt;=A3998)*(Ввод!$G$12:$G$31&gt;=A3998))&gt;0,1,0))</f>
        <v/>
      </c>
      <c r="G3998">
        <f>IF(A3998="","",IF(OR(B3998&lt;&gt;B3997,C3998&lt;&gt;C3997,E3998&lt;&gt;E3997),G3997+1,G3997))</f>
        <v/>
      </c>
    </row>
    <row r="3999">
      <c r="A3999" s="20">
        <f>IF(A3998="","",IF(A3998+1&gt;Ввод!$B$4,"",A3998+1))</f>
        <v/>
      </c>
      <c r="B3999">
        <f>IF(A3999="","",IFERROR(INDEX(Ввод!$B$12:$B$71,MATCH(A3999,Ввод!$D$12:$D$71,1)),""))</f>
        <v/>
      </c>
      <c r="C3999">
        <f>IF(A3999="","",DATE(YEAR(A3999),12,31)-DATE(YEAR(A3999),1,1)+1)</f>
        <v/>
      </c>
      <c r="D3999">
        <f>IF(A3999="","",SUMIFS(Акты!$D$5:$D$16,Акты!$E$5:$E$16,"&lt;="&amp;A3999)-SUMIFS(Оплаты!$B$6:$B$505,Оплаты!$A$6:$A$505,"&lt;"&amp;A3999,Оплаты!$D$6:$D$505,"&lt;&gt;"))</f>
        <v/>
      </c>
      <c r="E3999">
        <f>IF(A3999="","",IF(SUMPRODUCT((Ввод!$F$12:$F$31&lt;&gt;"")*(Ввод!$F$12:$F$31&lt;=A3999)*(Ввод!$G$12:$G$31&gt;=A3999))&gt;0,1,0))</f>
        <v/>
      </c>
      <c r="G3999">
        <f>IF(A3999="","",IF(OR(B3999&lt;&gt;B3998,C3999&lt;&gt;C3998,E3999&lt;&gt;E3998),G3998+1,G3998))</f>
        <v/>
      </c>
    </row>
    <row r="4000">
      <c r="A4000" s="20">
        <f>IF(A3999="","",IF(A3999+1&gt;Ввод!$B$4,"",A3999+1))</f>
        <v/>
      </c>
      <c r="B4000">
        <f>IF(A4000="","",IFERROR(INDEX(Ввод!$B$12:$B$71,MATCH(A4000,Ввод!$D$12:$D$71,1)),""))</f>
        <v/>
      </c>
      <c r="C4000">
        <f>IF(A4000="","",DATE(YEAR(A4000),12,31)-DATE(YEAR(A4000),1,1)+1)</f>
        <v/>
      </c>
      <c r="D4000">
        <f>IF(A4000="","",SUMIFS(Акты!$D$5:$D$16,Акты!$E$5:$E$16,"&lt;="&amp;A4000)-SUMIFS(Оплаты!$B$6:$B$505,Оплаты!$A$6:$A$505,"&lt;"&amp;A4000,Оплаты!$D$6:$D$505,"&lt;&gt;"))</f>
        <v/>
      </c>
      <c r="E4000">
        <f>IF(A4000="","",IF(SUMPRODUCT((Ввод!$F$12:$F$31&lt;&gt;"")*(Ввод!$F$12:$F$31&lt;=A4000)*(Ввод!$G$12:$G$31&gt;=A4000))&gt;0,1,0))</f>
        <v/>
      </c>
      <c r="G4000">
        <f>IF(A4000="","",IF(OR(B4000&lt;&gt;B3999,C4000&lt;&gt;C3999,E4000&lt;&gt;E3999),G3999+1,G3999))</f>
        <v/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Маржа в бетоне</dc:creator>
  <dcterms:created xmlns:dcterms="http://purl.org/dc/terms/" xmlns:xsi="http://www.w3.org/2001/XMLSchema-instance" xsi:type="dcterms:W3CDTF">2026-09-27T00:00:00Z</dcterms:created>
  <dcterms:modified xmlns:dcterms="http://purl.org/dc/terms/" xmlns:xsi="http://www.w3.org/2001/XMLSchema-instance" xsi:type="dcterms:W3CDTF">2026-09-27T00:00:00Z</dcterms:modified>
  <cp:lastModifiedBy>build_s1_candidate.py</cp:lastModifiedBy>
</cp:coreProperties>
</file>