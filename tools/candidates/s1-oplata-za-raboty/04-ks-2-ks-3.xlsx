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С-2" sheetId="1" state="visible" r:id="rId1"/>
    <sheet xmlns:r="http://schemas.openxmlformats.org/officeDocument/2006/relationships" name="КС-3" sheetId="2" state="visible" r:id="rId2"/>
    <sheet xmlns:r="http://schemas.openxmlformats.org/officeDocument/2006/relationships" name="Свер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color rgb="001F4E79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164" fontId="1" fillId="2" borderId="1" pivotButton="0" quotePrefix="0" xfId="0"/>
    <xf numFmtId="4" fontId="1" fillId="2" borderId="1" pivotButton="0" quotePrefix="0" xfId="0"/>
    <xf numFmtId="0" fontId="2" fillId="0" borderId="0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4" fontId="1" fillId="2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1"/>
  <sheetViews>
    <sheetView workbookViewId="0">
      <pane ySplit="20" topLeftCell="A21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48" customWidth="1" min="3" max="3"/>
    <col width="14" customWidth="1" min="4" max="4"/>
    <col width="10" customWidth="1" min="5" max="5"/>
    <col width="12" customWidth="1" min="6" max="6"/>
    <col width="14" customWidth="1" min="7" max="7"/>
    <col width="16" customWidth="1" min="8" max="8"/>
  </cols>
  <sheetData>
    <row r="1">
      <c r="F1" t="inlineStr">
        <is>
          <t>Унифицированная форма № КС-2</t>
        </is>
      </c>
    </row>
    <row r="2">
      <c r="F2" t="inlineStr">
        <is>
          <t>Утверждена постановлением Госкомстата России от 11.11.99 № 100</t>
        </is>
      </c>
    </row>
    <row r="3">
      <c r="F3" t="inlineStr">
        <is>
          <t>Код формы по ОКУД: 0322005</t>
        </is>
      </c>
    </row>
    <row r="6">
      <c r="A6" t="inlineStr">
        <is>
          <t>Заказчик</t>
        </is>
      </c>
      <c r="D6" s="1" t="n"/>
    </row>
    <row r="7">
      <c r="A7" t="inlineStr">
        <is>
          <t>Субподрядчик</t>
        </is>
      </c>
      <c r="D7" s="1" t="n"/>
    </row>
    <row r="8">
      <c r="A8" t="inlineStr">
        <is>
          <t>Стройка</t>
        </is>
      </c>
      <c r="D8" s="1" t="n"/>
    </row>
    <row r="9">
      <c r="A9" t="inlineStr">
        <is>
          <t>Объект</t>
        </is>
      </c>
      <c r="D9" s="1" t="n"/>
    </row>
    <row r="10">
      <c r="A10" t="inlineStr">
        <is>
          <t>Договор подряда (контракт): номер</t>
        </is>
      </c>
      <c r="D10" s="1" t="n"/>
    </row>
    <row r="11">
      <c r="A11" t="inlineStr">
        <is>
          <t>Договор подряда (контракт): дата</t>
        </is>
      </c>
      <c r="D11" s="2" t="n"/>
    </row>
    <row r="12">
      <c r="A12" t="inlineStr">
        <is>
          <t>Номер документа</t>
        </is>
      </c>
      <c r="D12" s="1" t="n"/>
    </row>
    <row r="13">
      <c r="A13" t="inlineStr">
        <is>
          <t>Дата составления</t>
        </is>
      </c>
      <c r="D13" s="2" t="n"/>
    </row>
    <row r="14">
      <c r="A14" t="inlineStr">
        <is>
          <t>Отчётный период: с</t>
        </is>
      </c>
      <c r="D14" s="2" t="n"/>
    </row>
    <row r="15">
      <c r="A15" t="inlineStr">
        <is>
          <t>Отчётный период: по</t>
        </is>
      </c>
      <c r="D15" s="2" t="n"/>
    </row>
    <row r="16">
      <c r="A16" t="inlineStr">
        <is>
          <t>Сметная (договорная) стоимость по договору, руб.</t>
        </is>
      </c>
      <c r="D16" s="3" t="n"/>
    </row>
    <row r="18">
      <c r="A18" s="4" t="inlineStr">
        <is>
          <t>АКТ О ПРИЁМКЕ ВЫПОЛНЕННЫХ РАБОТ</t>
        </is>
      </c>
    </row>
    <row r="20">
      <c r="A20" s="5" t="inlineStr">
        <is>
          <t>№ по порядку</t>
        </is>
      </c>
      <c r="B20" s="5" t="inlineStr">
        <is>
          <t>№ позиции по смете</t>
        </is>
      </c>
      <c r="C20" s="5" t="inlineStr">
        <is>
          <t>Наименование работ</t>
        </is>
      </c>
      <c r="D20" s="5" t="inlineStr">
        <is>
          <t>Номер единичной расценки</t>
        </is>
      </c>
      <c r="E20" s="5" t="inlineStr">
        <is>
          <t>Единица измерения</t>
        </is>
      </c>
      <c r="F20" s="5" t="inlineStr">
        <is>
          <t>Количество</t>
        </is>
      </c>
      <c r="G20" s="5" t="inlineStr">
        <is>
          <t>Цена за единицу, руб.</t>
        </is>
      </c>
      <c r="H20" s="5" t="inlineStr">
        <is>
          <t>Стоимость, руб.</t>
        </is>
      </c>
    </row>
    <row r="21">
      <c r="A21" s="6">
        <f>IF(C21="","",ROW()-20)</f>
        <v/>
      </c>
      <c r="B21" s="7" t="n"/>
      <c r="C21" s="7" t="n"/>
      <c r="D21" s="7" t="n"/>
      <c r="E21" s="7" t="n"/>
      <c r="F21" s="7" t="n"/>
      <c r="G21" s="8" t="n"/>
      <c r="H21" s="9">
        <f>IF(OR(F21="",G21=""),"",ROUND(F21*G21,2))</f>
        <v/>
      </c>
    </row>
    <row r="22">
      <c r="A22" s="6">
        <f>IF(C22="","",ROW()-20)</f>
        <v/>
      </c>
      <c r="B22" s="7" t="n"/>
      <c r="C22" s="7" t="n"/>
      <c r="D22" s="7" t="n"/>
      <c r="E22" s="7" t="n"/>
      <c r="F22" s="7" t="n"/>
      <c r="G22" s="8" t="n"/>
      <c r="H22" s="9">
        <f>IF(OR(F22="",G22=""),"",ROUND(F22*G22,2))</f>
        <v/>
      </c>
    </row>
    <row r="23">
      <c r="A23" s="6">
        <f>IF(C23="","",ROW()-20)</f>
        <v/>
      </c>
      <c r="B23" s="7" t="n"/>
      <c r="C23" s="7" t="n"/>
      <c r="D23" s="7" t="n"/>
      <c r="E23" s="7" t="n"/>
      <c r="F23" s="7" t="n"/>
      <c r="G23" s="8" t="n"/>
      <c r="H23" s="9">
        <f>IF(OR(F23="",G23=""),"",ROUND(F23*G23,2))</f>
        <v/>
      </c>
    </row>
    <row r="24">
      <c r="A24" s="6">
        <f>IF(C24="","",ROW()-20)</f>
        <v/>
      </c>
      <c r="B24" s="7" t="n"/>
      <c r="C24" s="7" t="n"/>
      <c r="D24" s="7" t="n"/>
      <c r="E24" s="7" t="n"/>
      <c r="F24" s="7" t="n"/>
      <c r="G24" s="8" t="n"/>
      <c r="H24" s="9">
        <f>IF(OR(F24="",G24=""),"",ROUND(F24*G24,2))</f>
        <v/>
      </c>
    </row>
    <row r="25">
      <c r="A25" s="6">
        <f>IF(C25="","",ROW()-20)</f>
        <v/>
      </c>
      <c r="B25" s="7" t="n"/>
      <c r="C25" s="7" t="n"/>
      <c r="D25" s="7" t="n"/>
      <c r="E25" s="7" t="n"/>
      <c r="F25" s="7" t="n"/>
      <c r="G25" s="8" t="n"/>
      <c r="H25" s="9">
        <f>IF(OR(F25="",G25=""),"",ROUND(F25*G25,2))</f>
        <v/>
      </c>
    </row>
    <row r="26">
      <c r="A26" s="6">
        <f>IF(C26="","",ROW()-20)</f>
        <v/>
      </c>
      <c r="B26" s="7" t="n"/>
      <c r="C26" s="7" t="n"/>
      <c r="D26" s="7" t="n"/>
      <c r="E26" s="7" t="n"/>
      <c r="F26" s="7" t="n"/>
      <c r="G26" s="8" t="n"/>
      <c r="H26" s="9">
        <f>IF(OR(F26="",G26=""),"",ROUND(F26*G26,2))</f>
        <v/>
      </c>
    </row>
    <row r="27">
      <c r="A27" s="6">
        <f>IF(C27="","",ROW()-20)</f>
        <v/>
      </c>
      <c r="B27" s="7" t="n"/>
      <c r="C27" s="7" t="n"/>
      <c r="D27" s="7" t="n"/>
      <c r="E27" s="7" t="n"/>
      <c r="F27" s="7" t="n"/>
      <c r="G27" s="8" t="n"/>
      <c r="H27" s="9">
        <f>IF(OR(F27="",G27=""),"",ROUND(F27*G27,2))</f>
        <v/>
      </c>
    </row>
    <row r="28">
      <c r="A28" s="6">
        <f>IF(C28="","",ROW()-20)</f>
        <v/>
      </c>
      <c r="B28" s="7" t="n"/>
      <c r="C28" s="7" t="n"/>
      <c r="D28" s="7" t="n"/>
      <c r="E28" s="7" t="n"/>
      <c r="F28" s="7" t="n"/>
      <c r="G28" s="8" t="n"/>
      <c r="H28" s="9">
        <f>IF(OR(F28="",G28=""),"",ROUND(F28*G28,2))</f>
        <v/>
      </c>
    </row>
    <row r="29">
      <c r="A29" s="6">
        <f>IF(C29="","",ROW()-20)</f>
        <v/>
      </c>
      <c r="B29" s="7" t="n"/>
      <c r="C29" s="7" t="n"/>
      <c r="D29" s="7" t="n"/>
      <c r="E29" s="7" t="n"/>
      <c r="F29" s="7" t="n"/>
      <c r="G29" s="8" t="n"/>
      <c r="H29" s="9">
        <f>IF(OR(F29="",G29=""),"",ROUND(F29*G29,2))</f>
        <v/>
      </c>
    </row>
    <row r="30">
      <c r="A30" s="6">
        <f>IF(C30="","",ROW()-20)</f>
        <v/>
      </c>
      <c r="B30" s="7" t="n"/>
      <c r="C30" s="7" t="n"/>
      <c r="D30" s="7" t="n"/>
      <c r="E30" s="7" t="n"/>
      <c r="F30" s="7" t="n"/>
      <c r="G30" s="8" t="n"/>
      <c r="H30" s="9">
        <f>IF(OR(F30="",G30=""),"",ROUND(F30*G30,2))</f>
        <v/>
      </c>
    </row>
    <row r="31">
      <c r="A31" s="6">
        <f>IF(C31="","",ROW()-20)</f>
        <v/>
      </c>
      <c r="B31" s="7" t="n"/>
      <c r="C31" s="7" t="n"/>
      <c r="D31" s="7" t="n"/>
      <c r="E31" s="7" t="n"/>
      <c r="F31" s="7" t="n"/>
      <c r="G31" s="8" t="n"/>
      <c r="H31" s="9">
        <f>IF(OR(F31="",G31=""),"",ROUND(F31*G31,2))</f>
        <v/>
      </c>
    </row>
    <row r="32">
      <c r="A32" s="6">
        <f>IF(C32="","",ROW()-20)</f>
        <v/>
      </c>
      <c r="B32" s="7" t="n"/>
      <c r="C32" s="7" t="n"/>
      <c r="D32" s="7" t="n"/>
      <c r="E32" s="7" t="n"/>
      <c r="F32" s="7" t="n"/>
      <c r="G32" s="8" t="n"/>
      <c r="H32" s="9">
        <f>IF(OR(F32="",G32=""),"",ROUND(F32*G32,2))</f>
        <v/>
      </c>
    </row>
    <row r="33">
      <c r="A33" s="6">
        <f>IF(C33="","",ROW()-20)</f>
        <v/>
      </c>
      <c r="B33" s="7" t="n"/>
      <c r="C33" s="7" t="n"/>
      <c r="D33" s="7" t="n"/>
      <c r="E33" s="7" t="n"/>
      <c r="F33" s="7" t="n"/>
      <c r="G33" s="8" t="n"/>
      <c r="H33" s="9">
        <f>IF(OR(F33="",G33=""),"",ROUND(F33*G33,2))</f>
        <v/>
      </c>
    </row>
    <row r="34">
      <c r="A34" s="6">
        <f>IF(C34="","",ROW()-20)</f>
        <v/>
      </c>
      <c r="B34" s="7" t="n"/>
      <c r="C34" s="7" t="n"/>
      <c r="D34" s="7" t="n"/>
      <c r="E34" s="7" t="n"/>
      <c r="F34" s="7" t="n"/>
      <c r="G34" s="8" t="n"/>
      <c r="H34" s="9">
        <f>IF(OR(F34="",G34=""),"",ROUND(F34*G34,2))</f>
        <v/>
      </c>
    </row>
    <row r="35">
      <c r="A35" s="6">
        <f>IF(C35="","",ROW()-20)</f>
        <v/>
      </c>
      <c r="B35" s="7" t="n"/>
      <c r="C35" s="7" t="n"/>
      <c r="D35" s="7" t="n"/>
      <c r="E35" s="7" t="n"/>
      <c r="F35" s="7" t="n"/>
      <c r="G35" s="8" t="n"/>
      <c r="H35" s="9">
        <f>IF(OR(F35="",G35=""),"",ROUND(F35*G35,2))</f>
        <v/>
      </c>
    </row>
    <row r="36">
      <c r="A36" s="6">
        <f>IF(C36="","",ROW()-20)</f>
        <v/>
      </c>
      <c r="B36" s="7" t="n"/>
      <c r="C36" s="7" t="n"/>
      <c r="D36" s="7" t="n"/>
      <c r="E36" s="7" t="n"/>
      <c r="F36" s="7" t="n"/>
      <c r="G36" s="8" t="n"/>
      <c r="H36" s="9">
        <f>IF(OR(F36="",G36=""),"",ROUND(F36*G36,2))</f>
        <v/>
      </c>
    </row>
    <row r="37">
      <c r="A37" s="6">
        <f>IF(C37="","",ROW()-20)</f>
        <v/>
      </c>
      <c r="B37" s="7" t="n"/>
      <c r="C37" s="7" t="n"/>
      <c r="D37" s="7" t="n"/>
      <c r="E37" s="7" t="n"/>
      <c r="F37" s="7" t="n"/>
      <c r="G37" s="8" t="n"/>
      <c r="H37" s="9">
        <f>IF(OR(F37="",G37=""),"",ROUND(F37*G37,2))</f>
        <v/>
      </c>
    </row>
    <row r="38">
      <c r="A38" s="6">
        <f>IF(C38="","",ROW()-20)</f>
        <v/>
      </c>
      <c r="B38" s="7" t="n"/>
      <c r="C38" s="7" t="n"/>
      <c r="D38" s="7" t="n"/>
      <c r="E38" s="7" t="n"/>
      <c r="F38" s="7" t="n"/>
      <c r="G38" s="8" t="n"/>
      <c r="H38" s="9">
        <f>IF(OR(F38="",G38=""),"",ROUND(F38*G38,2))</f>
        <v/>
      </c>
    </row>
    <row r="39">
      <c r="A39" s="6">
        <f>IF(C39="","",ROW()-20)</f>
        <v/>
      </c>
      <c r="B39" s="7" t="n"/>
      <c r="C39" s="7" t="n"/>
      <c r="D39" s="7" t="n"/>
      <c r="E39" s="7" t="n"/>
      <c r="F39" s="7" t="n"/>
      <c r="G39" s="8" t="n"/>
      <c r="H39" s="9">
        <f>IF(OR(F39="",G39=""),"",ROUND(F39*G39,2))</f>
        <v/>
      </c>
    </row>
    <row r="40">
      <c r="A40" s="6">
        <f>IF(C40="","",ROW()-20)</f>
        <v/>
      </c>
      <c r="B40" s="7" t="n"/>
      <c r="C40" s="7" t="n"/>
      <c r="D40" s="7" t="n"/>
      <c r="E40" s="7" t="n"/>
      <c r="F40" s="7" t="n"/>
      <c r="G40" s="8" t="n"/>
      <c r="H40" s="9">
        <f>IF(OR(F40="",G40=""),"",ROUND(F40*G40,2))</f>
        <v/>
      </c>
    </row>
    <row r="41">
      <c r="A41" s="6">
        <f>IF(C41="","",ROW()-20)</f>
        <v/>
      </c>
      <c r="B41" s="7" t="n"/>
      <c r="C41" s="7" t="n"/>
      <c r="D41" s="7" t="n"/>
      <c r="E41" s="7" t="n"/>
      <c r="F41" s="7" t="n"/>
      <c r="G41" s="8" t="n"/>
      <c r="H41" s="9">
        <f>IF(OR(F41="",G41=""),"",ROUND(F41*G41,2))</f>
        <v/>
      </c>
    </row>
    <row r="42">
      <c r="A42" s="6">
        <f>IF(C42="","",ROW()-20)</f>
        <v/>
      </c>
      <c r="B42" s="7" t="n"/>
      <c r="C42" s="7" t="n"/>
      <c r="D42" s="7" t="n"/>
      <c r="E42" s="7" t="n"/>
      <c r="F42" s="7" t="n"/>
      <c r="G42" s="8" t="n"/>
      <c r="H42" s="9">
        <f>IF(OR(F42="",G42=""),"",ROUND(F42*G42,2))</f>
        <v/>
      </c>
    </row>
    <row r="43">
      <c r="A43" s="6">
        <f>IF(C43="","",ROW()-20)</f>
        <v/>
      </c>
      <c r="B43" s="7" t="n"/>
      <c r="C43" s="7" t="n"/>
      <c r="D43" s="7" t="n"/>
      <c r="E43" s="7" t="n"/>
      <c r="F43" s="7" t="n"/>
      <c r="G43" s="8" t="n"/>
      <c r="H43" s="9">
        <f>IF(OR(F43="",G43=""),"",ROUND(F43*G43,2))</f>
        <v/>
      </c>
    </row>
    <row r="44">
      <c r="A44" s="6">
        <f>IF(C44="","",ROW()-20)</f>
        <v/>
      </c>
      <c r="B44" s="7" t="n"/>
      <c r="C44" s="7" t="n"/>
      <c r="D44" s="7" t="n"/>
      <c r="E44" s="7" t="n"/>
      <c r="F44" s="7" t="n"/>
      <c r="G44" s="8" t="n"/>
      <c r="H44" s="9">
        <f>IF(OR(F44="",G44=""),"",ROUND(F44*G44,2))</f>
        <v/>
      </c>
    </row>
    <row r="45">
      <c r="A45" s="6">
        <f>IF(C45="","",ROW()-20)</f>
        <v/>
      </c>
      <c r="B45" s="7" t="n"/>
      <c r="C45" s="7" t="n"/>
      <c r="D45" s="7" t="n"/>
      <c r="E45" s="7" t="n"/>
      <c r="F45" s="7" t="n"/>
      <c r="G45" s="8" t="n"/>
      <c r="H45" s="9">
        <f>IF(OR(F45="",G45=""),"",ROUND(F45*G45,2))</f>
        <v/>
      </c>
    </row>
    <row r="46">
      <c r="A46" s="6">
        <f>IF(C46="","",ROW()-20)</f>
        <v/>
      </c>
      <c r="B46" s="7" t="n"/>
      <c r="C46" s="7" t="n"/>
      <c r="D46" s="7" t="n"/>
      <c r="E46" s="7" t="n"/>
      <c r="F46" s="7" t="n"/>
      <c r="G46" s="8" t="n"/>
      <c r="H46" s="9">
        <f>IF(OR(F46="",G46=""),"",ROUND(F46*G46,2))</f>
        <v/>
      </c>
    </row>
    <row r="47">
      <c r="A47" s="6">
        <f>IF(C47="","",ROW()-20)</f>
        <v/>
      </c>
      <c r="B47" s="7" t="n"/>
      <c r="C47" s="7" t="n"/>
      <c r="D47" s="7" t="n"/>
      <c r="E47" s="7" t="n"/>
      <c r="F47" s="7" t="n"/>
      <c r="G47" s="8" t="n"/>
      <c r="H47" s="9">
        <f>IF(OR(F47="",G47=""),"",ROUND(F47*G47,2))</f>
        <v/>
      </c>
    </row>
    <row r="48">
      <c r="A48" s="6">
        <f>IF(C48="","",ROW()-20)</f>
        <v/>
      </c>
      <c r="B48" s="7" t="n"/>
      <c r="C48" s="7" t="n"/>
      <c r="D48" s="7" t="n"/>
      <c r="E48" s="7" t="n"/>
      <c r="F48" s="7" t="n"/>
      <c r="G48" s="8" t="n"/>
      <c r="H48" s="9">
        <f>IF(OR(F48="",G48=""),"",ROUND(F48*G48,2))</f>
        <v/>
      </c>
    </row>
    <row r="49">
      <c r="A49" s="6">
        <f>IF(C49="","",ROW()-20)</f>
        <v/>
      </c>
      <c r="B49" s="7" t="n"/>
      <c r="C49" s="7" t="n"/>
      <c r="D49" s="7" t="n"/>
      <c r="E49" s="7" t="n"/>
      <c r="F49" s="7" t="n"/>
      <c r="G49" s="8" t="n"/>
      <c r="H49" s="9">
        <f>IF(OR(F49="",G49=""),"",ROUND(F49*G49,2))</f>
        <v/>
      </c>
    </row>
    <row r="50">
      <c r="A50" s="6">
        <f>IF(C50="","",ROW()-20)</f>
        <v/>
      </c>
      <c r="B50" s="7" t="n"/>
      <c r="C50" s="7" t="n"/>
      <c r="D50" s="7" t="n"/>
      <c r="E50" s="7" t="n"/>
      <c r="F50" s="7" t="n"/>
      <c r="G50" s="8" t="n"/>
      <c r="H50" s="9">
        <f>IF(OR(F50="",G50=""),"",ROUND(F50*G50,2))</f>
        <v/>
      </c>
    </row>
    <row r="51">
      <c r="A51" s="6">
        <f>IF(C51="","",ROW()-20)</f>
        <v/>
      </c>
      <c r="B51" s="7" t="n"/>
      <c r="C51" s="7" t="n"/>
      <c r="D51" s="7" t="n"/>
      <c r="E51" s="7" t="n"/>
      <c r="F51" s="7" t="n"/>
      <c r="G51" s="8" t="n"/>
      <c r="H51" s="9">
        <f>IF(OR(F51="",G51=""),"",ROUND(F51*G51,2))</f>
        <v/>
      </c>
    </row>
    <row r="52">
      <c r="A52" s="6">
        <f>IF(C52="","",ROW()-20)</f>
        <v/>
      </c>
      <c r="B52" s="7" t="n"/>
      <c r="C52" s="7" t="n"/>
      <c r="D52" s="7" t="n"/>
      <c r="E52" s="7" t="n"/>
      <c r="F52" s="7" t="n"/>
      <c r="G52" s="8" t="n"/>
      <c r="H52" s="9">
        <f>IF(OR(F52="",G52=""),"",ROUND(F52*G52,2))</f>
        <v/>
      </c>
    </row>
    <row r="53">
      <c r="A53" s="6">
        <f>IF(C53="","",ROW()-20)</f>
        <v/>
      </c>
      <c r="B53" s="7" t="n"/>
      <c r="C53" s="7" t="n"/>
      <c r="D53" s="7" t="n"/>
      <c r="E53" s="7" t="n"/>
      <c r="F53" s="7" t="n"/>
      <c r="G53" s="8" t="n"/>
      <c r="H53" s="9">
        <f>IF(OR(F53="",G53=""),"",ROUND(F53*G53,2))</f>
        <v/>
      </c>
    </row>
    <row r="54">
      <c r="A54" s="6">
        <f>IF(C54="","",ROW()-20)</f>
        <v/>
      </c>
      <c r="B54" s="7" t="n"/>
      <c r="C54" s="7" t="n"/>
      <c r="D54" s="7" t="n"/>
      <c r="E54" s="7" t="n"/>
      <c r="F54" s="7" t="n"/>
      <c r="G54" s="8" t="n"/>
      <c r="H54" s="9">
        <f>IF(OR(F54="",G54=""),"",ROUND(F54*G54,2))</f>
        <v/>
      </c>
    </row>
    <row r="55">
      <c r="A55" s="6">
        <f>IF(C55="","",ROW()-20)</f>
        <v/>
      </c>
      <c r="B55" s="7" t="n"/>
      <c r="C55" s="7" t="n"/>
      <c r="D55" s="7" t="n"/>
      <c r="E55" s="7" t="n"/>
      <c r="F55" s="7" t="n"/>
      <c r="G55" s="8" t="n"/>
      <c r="H55" s="9">
        <f>IF(OR(F55="",G55=""),"",ROUND(F55*G55,2))</f>
        <v/>
      </c>
    </row>
    <row r="56">
      <c r="A56" s="6">
        <f>IF(C56="","",ROW()-20)</f>
        <v/>
      </c>
      <c r="B56" s="7" t="n"/>
      <c r="C56" s="7" t="n"/>
      <c r="D56" s="7" t="n"/>
      <c r="E56" s="7" t="n"/>
      <c r="F56" s="7" t="n"/>
      <c r="G56" s="8" t="n"/>
      <c r="H56" s="9">
        <f>IF(OR(F56="",G56=""),"",ROUND(F56*G56,2))</f>
        <v/>
      </c>
    </row>
    <row r="57">
      <c r="A57" s="6">
        <f>IF(C57="","",ROW()-20)</f>
        <v/>
      </c>
      <c r="B57" s="7" t="n"/>
      <c r="C57" s="7" t="n"/>
      <c r="D57" s="7" t="n"/>
      <c r="E57" s="7" t="n"/>
      <c r="F57" s="7" t="n"/>
      <c r="G57" s="8" t="n"/>
      <c r="H57" s="9">
        <f>IF(OR(F57="",G57=""),"",ROUND(F57*G57,2))</f>
        <v/>
      </c>
    </row>
    <row r="58">
      <c r="A58" s="6">
        <f>IF(C58="","",ROW()-20)</f>
        <v/>
      </c>
      <c r="B58" s="7" t="n"/>
      <c r="C58" s="7" t="n"/>
      <c r="D58" s="7" t="n"/>
      <c r="E58" s="7" t="n"/>
      <c r="F58" s="7" t="n"/>
      <c r="G58" s="8" t="n"/>
      <c r="H58" s="9">
        <f>IF(OR(F58="",G58=""),"",ROUND(F58*G58,2))</f>
        <v/>
      </c>
    </row>
    <row r="59">
      <c r="A59" s="6">
        <f>IF(C59="","",ROW()-20)</f>
        <v/>
      </c>
      <c r="B59" s="7" t="n"/>
      <c r="C59" s="7" t="n"/>
      <c r="D59" s="7" t="n"/>
      <c r="E59" s="7" t="n"/>
      <c r="F59" s="7" t="n"/>
      <c r="G59" s="8" t="n"/>
      <c r="H59" s="9">
        <f>IF(OR(F59="",G59=""),"",ROUND(F59*G59,2))</f>
        <v/>
      </c>
    </row>
    <row r="60">
      <c r="A60" s="6">
        <f>IF(C60="","",ROW()-20)</f>
        <v/>
      </c>
      <c r="B60" s="7" t="n"/>
      <c r="C60" s="7" t="n"/>
      <c r="D60" s="7" t="n"/>
      <c r="E60" s="7" t="n"/>
      <c r="F60" s="7" t="n"/>
      <c r="G60" s="8" t="n"/>
      <c r="H60" s="9">
        <f>IF(OR(F60="",G60=""),"",ROUND(F60*G60,2))</f>
        <v/>
      </c>
    </row>
    <row r="61">
      <c r="A61" s="6">
        <f>IF(C61="","",ROW()-20)</f>
        <v/>
      </c>
      <c r="B61" s="7" t="n"/>
      <c r="C61" s="7" t="n"/>
      <c r="D61" s="7" t="n"/>
      <c r="E61" s="7" t="n"/>
      <c r="F61" s="7" t="n"/>
      <c r="G61" s="8" t="n"/>
      <c r="H61" s="9">
        <f>IF(OR(F61="",G61=""),"",ROUND(F61*G61,2))</f>
        <v/>
      </c>
    </row>
    <row r="62">
      <c r="A62" s="6">
        <f>IF(C62="","",ROW()-20)</f>
        <v/>
      </c>
      <c r="B62" s="7" t="n"/>
      <c r="C62" s="7" t="n"/>
      <c r="D62" s="7" t="n"/>
      <c r="E62" s="7" t="n"/>
      <c r="F62" s="7" t="n"/>
      <c r="G62" s="8" t="n"/>
      <c r="H62" s="9">
        <f>IF(OR(F62="",G62=""),"",ROUND(F62*G62,2))</f>
        <v/>
      </c>
    </row>
    <row r="63">
      <c r="A63" s="6">
        <f>IF(C63="","",ROW()-20)</f>
        <v/>
      </c>
      <c r="B63" s="7" t="n"/>
      <c r="C63" s="7" t="n"/>
      <c r="D63" s="7" t="n"/>
      <c r="E63" s="7" t="n"/>
      <c r="F63" s="7" t="n"/>
      <c r="G63" s="8" t="n"/>
      <c r="H63" s="9">
        <f>IF(OR(F63="",G63=""),"",ROUND(F63*G63,2))</f>
        <v/>
      </c>
    </row>
    <row r="64">
      <c r="A64" s="6">
        <f>IF(C64="","",ROW()-20)</f>
        <v/>
      </c>
      <c r="B64" s="7" t="n"/>
      <c r="C64" s="7" t="n"/>
      <c r="D64" s="7" t="n"/>
      <c r="E64" s="7" t="n"/>
      <c r="F64" s="7" t="n"/>
      <c r="G64" s="8" t="n"/>
      <c r="H64" s="9">
        <f>IF(OR(F64="",G64=""),"",ROUND(F64*G64,2))</f>
        <v/>
      </c>
    </row>
    <row r="65">
      <c r="A65" s="6">
        <f>IF(C65="","",ROW()-20)</f>
        <v/>
      </c>
      <c r="B65" s="7" t="n"/>
      <c r="C65" s="7" t="n"/>
      <c r="D65" s="7" t="n"/>
      <c r="E65" s="7" t="n"/>
      <c r="F65" s="7" t="n"/>
      <c r="G65" s="8" t="n"/>
      <c r="H65" s="9">
        <f>IF(OR(F65="",G65=""),"",ROUND(F65*G65,2))</f>
        <v/>
      </c>
    </row>
    <row r="66">
      <c r="A66" s="6">
        <f>IF(C66="","",ROW()-20)</f>
        <v/>
      </c>
      <c r="B66" s="7" t="n"/>
      <c r="C66" s="7" t="n"/>
      <c r="D66" s="7" t="n"/>
      <c r="E66" s="7" t="n"/>
      <c r="F66" s="7" t="n"/>
      <c r="G66" s="8" t="n"/>
      <c r="H66" s="9">
        <f>IF(OR(F66="",G66=""),"",ROUND(F66*G66,2))</f>
        <v/>
      </c>
    </row>
    <row r="67">
      <c r="A67" s="6">
        <f>IF(C67="","",ROW()-20)</f>
        <v/>
      </c>
      <c r="B67" s="7" t="n"/>
      <c r="C67" s="7" t="n"/>
      <c r="D67" s="7" t="n"/>
      <c r="E67" s="7" t="n"/>
      <c r="F67" s="7" t="n"/>
      <c r="G67" s="8" t="n"/>
      <c r="H67" s="9">
        <f>IF(OR(F67="",G67=""),"",ROUND(F67*G67,2))</f>
        <v/>
      </c>
    </row>
    <row r="68">
      <c r="A68" s="6">
        <f>IF(C68="","",ROW()-20)</f>
        <v/>
      </c>
      <c r="B68" s="7" t="n"/>
      <c r="C68" s="7" t="n"/>
      <c r="D68" s="7" t="n"/>
      <c r="E68" s="7" t="n"/>
      <c r="F68" s="7" t="n"/>
      <c r="G68" s="8" t="n"/>
      <c r="H68" s="9">
        <f>IF(OR(F68="",G68=""),"",ROUND(F68*G68,2))</f>
        <v/>
      </c>
    </row>
    <row r="69">
      <c r="A69" s="6">
        <f>IF(C69="","",ROW()-20)</f>
        <v/>
      </c>
      <c r="B69" s="7" t="n"/>
      <c r="C69" s="7" t="n"/>
      <c r="D69" s="7" t="n"/>
      <c r="E69" s="7" t="n"/>
      <c r="F69" s="7" t="n"/>
      <c r="G69" s="8" t="n"/>
      <c r="H69" s="9">
        <f>IF(OR(F69="",G69=""),"",ROUND(F69*G69,2))</f>
        <v/>
      </c>
    </row>
    <row r="70">
      <c r="A70" s="6">
        <f>IF(C70="","",ROW()-20)</f>
        <v/>
      </c>
      <c r="B70" s="7" t="n"/>
      <c r="C70" s="7" t="n"/>
      <c r="D70" s="7" t="n"/>
      <c r="E70" s="7" t="n"/>
      <c r="F70" s="7" t="n"/>
      <c r="G70" s="8" t="n"/>
      <c r="H70" s="9">
        <f>IF(OR(F70="",G70=""),"",ROUND(F70*G70,2))</f>
        <v/>
      </c>
    </row>
    <row r="71">
      <c r="C71" s="10" t="inlineStr">
        <is>
          <t>Итого по акту</t>
        </is>
      </c>
      <c r="D71" s="6" t="n"/>
      <c r="E71" s="6" t="n"/>
      <c r="F71" s="6" t="n"/>
      <c r="G71" s="6" t="n"/>
      <c r="H71" s="9">
        <f>SUM(H21:H70)</f>
        <v/>
      </c>
    </row>
    <row r="72">
      <c r="C72" s="6" t="inlineStr">
        <is>
          <t>Ставка НДС, % (20 означает 20 %; пусто или 0 — без НДС)</t>
        </is>
      </c>
      <c r="D72" s="6" t="n"/>
      <c r="E72" s="6" t="n"/>
      <c r="F72" s="6" t="n"/>
      <c r="G72" s="6" t="n"/>
      <c r="H72" s="7" t="n"/>
    </row>
    <row r="73">
      <c r="C73" s="10" t="inlineStr">
        <is>
          <t>Сумма НДС</t>
        </is>
      </c>
      <c r="D73" s="6" t="n"/>
      <c r="E73" s="6" t="n"/>
      <c r="F73" s="6" t="n"/>
      <c r="G73" s="6" t="n"/>
      <c r="H73" s="9">
        <f>IF(OR(H72="",H72=0),0,ROUND(H71*H72/100,2))</f>
        <v/>
      </c>
    </row>
    <row r="74">
      <c r="C74" s="10" t="inlineStr">
        <is>
          <t>Всего с НДС</t>
        </is>
      </c>
      <c r="D74" s="6" t="n"/>
      <c r="E74" s="6" t="n"/>
      <c r="F74" s="6" t="n"/>
      <c r="G74" s="6" t="n"/>
      <c r="H74" s="9">
        <f>H71+H73</f>
        <v/>
      </c>
    </row>
    <row r="76">
      <c r="A76" t="inlineStr">
        <is>
          <t>Сдал (субподрядчик): должность ________________  подпись ________  расшифровка ______________</t>
        </is>
      </c>
    </row>
    <row r="77">
      <c r="A77" t="inlineStr">
        <is>
          <t>Принял (заказчик): должность ________________  подпись ________  расшифровка ______________</t>
        </is>
      </c>
    </row>
    <row r="78">
      <c r="A78" t="inlineStr">
        <is>
          <t>Основание полномочий принявшего (должность по ЕГРЮЛ или доверенность № , дата): ______________</t>
        </is>
      </c>
    </row>
    <row r="80">
      <c r="A80" s="11" t="inlineStr">
        <is>
          <t>Перед использованием сверьте реквизиты формы с договором и учётной политикой: договор может устанавливать собственную форму акта. Графы и итоги этой таблицы рабочие — стоимость строки и итоги считаются формулами.</t>
        </is>
      </c>
    </row>
    <row r="81"/>
  </sheetData>
  <mergeCells count="23">
    <mergeCell ref="D10:H10"/>
    <mergeCell ref="A12:C12"/>
    <mergeCell ref="D6:H6"/>
    <mergeCell ref="A8:C8"/>
    <mergeCell ref="A14:C14"/>
    <mergeCell ref="D11:H11"/>
    <mergeCell ref="D13:H13"/>
    <mergeCell ref="A10:C10"/>
    <mergeCell ref="D7:H7"/>
    <mergeCell ref="A13:C13"/>
    <mergeCell ref="D16:H16"/>
    <mergeCell ref="A9:C9"/>
    <mergeCell ref="A15:C15"/>
    <mergeCell ref="D9:H9"/>
    <mergeCell ref="D12:H12"/>
    <mergeCell ref="D8:H8"/>
    <mergeCell ref="A11:C11"/>
    <mergeCell ref="D15:H15"/>
    <mergeCell ref="A6:C6"/>
    <mergeCell ref="D14:H14"/>
    <mergeCell ref="A7:C7"/>
    <mergeCell ref="A80:H81"/>
    <mergeCell ref="A16:C16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D1" t="inlineStr">
        <is>
          <t>Унифицированная форма № КС-3</t>
        </is>
      </c>
    </row>
    <row r="2">
      <c r="D2" t="inlineStr">
        <is>
          <t>Утверждена постановлением Госкомстата России от 11.11.99 № 100</t>
        </is>
      </c>
    </row>
    <row r="3">
      <c r="D3" t="inlineStr">
        <is>
          <t>Код формы по ОКУД: 0322001</t>
        </is>
      </c>
    </row>
    <row r="6">
      <c r="A6" t="inlineStr">
        <is>
          <t>Заказчик</t>
        </is>
      </c>
      <c r="D6">
        <f>'КС-2'!D6</f>
        <v/>
      </c>
    </row>
    <row r="7">
      <c r="A7" t="inlineStr">
        <is>
          <t>Субподрядчик</t>
        </is>
      </c>
      <c r="D7">
        <f>'КС-2'!D7</f>
        <v/>
      </c>
    </row>
    <row r="8">
      <c r="A8" t="inlineStr">
        <is>
          <t>Стройка</t>
        </is>
      </c>
      <c r="D8">
        <f>'КС-2'!D8</f>
        <v/>
      </c>
    </row>
    <row r="9">
      <c r="A9" t="inlineStr">
        <is>
          <t>Договор подряда: номер</t>
        </is>
      </c>
      <c r="D9">
        <f>'КС-2'!D10</f>
        <v/>
      </c>
    </row>
    <row r="10">
      <c r="A10" t="inlineStr">
        <is>
          <t>Договор подряда: дата</t>
        </is>
      </c>
      <c r="D10" s="12">
        <f>'КС-2'!D11</f>
        <v/>
      </c>
    </row>
    <row r="11">
      <c r="A11" t="inlineStr">
        <is>
          <t>Номер документа</t>
        </is>
      </c>
      <c r="D11" s="1" t="n"/>
    </row>
    <row r="12">
      <c r="A12" t="inlineStr">
        <is>
          <t>Дата составления</t>
        </is>
      </c>
      <c r="D12" s="2" t="n"/>
    </row>
    <row r="13">
      <c r="A13" t="inlineStr">
        <is>
          <t>Отчётный период: с</t>
        </is>
      </c>
      <c r="D13" s="12">
        <f>'КС-2'!D14</f>
        <v/>
      </c>
    </row>
    <row r="14">
      <c r="A14" t="inlineStr">
        <is>
          <t>Отчётный период: по</t>
        </is>
      </c>
      <c r="D14" s="12">
        <f>'КС-2'!D15</f>
        <v/>
      </c>
    </row>
    <row r="16">
      <c r="A16" s="4" t="inlineStr">
        <is>
          <t>СПРАВКА О СТОИМОСТИ ВЫПОЛНЕННЫХ РАБОТ И ЗАТРАТ</t>
        </is>
      </c>
    </row>
    <row r="18">
      <c r="A18" s="5" t="inlineStr">
        <is>
          <t>№ по порядку</t>
        </is>
      </c>
      <c r="B18" s="5" t="inlineStr">
        <is>
          <t>Наименование пусковых комплексов, этапов, объектов, видов выполненных работ, оборудования, затрат</t>
        </is>
      </c>
      <c r="C18" s="5" t="inlineStr">
        <is>
          <t>Код</t>
        </is>
      </c>
      <c r="D18" s="5" t="inlineStr">
        <is>
          <t>Стоимость с начала проведения работ, руб.</t>
        </is>
      </c>
      <c r="E18" s="5" t="inlineStr">
        <is>
          <t>Стоимость с начала года, руб.</t>
        </is>
      </c>
      <c r="F18" s="5" t="inlineStr">
        <is>
          <t>В том числе за отчётный период, руб.</t>
        </is>
      </c>
    </row>
    <row r="19">
      <c r="A19" s="6" t="n">
        <v>1</v>
      </c>
      <c r="B19" s="6" t="inlineStr">
        <is>
          <t>Выполнено ранее (по предыдущим справкам КС-3)</t>
        </is>
      </c>
      <c r="C19" s="6" t="n"/>
      <c r="D19" s="8" t="n"/>
      <c r="E19" s="8" t="n"/>
      <c r="F19" s="9" t="n"/>
    </row>
    <row r="20">
      <c r="A20" s="6" t="n">
        <v>2</v>
      </c>
      <c r="B20" s="6">
        <f>"Работы по акту КС-2 № "&amp;'КС-2'!D12</f>
        <v/>
      </c>
      <c r="C20" s="6" t="n"/>
      <c r="D20" s="9">
        <f>F20</f>
        <v/>
      </c>
      <c r="E20" s="9">
        <f>F20</f>
        <v/>
      </c>
      <c r="F20" s="9">
        <f>'КС-2'!H71</f>
        <v/>
      </c>
    </row>
    <row r="21">
      <c r="A21" s="6" t="n">
        <v>3</v>
      </c>
      <c r="B21" s="6" t="inlineStr">
        <is>
          <t>Всего работ и затрат, включаемых в стоимость работ</t>
        </is>
      </c>
      <c r="C21" s="6" t="n"/>
      <c r="D21" s="9">
        <f>N(D19)+D20</f>
        <v/>
      </c>
      <c r="E21" s="9">
        <f>N(E19)+E20</f>
        <v/>
      </c>
      <c r="F21" s="9">
        <f>F20</f>
        <v/>
      </c>
    </row>
    <row r="22">
      <c r="A22" s="6" t="n">
        <v>4</v>
      </c>
      <c r="B22" s="6" t="inlineStr">
        <is>
          <t>Сумма НДС за отчётный период</t>
        </is>
      </c>
      <c r="C22" s="6" t="n"/>
      <c r="D22" s="9" t="n"/>
      <c r="E22" s="9" t="n"/>
      <c r="F22" s="9">
        <f>'КС-2'!H73</f>
        <v/>
      </c>
    </row>
    <row r="23">
      <c r="A23" s="6" t="n">
        <v>5</v>
      </c>
      <c r="B23" s="6" t="inlineStr">
        <is>
          <t>Всего с НДС за отчётный период</t>
        </is>
      </c>
      <c r="C23" s="6" t="n"/>
      <c r="D23" s="9" t="n"/>
      <c r="E23" s="9" t="n"/>
      <c r="F23" s="9">
        <f>F21+F22</f>
        <v/>
      </c>
    </row>
    <row r="25">
      <c r="B25" s="13" t="inlineStr">
        <is>
          <t>Справочно, для сверки с оплатой (в унифицированную форму не входит)</t>
        </is>
      </c>
    </row>
    <row r="26">
      <c r="B26" s="6" t="inlineStr">
        <is>
          <t>Аванс, зачтённый в отчётном периоде по условиям договора, руб.</t>
        </is>
      </c>
      <c r="C26" s="6" t="n"/>
      <c r="D26" s="6" t="n"/>
      <c r="E26" s="6" t="n"/>
      <c r="F26" s="8" t="n"/>
    </row>
    <row r="27">
      <c r="B27" s="6" t="inlineStr">
        <is>
          <t>Удержание, зачёт или неустойка, которые заказчик применяет к этому периоду, руб.</t>
        </is>
      </c>
      <c r="C27" s="6" t="n"/>
      <c r="D27" s="6" t="n"/>
      <c r="E27" s="6" t="n"/>
      <c r="F27" s="8" t="n"/>
    </row>
    <row r="28">
      <c r="B28" s="6" t="inlineStr">
        <is>
          <t>Подлежит оплате за период без спорных сумм, руб.</t>
        </is>
      </c>
      <c r="C28" s="6" t="n"/>
      <c r="D28" s="6" t="n"/>
      <c r="E28" s="6" t="n"/>
      <c r="F28" s="9">
        <f>F23-N(F26)</f>
        <v/>
      </c>
    </row>
    <row r="29">
      <c r="B29" s="6" t="inlineStr">
        <is>
          <t>Граница</t>
        </is>
      </c>
      <c r="C29" s="6" t="n"/>
      <c r="D29" s="6" t="n"/>
      <c r="E29" s="6" t="n"/>
      <c r="F29" s="6">
        <f>IF(N(F27)&gt;0,"ГРАНИЦА B2: удержание/зачёт/неустойка — см. файл 01","")</f>
        <v/>
      </c>
    </row>
    <row r="31">
      <c r="A31" t="inlineStr">
        <is>
          <t>Заказчик: должность ________________  подпись ________  расшифровка ______________</t>
        </is>
      </c>
    </row>
    <row r="32">
      <c r="A32" t="inlineStr">
        <is>
          <t>Субподрядчик: должность ________________  подпись ________  расшифровка ______________</t>
        </is>
      </c>
    </row>
  </sheetData>
  <mergeCells count="18">
    <mergeCell ref="D11:F11"/>
    <mergeCell ref="D13:F13"/>
    <mergeCell ref="D14:F14"/>
    <mergeCell ref="A7:B7"/>
    <mergeCell ref="A9:B9"/>
    <mergeCell ref="A11:B11"/>
    <mergeCell ref="D6:F6"/>
    <mergeCell ref="A10:B10"/>
    <mergeCell ref="D12:F12"/>
    <mergeCell ref="A13:B13"/>
    <mergeCell ref="D9:F9"/>
    <mergeCell ref="A14:B14"/>
    <mergeCell ref="A12:B12"/>
    <mergeCell ref="D7:F7"/>
    <mergeCell ref="D8:F8"/>
    <mergeCell ref="A8:B8"/>
    <mergeCell ref="A6:B6"/>
    <mergeCell ref="D10:F10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40" customWidth="1" min="3" max="3"/>
  </cols>
  <sheetData>
    <row r="1">
      <c r="A1" s="5" t="inlineStr">
        <is>
          <t>№</t>
        </is>
      </c>
      <c r="B1" s="5" t="inlineStr">
        <is>
          <t>Проверка</t>
        </is>
      </c>
      <c r="C1" s="5" t="inlineStr">
        <is>
          <t>Результат</t>
        </is>
      </c>
    </row>
    <row r="2">
      <c r="A2" s="6" t="n">
        <v>1</v>
      </c>
      <c r="B2" s="6" t="inlineStr">
        <is>
          <t>Стоимость за отчётный период в КС-3 равна итогу КС-2</t>
        </is>
      </c>
      <c r="C2" s="6">
        <f>IF(ROUND('КС-3'!F21-'КС-2'!H71,2)=0,"СХОДИТСЯ","РАСХОЖДЕНИЕ")</f>
        <v/>
      </c>
    </row>
    <row r="3">
      <c r="A3" s="6" t="n">
        <v>2</v>
      </c>
      <c r="B3" s="6" t="inlineStr">
        <is>
          <t>НДС в КС-3 равен НДС в КС-2</t>
        </is>
      </c>
      <c r="C3" s="6">
        <f>IF(ROUND('КС-3'!F22-'КС-2'!H73,2)=0,"СХОДИТСЯ","РАСХОЖДЕНИЕ")</f>
        <v/>
      </c>
    </row>
    <row r="4">
      <c r="A4" s="6" t="n">
        <v>3</v>
      </c>
      <c r="B4" s="6" t="inlineStr">
        <is>
          <t>У каждой строки КС-2 с количеством есть цена, и наоборот</t>
        </is>
      </c>
      <c r="C4" s="6">
        <f>IF(COUNT('КС-2'!F21:F70)=COUNT('КС-2'!G21:G70),"СХОДИТСЯ","РАСХОЖДЕНИЕ: строка без цены или количества")</f>
        <v/>
      </c>
    </row>
    <row r="5">
      <c r="A5" s="6" t="n">
        <v>4</v>
      </c>
      <c r="B5" s="6" t="inlineStr">
        <is>
          <t>У каждой строки КС-2 с количеством есть наименование</t>
        </is>
      </c>
      <c r="C5" s="6">
        <f>IF(COUNTIFS('КС-2'!F21:F70,"&lt;&gt;",'КС-2'!C21:C70,"")=0,"СХОДИТСЯ","РАСХОЖДЕНИЕ: количество без наименования")</f>
        <v/>
      </c>
    </row>
    <row r="6">
      <c r="A6" s="6" t="n">
        <v>5</v>
      </c>
      <c r="B6" s="6" t="inlineStr">
        <is>
          <t>Ставка НДС введена в процентах, а не долей</t>
        </is>
      </c>
      <c r="C6" s="6">
        <f>IF(AND(N('КС-2'!H72)&gt;0,N('КС-2'!H72)&lt;1),"РАСХОЖДЕНИЕ: введите 20, а не 0,2","СХОДИТСЯ")</f>
        <v/>
      </c>
    </row>
    <row r="7">
      <c r="A7" s="6" t="n">
        <v>6</v>
      </c>
      <c r="B7" s="6" t="inlineStr">
        <is>
          <t>Номер и дата КС-2 заполнены</t>
        </is>
      </c>
      <c r="C7" s="6">
        <f>IF(AND('КС-2'!D12&lt;&gt;"",'КС-2'!D13&lt;&gt;""),"СХОДИТСЯ","РАСХОЖДЕНИЕ: нет номера или даты")</f>
        <v/>
      </c>
    </row>
    <row r="8">
      <c r="A8" s="6" t="n">
        <v>7</v>
      </c>
      <c r="B8" s="6" t="inlineStr">
        <is>
          <t>Отчётный период заполнен и не перевёрнут</t>
        </is>
      </c>
      <c r="C8" s="6">
        <f>IF(AND(ISNUMBER('КС-2'!D14),ISNUMBER('КС-2'!D15)),IF('КС-2'!D15&gt;='КС-2'!D14,"СХОДИТСЯ","РАСХОЖДЕНИЕ: конец раньше начала"),"РАСХОЖДЕНИЕ: период не заполнен")</f>
        <v/>
      </c>
    </row>
    <row r="9">
      <c r="A9" s="6" t="n">
        <v>8</v>
      </c>
      <c r="B9" s="6" t="inlineStr">
        <is>
          <t>Стоимость нарастающим итогом не превышает сметную (договорную)</t>
        </is>
      </c>
      <c r="C9" s="6">
        <f>IF(N('КС-2'!D16)=0,"СХОДИТСЯ",IF('КС-3'!D21&lt;='КС-2'!D16,"СХОДИТСЯ","РАСХОЖДЕНИЕ: превышение сметной стоимости — нужно допсоглашение"))</f>
        <v/>
      </c>
    </row>
    <row r="10">
      <c r="A10" s="6" t="n">
        <v>9</v>
      </c>
      <c r="B10" s="6" t="inlineStr">
        <is>
          <t>Нет удержаний и зачётов за границей системы</t>
        </is>
      </c>
      <c r="C10" s="6">
        <f>IF(N('КС-3'!F27)&gt;0,"ГРАНИЦА B2","СХОДИТСЯ")</f>
        <v/>
      </c>
    </row>
    <row r="12">
      <c r="B12" s="13" t="inlineStr">
        <is>
          <t>Итог сверки</t>
        </is>
      </c>
      <c r="C12" s="13">
        <f>IF(COUNTIF(C2:C10,"СХОДИТСЯ")=9,"ВСЁ СХОДИТСЯ — можно на внутреннюю проверку","ЕСТЬ РАСХОЖДЕНИЯ")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Маржа в бетоне</dc:creator>
  <dcterms:created xmlns:dcterms="http://purl.org/dc/terms/" xmlns:xsi="http://www.w3.org/2001/XMLSchema-instance" xsi:type="dcterms:W3CDTF">2026-09-27T00:00:00Z</dcterms:created>
  <dcterms:modified xmlns:dcterms="http://purl.org/dc/terms/" xmlns:xsi="http://www.w3.org/2001/XMLSchema-instance" xsi:type="dcterms:W3CDTF">2026-09-27T00:00:00Z</dcterms:modified>
  <cp:lastModifiedBy>build_s1_candidate.py</cp:lastModifiedBy>
</cp:coreProperties>
</file>